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akas\Downloads\"/>
    </mc:Choice>
  </mc:AlternateContent>
  <xr:revisionPtr revIDLastSave="0" documentId="13_ncr:1_{DB1741D1-7FB8-4C12-9B45-CC0B9608D244}" xr6:coauthVersionLast="47" xr6:coauthVersionMax="47" xr10:uidLastSave="{00000000-0000-0000-0000-000000000000}"/>
  <bookViews>
    <workbookView xWindow="-110" yWindow="-110" windowWidth="38620" windowHeight="21100" activeTab="1" xr2:uid="{00000000-000D-0000-FFFF-FFFF00000000}"/>
  </bookViews>
  <sheets>
    <sheet name="00_前提・使い方" sheetId="1" r:id="rId1"/>
    <sheet name="01_事業ライフサイクル・ゲート" sheetId="2" r:id="rId2"/>
    <sheet name="02_工程タスク" sheetId="3" r:id="rId3"/>
    <sheet name="03_AIリスクTier・適用判定" sheetId="4" r:id="rId4"/>
    <sheet name="04_規模・テーラリング" sheetId="5" r:id="rId5"/>
    <sheet name="05_意思決定・RACI" sheetId="6" r:id="rId6"/>
    <sheet name="06_ロール・要員計画" sheetId="7" r:id="rId7"/>
    <sheet name="07_スキル辞書" sheetId="8" r:id="rId8"/>
    <sheet name="08_タスク×ロール×スキル" sheetId="9" r:id="rId9"/>
    <sheet name="09_成果物・正本マップ" sheetId="10" r:id="rId10"/>
    <sheet name="10_データ台帳" sheetId="11" r:id="rId11"/>
    <sheet name="11_モデル・外部AI・ベンダー台帳" sheetId="12" r:id="rId12"/>
    <sheet name="12_プライバシー・法令判定" sheetId="13" r:id="rId13"/>
    <sheet name="13_アーキテクチャ・ADR台帳" sheetId="14" r:id="rId14"/>
    <sheet name="14_AI駆動開発・ハーネス標準" sheetId="15" r:id="rId15"/>
    <sheet name="15_評価計画・品質ゲート" sheetId="16" r:id="rId16"/>
    <sheet name="16_評価実績インデックス" sheetId="17" r:id="rId17"/>
    <sheet name="17_ロードマップ・案件実行管理" sheetId="18" r:id="rId18"/>
    <sheet name="18_見積・AI効果測定" sheetId="19" r:id="rId19"/>
    <sheet name="19_リスク・セキュリティ・例外" sheetId="20" r:id="rId20"/>
    <sheet name="20_リリース・変更・ロールバック" sheetId="21" r:id="rId21"/>
    <sheet name="21_SLO・運用・インシデント" sheetId="22" r:id="rId22"/>
    <sheet name="22_廃止・移管・削除" sheetId="23" r:id="rId23"/>
    <sheet name="23_外部契約・調達" sheetId="24" r:id="rId24"/>
    <sheet name="24_調査ソース・変更履歴" sheetId="25" r:id="rId25"/>
    <sheet name="25_事業仮説・実験・GTM" sheetId="26" r:id="rId26"/>
    <sheet name="26_事業KPI・投資収益" sheetId="27" r:id="rId27"/>
    <sheet name="27_v3差分・適用注意" sheetId="28" r:id="rId28"/>
    <sheet name="28_スキル評価・育成" sheetId="29" r:id="rId29"/>
    <sheet name="29_ゲート承認記録" sheetId="30" r:id="rId30"/>
    <sheet name="30_必須評価セット" sheetId="31" r:id="rId31"/>
    <sheet name="31_条件・有効性" sheetId="32" r:id="rId32"/>
    <sheet name="32_定義マスター" sheetId="33" r:id="rId33"/>
    <sheet name="33_改訂対応・検証" sheetId="34" r:id="rId34"/>
    <sheet name="34_Run・同期管理" sheetId="35" r:id="rId35"/>
    <sheet name="35_実名・能力割当" sheetId="36" r:id="rId36"/>
  </sheets>
  <definedNames>
    <definedName name="_xlnm._FilterDatabase" localSheetId="0" hidden="1">'00_前提・使い方'!$A$3:$C$30</definedName>
    <definedName name="_xlnm._FilterDatabase" localSheetId="1" hidden="1">'01_事業ライフサイクル・ゲート'!$A$3:$I$10</definedName>
    <definedName name="_xlnm._FilterDatabase" localSheetId="2" hidden="1">'02_工程タスク'!$A$3:$U$135</definedName>
    <definedName name="_xlnm._FilterDatabase" localSheetId="3" hidden="1">'03_AIリスクTier・適用判定'!$A$3:$F$7</definedName>
    <definedName name="_xlnm._FilterDatabase" localSheetId="4" hidden="1">'04_規模・テーラリング'!$A$3:$F$9</definedName>
    <definedName name="_xlnm._FilterDatabase" localSheetId="5" hidden="1">'05_意思決定・RACI'!$A$3:$H$14</definedName>
    <definedName name="_xlnm._FilterDatabase" localSheetId="6" hidden="1">'06_ロール・要員計画'!$A$3:$U$23</definedName>
    <definedName name="_xlnm._FilterDatabase" localSheetId="7" hidden="1">'07_スキル辞書'!$A$3:$M$109</definedName>
    <definedName name="_xlnm._FilterDatabase" localSheetId="8" hidden="1">'08_タスク×ロール×スキル'!$A$3:$I$430</definedName>
    <definedName name="_xlnm._FilterDatabase" localSheetId="9" hidden="1">'09_成果物・正本マップ'!$A$3:$K$135</definedName>
    <definedName name="_xlnm._FilterDatabase" localSheetId="10" hidden="1">'10_データ台帳'!$A$3:$X$43</definedName>
    <definedName name="_xlnm._FilterDatabase" localSheetId="11" hidden="1">'11_モデル・外部AI・ベンダー台帳'!$A$3:$Z$43</definedName>
    <definedName name="_xlnm._FilterDatabase" localSheetId="12" hidden="1">'12_プライバシー・法令判定'!$A$3:$N$17</definedName>
    <definedName name="_xlnm._FilterDatabase" localSheetId="13" hidden="1">'13_アーキテクチャ・ADR台帳'!$A$3:$O$15</definedName>
    <definedName name="_xlnm._FilterDatabase" localSheetId="14" hidden="1">'14_AI駆動開発・ハーネス標準'!$A$3:$I$19</definedName>
    <definedName name="_xlnm._FilterDatabase" localSheetId="15" hidden="1">'15_評価計画・品質ゲート'!$A$3:$Z$103</definedName>
    <definedName name="_xlnm._FilterDatabase" localSheetId="16" hidden="1">'16_評価実績インデックス'!$A$3:$Y$103</definedName>
    <definedName name="_xlnm._FilterDatabase" localSheetId="17" hidden="1">'17_ロードマップ・案件実行管理'!$A$3:$BF$135</definedName>
    <definedName name="_xlnm._FilterDatabase" localSheetId="18" hidden="1">'18_見積・AI効果測定'!$A$3:$AQ$43</definedName>
    <definedName name="_xlnm._FilterDatabase" localSheetId="19" hidden="1">'19_リスク・セキュリティ・例外'!$A$3:$R$43</definedName>
    <definedName name="_xlnm._FilterDatabase" localSheetId="20" hidden="1">'20_リリース・変更・ロールバック'!$A$3:$AI$43</definedName>
    <definedName name="_xlnm._FilterDatabase" localSheetId="21" hidden="1">'21_SLO・運用・インシデント'!$A$3:$J$11</definedName>
    <definedName name="_xlnm._FilterDatabase" localSheetId="22" hidden="1">'22_廃止・移管・削除'!$A$3:$W$43</definedName>
    <definedName name="_xlnm._FilterDatabase" localSheetId="23" hidden="1">'23_外部契約・調達'!$A$3:$N$13</definedName>
    <definedName name="_xlnm._FilterDatabase" localSheetId="24" hidden="1">'24_調査ソース・変更履歴'!$A$3:$J$24</definedName>
    <definedName name="_xlnm._FilterDatabase" localSheetId="25" hidden="1">'25_事業仮説・実験・GTM'!$A$3:$AF$15</definedName>
    <definedName name="_xlnm._FilterDatabase" localSheetId="26" hidden="1">'26_事業KPI・投資収益'!$A$3:$K$19</definedName>
    <definedName name="_xlnm._FilterDatabase" localSheetId="27" hidden="1">'27_v3差分・適用注意'!$A$3:$H$102</definedName>
    <definedName name="_xlnm._FilterDatabase" localSheetId="28" hidden="1">'28_スキル評価・育成'!$A$3:$S$203</definedName>
    <definedName name="_xlnm._FilterDatabase" localSheetId="29" hidden="1">'29_ゲート承認記録'!$A$3:$AG$83</definedName>
    <definedName name="_xlnm._FilterDatabase" localSheetId="30" hidden="1">'30_必須評価セット'!$A$3:$P$153</definedName>
    <definedName name="_xlnm._FilterDatabase" localSheetId="31" hidden="1">'31_条件・有効性'!$A$3:$R$83</definedName>
    <definedName name="_xlnm._FilterDatabase" localSheetId="32" hidden="1">'32_定義マスター'!$A$3:$H$9</definedName>
    <definedName name="_xlnm._FilterDatabase" localSheetId="33" hidden="1">'33_改訂対応・検証'!$A$3:$J$30</definedName>
    <definedName name="_xlnm._FilterDatabase" localSheetId="34" hidden="1">'34_Run・同期管理'!$A$3:$U$63</definedName>
    <definedName name="_xlnm._FilterDatabase" localSheetId="35" hidden="1">'35_実名・能力割当'!$A$3:$R$103</definedName>
    <definedName name="AsOfDate">'00_前提・使い方'!$B$5</definedName>
    <definedName name="EvalIDs">'32_定義マスター'!$A$13:$A$30</definedName>
    <definedName name="EvalPlanKeys">'15_評価計画・品質ゲート'!$V$4:$V$103</definedName>
    <definedName name="_xlnm.Print_Area" localSheetId="0">'00_前提・使い方'!$A$1:$C$75</definedName>
    <definedName name="_xlnm.Print_Area" localSheetId="1">'01_事業ライフサイクル・ゲート'!$A$1:$I$19</definedName>
    <definedName name="_xlnm.Print_Area" localSheetId="2">'02_工程タスク'!$A$1:$U$135</definedName>
    <definedName name="_xlnm.Print_Area" localSheetId="3">'03_AIリスクTier・適用判定'!$A$1:$F$22</definedName>
    <definedName name="_xlnm.Print_Area" localSheetId="4">'04_規模・テーラリング'!$A$1:$H$22</definedName>
    <definedName name="_xlnm.Print_Area" localSheetId="5">'05_意思決定・RACI'!$A$1:$H$14</definedName>
    <definedName name="_xlnm.Print_Area" localSheetId="6">'06_ロール・要員計画'!$A$1:$O$30</definedName>
    <definedName name="_xlnm.Print_Area" localSheetId="7">'07_スキル辞書'!$A$1:$M$109</definedName>
    <definedName name="_xlnm.Print_Area" localSheetId="8">'08_タスク×ロール×スキル'!$A$1:$I$430</definedName>
    <definedName name="_xlnm.Print_Area" localSheetId="9">'09_成果物・正本マップ'!$A$1:$K$135</definedName>
    <definedName name="_xlnm.Print_Area" localSheetId="10">'10_データ台帳'!$A$1:$X$52</definedName>
    <definedName name="_xlnm.Print_Area" localSheetId="11">'11_モデル・外部AI・ベンダー台帳'!$A$1:$Z$51</definedName>
    <definedName name="_xlnm.Print_Area" localSheetId="12">'12_プライバシー・法令判定'!$A$1:$N$17</definedName>
    <definedName name="_xlnm.Print_Area" localSheetId="13">'13_アーキテクチャ・ADR台帳'!$A$1:$O$15</definedName>
    <definedName name="_xlnm.Print_Area" localSheetId="14">'14_AI駆動開発・ハーネス標準'!$A$1:$I$44</definedName>
    <definedName name="_xlnm.Print_Area" localSheetId="15">'15_評価計画・品質ゲート'!$A$1:$Q$21</definedName>
    <definedName name="_xlnm.Print_Area" localSheetId="16">'16_評価実績インデックス'!$A$1:$S$63</definedName>
    <definedName name="_xlnm.Print_Area" localSheetId="17">'17_ロードマップ・案件実行管理'!$A$1:$AS$135</definedName>
    <definedName name="_xlnm.Print_Area" localSheetId="18">'18_見積・AI効果測定'!$A$1:$AG$54</definedName>
    <definedName name="_xlnm.Print_Area" localSheetId="19">'19_リスク・セキュリティ・例外'!$A$1:$R$52</definedName>
    <definedName name="_xlnm.Print_Area" localSheetId="20">'20_リリース・変更・ロールバック'!$A$1:$U$51</definedName>
    <definedName name="_xlnm.Print_Area" localSheetId="21">'21_SLO・運用・インシデント'!$A$1:$Q$46</definedName>
    <definedName name="_xlnm.Print_Area" localSheetId="22">'22_廃止・移管・削除'!$A$1:$O$43</definedName>
    <definedName name="_xlnm.Print_Area" localSheetId="23">'23_外部契約・調達'!$A$1:$N$13</definedName>
    <definedName name="_xlnm.Print_Area" localSheetId="24">'24_調査ソース・変更履歴'!$A$1:$J$31</definedName>
    <definedName name="_xlnm.Print_Area" localSheetId="25">'25_事業仮説・実験・GTM'!$A$1:$Q$26</definedName>
    <definedName name="_xlnm.Print_Area" localSheetId="26">'26_事業KPI・投資収益'!$A$1:$W$43</definedName>
    <definedName name="_xlnm.Print_Area" localSheetId="27">'27_v3差分・適用注意'!$A$1:$H$137</definedName>
    <definedName name="_xlnm.Print_Area" localSheetId="28">'28_スキル評価・育成'!$A$1:$P$109</definedName>
    <definedName name="_xlnm.Print_Area" localSheetId="29">'29_ゲート承認記録'!$A$1:$S$33</definedName>
    <definedName name="_xlnm.Print_Titles" localSheetId="0">'00_前提・使い方'!$1:$3</definedName>
    <definedName name="_xlnm.Print_Titles" localSheetId="1">'01_事業ライフサイクル・ゲート'!$1:$3</definedName>
    <definedName name="_xlnm.Print_Titles" localSheetId="2">'02_工程タスク'!$1:$3</definedName>
    <definedName name="_xlnm.Print_Titles" localSheetId="3">'03_AIリスクTier・適用判定'!$1:$3</definedName>
    <definedName name="_xlnm.Print_Titles" localSheetId="4">'04_規模・テーラリング'!$1:$3</definedName>
    <definedName name="_xlnm.Print_Titles" localSheetId="5">'05_意思決定・RACI'!$1:$3</definedName>
    <definedName name="_xlnm.Print_Titles" localSheetId="6">'06_ロール・要員計画'!$1:$3</definedName>
    <definedName name="_xlnm.Print_Titles" localSheetId="7">'07_スキル辞書'!$1:$3</definedName>
    <definedName name="_xlnm.Print_Titles" localSheetId="8">'08_タスク×ロール×スキル'!$1:$3</definedName>
    <definedName name="_xlnm.Print_Titles" localSheetId="9">'09_成果物・正本マップ'!$1:$3</definedName>
    <definedName name="_xlnm.Print_Titles" localSheetId="10">'10_データ台帳'!$1:$3</definedName>
    <definedName name="_xlnm.Print_Titles" localSheetId="11">'11_モデル・外部AI・ベンダー台帳'!$1:$3</definedName>
    <definedName name="_xlnm.Print_Titles" localSheetId="12">'12_プライバシー・法令判定'!$1:$3</definedName>
    <definedName name="_xlnm.Print_Titles" localSheetId="13">'13_アーキテクチャ・ADR台帳'!$1:$3</definedName>
    <definedName name="_xlnm.Print_Titles" localSheetId="14">'14_AI駆動開発・ハーネス標準'!$1:$3</definedName>
    <definedName name="_xlnm.Print_Titles" localSheetId="15">'15_評価計画・品質ゲート'!$1:$3</definedName>
    <definedName name="_xlnm.Print_Titles" localSheetId="16">'16_評価実績インデックス'!$1:$3</definedName>
    <definedName name="_xlnm.Print_Titles" localSheetId="17">'17_ロードマップ・案件実行管理'!$1:$3</definedName>
    <definedName name="_xlnm.Print_Titles" localSheetId="18">'18_見積・AI効果測定'!$1:$3</definedName>
    <definedName name="_xlnm.Print_Titles" localSheetId="19">'19_リスク・セキュリティ・例外'!$1:$3</definedName>
    <definedName name="_xlnm.Print_Titles" localSheetId="20">'20_リリース・変更・ロールバック'!$1:$3</definedName>
    <definedName name="_xlnm.Print_Titles" localSheetId="21">'21_SLO・運用・インシデント'!$1:$3</definedName>
    <definedName name="_xlnm.Print_Titles" localSheetId="22">'22_廃止・移管・削除'!$1:$3</definedName>
    <definedName name="_xlnm.Print_Titles" localSheetId="23">'23_外部契約・調達'!$1:$3</definedName>
    <definedName name="_xlnm.Print_Titles" localSheetId="24">'24_調査ソース・変更履歴'!$1:$3</definedName>
    <definedName name="_xlnm.Print_Titles" localSheetId="25">'25_事業仮説・実験・GTM'!$1:$3</definedName>
    <definedName name="_xlnm.Print_Titles" localSheetId="26">'26_事業KPI・投資収益'!$1:$3</definedName>
    <definedName name="_xlnm.Print_Titles" localSheetId="27">'27_v3差分・適用注意'!$1:$3</definedName>
    <definedName name="_xlnm.Print_Titles" localSheetId="28">'28_スキル評価・育成'!$1:$3</definedName>
    <definedName name="_xlnm.Print_Titles" localSheetId="29">'29_ゲート承認記録'!$1:$3</definedName>
    <definedName name="_xlnm.Print_Titles" localSheetId="30">'30_必須評価セット'!$1:$3</definedName>
    <definedName name="_xlnm.Print_Titles" localSheetId="31">'31_条件・有効性'!$1:$3</definedName>
    <definedName name="_xlnm.Print_Titles" localSheetId="32">'32_定義マスター'!$1:$3</definedName>
    <definedName name="_xlnm.Print_Titles" localSheetId="33">'33_改訂対応・検証'!$1:$3</definedName>
    <definedName name="_xlnm.Print_Titles" localSheetId="34">'34_Run・同期管理'!$1:$3</definedName>
    <definedName name="_xlnm.Print_Titles" localSheetId="35">'35_実名・能力割当'!$1:$3</definedName>
    <definedName name="RoleIDs">'06_ロール・要員計画'!$A$4:$A$23</definedName>
    <definedName name="SkillIDs">'07_スキル辞書'!$A$4:$A$109</definedName>
    <definedName name="TaskIDs">'02_工程タスク'!$A$4:$A$135</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3" i="36" l="1"/>
  <c r="N103" i="36"/>
  <c r="O103" i="36" s="1"/>
  <c r="M103" i="36"/>
  <c r="L103" i="36"/>
  <c r="R102" i="36"/>
  <c r="N102" i="36"/>
  <c r="O102" i="36" s="1"/>
  <c r="M102" i="36"/>
  <c r="L102" i="36"/>
  <c r="R101" i="36"/>
  <c r="N101" i="36"/>
  <c r="O101" i="36" s="1"/>
  <c r="M101" i="36"/>
  <c r="L101" i="36"/>
  <c r="R100" i="36"/>
  <c r="N100" i="36"/>
  <c r="O100" i="36" s="1"/>
  <c r="M100" i="36"/>
  <c r="L100" i="36"/>
  <c r="R99" i="36"/>
  <c r="N99" i="36"/>
  <c r="O99" i="36" s="1"/>
  <c r="M99" i="36"/>
  <c r="L99" i="36"/>
  <c r="R98" i="36"/>
  <c r="N98" i="36"/>
  <c r="O98" i="36" s="1"/>
  <c r="M98" i="36"/>
  <c r="L98" i="36"/>
  <c r="R97" i="36"/>
  <c r="N97" i="36"/>
  <c r="O97" i="36" s="1"/>
  <c r="M97" i="36"/>
  <c r="L97" i="36"/>
  <c r="R96" i="36"/>
  <c r="N96" i="36"/>
  <c r="O96" i="36" s="1"/>
  <c r="M96" i="36"/>
  <c r="L96" i="36"/>
  <c r="R95" i="36"/>
  <c r="N95" i="36"/>
  <c r="O95" i="36" s="1"/>
  <c r="M95" i="36"/>
  <c r="L95" i="36"/>
  <c r="R94" i="36"/>
  <c r="N94" i="36"/>
  <c r="O94" i="36" s="1"/>
  <c r="M94" i="36"/>
  <c r="L94" i="36"/>
  <c r="R93" i="36"/>
  <c r="N93" i="36"/>
  <c r="O93" i="36" s="1"/>
  <c r="M93" i="36"/>
  <c r="L93" i="36"/>
  <c r="R92" i="36"/>
  <c r="N92" i="36"/>
  <c r="O92" i="36" s="1"/>
  <c r="M92" i="36"/>
  <c r="L92" i="36"/>
  <c r="R91" i="36"/>
  <c r="N91" i="36"/>
  <c r="O91" i="36" s="1"/>
  <c r="M91" i="36"/>
  <c r="L91" i="36"/>
  <c r="R90" i="36"/>
  <c r="N90" i="36"/>
  <c r="O90" i="36" s="1"/>
  <c r="M90" i="36"/>
  <c r="L90" i="36"/>
  <c r="R89" i="36"/>
  <c r="N89" i="36"/>
  <c r="O89" i="36" s="1"/>
  <c r="M89" i="36"/>
  <c r="L89" i="36"/>
  <c r="R88" i="36"/>
  <c r="N88" i="36"/>
  <c r="O88" i="36" s="1"/>
  <c r="M88" i="36"/>
  <c r="L88" i="36"/>
  <c r="R87" i="36"/>
  <c r="N87" i="36"/>
  <c r="O87" i="36" s="1"/>
  <c r="M87" i="36"/>
  <c r="L87" i="36"/>
  <c r="R86" i="36"/>
  <c r="N86" i="36"/>
  <c r="O86" i="36" s="1"/>
  <c r="M86" i="36"/>
  <c r="L86" i="36"/>
  <c r="R85" i="36"/>
  <c r="N85" i="36"/>
  <c r="O85" i="36" s="1"/>
  <c r="M85" i="36"/>
  <c r="L85" i="36"/>
  <c r="R84" i="36"/>
  <c r="N84" i="36"/>
  <c r="O84" i="36" s="1"/>
  <c r="M84" i="36"/>
  <c r="L84" i="36"/>
  <c r="R83" i="36"/>
  <c r="N83" i="36"/>
  <c r="O83" i="36" s="1"/>
  <c r="M83" i="36"/>
  <c r="L83" i="36"/>
  <c r="R82" i="36"/>
  <c r="N82" i="36"/>
  <c r="O82" i="36" s="1"/>
  <c r="M82" i="36"/>
  <c r="L82" i="36"/>
  <c r="R81" i="36"/>
  <c r="N81" i="36"/>
  <c r="O81" i="36" s="1"/>
  <c r="M81" i="36"/>
  <c r="L81" i="36"/>
  <c r="R80" i="36"/>
  <c r="N80" i="36"/>
  <c r="O80" i="36" s="1"/>
  <c r="M80" i="36"/>
  <c r="L80" i="36"/>
  <c r="R79" i="36"/>
  <c r="N79" i="36"/>
  <c r="O79" i="36" s="1"/>
  <c r="M79" i="36"/>
  <c r="L79" i="36"/>
  <c r="R78" i="36"/>
  <c r="N78" i="36"/>
  <c r="O78" i="36" s="1"/>
  <c r="M78" i="36"/>
  <c r="L78" i="36"/>
  <c r="R77" i="36"/>
  <c r="N77" i="36"/>
  <c r="O77" i="36" s="1"/>
  <c r="M77" i="36"/>
  <c r="L77" i="36"/>
  <c r="R76" i="36"/>
  <c r="N76" i="36"/>
  <c r="O76" i="36" s="1"/>
  <c r="M76" i="36"/>
  <c r="L76" i="36"/>
  <c r="R75" i="36"/>
  <c r="N75" i="36"/>
  <c r="O75" i="36" s="1"/>
  <c r="M75" i="36"/>
  <c r="L75" i="36"/>
  <c r="R74" i="36"/>
  <c r="N74" i="36"/>
  <c r="O74" i="36" s="1"/>
  <c r="M74" i="36"/>
  <c r="L74" i="36"/>
  <c r="R73" i="36"/>
  <c r="N73" i="36"/>
  <c r="O73" i="36" s="1"/>
  <c r="M73" i="36"/>
  <c r="L73" i="36"/>
  <c r="R72" i="36"/>
  <c r="N72" i="36"/>
  <c r="O72" i="36" s="1"/>
  <c r="M72" i="36"/>
  <c r="L72" i="36"/>
  <c r="R71" i="36"/>
  <c r="N71" i="36"/>
  <c r="O71" i="36" s="1"/>
  <c r="M71" i="36"/>
  <c r="L71" i="36"/>
  <c r="R70" i="36"/>
  <c r="N70" i="36"/>
  <c r="O70" i="36" s="1"/>
  <c r="M70" i="36"/>
  <c r="L70" i="36"/>
  <c r="R69" i="36"/>
  <c r="N69" i="36"/>
  <c r="O69" i="36" s="1"/>
  <c r="M69" i="36"/>
  <c r="L69" i="36"/>
  <c r="R68" i="36"/>
  <c r="N68" i="36"/>
  <c r="O68" i="36" s="1"/>
  <c r="M68" i="36"/>
  <c r="L68" i="36"/>
  <c r="R67" i="36"/>
  <c r="N67" i="36"/>
  <c r="O67" i="36" s="1"/>
  <c r="M67" i="36"/>
  <c r="L67" i="36"/>
  <c r="R66" i="36"/>
  <c r="N66" i="36"/>
  <c r="O66" i="36" s="1"/>
  <c r="M66" i="36"/>
  <c r="L66" i="36"/>
  <c r="R65" i="36"/>
  <c r="N65" i="36"/>
  <c r="O65" i="36" s="1"/>
  <c r="M65" i="36"/>
  <c r="L65" i="36"/>
  <c r="R64" i="36"/>
  <c r="N64" i="36"/>
  <c r="O64" i="36" s="1"/>
  <c r="M64" i="36"/>
  <c r="L64" i="36"/>
  <c r="R63" i="36"/>
  <c r="N63" i="36"/>
  <c r="O63" i="36" s="1"/>
  <c r="M63" i="36"/>
  <c r="L63" i="36"/>
  <c r="R62" i="36"/>
  <c r="N62" i="36"/>
  <c r="O62" i="36" s="1"/>
  <c r="M62" i="36"/>
  <c r="L62" i="36"/>
  <c r="R61" i="36"/>
  <c r="N61" i="36"/>
  <c r="O61" i="36" s="1"/>
  <c r="M61" i="36"/>
  <c r="L61" i="36"/>
  <c r="R60" i="36"/>
  <c r="N60" i="36"/>
  <c r="O60" i="36" s="1"/>
  <c r="M60" i="36"/>
  <c r="L60" i="36"/>
  <c r="R59" i="36"/>
  <c r="N59" i="36"/>
  <c r="O59" i="36" s="1"/>
  <c r="M59" i="36"/>
  <c r="L59" i="36"/>
  <c r="R58" i="36"/>
  <c r="N58" i="36"/>
  <c r="O58" i="36" s="1"/>
  <c r="M58" i="36"/>
  <c r="L58" i="36"/>
  <c r="R57" i="36"/>
  <c r="N57" i="36"/>
  <c r="O57" i="36" s="1"/>
  <c r="M57" i="36"/>
  <c r="L57" i="36"/>
  <c r="R56" i="36"/>
  <c r="N56" i="36"/>
  <c r="O56" i="36" s="1"/>
  <c r="M56" i="36"/>
  <c r="L56" i="36"/>
  <c r="R55" i="36"/>
  <c r="N55" i="36"/>
  <c r="O55" i="36" s="1"/>
  <c r="M55" i="36"/>
  <c r="L55" i="36"/>
  <c r="R54" i="36"/>
  <c r="N54" i="36"/>
  <c r="O54" i="36" s="1"/>
  <c r="M54" i="36"/>
  <c r="L54" i="36"/>
  <c r="R53" i="36"/>
  <c r="N53" i="36"/>
  <c r="O53" i="36" s="1"/>
  <c r="M53" i="36"/>
  <c r="L53" i="36"/>
  <c r="R52" i="36"/>
  <c r="N52" i="36"/>
  <c r="O52" i="36" s="1"/>
  <c r="M52" i="36"/>
  <c r="L52" i="36"/>
  <c r="R51" i="36"/>
  <c r="N51" i="36"/>
  <c r="O51" i="36" s="1"/>
  <c r="M51" i="36"/>
  <c r="L51" i="36"/>
  <c r="R50" i="36"/>
  <c r="N50" i="36"/>
  <c r="O50" i="36" s="1"/>
  <c r="M50" i="36"/>
  <c r="L50" i="36"/>
  <c r="R49" i="36"/>
  <c r="N49" i="36"/>
  <c r="O49" i="36" s="1"/>
  <c r="M49" i="36"/>
  <c r="L49" i="36"/>
  <c r="R48" i="36"/>
  <c r="N48" i="36"/>
  <c r="O48" i="36" s="1"/>
  <c r="M48" i="36"/>
  <c r="L48" i="36"/>
  <c r="R47" i="36"/>
  <c r="N47" i="36"/>
  <c r="O47" i="36" s="1"/>
  <c r="M47" i="36"/>
  <c r="L47" i="36"/>
  <c r="R46" i="36"/>
  <c r="N46" i="36"/>
  <c r="O46" i="36" s="1"/>
  <c r="M46" i="36"/>
  <c r="L46" i="36"/>
  <c r="R45" i="36"/>
  <c r="N45" i="36"/>
  <c r="O45" i="36" s="1"/>
  <c r="M45" i="36"/>
  <c r="L45" i="36"/>
  <c r="R44" i="36"/>
  <c r="N44" i="36"/>
  <c r="O44" i="36" s="1"/>
  <c r="M44" i="36"/>
  <c r="L44" i="36"/>
  <c r="R43" i="36"/>
  <c r="N43" i="36"/>
  <c r="O43" i="36" s="1"/>
  <c r="M43" i="36"/>
  <c r="L43" i="36"/>
  <c r="R42" i="36"/>
  <c r="N42" i="36"/>
  <c r="O42" i="36" s="1"/>
  <c r="M42" i="36"/>
  <c r="L42" i="36"/>
  <c r="R41" i="36"/>
  <c r="N41" i="36"/>
  <c r="O41" i="36" s="1"/>
  <c r="M41" i="36"/>
  <c r="L41" i="36"/>
  <c r="R40" i="36"/>
  <c r="N40" i="36"/>
  <c r="O40" i="36" s="1"/>
  <c r="M40" i="36"/>
  <c r="L40" i="36"/>
  <c r="R39" i="36"/>
  <c r="N39" i="36"/>
  <c r="O39" i="36" s="1"/>
  <c r="M39" i="36"/>
  <c r="L39" i="36"/>
  <c r="R38" i="36"/>
  <c r="N38" i="36"/>
  <c r="O38" i="36" s="1"/>
  <c r="M38" i="36"/>
  <c r="L38" i="36"/>
  <c r="R37" i="36"/>
  <c r="N37" i="36"/>
  <c r="O37" i="36" s="1"/>
  <c r="M37" i="36"/>
  <c r="L37" i="36"/>
  <c r="R36" i="36"/>
  <c r="N36" i="36"/>
  <c r="O36" i="36" s="1"/>
  <c r="M36" i="36"/>
  <c r="L36" i="36"/>
  <c r="R35" i="36"/>
  <c r="N35" i="36"/>
  <c r="O35" i="36" s="1"/>
  <c r="M35" i="36"/>
  <c r="L35" i="36"/>
  <c r="R34" i="36"/>
  <c r="N34" i="36"/>
  <c r="O34" i="36" s="1"/>
  <c r="M34" i="36"/>
  <c r="L34" i="36"/>
  <c r="R33" i="36"/>
  <c r="N33" i="36"/>
  <c r="O33" i="36" s="1"/>
  <c r="M33" i="36"/>
  <c r="L33" i="36"/>
  <c r="R32" i="36"/>
  <c r="N32" i="36"/>
  <c r="O32" i="36" s="1"/>
  <c r="M32" i="36"/>
  <c r="L32" i="36"/>
  <c r="R31" i="36"/>
  <c r="N31" i="36"/>
  <c r="O31" i="36" s="1"/>
  <c r="M31" i="36"/>
  <c r="L31" i="36"/>
  <c r="R30" i="36"/>
  <c r="N30" i="36"/>
  <c r="O30" i="36" s="1"/>
  <c r="M30" i="36"/>
  <c r="L30" i="36"/>
  <c r="R29" i="36"/>
  <c r="N29" i="36"/>
  <c r="O29" i="36" s="1"/>
  <c r="M29" i="36"/>
  <c r="L29" i="36"/>
  <c r="R28" i="36"/>
  <c r="N28" i="36"/>
  <c r="O28" i="36" s="1"/>
  <c r="M28" i="36"/>
  <c r="L28" i="36"/>
  <c r="R27" i="36"/>
  <c r="N27" i="36"/>
  <c r="O27" i="36" s="1"/>
  <c r="M27" i="36"/>
  <c r="L27" i="36"/>
  <c r="R26" i="36"/>
  <c r="N26" i="36"/>
  <c r="O26" i="36" s="1"/>
  <c r="M26" i="36"/>
  <c r="L26" i="36"/>
  <c r="R25" i="36"/>
  <c r="N25" i="36"/>
  <c r="O25" i="36" s="1"/>
  <c r="M25" i="36"/>
  <c r="L25" i="36"/>
  <c r="R24" i="36"/>
  <c r="N24" i="36"/>
  <c r="O24" i="36" s="1"/>
  <c r="M24" i="36"/>
  <c r="L24" i="36"/>
  <c r="R23" i="36"/>
  <c r="N23" i="36"/>
  <c r="O23" i="36" s="1"/>
  <c r="M23" i="36"/>
  <c r="L23" i="36"/>
  <c r="R22" i="36"/>
  <c r="N22" i="36"/>
  <c r="O22" i="36" s="1"/>
  <c r="M22" i="36"/>
  <c r="L22" i="36"/>
  <c r="R21" i="36"/>
  <c r="N21" i="36"/>
  <c r="O21" i="36" s="1"/>
  <c r="M21" i="36"/>
  <c r="L21" i="36"/>
  <c r="R20" i="36"/>
  <c r="N20" i="36"/>
  <c r="O20" i="36" s="1"/>
  <c r="M20" i="36"/>
  <c r="L20" i="36"/>
  <c r="R19" i="36"/>
  <c r="N19" i="36"/>
  <c r="O19" i="36" s="1"/>
  <c r="M19" i="36"/>
  <c r="L19" i="36"/>
  <c r="R18" i="36"/>
  <c r="N18" i="36"/>
  <c r="O18" i="36" s="1"/>
  <c r="M18" i="36"/>
  <c r="L18" i="36"/>
  <c r="R17" i="36"/>
  <c r="N17" i="36"/>
  <c r="O17" i="36" s="1"/>
  <c r="M17" i="36"/>
  <c r="L17" i="36"/>
  <c r="R16" i="36"/>
  <c r="N16" i="36"/>
  <c r="O16" i="36" s="1"/>
  <c r="M16" i="36"/>
  <c r="L16" i="36"/>
  <c r="R15" i="36"/>
  <c r="N15" i="36"/>
  <c r="O15" i="36" s="1"/>
  <c r="M15" i="36"/>
  <c r="L15" i="36"/>
  <c r="R14" i="36"/>
  <c r="N14" i="36"/>
  <c r="O14" i="36" s="1"/>
  <c r="M14" i="36"/>
  <c r="L14" i="36"/>
  <c r="R13" i="36"/>
  <c r="N13" i="36"/>
  <c r="O13" i="36" s="1"/>
  <c r="M13" i="36"/>
  <c r="L13" i="36"/>
  <c r="R12" i="36"/>
  <c r="N12" i="36"/>
  <c r="O12" i="36" s="1"/>
  <c r="M12" i="36"/>
  <c r="L12" i="36"/>
  <c r="R11" i="36"/>
  <c r="N11" i="36"/>
  <c r="O11" i="36" s="1"/>
  <c r="M11" i="36"/>
  <c r="L11" i="36"/>
  <c r="R10" i="36"/>
  <c r="N10" i="36"/>
  <c r="O10" i="36" s="1"/>
  <c r="M10" i="36"/>
  <c r="L10" i="36"/>
  <c r="R9" i="36"/>
  <c r="N9" i="36"/>
  <c r="O9" i="36" s="1"/>
  <c r="M9" i="36"/>
  <c r="L9" i="36"/>
  <c r="R8" i="36"/>
  <c r="N8" i="36"/>
  <c r="O8" i="36" s="1"/>
  <c r="M8" i="36"/>
  <c r="L8" i="36"/>
  <c r="R7" i="36"/>
  <c r="N7" i="36"/>
  <c r="O7" i="36" s="1"/>
  <c r="M7" i="36"/>
  <c r="L7" i="36"/>
  <c r="R6" i="36"/>
  <c r="N6" i="36"/>
  <c r="O6" i="36" s="1"/>
  <c r="M6" i="36"/>
  <c r="L6" i="36"/>
  <c r="R5" i="36"/>
  <c r="N5" i="36"/>
  <c r="O5" i="36" s="1"/>
  <c r="M5" i="36"/>
  <c r="L5" i="36"/>
  <c r="R4" i="36"/>
  <c r="N4" i="36"/>
  <c r="O4" i="36" s="1"/>
  <c r="M4" i="36"/>
  <c r="L4" i="36"/>
  <c r="P63" i="35"/>
  <c r="C63" i="35"/>
  <c r="P62" i="35"/>
  <c r="C62" i="35"/>
  <c r="P61" i="35"/>
  <c r="C61" i="35"/>
  <c r="P60" i="35"/>
  <c r="C60" i="35"/>
  <c r="P59" i="35"/>
  <c r="C59" i="35"/>
  <c r="P58" i="35"/>
  <c r="C58" i="35"/>
  <c r="P57" i="35"/>
  <c r="C57" i="35"/>
  <c r="P56" i="35"/>
  <c r="C56" i="35"/>
  <c r="P55" i="35"/>
  <c r="C55" i="35"/>
  <c r="P54" i="35"/>
  <c r="C54" i="35"/>
  <c r="P53" i="35"/>
  <c r="C53" i="35"/>
  <c r="P52" i="35"/>
  <c r="C52" i="35"/>
  <c r="P51" i="35"/>
  <c r="C51" i="35"/>
  <c r="P50" i="35"/>
  <c r="C50" i="35"/>
  <c r="P49" i="35"/>
  <c r="C49" i="35"/>
  <c r="P48" i="35"/>
  <c r="C48" i="35"/>
  <c r="P47" i="35"/>
  <c r="C47" i="35"/>
  <c r="P46" i="35"/>
  <c r="C46" i="35"/>
  <c r="P45" i="35"/>
  <c r="C45" i="35"/>
  <c r="P44" i="35"/>
  <c r="C44" i="35"/>
  <c r="P43" i="35"/>
  <c r="C43" i="35"/>
  <c r="P42" i="35"/>
  <c r="C42" i="35"/>
  <c r="P41" i="35"/>
  <c r="C41" i="35"/>
  <c r="P40" i="35"/>
  <c r="C40" i="35"/>
  <c r="P39" i="35"/>
  <c r="C39" i="35"/>
  <c r="P38" i="35"/>
  <c r="C38" i="35"/>
  <c r="P37" i="35"/>
  <c r="C37" i="35"/>
  <c r="P36" i="35"/>
  <c r="C36" i="35"/>
  <c r="P35" i="35"/>
  <c r="C35" i="35"/>
  <c r="P34" i="35"/>
  <c r="C34" i="35"/>
  <c r="P33" i="35"/>
  <c r="C33" i="35"/>
  <c r="P32" i="35"/>
  <c r="C32" i="35"/>
  <c r="P31" i="35"/>
  <c r="C31" i="35"/>
  <c r="P30" i="35"/>
  <c r="C30" i="35"/>
  <c r="P29" i="35"/>
  <c r="C29" i="35"/>
  <c r="P28" i="35"/>
  <c r="C28" i="35"/>
  <c r="P27" i="35"/>
  <c r="C27" i="35"/>
  <c r="P26" i="35"/>
  <c r="C26" i="35"/>
  <c r="P25" i="35"/>
  <c r="C25" i="35"/>
  <c r="P24" i="35"/>
  <c r="C24" i="35"/>
  <c r="P23" i="35"/>
  <c r="C23" i="35"/>
  <c r="P22" i="35"/>
  <c r="C22" i="35"/>
  <c r="P21" i="35"/>
  <c r="C21" i="35"/>
  <c r="P20" i="35"/>
  <c r="C20" i="35"/>
  <c r="P19" i="35"/>
  <c r="C19" i="35"/>
  <c r="P18" i="35"/>
  <c r="C18" i="35"/>
  <c r="P17" i="35"/>
  <c r="C17" i="35"/>
  <c r="P16" i="35"/>
  <c r="C16" i="35"/>
  <c r="P15" i="35"/>
  <c r="C15" i="35"/>
  <c r="P14" i="35"/>
  <c r="C14" i="35"/>
  <c r="P13" i="35"/>
  <c r="C13" i="35"/>
  <c r="P12" i="35"/>
  <c r="C12" i="35"/>
  <c r="P11" i="35"/>
  <c r="C11" i="35"/>
  <c r="P10" i="35"/>
  <c r="C10" i="35"/>
  <c r="P9" i="35"/>
  <c r="C9" i="35"/>
  <c r="P8" i="35"/>
  <c r="C8" i="35"/>
  <c r="P7" i="35"/>
  <c r="C7" i="35"/>
  <c r="P6" i="35"/>
  <c r="C6" i="35"/>
  <c r="P5" i="35"/>
  <c r="C5" i="35"/>
  <c r="P4" i="35"/>
  <c r="C4" i="35"/>
  <c r="Q83" i="32"/>
  <c r="Q82" i="32"/>
  <c r="Q81" i="32"/>
  <c r="Q80" i="32"/>
  <c r="Q79" i="32"/>
  <c r="Q78" i="32"/>
  <c r="Q77" i="32"/>
  <c r="Q76" i="32"/>
  <c r="Q75" i="32"/>
  <c r="Q74" i="32"/>
  <c r="Q73" i="32"/>
  <c r="Q72" i="32"/>
  <c r="Q71" i="32"/>
  <c r="Q70" i="32"/>
  <c r="Q69" i="32"/>
  <c r="Q68" i="32"/>
  <c r="Q67" i="32"/>
  <c r="Q66" i="32"/>
  <c r="Q65" i="32"/>
  <c r="Q64" i="32"/>
  <c r="Q63" i="32"/>
  <c r="Q62" i="32"/>
  <c r="Q61" i="32"/>
  <c r="Q60" i="32"/>
  <c r="Q59" i="32"/>
  <c r="Q58" i="32"/>
  <c r="Q57" i="32"/>
  <c r="Q56" i="32"/>
  <c r="Q55" i="32"/>
  <c r="Q54" i="32"/>
  <c r="Q53" i="32"/>
  <c r="Q52" i="32"/>
  <c r="Q51" i="32"/>
  <c r="Q50" i="32"/>
  <c r="Q49" i="32"/>
  <c r="Q48" i="32"/>
  <c r="Q47" i="32"/>
  <c r="Q46" i="32"/>
  <c r="Q45" i="32"/>
  <c r="Q44" i="32"/>
  <c r="Q43" i="32"/>
  <c r="Q42" i="32"/>
  <c r="Q41" i="32"/>
  <c r="Q40" i="32"/>
  <c r="Q39" i="32"/>
  <c r="Q38" i="32"/>
  <c r="Q37" i="32"/>
  <c r="Q36" i="32"/>
  <c r="Q35" i="32"/>
  <c r="Q34" i="32"/>
  <c r="Q33" i="32"/>
  <c r="Q32" i="32"/>
  <c r="Q31" i="32"/>
  <c r="Q30" i="32"/>
  <c r="Q29" i="32"/>
  <c r="Q28" i="32"/>
  <c r="Q27" i="32"/>
  <c r="Q26" i="32"/>
  <c r="Q25" i="32"/>
  <c r="Q24" i="32"/>
  <c r="Q23" i="32"/>
  <c r="Q22" i="32"/>
  <c r="Q21" i="32"/>
  <c r="Q20" i="32"/>
  <c r="Q19" i="32"/>
  <c r="Q18" i="32"/>
  <c r="Q17" i="32"/>
  <c r="Q16" i="32"/>
  <c r="Q15" i="32"/>
  <c r="Q14" i="32"/>
  <c r="Q13" i="32"/>
  <c r="Q12" i="32"/>
  <c r="Q11" i="32"/>
  <c r="Q10" i="32"/>
  <c r="Q9" i="32"/>
  <c r="Q8" i="32"/>
  <c r="Q7" i="32"/>
  <c r="Q6" i="32"/>
  <c r="Q5" i="32"/>
  <c r="Q4" i="32"/>
  <c r="M153" i="31"/>
  <c r="N153" i="31" s="1"/>
  <c r="L153" i="31"/>
  <c r="E153" i="31"/>
  <c r="M152" i="31"/>
  <c r="N152" i="31" s="1"/>
  <c r="L152" i="31"/>
  <c r="E152" i="31"/>
  <c r="M151" i="31"/>
  <c r="N151" i="31" s="1"/>
  <c r="L151" i="31"/>
  <c r="E151" i="31"/>
  <c r="M150" i="31"/>
  <c r="N150" i="31" s="1"/>
  <c r="L150" i="31"/>
  <c r="E150" i="31"/>
  <c r="M149" i="31"/>
  <c r="N149" i="31" s="1"/>
  <c r="L149" i="31"/>
  <c r="E149" i="31"/>
  <c r="M148" i="31"/>
  <c r="N148" i="31" s="1"/>
  <c r="L148" i="31"/>
  <c r="E148" i="31"/>
  <c r="M147" i="31"/>
  <c r="N147" i="31" s="1"/>
  <c r="L147" i="31"/>
  <c r="E147" i="31"/>
  <c r="M146" i="31"/>
  <c r="N146" i="31" s="1"/>
  <c r="L146" i="31"/>
  <c r="E146" i="31"/>
  <c r="M145" i="31"/>
  <c r="N145" i="31" s="1"/>
  <c r="L145" i="31"/>
  <c r="E145" i="31"/>
  <c r="M144" i="31"/>
  <c r="N144" i="31" s="1"/>
  <c r="L144" i="31"/>
  <c r="E144" i="31"/>
  <c r="M143" i="31"/>
  <c r="N143" i="31" s="1"/>
  <c r="L143" i="31"/>
  <c r="E143" i="31"/>
  <c r="M142" i="31"/>
  <c r="N142" i="31" s="1"/>
  <c r="L142" i="31"/>
  <c r="E142" i="31"/>
  <c r="M141" i="31"/>
  <c r="N141" i="31" s="1"/>
  <c r="L141" i="31"/>
  <c r="E141" i="31"/>
  <c r="M140" i="31"/>
  <c r="N140" i="31" s="1"/>
  <c r="L140" i="31"/>
  <c r="E140" i="31"/>
  <c r="M139" i="31"/>
  <c r="N139" i="31" s="1"/>
  <c r="L139" i="31"/>
  <c r="E139" i="31"/>
  <c r="M138" i="31"/>
  <c r="N138" i="31" s="1"/>
  <c r="L138" i="31"/>
  <c r="E138" i="31"/>
  <c r="M137" i="31"/>
  <c r="N137" i="31" s="1"/>
  <c r="L137" i="31"/>
  <c r="E137" i="31"/>
  <c r="M136" i="31"/>
  <c r="N136" i="31" s="1"/>
  <c r="L136" i="31"/>
  <c r="E136" i="31"/>
  <c r="M135" i="31"/>
  <c r="N135" i="31" s="1"/>
  <c r="L135" i="31"/>
  <c r="E135" i="31"/>
  <c r="M134" i="31"/>
  <c r="N134" i="31" s="1"/>
  <c r="L134" i="31"/>
  <c r="E134" i="31"/>
  <c r="M133" i="31"/>
  <c r="N133" i="31" s="1"/>
  <c r="L133" i="31"/>
  <c r="E133" i="31"/>
  <c r="M132" i="31"/>
  <c r="N132" i="31" s="1"/>
  <c r="L132" i="31"/>
  <c r="E132" i="31"/>
  <c r="M131" i="31"/>
  <c r="N131" i="31" s="1"/>
  <c r="L131" i="31"/>
  <c r="E131" i="31"/>
  <c r="M130" i="31"/>
  <c r="N130" i="31" s="1"/>
  <c r="L130" i="31"/>
  <c r="E130" i="31"/>
  <c r="M129" i="31"/>
  <c r="N129" i="31" s="1"/>
  <c r="L129" i="31"/>
  <c r="E129" i="31"/>
  <c r="M128" i="31"/>
  <c r="N128" i="31" s="1"/>
  <c r="L128" i="31"/>
  <c r="E128" i="31"/>
  <c r="M127" i="31"/>
  <c r="N127" i="31" s="1"/>
  <c r="L127" i="31"/>
  <c r="E127" i="31"/>
  <c r="M126" i="31"/>
  <c r="N126" i="31" s="1"/>
  <c r="L126" i="31"/>
  <c r="E126" i="31"/>
  <c r="M125" i="31"/>
  <c r="N125" i="31" s="1"/>
  <c r="L125" i="31"/>
  <c r="E125" i="31"/>
  <c r="M124" i="31"/>
  <c r="N124" i="31" s="1"/>
  <c r="L124" i="31"/>
  <c r="E124" i="31"/>
  <c r="M123" i="31"/>
  <c r="N123" i="31" s="1"/>
  <c r="L123" i="31"/>
  <c r="E123" i="31"/>
  <c r="M122" i="31"/>
  <c r="N122" i="31" s="1"/>
  <c r="L122" i="31"/>
  <c r="E122" i="31"/>
  <c r="M121" i="31"/>
  <c r="N121" i="31" s="1"/>
  <c r="L121" i="31"/>
  <c r="E121" i="31"/>
  <c r="M120" i="31"/>
  <c r="N120" i="31" s="1"/>
  <c r="L120" i="31"/>
  <c r="E120" i="31"/>
  <c r="M119" i="31"/>
  <c r="N119" i="31" s="1"/>
  <c r="L119" i="31"/>
  <c r="E119" i="31"/>
  <c r="M118" i="31"/>
  <c r="N118" i="31" s="1"/>
  <c r="L118" i="31"/>
  <c r="E118" i="31"/>
  <c r="M117" i="31"/>
  <c r="N117" i="31" s="1"/>
  <c r="L117" i="31"/>
  <c r="E117" i="31"/>
  <c r="M116" i="31"/>
  <c r="N116" i="31" s="1"/>
  <c r="L116" i="31"/>
  <c r="E116" i="31"/>
  <c r="M115" i="31"/>
  <c r="N115" i="31" s="1"/>
  <c r="L115" i="31"/>
  <c r="E115" i="31"/>
  <c r="M114" i="31"/>
  <c r="N114" i="31" s="1"/>
  <c r="L114" i="31"/>
  <c r="E114" i="31"/>
  <c r="M113" i="31"/>
  <c r="N113" i="31" s="1"/>
  <c r="L113" i="31"/>
  <c r="E113" i="31"/>
  <c r="M112" i="31"/>
  <c r="N112" i="31" s="1"/>
  <c r="L112" i="31"/>
  <c r="E112" i="31"/>
  <c r="M111" i="31"/>
  <c r="N111" i="31" s="1"/>
  <c r="L111" i="31"/>
  <c r="E111" i="31"/>
  <c r="M110" i="31"/>
  <c r="N110" i="31" s="1"/>
  <c r="L110" i="31"/>
  <c r="E110" i="31"/>
  <c r="M109" i="31"/>
  <c r="N109" i="31" s="1"/>
  <c r="L109" i="31"/>
  <c r="E109" i="31"/>
  <c r="M108" i="31"/>
  <c r="N108" i="31" s="1"/>
  <c r="L108" i="31"/>
  <c r="E108" i="31"/>
  <c r="M107" i="31"/>
  <c r="N107" i="31" s="1"/>
  <c r="L107" i="31"/>
  <c r="E107" i="31"/>
  <c r="M106" i="31"/>
  <c r="N106" i="31" s="1"/>
  <c r="L106" i="31"/>
  <c r="E106" i="31"/>
  <c r="M105" i="31"/>
  <c r="N105" i="31" s="1"/>
  <c r="L105" i="31"/>
  <c r="E105" i="31"/>
  <c r="M104" i="31"/>
  <c r="N104" i="31" s="1"/>
  <c r="L104" i="31"/>
  <c r="E104" i="31"/>
  <c r="M103" i="31"/>
  <c r="N103" i="31" s="1"/>
  <c r="L103" i="31"/>
  <c r="E103" i="31"/>
  <c r="M102" i="31"/>
  <c r="N102" i="31" s="1"/>
  <c r="L102" i="31"/>
  <c r="E102" i="31"/>
  <c r="M101" i="31"/>
  <c r="N101" i="31" s="1"/>
  <c r="L101" i="31"/>
  <c r="E101" i="31"/>
  <c r="M100" i="31"/>
  <c r="N100" i="31" s="1"/>
  <c r="L100" i="31"/>
  <c r="E100" i="31"/>
  <c r="M99" i="31"/>
  <c r="N99" i="31" s="1"/>
  <c r="L99" i="31"/>
  <c r="E99" i="31"/>
  <c r="M98" i="31"/>
  <c r="N98" i="31" s="1"/>
  <c r="L98" i="31"/>
  <c r="E98" i="31"/>
  <c r="M97" i="31"/>
  <c r="N97" i="31" s="1"/>
  <c r="L97" i="31"/>
  <c r="E97" i="31"/>
  <c r="M96" i="31"/>
  <c r="N96" i="31" s="1"/>
  <c r="L96" i="31"/>
  <c r="E96" i="31"/>
  <c r="M95" i="31"/>
  <c r="N95" i="31" s="1"/>
  <c r="L95" i="31"/>
  <c r="E95" i="31"/>
  <c r="M94" i="31"/>
  <c r="N94" i="31" s="1"/>
  <c r="L94" i="31"/>
  <c r="E94" i="31"/>
  <c r="M93" i="31"/>
  <c r="N93" i="31" s="1"/>
  <c r="L93" i="31"/>
  <c r="E93" i="31"/>
  <c r="M92" i="31"/>
  <c r="N92" i="31" s="1"/>
  <c r="L92" i="31"/>
  <c r="E92" i="31"/>
  <c r="M91" i="31"/>
  <c r="N91" i="31" s="1"/>
  <c r="L91" i="31"/>
  <c r="E91" i="31"/>
  <c r="M90" i="31"/>
  <c r="N90" i="31" s="1"/>
  <c r="L90" i="31"/>
  <c r="E90" i="31"/>
  <c r="M89" i="31"/>
  <c r="N89" i="31" s="1"/>
  <c r="L89" i="31"/>
  <c r="E89" i="31"/>
  <c r="M88" i="31"/>
  <c r="N88" i="31" s="1"/>
  <c r="L88" i="31"/>
  <c r="E88" i="31"/>
  <c r="M87" i="31"/>
  <c r="N87" i="31" s="1"/>
  <c r="L87" i="31"/>
  <c r="E87" i="31"/>
  <c r="M86" i="31"/>
  <c r="N86" i="31" s="1"/>
  <c r="L86" i="31"/>
  <c r="E86" i="31"/>
  <c r="M85" i="31"/>
  <c r="N85" i="31" s="1"/>
  <c r="L85" i="31"/>
  <c r="E85" i="31"/>
  <c r="M84" i="31"/>
  <c r="N84" i="31" s="1"/>
  <c r="L84" i="31"/>
  <c r="E84" i="31"/>
  <c r="M83" i="31"/>
  <c r="N83" i="31" s="1"/>
  <c r="L83" i="31"/>
  <c r="E83" i="31"/>
  <c r="M82" i="31"/>
  <c r="N82" i="31" s="1"/>
  <c r="L82" i="31"/>
  <c r="E82" i="31"/>
  <c r="M81" i="31"/>
  <c r="N81" i="31" s="1"/>
  <c r="L81" i="31"/>
  <c r="E81" i="31"/>
  <c r="M80" i="31"/>
  <c r="N80" i="31" s="1"/>
  <c r="L80" i="31"/>
  <c r="E80" i="31"/>
  <c r="M79" i="31"/>
  <c r="N79" i="31" s="1"/>
  <c r="L79" i="31"/>
  <c r="E79" i="31"/>
  <c r="M78" i="31"/>
  <c r="N78" i="31" s="1"/>
  <c r="L78" i="31"/>
  <c r="E78" i="31"/>
  <c r="M77" i="31"/>
  <c r="N77" i="31" s="1"/>
  <c r="L77" i="31"/>
  <c r="E77" i="31"/>
  <c r="M76" i="31"/>
  <c r="N76" i="31" s="1"/>
  <c r="L76" i="31"/>
  <c r="E76" i="31"/>
  <c r="M75" i="31"/>
  <c r="N75" i="31" s="1"/>
  <c r="L75" i="31"/>
  <c r="E75" i="31"/>
  <c r="M74" i="31"/>
  <c r="N74" i="31" s="1"/>
  <c r="L74" i="31"/>
  <c r="E74" i="31"/>
  <c r="M73" i="31"/>
  <c r="N73" i="31" s="1"/>
  <c r="L73" i="31"/>
  <c r="E73" i="31"/>
  <c r="M72" i="31"/>
  <c r="N72" i="31" s="1"/>
  <c r="L72" i="31"/>
  <c r="E72" i="31"/>
  <c r="M71" i="31"/>
  <c r="N71" i="31" s="1"/>
  <c r="L71" i="31"/>
  <c r="E71" i="31"/>
  <c r="M70" i="31"/>
  <c r="N70" i="31" s="1"/>
  <c r="L70" i="31"/>
  <c r="E70" i="31"/>
  <c r="M69" i="31"/>
  <c r="N69" i="31" s="1"/>
  <c r="L69" i="31"/>
  <c r="E69" i="31"/>
  <c r="M68" i="31"/>
  <c r="N68" i="31" s="1"/>
  <c r="L68" i="31"/>
  <c r="E68" i="31"/>
  <c r="M67" i="31"/>
  <c r="N67" i="31" s="1"/>
  <c r="L67" i="31"/>
  <c r="E67" i="31"/>
  <c r="M66" i="31"/>
  <c r="N66" i="31" s="1"/>
  <c r="L66" i="31"/>
  <c r="E66" i="31"/>
  <c r="M65" i="31"/>
  <c r="N65" i="31" s="1"/>
  <c r="L65" i="31"/>
  <c r="E65" i="31"/>
  <c r="M64" i="31"/>
  <c r="N64" i="31" s="1"/>
  <c r="L64" i="31"/>
  <c r="E64" i="31"/>
  <c r="M63" i="31"/>
  <c r="N63" i="31" s="1"/>
  <c r="L63" i="31"/>
  <c r="E63" i="31"/>
  <c r="M62" i="31"/>
  <c r="N62" i="31" s="1"/>
  <c r="L62" i="31"/>
  <c r="E62" i="31"/>
  <c r="M61" i="31"/>
  <c r="N61" i="31" s="1"/>
  <c r="L61" i="31"/>
  <c r="E61" i="31"/>
  <c r="M60" i="31"/>
  <c r="N60" i="31" s="1"/>
  <c r="L60" i="31"/>
  <c r="E60" i="31"/>
  <c r="M59" i="31"/>
  <c r="N59" i="31" s="1"/>
  <c r="L59" i="31"/>
  <c r="E59" i="31"/>
  <c r="M58" i="31"/>
  <c r="N58" i="31" s="1"/>
  <c r="L58" i="31"/>
  <c r="E58" i="31"/>
  <c r="M57" i="31"/>
  <c r="N57" i="31" s="1"/>
  <c r="L57" i="31"/>
  <c r="E57" i="31"/>
  <c r="M56" i="31"/>
  <c r="N56" i="31" s="1"/>
  <c r="L56" i="31"/>
  <c r="E56" i="31"/>
  <c r="M55" i="31"/>
  <c r="N55" i="31" s="1"/>
  <c r="L55" i="31"/>
  <c r="E55" i="31"/>
  <c r="M54" i="31"/>
  <c r="N54" i="31" s="1"/>
  <c r="L54" i="31"/>
  <c r="E54" i="31"/>
  <c r="M53" i="31"/>
  <c r="N53" i="31" s="1"/>
  <c r="L53" i="31"/>
  <c r="E53" i="31"/>
  <c r="M52" i="31"/>
  <c r="N52" i="31" s="1"/>
  <c r="L52" i="31"/>
  <c r="E52" i="31"/>
  <c r="M51" i="31"/>
  <c r="N51" i="31" s="1"/>
  <c r="L51" i="31"/>
  <c r="E51" i="31"/>
  <c r="M50" i="31"/>
  <c r="N50" i="31" s="1"/>
  <c r="L50" i="31"/>
  <c r="E50" i="31"/>
  <c r="M49" i="31"/>
  <c r="N49" i="31" s="1"/>
  <c r="L49" i="31"/>
  <c r="E49" i="31"/>
  <c r="M48" i="31"/>
  <c r="N48" i="31" s="1"/>
  <c r="L48" i="31"/>
  <c r="E48" i="31"/>
  <c r="M47" i="31"/>
  <c r="N47" i="31" s="1"/>
  <c r="L47" i="31"/>
  <c r="E47" i="31"/>
  <c r="M46" i="31"/>
  <c r="N46" i="31" s="1"/>
  <c r="L46" i="31"/>
  <c r="E46" i="31"/>
  <c r="M45" i="31"/>
  <c r="N45" i="31" s="1"/>
  <c r="L45" i="31"/>
  <c r="E45" i="31"/>
  <c r="M44" i="31"/>
  <c r="N44" i="31" s="1"/>
  <c r="L44" i="31"/>
  <c r="E44" i="31"/>
  <c r="M43" i="31"/>
  <c r="N43" i="31" s="1"/>
  <c r="L43" i="31"/>
  <c r="E43" i="31"/>
  <c r="M42" i="31"/>
  <c r="N42" i="31" s="1"/>
  <c r="L42" i="31"/>
  <c r="E42" i="31"/>
  <c r="M41" i="31"/>
  <c r="N41" i="31" s="1"/>
  <c r="L41" i="31"/>
  <c r="E41" i="31"/>
  <c r="M40" i="31"/>
  <c r="N40" i="31" s="1"/>
  <c r="L40" i="31"/>
  <c r="E40" i="31"/>
  <c r="M39" i="31"/>
  <c r="N39" i="31" s="1"/>
  <c r="L39" i="31"/>
  <c r="E39" i="31"/>
  <c r="M38" i="31"/>
  <c r="N38" i="31" s="1"/>
  <c r="L38" i="31"/>
  <c r="E38" i="31"/>
  <c r="M37" i="31"/>
  <c r="N37" i="31" s="1"/>
  <c r="L37" i="31"/>
  <c r="E37" i="31"/>
  <c r="M36" i="31"/>
  <c r="N36" i="31" s="1"/>
  <c r="L36" i="31"/>
  <c r="E36" i="31"/>
  <c r="M35" i="31"/>
  <c r="N35" i="31" s="1"/>
  <c r="L35" i="31"/>
  <c r="E35" i="31"/>
  <c r="M34" i="31"/>
  <c r="N34" i="31" s="1"/>
  <c r="L34" i="31"/>
  <c r="E34" i="31"/>
  <c r="M33" i="31"/>
  <c r="N33" i="31" s="1"/>
  <c r="L33" i="31"/>
  <c r="E33" i="31"/>
  <c r="M32" i="31"/>
  <c r="N32" i="31" s="1"/>
  <c r="L32" i="31"/>
  <c r="E32" i="31"/>
  <c r="M31" i="31"/>
  <c r="N31" i="31" s="1"/>
  <c r="L31" i="31"/>
  <c r="E31" i="31"/>
  <c r="M30" i="31"/>
  <c r="N30" i="31" s="1"/>
  <c r="L30" i="31"/>
  <c r="E30" i="31"/>
  <c r="M29" i="31"/>
  <c r="N29" i="31" s="1"/>
  <c r="L29" i="31"/>
  <c r="E29" i="31"/>
  <c r="M28" i="31"/>
  <c r="N28" i="31" s="1"/>
  <c r="L28" i="31"/>
  <c r="E28" i="31"/>
  <c r="M27" i="31"/>
  <c r="N27" i="31" s="1"/>
  <c r="L27" i="31"/>
  <c r="E27" i="31"/>
  <c r="M26" i="31"/>
  <c r="N26" i="31" s="1"/>
  <c r="L26" i="31"/>
  <c r="E26" i="31"/>
  <c r="M25" i="31"/>
  <c r="N25" i="31" s="1"/>
  <c r="L25" i="31"/>
  <c r="E25" i="31"/>
  <c r="M24" i="31"/>
  <c r="N24" i="31" s="1"/>
  <c r="L24" i="31"/>
  <c r="E24" i="31"/>
  <c r="M23" i="31"/>
  <c r="N23" i="31" s="1"/>
  <c r="L23" i="31"/>
  <c r="E23" i="31"/>
  <c r="M22" i="31"/>
  <c r="N22" i="31" s="1"/>
  <c r="L22" i="31"/>
  <c r="E22" i="31"/>
  <c r="M21" i="31"/>
  <c r="N21" i="31" s="1"/>
  <c r="L21" i="31"/>
  <c r="E21" i="31"/>
  <c r="M20" i="31"/>
  <c r="N20" i="31" s="1"/>
  <c r="L20" i="31"/>
  <c r="E20" i="31"/>
  <c r="M19" i="31"/>
  <c r="N19" i="31" s="1"/>
  <c r="L19" i="31"/>
  <c r="E19" i="31"/>
  <c r="M18" i="31"/>
  <c r="N18" i="31" s="1"/>
  <c r="L18" i="31"/>
  <c r="E18" i="31"/>
  <c r="M17" i="31"/>
  <c r="N17" i="31" s="1"/>
  <c r="L17" i="31"/>
  <c r="E17" i="31"/>
  <c r="M16" i="31"/>
  <c r="N16" i="31" s="1"/>
  <c r="L16" i="31"/>
  <c r="E16" i="31"/>
  <c r="M15" i="31"/>
  <c r="N15" i="31" s="1"/>
  <c r="L15" i="31"/>
  <c r="E15" i="31"/>
  <c r="M14" i="31"/>
  <c r="N14" i="31" s="1"/>
  <c r="L14" i="31"/>
  <c r="E14" i="31"/>
  <c r="M13" i="31"/>
  <c r="N13" i="31" s="1"/>
  <c r="L13" i="31"/>
  <c r="E13" i="31"/>
  <c r="M12" i="31"/>
  <c r="N12" i="31" s="1"/>
  <c r="L12" i="31"/>
  <c r="E12" i="31"/>
  <c r="M11" i="31"/>
  <c r="N11" i="31" s="1"/>
  <c r="L11" i="31"/>
  <c r="E11" i="31"/>
  <c r="M10" i="31"/>
  <c r="N10" i="31" s="1"/>
  <c r="L10" i="31"/>
  <c r="E10" i="31"/>
  <c r="M9" i="31"/>
  <c r="N9" i="31" s="1"/>
  <c r="L9" i="31"/>
  <c r="E9" i="31"/>
  <c r="M8" i="31"/>
  <c r="N8" i="31" s="1"/>
  <c r="L8" i="31"/>
  <c r="E8" i="31"/>
  <c r="M7" i="31"/>
  <c r="N7" i="31" s="1"/>
  <c r="L7" i="31"/>
  <c r="E7" i="31"/>
  <c r="M6" i="31"/>
  <c r="N6" i="31" s="1"/>
  <c r="L6" i="31"/>
  <c r="E6" i="31"/>
  <c r="M5" i="31"/>
  <c r="N5" i="31" s="1"/>
  <c r="L5" i="31"/>
  <c r="E5" i="31"/>
  <c r="M4" i="31"/>
  <c r="N4" i="31" s="1"/>
  <c r="L4" i="31"/>
  <c r="E4" i="31"/>
  <c r="AD83" i="30"/>
  <c r="AC83" i="30"/>
  <c r="AB83" i="30"/>
  <c r="AA83" i="30"/>
  <c r="S83" i="30"/>
  <c r="E83" i="30"/>
  <c r="D83" i="30"/>
  <c r="C83" i="30"/>
  <c r="B83" i="30"/>
  <c r="AD82" i="30"/>
  <c r="AC82" i="30"/>
  <c r="AB82" i="30"/>
  <c r="AA82" i="30"/>
  <c r="S82" i="30"/>
  <c r="E82" i="30"/>
  <c r="D82" i="30"/>
  <c r="C82" i="30"/>
  <c r="B82" i="30"/>
  <c r="AD81" i="30"/>
  <c r="AC81" i="30"/>
  <c r="AB81" i="30"/>
  <c r="AA81" i="30"/>
  <c r="S81" i="30"/>
  <c r="E81" i="30"/>
  <c r="D81" i="30"/>
  <c r="C81" i="30"/>
  <c r="B81" i="30"/>
  <c r="AD80" i="30"/>
  <c r="AC80" i="30"/>
  <c r="AB80" i="30"/>
  <c r="AA80" i="30"/>
  <c r="S80" i="30"/>
  <c r="E80" i="30"/>
  <c r="D80" i="30"/>
  <c r="C80" i="30"/>
  <c r="B80" i="30"/>
  <c r="AD79" i="30"/>
  <c r="AC79" i="30"/>
  <c r="AB79" i="30"/>
  <c r="AA79" i="30"/>
  <c r="S79" i="30"/>
  <c r="E79" i="30"/>
  <c r="D79" i="30"/>
  <c r="C79" i="30"/>
  <c r="B79" i="30"/>
  <c r="AD78" i="30"/>
  <c r="AC78" i="30"/>
  <c r="AB78" i="30"/>
  <c r="AA78" i="30"/>
  <c r="S78" i="30"/>
  <c r="E78" i="30"/>
  <c r="D78" i="30"/>
  <c r="C78" i="30"/>
  <c r="B78" i="30"/>
  <c r="AD77" i="30"/>
  <c r="AC77" i="30"/>
  <c r="AB77" i="30"/>
  <c r="AA77" i="30"/>
  <c r="S77" i="30"/>
  <c r="E77" i="30"/>
  <c r="D77" i="30"/>
  <c r="C77" i="30"/>
  <c r="B77" i="30"/>
  <c r="AD76" i="30"/>
  <c r="AC76" i="30"/>
  <c r="AB76" i="30"/>
  <c r="AA76" i="30"/>
  <c r="S76" i="30"/>
  <c r="E76" i="30"/>
  <c r="D76" i="30"/>
  <c r="C76" i="30"/>
  <c r="B76" i="30"/>
  <c r="AD75" i="30"/>
  <c r="AC75" i="30"/>
  <c r="AB75" i="30"/>
  <c r="AA75" i="30"/>
  <c r="S75" i="30"/>
  <c r="E75" i="30"/>
  <c r="D75" i="30"/>
  <c r="C75" i="30"/>
  <c r="B75" i="30"/>
  <c r="AD74" i="30"/>
  <c r="AC74" i="30"/>
  <c r="AB74" i="30"/>
  <c r="AA74" i="30"/>
  <c r="S74" i="30"/>
  <c r="E74" i="30"/>
  <c r="D74" i="30"/>
  <c r="C74" i="30"/>
  <c r="B74" i="30"/>
  <c r="AD73" i="30"/>
  <c r="AC73" i="30"/>
  <c r="AB73" i="30"/>
  <c r="AA73" i="30"/>
  <c r="S73" i="30"/>
  <c r="E73" i="30"/>
  <c r="D73" i="30"/>
  <c r="C73" i="30"/>
  <c r="B73" i="30"/>
  <c r="AD72" i="30"/>
  <c r="AC72" i="30"/>
  <c r="AB72" i="30"/>
  <c r="AA72" i="30"/>
  <c r="S72" i="30"/>
  <c r="E72" i="30"/>
  <c r="D72" i="30"/>
  <c r="C72" i="30"/>
  <c r="B72" i="30"/>
  <c r="AD71" i="30"/>
  <c r="AC71" i="30"/>
  <c r="AB71" i="30"/>
  <c r="AA71" i="30"/>
  <c r="S71" i="30"/>
  <c r="E71" i="30"/>
  <c r="D71" i="30"/>
  <c r="C71" i="30"/>
  <c r="B71" i="30"/>
  <c r="AD70" i="30"/>
  <c r="AC70" i="30"/>
  <c r="AB70" i="30"/>
  <c r="AA70" i="30"/>
  <c r="S70" i="30"/>
  <c r="E70" i="30"/>
  <c r="D70" i="30"/>
  <c r="C70" i="30"/>
  <c r="B70" i="30"/>
  <c r="AD69" i="30"/>
  <c r="AC69" i="30"/>
  <c r="AB69" i="30"/>
  <c r="AA69" i="30"/>
  <c r="S69" i="30"/>
  <c r="E69" i="30"/>
  <c r="D69" i="30"/>
  <c r="C69" i="30"/>
  <c r="B69" i="30"/>
  <c r="AD68" i="30"/>
  <c r="AC68" i="30"/>
  <c r="AB68" i="30"/>
  <c r="AA68" i="30"/>
  <c r="S68" i="30"/>
  <c r="E68" i="30"/>
  <c r="D68" i="30"/>
  <c r="C68" i="30"/>
  <c r="B68" i="30"/>
  <c r="AD67" i="30"/>
  <c r="AC67" i="30"/>
  <c r="AB67" i="30"/>
  <c r="AA67" i="30"/>
  <c r="S67" i="30"/>
  <c r="E67" i="30"/>
  <c r="D67" i="30"/>
  <c r="C67" i="30"/>
  <c r="B67" i="30"/>
  <c r="AD66" i="30"/>
  <c r="AC66" i="30"/>
  <c r="AB66" i="30"/>
  <c r="AA66" i="30"/>
  <c r="S66" i="30"/>
  <c r="E66" i="30"/>
  <c r="D66" i="30"/>
  <c r="C66" i="30"/>
  <c r="B66" i="30"/>
  <c r="AD65" i="30"/>
  <c r="AC65" i="30"/>
  <c r="AB65" i="30"/>
  <c r="AA65" i="30"/>
  <c r="S65" i="30"/>
  <c r="E65" i="30"/>
  <c r="D65" i="30"/>
  <c r="C65" i="30"/>
  <c r="B65" i="30"/>
  <c r="AD64" i="30"/>
  <c r="AC64" i="30"/>
  <c r="AB64" i="30"/>
  <c r="AA64" i="30"/>
  <c r="S64" i="30"/>
  <c r="E64" i="30"/>
  <c r="D64" i="30"/>
  <c r="C64" i="30"/>
  <c r="B64" i="30"/>
  <c r="AD63" i="30"/>
  <c r="AC63" i="30"/>
  <c r="AB63" i="30"/>
  <c r="AA63" i="30"/>
  <c r="S63" i="30"/>
  <c r="E63" i="30"/>
  <c r="D63" i="30"/>
  <c r="C63" i="30"/>
  <c r="B63" i="30"/>
  <c r="AD62" i="30"/>
  <c r="AC62" i="30"/>
  <c r="AB62" i="30"/>
  <c r="AA62" i="30"/>
  <c r="S62" i="30"/>
  <c r="E62" i="30"/>
  <c r="D62" i="30"/>
  <c r="C62" i="30"/>
  <c r="B62" i="30"/>
  <c r="AD61" i="30"/>
  <c r="AC61" i="30"/>
  <c r="AB61" i="30"/>
  <c r="AA61" i="30"/>
  <c r="S61" i="30"/>
  <c r="E61" i="30"/>
  <c r="D61" i="30"/>
  <c r="C61" i="30"/>
  <c r="B61" i="30"/>
  <c r="AD60" i="30"/>
  <c r="AC60" i="30"/>
  <c r="AB60" i="30"/>
  <c r="AA60" i="30"/>
  <c r="S60" i="30"/>
  <c r="E60" i="30"/>
  <c r="D60" i="30"/>
  <c r="C60" i="30"/>
  <c r="B60" i="30"/>
  <c r="AD59" i="30"/>
  <c r="AC59" i="30"/>
  <c r="AB59" i="30"/>
  <c r="AA59" i="30"/>
  <c r="S59" i="30"/>
  <c r="E59" i="30"/>
  <c r="D59" i="30"/>
  <c r="C59" i="30"/>
  <c r="B59" i="30"/>
  <c r="AD58" i="30"/>
  <c r="AC58" i="30"/>
  <c r="AB58" i="30"/>
  <c r="AA58" i="30"/>
  <c r="S58" i="30"/>
  <c r="E58" i="30"/>
  <c r="D58" i="30"/>
  <c r="C58" i="30"/>
  <c r="B58" i="30"/>
  <c r="AD57" i="30"/>
  <c r="AC57" i="30"/>
  <c r="AB57" i="30"/>
  <c r="AA57" i="30"/>
  <c r="S57" i="30"/>
  <c r="E57" i="30"/>
  <c r="D57" i="30"/>
  <c r="C57" i="30"/>
  <c r="B57" i="30"/>
  <c r="AD56" i="30"/>
  <c r="AC56" i="30"/>
  <c r="AB56" i="30"/>
  <c r="AA56" i="30"/>
  <c r="S56" i="30"/>
  <c r="E56" i="30"/>
  <c r="D56" i="30"/>
  <c r="C56" i="30"/>
  <c r="B56" i="30"/>
  <c r="AD55" i="30"/>
  <c r="AC55" i="30"/>
  <c r="AB55" i="30"/>
  <c r="AA55" i="30"/>
  <c r="S55" i="30"/>
  <c r="E55" i="30"/>
  <c r="D55" i="30"/>
  <c r="C55" i="30"/>
  <c r="B55" i="30"/>
  <c r="AD54" i="30"/>
  <c r="AC54" i="30"/>
  <c r="AB54" i="30"/>
  <c r="AA54" i="30"/>
  <c r="S54" i="30"/>
  <c r="E54" i="30"/>
  <c r="D54" i="30"/>
  <c r="C54" i="30"/>
  <c r="B54" i="30"/>
  <c r="AD53" i="30"/>
  <c r="AC53" i="30"/>
  <c r="AB53" i="30"/>
  <c r="AA53" i="30"/>
  <c r="S53" i="30"/>
  <c r="E53" i="30"/>
  <c r="D53" i="30"/>
  <c r="C53" i="30"/>
  <c r="B53" i="30"/>
  <c r="AD52" i="30"/>
  <c r="AC52" i="30"/>
  <c r="AB52" i="30"/>
  <c r="AA52" i="30"/>
  <c r="S52" i="30"/>
  <c r="E52" i="30"/>
  <c r="D52" i="30"/>
  <c r="C52" i="30"/>
  <c r="B52" i="30"/>
  <c r="AD51" i="30"/>
  <c r="AC51" i="30"/>
  <c r="AB51" i="30"/>
  <c r="AA51" i="30"/>
  <c r="S51" i="30"/>
  <c r="E51" i="30"/>
  <c r="D51" i="30"/>
  <c r="C51" i="30"/>
  <c r="B51" i="30"/>
  <c r="AD50" i="30"/>
  <c r="AC50" i="30"/>
  <c r="AB50" i="30"/>
  <c r="AA50" i="30"/>
  <c r="S50" i="30"/>
  <c r="E50" i="30"/>
  <c r="D50" i="30"/>
  <c r="C50" i="30"/>
  <c r="B50" i="30"/>
  <c r="AD49" i="30"/>
  <c r="AC49" i="30"/>
  <c r="AB49" i="30"/>
  <c r="AA49" i="30"/>
  <c r="S49" i="30"/>
  <c r="E49" i="30"/>
  <c r="D49" i="30"/>
  <c r="C49" i="30"/>
  <c r="B49" i="30"/>
  <c r="AD48" i="30"/>
  <c r="AC48" i="30"/>
  <c r="AB48" i="30"/>
  <c r="AA48" i="30"/>
  <c r="S48" i="30"/>
  <c r="E48" i="30"/>
  <c r="D48" i="30"/>
  <c r="C48" i="30"/>
  <c r="B48" i="30"/>
  <c r="AD47" i="30"/>
  <c r="AC47" i="30"/>
  <c r="AB47" i="30"/>
  <c r="AA47" i="30"/>
  <c r="S47" i="30"/>
  <c r="E47" i="30"/>
  <c r="D47" i="30"/>
  <c r="C47" i="30"/>
  <c r="B47" i="30"/>
  <c r="AD46" i="30"/>
  <c r="AC46" i="30"/>
  <c r="AB46" i="30"/>
  <c r="AA46" i="30"/>
  <c r="S46" i="30"/>
  <c r="E46" i="30"/>
  <c r="D46" i="30"/>
  <c r="C46" i="30"/>
  <c r="B46" i="30"/>
  <c r="AD45" i="30"/>
  <c r="AC45" i="30"/>
  <c r="AB45" i="30"/>
  <c r="AA45" i="30"/>
  <c r="S45" i="30"/>
  <c r="E45" i="30"/>
  <c r="D45" i="30"/>
  <c r="C45" i="30"/>
  <c r="B45" i="30"/>
  <c r="AD44" i="30"/>
  <c r="AC44" i="30"/>
  <c r="AB44" i="30"/>
  <c r="AA44" i="30"/>
  <c r="S44" i="30"/>
  <c r="E44" i="30"/>
  <c r="D44" i="30"/>
  <c r="C44" i="30"/>
  <c r="B44" i="30"/>
  <c r="AD43" i="30"/>
  <c r="AC43" i="30"/>
  <c r="AB43" i="30"/>
  <c r="AA43" i="30"/>
  <c r="S43" i="30"/>
  <c r="E43" i="30"/>
  <c r="D43" i="30"/>
  <c r="C43" i="30"/>
  <c r="B43" i="30"/>
  <c r="AD42" i="30"/>
  <c r="AC42" i="30"/>
  <c r="AB42" i="30"/>
  <c r="AA42" i="30"/>
  <c r="S42" i="30"/>
  <c r="E42" i="30"/>
  <c r="D42" i="30"/>
  <c r="C42" i="30"/>
  <c r="B42" i="30"/>
  <c r="AD41" i="30"/>
  <c r="AC41" i="30"/>
  <c r="AB41" i="30"/>
  <c r="AA41" i="30"/>
  <c r="S41" i="30"/>
  <c r="E41" i="30"/>
  <c r="D41" i="30"/>
  <c r="C41" i="30"/>
  <c r="B41" i="30"/>
  <c r="AD40" i="30"/>
  <c r="AC40" i="30"/>
  <c r="AB40" i="30"/>
  <c r="AA40" i="30"/>
  <c r="S40" i="30"/>
  <c r="E40" i="30"/>
  <c r="D40" i="30"/>
  <c r="C40" i="30"/>
  <c r="B40" i="30"/>
  <c r="AD39" i="30"/>
  <c r="AC39" i="30"/>
  <c r="AB39" i="30"/>
  <c r="AA39" i="30"/>
  <c r="S39" i="30"/>
  <c r="E39" i="30"/>
  <c r="D39" i="30"/>
  <c r="C39" i="30"/>
  <c r="B39" i="30"/>
  <c r="AD38" i="30"/>
  <c r="AC38" i="30"/>
  <c r="AB38" i="30"/>
  <c r="AA38" i="30"/>
  <c r="S38" i="30"/>
  <c r="E38" i="30"/>
  <c r="D38" i="30"/>
  <c r="C38" i="30"/>
  <c r="B38" i="30"/>
  <c r="AD37" i="30"/>
  <c r="AC37" i="30"/>
  <c r="AB37" i="30"/>
  <c r="AA37" i="30"/>
  <c r="S37" i="30"/>
  <c r="E37" i="30"/>
  <c r="D37" i="30"/>
  <c r="C37" i="30"/>
  <c r="B37" i="30"/>
  <c r="AD36" i="30"/>
  <c r="AC36" i="30"/>
  <c r="AB36" i="30"/>
  <c r="AA36" i="30"/>
  <c r="S36" i="30"/>
  <c r="E36" i="30"/>
  <c r="D36" i="30"/>
  <c r="C36" i="30"/>
  <c r="B36" i="30"/>
  <c r="AD35" i="30"/>
  <c r="AC35" i="30"/>
  <c r="AB35" i="30"/>
  <c r="AA35" i="30"/>
  <c r="S35" i="30"/>
  <c r="E35" i="30"/>
  <c r="D35" i="30"/>
  <c r="C35" i="30"/>
  <c r="B35" i="30"/>
  <c r="AD34" i="30"/>
  <c r="AC34" i="30"/>
  <c r="AB34" i="30"/>
  <c r="AA34" i="30"/>
  <c r="S34" i="30"/>
  <c r="E34" i="30"/>
  <c r="D34" i="30"/>
  <c r="C34" i="30"/>
  <c r="B34" i="30"/>
  <c r="AD33" i="30"/>
  <c r="AC33" i="30"/>
  <c r="AB33" i="30"/>
  <c r="AA33" i="30"/>
  <c r="S33" i="30"/>
  <c r="E33" i="30"/>
  <c r="D33" i="30"/>
  <c r="C33" i="30"/>
  <c r="B33" i="30"/>
  <c r="AD32" i="30"/>
  <c r="AC32" i="30"/>
  <c r="AB32" i="30"/>
  <c r="AA32" i="30"/>
  <c r="S32" i="30"/>
  <c r="E32" i="30"/>
  <c r="D32" i="30"/>
  <c r="C32" i="30"/>
  <c r="B32" i="30"/>
  <c r="AD31" i="30"/>
  <c r="AC31" i="30"/>
  <c r="AB31" i="30"/>
  <c r="AA31" i="30"/>
  <c r="S31" i="30"/>
  <c r="E31" i="30"/>
  <c r="D31" i="30"/>
  <c r="C31" i="30"/>
  <c r="B31" i="30"/>
  <c r="AD30" i="30"/>
  <c r="AC30" i="30"/>
  <c r="AB30" i="30"/>
  <c r="AA30" i="30"/>
  <c r="S30" i="30"/>
  <c r="E30" i="30"/>
  <c r="D30" i="30"/>
  <c r="C30" i="30"/>
  <c r="B30" i="30"/>
  <c r="AD29" i="30"/>
  <c r="AC29" i="30"/>
  <c r="AB29" i="30"/>
  <c r="AA29" i="30"/>
  <c r="S29" i="30"/>
  <c r="E29" i="30"/>
  <c r="D29" i="30"/>
  <c r="C29" i="30"/>
  <c r="B29" i="30"/>
  <c r="AD28" i="30"/>
  <c r="AC28" i="30"/>
  <c r="AB28" i="30"/>
  <c r="AA28" i="30"/>
  <c r="S28" i="30"/>
  <c r="E28" i="30"/>
  <c r="D28" i="30"/>
  <c r="C28" i="30"/>
  <c r="B28" i="30"/>
  <c r="AD27" i="30"/>
  <c r="AC27" i="30"/>
  <c r="AB27" i="30"/>
  <c r="AA27" i="30"/>
  <c r="S27" i="30"/>
  <c r="E27" i="30"/>
  <c r="D27" i="30"/>
  <c r="C27" i="30"/>
  <c r="B27" i="30"/>
  <c r="AD26" i="30"/>
  <c r="AC26" i="30"/>
  <c r="AB26" i="30"/>
  <c r="AA26" i="30"/>
  <c r="S26" i="30"/>
  <c r="E26" i="30"/>
  <c r="D26" i="30"/>
  <c r="C26" i="30"/>
  <c r="B26" i="30"/>
  <c r="AD25" i="30"/>
  <c r="AC25" i="30"/>
  <c r="AB25" i="30"/>
  <c r="AA25" i="30"/>
  <c r="S25" i="30"/>
  <c r="E25" i="30"/>
  <c r="D25" i="30"/>
  <c r="C25" i="30"/>
  <c r="B25" i="30"/>
  <c r="AD24" i="30"/>
  <c r="AC24" i="30"/>
  <c r="AB24" i="30"/>
  <c r="AA24" i="30"/>
  <c r="S24" i="30"/>
  <c r="E24" i="30"/>
  <c r="D24" i="30"/>
  <c r="C24" i="30"/>
  <c r="B24" i="30"/>
  <c r="AD23" i="30"/>
  <c r="AC23" i="30"/>
  <c r="AB23" i="30"/>
  <c r="AA23" i="30"/>
  <c r="S23" i="30"/>
  <c r="E23" i="30"/>
  <c r="D23" i="30"/>
  <c r="C23" i="30"/>
  <c r="B23" i="30"/>
  <c r="AD22" i="30"/>
  <c r="AC22" i="30"/>
  <c r="AB22" i="30"/>
  <c r="AA22" i="30"/>
  <c r="S22" i="30"/>
  <c r="E22" i="30"/>
  <c r="D22" i="30"/>
  <c r="C22" i="30"/>
  <c r="B22" i="30"/>
  <c r="AD21" i="30"/>
  <c r="AC21" i="30"/>
  <c r="AB21" i="30"/>
  <c r="AA21" i="30"/>
  <c r="S21" i="30"/>
  <c r="E21" i="30"/>
  <c r="D21" i="30"/>
  <c r="C21" i="30"/>
  <c r="B21" i="30"/>
  <c r="AD20" i="30"/>
  <c r="AC20" i="30"/>
  <c r="AB20" i="30"/>
  <c r="AA20" i="30"/>
  <c r="S20" i="30"/>
  <c r="E20" i="30"/>
  <c r="D20" i="30"/>
  <c r="C20" i="30"/>
  <c r="B20" i="30"/>
  <c r="AD19" i="30"/>
  <c r="AC19" i="30"/>
  <c r="AB19" i="30"/>
  <c r="AA19" i="30"/>
  <c r="S19" i="30"/>
  <c r="E19" i="30"/>
  <c r="D19" i="30"/>
  <c r="C19" i="30"/>
  <c r="B19" i="30"/>
  <c r="AD18" i="30"/>
  <c r="AC18" i="30"/>
  <c r="AB18" i="30"/>
  <c r="AA18" i="30"/>
  <c r="S18" i="30"/>
  <c r="E18" i="30"/>
  <c r="D18" i="30"/>
  <c r="C18" i="30"/>
  <c r="B18" i="30"/>
  <c r="AD17" i="30"/>
  <c r="AC17" i="30"/>
  <c r="AB17" i="30"/>
  <c r="AA17" i="30"/>
  <c r="S17" i="30"/>
  <c r="E17" i="30"/>
  <c r="D17" i="30"/>
  <c r="C17" i="30"/>
  <c r="B17" i="30"/>
  <c r="AD16" i="30"/>
  <c r="AC16" i="30"/>
  <c r="AB16" i="30"/>
  <c r="AA16" i="30"/>
  <c r="S16" i="30"/>
  <c r="E16" i="30"/>
  <c r="D16" i="30"/>
  <c r="C16" i="30"/>
  <c r="B16" i="30"/>
  <c r="AD15" i="30"/>
  <c r="AC15" i="30"/>
  <c r="AB15" i="30"/>
  <c r="AA15" i="30"/>
  <c r="S15" i="30"/>
  <c r="E15" i="30"/>
  <c r="D15" i="30"/>
  <c r="C15" i="30"/>
  <c r="B15" i="30"/>
  <c r="AD14" i="30"/>
  <c r="AC14" i="30"/>
  <c r="AB14" i="30"/>
  <c r="AA14" i="30"/>
  <c r="S14" i="30"/>
  <c r="E14" i="30"/>
  <c r="D14" i="30"/>
  <c r="C14" i="30"/>
  <c r="B14" i="30"/>
  <c r="AD13" i="30"/>
  <c r="AC13" i="30"/>
  <c r="AB13" i="30"/>
  <c r="AA13" i="30"/>
  <c r="S13" i="30"/>
  <c r="E13" i="30"/>
  <c r="D13" i="30"/>
  <c r="C13" i="30"/>
  <c r="B13" i="30"/>
  <c r="AD12" i="30"/>
  <c r="AC12" i="30"/>
  <c r="AB12" i="30"/>
  <c r="AA12" i="30"/>
  <c r="S12" i="30"/>
  <c r="E12" i="30"/>
  <c r="D12" i="30"/>
  <c r="C12" i="30"/>
  <c r="B12" i="30"/>
  <c r="AD11" i="30"/>
  <c r="AC11" i="30"/>
  <c r="AB11" i="30"/>
  <c r="AA11" i="30"/>
  <c r="S11" i="30"/>
  <c r="E11" i="30"/>
  <c r="D11" i="30"/>
  <c r="C11" i="30"/>
  <c r="B11" i="30"/>
  <c r="AD10" i="30"/>
  <c r="AC10" i="30"/>
  <c r="AB10" i="30"/>
  <c r="AA10" i="30"/>
  <c r="S10" i="30"/>
  <c r="E10" i="30"/>
  <c r="D10" i="30"/>
  <c r="C10" i="30"/>
  <c r="B10" i="30"/>
  <c r="AC9" i="30"/>
  <c r="AA9" i="30"/>
  <c r="S9" i="30"/>
  <c r="AD9" i="30" s="1"/>
  <c r="E9" i="30"/>
  <c r="D9" i="30"/>
  <c r="C9" i="30"/>
  <c r="B9" i="30"/>
  <c r="AC8" i="30"/>
  <c r="AB8" i="30"/>
  <c r="AA8" i="30"/>
  <c r="S8" i="30"/>
  <c r="AD8" i="30" s="1"/>
  <c r="E8" i="30"/>
  <c r="D8" i="30"/>
  <c r="C8" i="30"/>
  <c r="B8" i="30"/>
  <c r="AC7" i="30"/>
  <c r="AB7" i="30"/>
  <c r="AA7" i="30"/>
  <c r="S7" i="30"/>
  <c r="AD7" i="30" s="1"/>
  <c r="E7" i="30"/>
  <c r="D7" i="30"/>
  <c r="C7" i="30"/>
  <c r="B7" i="30"/>
  <c r="AC6" i="30"/>
  <c r="AB6" i="30"/>
  <c r="AA6" i="30"/>
  <c r="S6" i="30"/>
  <c r="AD6" i="30" s="1"/>
  <c r="E6" i="30"/>
  <c r="D6" i="30"/>
  <c r="C6" i="30"/>
  <c r="B6" i="30"/>
  <c r="AC5" i="30"/>
  <c r="AB5" i="30"/>
  <c r="AA5" i="30"/>
  <c r="S5" i="30"/>
  <c r="AD5" i="30" s="1"/>
  <c r="E5" i="30"/>
  <c r="D5" i="30"/>
  <c r="C5" i="30"/>
  <c r="B5" i="30"/>
  <c r="AC4" i="30"/>
  <c r="AB4" i="30"/>
  <c r="AA4" i="30"/>
  <c r="S4" i="30"/>
  <c r="AD4" i="30" s="1"/>
  <c r="E4" i="30"/>
  <c r="D4" i="30"/>
  <c r="C4" i="30"/>
  <c r="B4" i="30"/>
  <c r="S203" i="29"/>
  <c r="P203" i="29"/>
  <c r="I203" i="29"/>
  <c r="C203" i="29"/>
  <c r="S202" i="29"/>
  <c r="P202" i="29"/>
  <c r="I202" i="29"/>
  <c r="C202" i="29"/>
  <c r="S201" i="29"/>
  <c r="P201" i="29"/>
  <c r="I201" i="29"/>
  <c r="C201" i="29"/>
  <c r="S200" i="29"/>
  <c r="P200" i="29"/>
  <c r="I200" i="29"/>
  <c r="C200" i="29"/>
  <c r="S199" i="29"/>
  <c r="P199" i="29"/>
  <c r="I199" i="29"/>
  <c r="C199" i="29"/>
  <c r="S198" i="29"/>
  <c r="P198" i="29"/>
  <c r="I198" i="29"/>
  <c r="C198" i="29"/>
  <c r="S197" i="29"/>
  <c r="P197" i="29"/>
  <c r="I197" i="29"/>
  <c r="C197" i="29"/>
  <c r="S196" i="29"/>
  <c r="P196" i="29"/>
  <c r="I196" i="29"/>
  <c r="C196" i="29"/>
  <c r="S195" i="29"/>
  <c r="P195" i="29"/>
  <c r="I195" i="29"/>
  <c r="C195" i="29"/>
  <c r="S194" i="29"/>
  <c r="P194" i="29"/>
  <c r="I194" i="29"/>
  <c r="C194" i="29"/>
  <c r="S193" i="29"/>
  <c r="P193" i="29"/>
  <c r="I193" i="29"/>
  <c r="C193" i="29"/>
  <c r="S192" i="29"/>
  <c r="P192" i="29"/>
  <c r="I192" i="29"/>
  <c r="C192" i="29"/>
  <c r="S191" i="29"/>
  <c r="P191" i="29"/>
  <c r="I191" i="29"/>
  <c r="C191" i="29"/>
  <c r="S190" i="29"/>
  <c r="P190" i="29"/>
  <c r="I190" i="29"/>
  <c r="C190" i="29"/>
  <c r="S189" i="29"/>
  <c r="P189" i="29"/>
  <c r="I189" i="29"/>
  <c r="C189" i="29"/>
  <c r="S188" i="29"/>
  <c r="P188" i="29"/>
  <c r="I188" i="29"/>
  <c r="C188" i="29"/>
  <c r="S187" i="29"/>
  <c r="P187" i="29"/>
  <c r="I187" i="29"/>
  <c r="C187" i="29"/>
  <c r="S186" i="29"/>
  <c r="P186" i="29"/>
  <c r="I186" i="29"/>
  <c r="C186" i="29"/>
  <c r="S185" i="29"/>
  <c r="P185" i="29"/>
  <c r="I185" i="29"/>
  <c r="C185" i="29"/>
  <c r="S184" i="29"/>
  <c r="P184" i="29"/>
  <c r="I184" i="29"/>
  <c r="C184" i="29"/>
  <c r="S183" i="29"/>
  <c r="P183" i="29"/>
  <c r="I183" i="29"/>
  <c r="C183" i="29"/>
  <c r="S182" i="29"/>
  <c r="P182" i="29"/>
  <c r="I182" i="29"/>
  <c r="C182" i="29"/>
  <c r="S181" i="29"/>
  <c r="P181" i="29"/>
  <c r="I181" i="29"/>
  <c r="C181" i="29"/>
  <c r="S180" i="29"/>
  <c r="P180" i="29"/>
  <c r="I180" i="29"/>
  <c r="C180" i="29"/>
  <c r="S179" i="29"/>
  <c r="P179" i="29"/>
  <c r="I179" i="29"/>
  <c r="C179" i="29"/>
  <c r="S178" i="29"/>
  <c r="P178" i="29"/>
  <c r="I178" i="29"/>
  <c r="C178" i="29"/>
  <c r="S177" i="29"/>
  <c r="P177" i="29"/>
  <c r="I177" i="29"/>
  <c r="C177" i="29"/>
  <c r="S176" i="29"/>
  <c r="P176" i="29"/>
  <c r="I176" i="29"/>
  <c r="C176" i="29"/>
  <c r="S175" i="29"/>
  <c r="P175" i="29"/>
  <c r="I175" i="29"/>
  <c r="C175" i="29"/>
  <c r="S174" i="29"/>
  <c r="P174" i="29"/>
  <c r="I174" i="29"/>
  <c r="C174" i="29"/>
  <c r="S173" i="29"/>
  <c r="P173" i="29"/>
  <c r="I173" i="29"/>
  <c r="C173" i="29"/>
  <c r="S172" i="29"/>
  <c r="P172" i="29"/>
  <c r="I172" i="29"/>
  <c r="C172" i="29"/>
  <c r="S171" i="29"/>
  <c r="P171" i="29"/>
  <c r="I171" i="29"/>
  <c r="C171" i="29"/>
  <c r="S170" i="29"/>
  <c r="P170" i="29"/>
  <c r="I170" i="29"/>
  <c r="C170" i="29"/>
  <c r="S169" i="29"/>
  <c r="P169" i="29"/>
  <c r="I169" i="29"/>
  <c r="C169" i="29"/>
  <c r="S168" i="29"/>
  <c r="P168" i="29"/>
  <c r="I168" i="29"/>
  <c r="C168" i="29"/>
  <c r="S167" i="29"/>
  <c r="P167" i="29"/>
  <c r="I167" i="29"/>
  <c r="C167" i="29"/>
  <c r="S166" i="29"/>
  <c r="P166" i="29"/>
  <c r="I166" i="29"/>
  <c r="C166" i="29"/>
  <c r="S165" i="29"/>
  <c r="P165" i="29"/>
  <c r="I165" i="29"/>
  <c r="C165" i="29"/>
  <c r="S164" i="29"/>
  <c r="P164" i="29"/>
  <c r="I164" i="29"/>
  <c r="C164" i="29"/>
  <c r="S163" i="29"/>
  <c r="P163" i="29"/>
  <c r="I163" i="29"/>
  <c r="C163" i="29"/>
  <c r="S162" i="29"/>
  <c r="P162" i="29"/>
  <c r="I162" i="29"/>
  <c r="C162" i="29"/>
  <c r="S161" i="29"/>
  <c r="P161" i="29"/>
  <c r="I161" i="29"/>
  <c r="C161" i="29"/>
  <c r="S160" i="29"/>
  <c r="P160" i="29"/>
  <c r="I160" i="29"/>
  <c r="C160" i="29"/>
  <c r="S159" i="29"/>
  <c r="P159" i="29"/>
  <c r="I159" i="29"/>
  <c r="C159" i="29"/>
  <c r="S158" i="29"/>
  <c r="P158" i="29"/>
  <c r="I158" i="29"/>
  <c r="C158" i="29"/>
  <c r="S157" i="29"/>
  <c r="P157" i="29"/>
  <c r="I157" i="29"/>
  <c r="C157" i="29"/>
  <c r="S156" i="29"/>
  <c r="P156" i="29"/>
  <c r="I156" i="29"/>
  <c r="C156" i="29"/>
  <c r="S155" i="29"/>
  <c r="P155" i="29"/>
  <c r="I155" i="29"/>
  <c r="C155" i="29"/>
  <c r="S154" i="29"/>
  <c r="P154" i="29"/>
  <c r="I154" i="29"/>
  <c r="C154" i="29"/>
  <c r="S153" i="29"/>
  <c r="P153" i="29"/>
  <c r="I153" i="29"/>
  <c r="C153" i="29"/>
  <c r="S152" i="29"/>
  <c r="P152" i="29"/>
  <c r="I152" i="29"/>
  <c r="C152" i="29"/>
  <c r="S151" i="29"/>
  <c r="P151" i="29"/>
  <c r="I151" i="29"/>
  <c r="C151" i="29"/>
  <c r="S150" i="29"/>
  <c r="P150" i="29"/>
  <c r="I150" i="29"/>
  <c r="C150" i="29"/>
  <c r="S149" i="29"/>
  <c r="P149" i="29"/>
  <c r="I149" i="29"/>
  <c r="C149" i="29"/>
  <c r="S148" i="29"/>
  <c r="P148" i="29"/>
  <c r="I148" i="29"/>
  <c r="C148" i="29"/>
  <c r="S147" i="29"/>
  <c r="P147" i="29"/>
  <c r="I147" i="29"/>
  <c r="C147" i="29"/>
  <c r="S146" i="29"/>
  <c r="P146" i="29"/>
  <c r="I146" i="29"/>
  <c r="C146" i="29"/>
  <c r="S145" i="29"/>
  <c r="P145" i="29"/>
  <c r="I145" i="29"/>
  <c r="C145" i="29"/>
  <c r="S144" i="29"/>
  <c r="P144" i="29"/>
  <c r="I144" i="29"/>
  <c r="C144" i="29"/>
  <c r="S143" i="29"/>
  <c r="P143" i="29"/>
  <c r="I143" i="29"/>
  <c r="C143" i="29"/>
  <c r="S142" i="29"/>
  <c r="P142" i="29"/>
  <c r="I142" i="29"/>
  <c r="C142" i="29"/>
  <c r="S141" i="29"/>
  <c r="P141" i="29"/>
  <c r="I141" i="29"/>
  <c r="C141" i="29"/>
  <c r="S140" i="29"/>
  <c r="P140" i="29"/>
  <c r="I140" i="29"/>
  <c r="C140" i="29"/>
  <c r="S139" i="29"/>
  <c r="P139" i="29"/>
  <c r="I139" i="29"/>
  <c r="C139" i="29"/>
  <c r="S138" i="29"/>
  <c r="P138" i="29"/>
  <c r="I138" i="29"/>
  <c r="C138" i="29"/>
  <c r="S137" i="29"/>
  <c r="P137" i="29"/>
  <c r="I137" i="29"/>
  <c r="C137" i="29"/>
  <c r="S136" i="29"/>
  <c r="P136" i="29"/>
  <c r="I136" i="29"/>
  <c r="C136" i="29"/>
  <c r="S135" i="29"/>
  <c r="P135" i="29"/>
  <c r="I135" i="29"/>
  <c r="C135" i="29"/>
  <c r="S134" i="29"/>
  <c r="P134" i="29"/>
  <c r="I134" i="29"/>
  <c r="C134" i="29"/>
  <c r="S133" i="29"/>
  <c r="P133" i="29"/>
  <c r="I133" i="29"/>
  <c r="C133" i="29"/>
  <c r="S132" i="29"/>
  <c r="P132" i="29"/>
  <c r="I132" i="29"/>
  <c r="C132" i="29"/>
  <c r="S131" i="29"/>
  <c r="P131" i="29"/>
  <c r="I131" i="29"/>
  <c r="C131" i="29"/>
  <c r="S130" i="29"/>
  <c r="P130" i="29"/>
  <c r="I130" i="29"/>
  <c r="C130" i="29"/>
  <c r="S129" i="29"/>
  <c r="P129" i="29"/>
  <c r="I129" i="29"/>
  <c r="C129" i="29"/>
  <c r="S128" i="29"/>
  <c r="P128" i="29"/>
  <c r="I128" i="29"/>
  <c r="C128" i="29"/>
  <c r="S127" i="29"/>
  <c r="P127" i="29"/>
  <c r="I127" i="29"/>
  <c r="C127" i="29"/>
  <c r="S126" i="29"/>
  <c r="P126" i="29"/>
  <c r="I126" i="29"/>
  <c r="C126" i="29"/>
  <c r="S125" i="29"/>
  <c r="P125" i="29"/>
  <c r="I125" i="29"/>
  <c r="C125" i="29"/>
  <c r="S124" i="29"/>
  <c r="P124" i="29"/>
  <c r="I124" i="29"/>
  <c r="C124" i="29"/>
  <c r="S123" i="29"/>
  <c r="P123" i="29"/>
  <c r="I123" i="29"/>
  <c r="C123" i="29"/>
  <c r="S122" i="29"/>
  <c r="P122" i="29"/>
  <c r="I122" i="29"/>
  <c r="C122" i="29"/>
  <c r="S121" i="29"/>
  <c r="P121" i="29"/>
  <c r="I121" i="29"/>
  <c r="C121" i="29"/>
  <c r="S120" i="29"/>
  <c r="P120" i="29"/>
  <c r="I120" i="29"/>
  <c r="C120" i="29"/>
  <c r="S119" i="29"/>
  <c r="P119" i="29"/>
  <c r="I119" i="29"/>
  <c r="C119" i="29"/>
  <c r="S118" i="29"/>
  <c r="P118" i="29"/>
  <c r="I118" i="29"/>
  <c r="C118" i="29"/>
  <c r="S117" i="29"/>
  <c r="P117" i="29"/>
  <c r="I117" i="29"/>
  <c r="C117" i="29"/>
  <c r="S116" i="29"/>
  <c r="P116" i="29"/>
  <c r="I116" i="29"/>
  <c r="C116" i="29"/>
  <c r="S115" i="29"/>
  <c r="P115" i="29"/>
  <c r="I115" i="29"/>
  <c r="C115" i="29"/>
  <c r="S114" i="29"/>
  <c r="P114" i="29"/>
  <c r="I114" i="29"/>
  <c r="C114" i="29"/>
  <c r="S113" i="29"/>
  <c r="P113" i="29"/>
  <c r="I113" i="29"/>
  <c r="C113" i="29"/>
  <c r="S112" i="29"/>
  <c r="P112" i="29"/>
  <c r="I112" i="29"/>
  <c r="C112" i="29"/>
  <c r="S111" i="29"/>
  <c r="P111" i="29"/>
  <c r="I111" i="29"/>
  <c r="C111" i="29"/>
  <c r="S110" i="29"/>
  <c r="P110" i="29"/>
  <c r="I110" i="29"/>
  <c r="C110" i="29"/>
  <c r="S109" i="29"/>
  <c r="P109" i="29"/>
  <c r="I109" i="29"/>
  <c r="C109" i="29"/>
  <c r="S108" i="29"/>
  <c r="P108" i="29"/>
  <c r="I108" i="29"/>
  <c r="C108" i="29"/>
  <c r="S107" i="29"/>
  <c r="P107" i="29"/>
  <c r="I107" i="29"/>
  <c r="C107" i="29"/>
  <c r="S106" i="29"/>
  <c r="P106" i="29"/>
  <c r="I106" i="29"/>
  <c r="C106" i="29"/>
  <c r="S105" i="29"/>
  <c r="P105" i="29"/>
  <c r="I105" i="29"/>
  <c r="C105" i="29"/>
  <c r="S104" i="29"/>
  <c r="P104" i="29"/>
  <c r="I104" i="29"/>
  <c r="C104" i="29"/>
  <c r="S103" i="29"/>
  <c r="P103" i="29"/>
  <c r="I103" i="29"/>
  <c r="C103" i="29"/>
  <c r="S102" i="29"/>
  <c r="P102" i="29"/>
  <c r="I102" i="29"/>
  <c r="C102" i="29"/>
  <c r="S101" i="29"/>
  <c r="P101" i="29"/>
  <c r="I101" i="29"/>
  <c r="C101" i="29"/>
  <c r="S100" i="29"/>
  <c r="P100" i="29"/>
  <c r="I100" i="29"/>
  <c r="C100" i="29"/>
  <c r="S99" i="29"/>
  <c r="P99" i="29"/>
  <c r="I99" i="29"/>
  <c r="C99" i="29"/>
  <c r="S98" i="29"/>
  <c r="P98" i="29"/>
  <c r="I98" i="29"/>
  <c r="C98" i="29"/>
  <c r="S97" i="29"/>
  <c r="P97" i="29"/>
  <c r="I97" i="29"/>
  <c r="C97" i="29"/>
  <c r="S96" i="29"/>
  <c r="P96" i="29"/>
  <c r="I96" i="29"/>
  <c r="C96" i="29"/>
  <c r="S95" i="29"/>
  <c r="P95" i="29"/>
  <c r="I95" i="29"/>
  <c r="C95" i="29"/>
  <c r="S94" i="29"/>
  <c r="P94" i="29"/>
  <c r="I94" i="29"/>
  <c r="C94" i="29"/>
  <c r="S93" i="29"/>
  <c r="P93" i="29"/>
  <c r="I93" i="29"/>
  <c r="C93" i="29"/>
  <c r="S92" i="29"/>
  <c r="P92" i="29"/>
  <c r="I92" i="29"/>
  <c r="C92" i="29"/>
  <c r="S91" i="29"/>
  <c r="P91" i="29"/>
  <c r="I91" i="29"/>
  <c r="C91" i="29"/>
  <c r="S90" i="29"/>
  <c r="P90" i="29"/>
  <c r="I90" i="29"/>
  <c r="C90" i="29"/>
  <c r="S89" i="29"/>
  <c r="P89" i="29"/>
  <c r="I89" i="29"/>
  <c r="C89" i="29"/>
  <c r="S88" i="29"/>
  <c r="P88" i="29"/>
  <c r="I88" i="29"/>
  <c r="C88" i="29"/>
  <c r="S87" i="29"/>
  <c r="P87" i="29"/>
  <c r="I87" i="29"/>
  <c r="C87" i="29"/>
  <c r="S86" i="29"/>
  <c r="P86" i="29"/>
  <c r="I86" i="29"/>
  <c r="C86" i="29"/>
  <c r="S85" i="29"/>
  <c r="P85" i="29"/>
  <c r="I85" i="29"/>
  <c r="C85" i="29"/>
  <c r="S84" i="29"/>
  <c r="P84" i="29"/>
  <c r="I84" i="29"/>
  <c r="C84" i="29"/>
  <c r="S83" i="29"/>
  <c r="P83" i="29"/>
  <c r="I83" i="29"/>
  <c r="C83" i="29"/>
  <c r="S82" i="29"/>
  <c r="P82" i="29"/>
  <c r="I82" i="29"/>
  <c r="C82" i="29"/>
  <c r="S81" i="29"/>
  <c r="P81" i="29"/>
  <c r="I81" i="29"/>
  <c r="C81" i="29"/>
  <c r="S80" i="29"/>
  <c r="P80" i="29"/>
  <c r="I80" i="29"/>
  <c r="C80" i="29"/>
  <c r="S79" i="29"/>
  <c r="P79" i="29"/>
  <c r="I79" i="29"/>
  <c r="C79" i="29"/>
  <c r="S78" i="29"/>
  <c r="P78" i="29"/>
  <c r="I78" i="29"/>
  <c r="C78" i="29"/>
  <c r="S77" i="29"/>
  <c r="P77" i="29"/>
  <c r="I77" i="29"/>
  <c r="C77" i="29"/>
  <c r="S76" i="29"/>
  <c r="P76" i="29"/>
  <c r="I76" i="29"/>
  <c r="C76" i="29"/>
  <c r="S75" i="29"/>
  <c r="P75" i="29"/>
  <c r="I75" i="29"/>
  <c r="C75" i="29"/>
  <c r="S74" i="29"/>
  <c r="P74" i="29"/>
  <c r="I74" i="29"/>
  <c r="C74" i="29"/>
  <c r="S73" i="29"/>
  <c r="P73" i="29"/>
  <c r="I73" i="29"/>
  <c r="C73" i="29"/>
  <c r="S72" i="29"/>
  <c r="P72" i="29"/>
  <c r="I72" i="29"/>
  <c r="C72" i="29"/>
  <c r="S71" i="29"/>
  <c r="P71" i="29"/>
  <c r="I71" i="29"/>
  <c r="C71" i="29"/>
  <c r="S70" i="29"/>
  <c r="P70" i="29"/>
  <c r="I70" i="29"/>
  <c r="C70" i="29"/>
  <c r="S69" i="29"/>
  <c r="P69" i="29"/>
  <c r="I69" i="29"/>
  <c r="C69" i="29"/>
  <c r="S68" i="29"/>
  <c r="P68" i="29"/>
  <c r="I68" i="29"/>
  <c r="C68" i="29"/>
  <c r="S67" i="29"/>
  <c r="P67" i="29"/>
  <c r="I67" i="29"/>
  <c r="C67" i="29"/>
  <c r="S66" i="29"/>
  <c r="P66" i="29"/>
  <c r="I66" i="29"/>
  <c r="C66" i="29"/>
  <c r="S65" i="29"/>
  <c r="P65" i="29"/>
  <c r="I65" i="29"/>
  <c r="C65" i="29"/>
  <c r="S64" i="29"/>
  <c r="P64" i="29"/>
  <c r="I64" i="29"/>
  <c r="C64" i="29"/>
  <c r="S63" i="29"/>
  <c r="P63" i="29"/>
  <c r="I63" i="29"/>
  <c r="C63" i="29"/>
  <c r="S62" i="29"/>
  <c r="P62" i="29"/>
  <c r="I62" i="29"/>
  <c r="C62" i="29"/>
  <c r="S61" i="29"/>
  <c r="P61" i="29"/>
  <c r="I61" i="29"/>
  <c r="C61" i="29"/>
  <c r="S60" i="29"/>
  <c r="P60" i="29"/>
  <c r="I60" i="29"/>
  <c r="C60" i="29"/>
  <c r="S59" i="29"/>
  <c r="P59" i="29"/>
  <c r="I59" i="29"/>
  <c r="C59" i="29"/>
  <c r="S58" i="29"/>
  <c r="P58" i="29"/>
  <c r="I58" i="29"/>
  <c r="C58" i="29"/>
  <c r="S57" i="29"/>
  <c r="P57" i="29"/>
  <c r="I57" i="29"/>
  <c r="C57" i="29"/>
  <c r="S56" i="29"/>
  <c r="P56" i="29"/>
  <c r="I56" i="29"/>
  <c r="C56" i="29"/>
  <c r="S55" i="29"/>
  <c r="P55" i="29"/>
  <c r="I55" i="29"/>
  <c r="C55" i="29"/>
  <c r="S54" i="29"/>
  <c r="P54" i="29"/>
  <c r="I54" i="29"/>
  <c r="C54" i="29"/>
  <c r="S53" i="29"/>
  <c r="P53" i="29"/>
  <c r="I53" i="29"/>
  <c r="C53" i="29"/>
  <c r="S52" i="29"/>
  <c r="P52" i="29"/>
  <c r="I52" i="29"/>
  <c r="C52" i="29"/>
  <c r="S51" i="29"/>
  <c r="P51" i="29"/>
  <c r="I51" i="29"/>
  <c r="C51" i="29"/>
  <c r="S50" i="29"/>
  <c r="P50" i="29"/>
  <c r="I50" i="29"/>
  <c r="C50" i="29"/>
  <c r="S49" i="29"/>
  <c r="P49" i="29"/>
  <c r="I49" i="29"/>
  <c r="C49" i="29"/>
  <c r="S48" i="29"/>
  <c r="P48" i="29"/>
  <c r="I48" i="29"/>
  <c r="C48" i="29"/>
  <c r="S47" i="29"/>
  <c r="P47" i="29"/>
  <c r="I47" i="29"/>
  <c r="C47" i="29"/>
  <c r="S46" i="29"/>
  <c r="P46" i="29"/>
  <c r="I46" i="29"/>
  <c r="C46" i="29"/>
  <c r="S45" i="29"/>
  <c r="P45" i="29"/>
  <c r="I45" i="29"/>
  <c r="C45" i="29"/>
  <c r="S44" i="29"/>
  <c r="P44" i="29"/>
  <c r="I44" i="29"/>
  <c r="C44" i="29"/>
  <c r="S43" i="29"/>
  <c r="P43" i="29"/>
  <c r="I43" i="29"/>
  <c r="C43" i="29"/>
  <c r="S42" i="29"/>
  <c r="P42" i="29"/>
  <c r="I42" i="29"/>
  <c r="C42" i="29"/>
  <c r="S41" i="29"/>
  <c r="P41" i="29"/>
  <c r="I41" i="29"/>
  <c r="C41" i="29"/>
  <c r="S40" i="29"/>
  <c r="P40" i="29"/>
  <c r="I40" i="29"/>
  <c r="C40" i="29"/>
  <c r="S39" i="29"/>
  <c r="P39" i="29"/>
  <c r="I39" i="29"/>
  <c r="C39" i="29"/>
  <c r="S38" i="29"/>
  <c r="P38" i="29"/>
  <c r="I38" i="29"/>
  <c r="C38" i="29"/>
  <c r="S37" i="29"/>
  <c r="P37" i="29"/>
  <c r="I37" i="29"/>
  <c r="C37" i="29"/>
  <c r="S36" i="29"/>
  <c r="P36" i="29"/>
  <c r="I36" i="29"/>
  <c r="C36" i="29"/>
  <c r="S35" i="29"/>
  <c r="P35" i="29"/>
  <c r="I35" i="29"/>
  <c r="C35" i="29"/>
  <c r="S34" i="29"/>
  <c r="P34" i="29"/>
  <c r="I34" i="29"/>
  <c r="C34" i="29"/>
  <c r="S33" i="29"/>
  <c r="P33" i="29"/>
  <c r="I33" i="29"/>
  <c r="C33" i="29"/>
  <c r="S32" i="29"/>
  <c r="P32" i="29"/>
  <c r="I32" i="29"/>
  <c r="C32" i="29"/>
  <c r="S31" i="29"/>
  <c r="P31" i="29"/>
  <c r="I31" i="29"/>
  <c r="C31" i="29"/>
  <c r="S30" i="29"/>
  <c r="P30" i="29"/>
  <c r="I30" i="29"/>
  <c r="C30" i="29"/>
  <c r="S29" i="29"/>
  <c r="P29" i="29"/>
  <c r="I29" i="29"/>
  <c r="C29" i="29"/>
  <c r="S28" i="29"/>
  <c r="P28" i="29"/>
  <c r="I28" i="29"/>
  <c r="C28" i="29"/>
  <c r="S27" i="29"/>
  <c r="P27" i="29"/>
  <c r="I27" i="29"/>
  <c r="C27" i="29"/>
  <c r="S26" i="29"/>
  <c r="P26" i="29"/>
  <c r="I26" i="29"/>
  <c r="C26" i="29"/>
  <c r="S25" i="29"/>
  <c r="P25" i="29"/>
  <c r="I25" i="29"/>
  <c r="C25" i="29"/>
  <c r="S24" i="29"/>
  <c r="P24" i="29"/>
  <c r="I24" i="29"/>
  <c r="C24" i="29"/>
  <c r="S23" i="29"/>
  <c r="P23" i="29"/>
  <c r="I23" i="29"/>
  <c r="C23" i="29"/>
  <c r="S22" i="29"/>
  <c r="P22" i="29"/>
  <c r="I22" i="29"/>
  <c r="C22" i="29"/>
  <c r="S21" i="29"/>
  <c r="P21" i="29"/>
  <c r="I21" i="29"/>
  <c r="C21" i="29"/>
  <c r="S20" i="29"/>
  <c r="P20" i="29"/>
  <c r="I20" i="29"/>
  <c r="C20" i="29"/>
  <c r="S19" i="29"/>
  <c r="P19" i="29"/>
  <c r="I19" i="29"/>
  <c r="C19" i="29"/>
  <c r="S18" i="29"/>
  <c r="P18" i="29"/>
  <c r="I18" i="29"/>
  <c r="C18" i="29"/>
  <c r="S17" i="29"/>
  <c r="P17" i="29"/>
  <c r="I17" i="29"/>
  <c r="C17" i="29"/>
  <c r="S16" i="29"/>
  <c r="P16" i="29"/>
  <c r="I16" i="29"/>
  <c r="C16" i="29"/>
  <c r="S15" i="29"/>
  <c r="P15" i="29"/>
  <c r="I15" i="29"/>
  <c r="C15" i="29"/>
  <c r="S14" i="29"/>
  <c r="P14" i="29"/>
  <c r="I14" i="29"/>
  <c r="C14" i="29"/>
  <c r="S13" i="29"/>
  <c r="P13" i="29"/>
  <c r="I13" i="29"/>
  <c r="C13" i="29"/>
  <c r="S12" i="29"/>
  <c r="P12" i="29"/>
  <c r="I12" i="29"/>
  <c r="C12" i="29"/>
  <c r="S11" i="29"/>
  <c r="P11" i="29"/>
  <c r="I11" i="29"/>
  <c r="C11" i="29"/>
  <c r="S10" i="29"/>
  <c r="P10" i="29"/>
  <c r="I10" i="29"/>
  <c r="C10" i="29"/>
  <c r="S9" i="29"/>
  <c r="P9" i="29"/>
  <c r="I9" i="29"/>
  <c r="C9" i="29"/>
  <c r="S8" i="29"/>
  <c r="P8" i="29"/>
  <c r="I8" i="29"/>
  <c r="C8" i="29"/>
  <c r="S7" i="29"/>
  <c r="P7" i="29"/>
  <c r="I7" i="29"/>
  <c r="C7" i="29"/>
  <c r="S6" i="29"/>
  <c r="P6" i="29"/>
  <c r="I6" i="29"/>
  <c r="C6" i="29"/>
  <c r="S5" i="29"/>
  <c r="P5" i="29"/>
  <c r="I5" i="29"/>
  <c r="C5" i="29"/>
  <c r="S4" i="29"/>
  <c r="P4" i="29"/>
  <c r="I4" i="29"/>
  <c r="C4" i="29"/>
  <c r="F35" i="27"/>
  <c r="H35" i="27" s="1"/>
  <c r="F34" i="27"/>
  <c r="H34" i="27" s="1"/>
  <c r="F33" i="27"/>
  <c r="H33" i="27" s="1"/>
  <c r="W27" i="27"/>
  <c r="P27" i="27"/>
  <c r="H27" i="27"/>
  <c r="Q27" i="27" s="1"/>
  <c r="W26" i="27"/>
  <c r="P26" i="27"/>
  <c r="H26" i="27"/>
  <c r="Q26" i="27" s="1"/>
  <c r="W25" i="27"/>
  <c r="P25" i="27"/>
  <c r="H25" i="27"/>
  <c r="AE15" i="26"/>
  <c r="AE14" i="26"/>
  <c r="AE13" i="26"/>
  <c r="AE12" i="26"/>
  <c r="AE11" i="26"/>
  <c r="AE10" i="26"/>
  <c r="AE9" i="26"/>
  <c r="AE8" i="26"/>
  <c r="AE7" i="26"/>
  <c r="AE6" i="26"/>
  <c r="AE5" i="26"/>
  <c r="AE4" i="26"/>
  <c r="O43" i="23"/>
  <c r="O42" i="23"/>
  <c r="O41" i="23"/>
  <c r="U41" i="23" s="1"/>
  <c r="O40" i="23"/>
  <c r="O39" i="23"/>
  <c r="O38" i="23"/>
  <c r="O37" i="23"/>
  <c r="O36" i="23"/>
  <c r="O35" i="23"/>
  <c r="O34" i="23"/>
  <c r="O33" i="23"/>
  <c r="O32" i="23"/>
  <c r="O31" i="23"/>
  <c r="O30" i="23"/>
  <c r="O29" i="23"/>
  <c r="O28" i="23"/>
  <c r="O27" i="23"/>
  <c r="O26" i="23"/>
  <c r="O25" i="23"/>
  <c r="O24" i="23"/>
  <c r="O23" i="23"/>
  <c r="O22" i="23"/>
  <c r="O21" i="23"/>
  <c r="O20" i="23"/>
  <c r="O19" i="23"/>
  <c r="O18" i="23"/>
  <c r="O17" i="23"/>
  <c r="O16" i="23"/>
  <c r="O15" i="23"/>
  <c r="O14" i="23"/>
  <c r="O13" i="23"/>
  <c r="O12" i="23"/>
  <c r="O11" i="23"/>
  <c r="O10" i="23"/>
  <c r="O9" i="23"/>
  <c r="O8" i="23"/>
  <c r="O7" i="23"/>
  <c r="O6" i="23"/>
  <c r="O5" i="23"/>
  <c r="O4" i="23"/>
  <c r="Q46" i="22"/>
  <c r="H46" i="22"/>
  <c r="G46" i="22"/>
  <c r="Q45" i="22"/>
  <c r="H45" i="22"/>
  <c r="G45" i="22"/>
  <c r="Q44" i="22"/>
  <c r="H44" i="22"/>
  <c r="G44" i="22"/>
  <c r="Q43" i="22"/>
  <c r="H43" i="22"/>
  <c r="G43" i="22"/>
  <c r="Q42" i="22"/>
  <c r="H42" i="22"/>
  <c r="G42" i="22"/>
  <c r="Q41" i="22"/>
  <c r="H41" i="22"/>
  <c r="G41" i="22"/>
  <c r="Q40" i="22"/>
  <c r="H40" i="22"/>
  <c r="G40" i="22"/>
  <c r="Q39" i="22"/>
  <c r="H39" i="22"/>
  <c r="G39" i="22"/>
  <c r="Q38" i="22"/>
  <c r="H38" i="22"/>
  <c r="G38" i="22"/>
  <c r="Q37" i="22"/>
  <c r="H37" i="22"/>
  <c r="G37" i="22"/>
  <c r="Q36" i="22"/>
  <c r="H36" i="22"/>
  <c r="G36" i="22"/>
  <c r="Q35" i="22"/>
  <c r="H35" i="22"/>
  <c r="G35" i="22"/>
  <c r="Q34" i="22"/>
  <c r="H34" i="22"/>
  <c r="G34" i="22"/>
  <c r="Q33" i="22"/>
  <c r="H33" i="22"/>
  <c r="G33" i="22"/>
  <c r="Q32" i="22"/>
  <c r="H32" i="22"/>
  <c r="G32" i="22"/>
  <c r="Q31" i="22"/>
  <c r="H31" i="22"/>
  <c r="G31" i="22"/>
  <c r="Q30" i="22"/>
  <c r="H30" i="22"/>
  <c r="G30" i="22"/>
  <c r="Q29" i="22"/>
  <c r="H29" i="22"/>
  <c r="G29" i="22"/>
  <c r="Q28" i="22"/>
  <c r="H28" i="22"/>
  <c r="G28" i="22"/>
  <c r="Q27" i="22"/>
  <c r="H27" i="22"/>
  <c r="G27" i="22"/>
  <c r="Q26" i="22"/>
  <c r="H26" i="22"/>
  <c r="G26" i="22"/>
  <c r="Q25" i="22"/>
  <c r="H25" i="22"/>
  <c r="G25" i="22"/>
  <c r="Q24" i="22"/>
  <c r="H24" i="22"/>
  <c r="G24" i="22"/>
  <c r="Q23" i="22"/>
  <c r="H23" i="22"/>
  <c r="G23" i="22"/>
  <c r="Q22" i="22"/>
  <c r="H22" i="22"/>
  <c r="G22" i="22"/>
  <c r="Q21" i="22"/>
  <c r="H21" i="22"/>
  <c r="G21" i="22"/>
  <c r="Q20" i="22"/>
  <c r="H20" i="22"/>
  <c r="G20" i="22"/>
  <c r="Q19" i="22"/>
  <c r="H19" i="22"/>
  <c r="G19" i="22"/>
  <c r="Q18" i="22"/>
  <c r="H18" i="22"/>
  <c r="G18" i="22"/>
  <c r="Q17" i="22"/>
  <c r="H17" i="22"/>
  <c r="G17" i="22"/>
  <c r="AH43" i="21"/>
  <c r="AG43" i="21"/>
  <c r="AF43" i="21"/>
  <c r="AE43" i="21"/>
  <c r="U43" i="21"/>
  <c r="AH42" i="21"/>
  <c r="AG42" i="21"/>
  <c r="AF42" i="21"/>
  <c r="AE42" i="21"/>
  <c r="U42" i="21"/>
  <c r="AH41" i="21"/>
  <c r="AG41" i="21"/>
  <c r="AF41" i="21"/>
  <c r="AE41" i="21"/>
  <c r="U41" i="21"/>
  <c r="AH40" i="21"/>
  <c r="AG40" i="21"/>
  <c r="AF40" i="21"/>
  <c r="AE40" i="21"/>
  <c r="U40" i="21"/>
  <c r="AH39" i="21"/>
  <c r="AG39" i="21"/>
  <c r="AF39" i="21"/>
  <c r="AE39" i="21"/>
  <c r="U39" i="21"/>
  <c r="AH38" i="21"/>
  <c r="AG38" i="21"/>
  <c r="AF38" i="21"/>
  <c r="AE38" i="21"/>
  <c r="U38" i="21"/>
  <c r="AH37" i="21"/>
  <c r="AG37" i="21"/>
  <c r="AF37" i="21"/>
  <c r="AE37" i="21"/>
  <c r="U37" i="21"/>
  <c r="AH36" i="21"/>
  <c r="AG36" i="21"/>
  <c r="AF36" i="21"/>
  <c r="AE36" i="21"/>
  <c r="U36" i="21"/>
  <c r="AH35" i="21"/>
  <c r="AG35" i="21"/>
  <c r="AF35" i="21"/>
  <c r="AE35" i="21"/>
  <c r="U35" i="21"/>
  <c r="AH34" i="21"/>
  <c r="AG34" i="21"/>
  <c r="AF34" i="21"/>
  <c r="AE34" i="21"/>
  <c r="U34" i="21"/>
  <c r="AH33" i="21"/>
  <c r="AG33" i="21"/>
  <c r="AF33" i="21"/>
  <c r="AE33" i="21"/>
  <c r="U33" i="21"/>
  <c r="AH32" i="21"/>
  <c r="AG32" i="21"/>
  <c r="AF32" i="21"/>
  <c r="AE32" i="21"/>
  <c r="U32" i="21"/>
  <c r="AH31" i="21"/>
  <c r="AG31" i="21"/>
  <c r="AF31" i="21"/>
  <c r="AE31" i="21"/>
  <c r="U31" i="21"/>
  <c r="AH30" i="21"/>
  <c r="AG30" i="21"/>
  <c r="AF30" i="21"/>
  <c r="AE30" i="21"/>
  <c r="U30" i="21"/>
  <c r="AH29" i="21"/>
  <c r="AG29" i="21"/>
  <c r="AF29" i="21"/>
  <c r="AE29" i="21"/>
  <c r="U29" i="21"/>
  <c r="AH28" i="21"/>
  <c r="AG28" i="21"/>
  <c r="AF28" i="21"/>
  <c r="AE28" i="21"/>
  <c r="U28" i="21"/>
  <c r="AH27" i="21"/>
  <c r="AG27" i="21"/>
  <c r="AF27" i="21"/>
  <c r="AE27" i="21"/>
  <c r="U27" i="21"/>
  <c r="AH26" i="21"/>
  <c r="AG26" i="21"/>
  <c r="AF26" i="21"/>
  <c r="AE26" i="21"/>
  <c r="U26" i="21"/>
  <c r="AH25" i="21"/>
  <c r="AG25" i="21"/>
  <c r="AF25" i="21"/>
  <c r="AE25" i="21"/>
  <c r="U25" i="21"/>
  <c r="AH24" i="21"/>
  <c r="AG24" i="21"/>
  <c r="AF24" i="21"/>
  <c r="AE24" i="21"/>
  <c r="U24" i="21"/>
  <c r="AH23" i="21"/>
  <c r="AG23" i="21"/>
  <c r="AF23" i="21"/>
  <c r="AE23" i="21"/>
  <c r="U23" i="21"/>
  <c r="AH22" i="21"/>
  <c r="AG22" i="21"/>
  <c r="AF22" i="21"/>
  <c r="AE22" i="21"/>
  <c r="U22" i="21"/>
  <c r="AH21" i="21"/>
  <c r="AG21" i="21"/>
  <c r="AF21" i="21"/>
  <c r="AE21" i="21"/>
  <c r="U21" i="21"/>
  <c r="AH20" i="21"/>
  <c r="AG20" i="21"/>
  <c r="AF20" i="21"/>
  <c r="AE20" i="21"/>
  <c r="U20" i="21"/>
  <c r="AH19" i="21"/>
  <c r="AG19" i="21"/>
  <c r="AF19" i="21"/>
  <c r="AE19" i="21"/>
  <c r="U19" i="21"/>
  <c r="AH18" i="21"/>
  <c r="AG18" i="21"/>
  <c r="AF18" i="21"/>
  <c r="AE18" i="21"/>
  <c r="U18" i="21"/>
  <c r="AH17" i="21"/>
  <c r="AG17" i="21"/>
  <c r="AF17" i="21"/>
  <c r="AE17" i="21"/>
  <c r="U17" i="21"/>
  <c r="AH16" i="21"/>
  <c r="AG16" i="21"/>
  <c r="AF16" i="21"/>
  <c r="AE16" i="21"/>
  <c r="U16" i="21"/>
  <c r="AH15" i="21"/>
  <c r="AG15" i="21"/>
  <c r="AF15" i="21"/>
  <c r="AE15" i="21"/>
  <c r="U15" i="21"/>
  <c r="AH14" i="21"/>
  <c r="AG14" i="21"/>
  <c r="AF14" i="21"/>
  <c r="AE14" i="21"/>
  <c r="U14" i="21"/>
  <c r="AH13" i="21"/>
  <c r="AG13" i="21"/>
  <c r="AF13" i="21"/>
  <c r="AE13" i="21"/>
  <c r="U13" i="21"/>
  <c r="AH12" i="21"/>
  <c r="AG12" i="21"/>
  <c r="AF12" i="21"/>
  <c r="AE12" i="21"/>
  <c r="U12" i="21"/>
  <c r="AH11" i="21"/>
  <c r="AG11" i="21"/>
  <c r="AF11" i="21"/>
  <c r="AE11" i="21"/>
  <c r="U11" i="21"/>
  <c r="AH10" i="21"/>
  <c r="AG10" i="21"/>
  <c r="AF10" i="21"/>
  <c r="AE10" i="21"/>
  <c r="U10" i="21"/>
  <c r="AH9" i="21"/>
  <c r="AG9" i="21"/>
  <c r="AF9" i="21"/>
  <c r="AE9" i="21"/>
  <c r="U9" i="21"/>
  <c r="AH8" i="21"/>
  <c r="AG8" i="21"/>
  <c r="AF8" i="21"/>
  <c r="AE8" i="21"/>
  <c r="U8" i="21"/>
  <c r="AH7" i="21"/>
  <c r="AG7" i="21"/>
  <c r="AF7" i="21"/>
  <c r="AE7" i="21"/>
  <c r="U7" i="21"/>
  <c r="AH6" i="21"/>
  <c r="AG6" i="21"/>
  <c r="AF6" i="21"/>
  <c r="AE6" i="21"/>
  <c r="U6" i="21"/>
  <c r="AH5" i="21"/>
  <c r="AG5" i="21"/>
  <c r="AF5" i="21"/>
  <c r="AE5" i="21"/>
  <c r="U5" i="21"/>
  <c r="AH4" i="21"/>
  <c r="AG4" i="21"/>
  <c r="AF4" i="21"/>
  <c r="AE4" i="21"/>
  <c r="U4" i="21"/>
  <c r="AQ43" i="19"/>
  <c r="AG43" i="19"/>
  <c r="X43" i="19"/>
  <c r="AA43" i="19" s="1"/>
  <c r="R43" i="19"/>
  <c r="M43" i="19"/>
  <c r="N43" i="19" s="1"/>
  <c r="O43" i="19" s="1"/>
  <c r="AQ42" i="19"/>
  <c r="AG42" i="19"/>
  <c r="X42" i="19"/>
  <c r="AA42" i="19" s="1"/>
  <c r="R42" i="19"/>
  <c r="M42" i="19"/>
  <c r="N42" i="19" s="1"/>
  <c r="O42" i="19" s="1"/>
  <c r="AQ41" i="19"/>
  <c r="AG41" i="19"/>
  <c r="X41" i="19"/>
  <c r="AA41" i="19" s="1"/>
  <c r="R41" i="19"/>
  <c r="M41" i="19"/>
  <c r="N41" i="19" s="1"/>
  <c r="O41" i="19" s="1"/>
  <c r="AQ40" i="19"/>
  <c r="AG40" i="19"/>
  <c r="X40" i="19"/>
  <c r="AA40" i="19" s="1"/>
  <c r="R40" i="19"/>
  <c r="M40" i="19"/>
  <c r="N40" i="19" s="1"/>
  <c r="O40" i="19" s="1"/>
  <c r="AQ39" i="19"/>
  <c r="AG39" i="19"/>
  <c r="X39" i="19"/>
  <c r="AA39" i="19" s="1"/>
  <c r="R39" i="19"/>
  <c r="M39" i="19"/>
  <c r="N39" i="19" s="1"/>
  <c r="O39" i="19" s="1"/>
  <c r="AQ38" i="19"/>
  <c r="AG38" i="19"/>
  <c r="X38" i="19"/>
  <c r="AA38" i="19" s="1"/>
  <c r="R38" i="19"/>
  <c r="M38" i="19"/>
  <c r="N38" i="19" s="1"/>
  <c r="O38" i="19" s="1"/>
  <c r="AQ37" i="19"/>
  <c r="AG37" i="19"/>
  <c r="X37" i="19"/>
  <c r="AA37" i="19" s="1"/>
  <c r="R37" i="19"/>
  <c r="M37" i="19"/>
  <c r="N37" i="19" s="1"/>
  <c r="O37" i="19" s="1"/>
  <c r="AQ36" i="19"/>
  <c r="AG36" i="19"/>
  <c r="X36" i="19"/>
  <c r="AA36" i="19" s="1"/>
  <c r="R36" i="19"/>
  <c r="M36" i="19"/>
  <c r="N36" i="19" s="1"/>
  <c r="O36" i="19" s="1"/>
  <c r="AQ35" i="19"/>
  <c r="AG35" i="19"/>
  <c r="X35" i="19"/>
  <c r="AA35" i="19" s="1"/>
  <c r="R35" i="19"/>
  <c r="M35" i="19"/>
  <c r="N35" i="19" s="1"/>
  <c r="O35" i="19" s="1"/>
  <c r="AQ34" i="19"/>
  <c r="AG34" i="19"/>
  <c r="X34" i="19"/>
  <c r="AA34" i="19" s="1"/>
  <c r="R34" i="19"/>
  <c r="M34" i="19"/>
  <c r="N34" i="19" s="1"/>
  <c r="O34" i="19" s="1"/>
  <c r="AQ33" i="19"/>
  <c r="AG33" i="19"/>
  <c r="X33" i="19"/>
  <c r="AA33" i="19" s="1"/>
  <c r="R33" i="19"/>
  <c r="M33" i="19"/>
  <c r="N33" i="19" s="1"/>
  <c r="O33" i="19" s="1"/>
  <c r="AQ32" i="19"/>
  <c r="AG32" i="19"/>
  <c r="X32" i="19"/>
  <c r="AA32" i="19" s="1"/>
  <c r="R32" i="19"/>
  <c r="M32" i="19"/>
  <c r="N32" i="19" s="1"/>
  <c r="O32" i="19" s="1"/>
  <c r="AQ31" i="19"/>
  <c r="AG31" i="19"/>
  <c r="X31" i="19"/>
  <c r="AA31" i="19" s="1"/>
  <c r="R31" i="19"/>
  <c r="M31" i="19"/>
  <c r="N31" i="19" s="1"/>
  <c r="O31" i="19" s="1"/>
  <c r="AQ30" i="19"/>
  <c r="AG30" i="19"/>
  <c r="X30" i="19"/>
  <c r="AA30" i="19" s="1"/>
  <c r="R30" i="19"/>
  <c r="M30" i="19"/>
  <c r="N30" i="19" s="1"/>
  <c r="O30" i="19" s="1"/>
  <c r="AQ29" i="19"/>
  <c r="AG29" i="19"/>
  <c r="X29" i="19"/>
  <c r="AA29" i="19" s="1"/>
  <c r="R29" i="19"/>
  <c r="M29" i="19"/>
  <c r="N29" i="19" s="1"/>
  <c r="O29" i="19" s="1"/>
  <c r="AQ28" i="19"/>
  <c r="AG28" i="19"/>
  <c r="X28" i="19"/>
  <c r="AA28" i="19" s="1"/>
  <c r="R28" i="19"/>
  <c r="M28" i="19"/>
  <c r="N28" i="19" s="1"/>
  <c r="O28" i="19" s="1"/>
  <c r="AQ27" i="19"/>
  <c r="AG27" i="19"/>
  <c r="X27" i="19"/>
  <c r="AA27" i="19" s="1"/>
  <c r="R27" i="19"/>
  <c r="M27" i="19"/>
  <c r="N27" i="19" s="1"/>
  <c r="O27" i="19" s="1"/>
  <c r="AQ26" i="19"/>
  <c r="AG26" i="19"/>
  <c r="X26" i="19"/>
  <c r="AA26" i="19" s="1"/>
  <c r="R26" i="19"/>
  <c r="M26" i="19"/>
  <c r="N26" i="19" s="1"/>
  <c r="O26" i="19" s="1"/>
  <c r="AQ25" i="19"/>
  <c r="AG25" i="19"/>
  <c r="X25" i="19"/>
  <c r="AA25" i="19" s="1"/>
  <c r="R25" i="19"/>
  <c r="M25" i="19"/>
  <c r="N25" i="19" s="1"/>
  <c r="O25" i="19" s="1"/>
  <c r="AQ24" i="19"/>
  <c r="AG24" i="19"/>
  <c r="X24" i="19"/>
  <c r="AA24" i="19" s="1"/>
  <c r="R24" i="19"/>
  <c r="M24" i="19"/>
  <c r="N24" i="19" s="1"/>
  <c r="O24" i="19" s="1"/>
  <c r="AQ23" i="19"/>
  <c r="AG23" i="19"/>
  <c r="X23" i="19"/>
  <c r="AA23" i="19" s="1"/>
  <c r="R23" i="19"/>
  <c r="M23" i="19"/>
  <c r="N23" i="19" s="1"/>
  <c r="O23" i="19" s="1"/>
  <c r="AQ22" i="19"/>
  <c r="AG22" i="19"/>
  <c r="X22" i="19"/>
  <c r="AA22" i="19" s="1"/>
  <c r="R22" i="19"/>
  <c r="M22" i="19"/>
  <c r="N22" i="19" s="1"/>
  <c r="O22" i="19" s="1"/>
  <c r="AQ21" i="19"/>
  <c r="AG21" i="19"/>
  <c r="X21" i="19"/>
  <c r="AA21" i="19" s="1"/>
  <c r="R21" i="19"/>
  <c r="M21" i="19"/>
  <c r="N21" i="19" s="1"/>
  <c r="O21" i="19" s="1"/>
  <c r="AQ20" i="19"/>
  <c r="AG20" i="19"/>
  <c r="X20" i="19"/>
  <c r="AA20" i="19" s="1"/>
  <c r="R20" i="19"/>
  <c r="M20" i="19"/>
  <c r="N20" i="19" s="1"/>
  <c r="O20" i="19" s="1"/>
  <c r="AQ19" i="19"/>
  <c r="AG19" i="19"/>
  <c r="X19" i="19"/>
  <c r="AA19" i="19" s="1"/>
  <c r="R19" i="19"/>
  <c r="M19" i="19"/>
  <c r="N19" i="19" s="1"/>
  <c r="O19" i="19" s="1"/>
  <c r="AQ18" i="19"/>
  <c r="AG18" i="19"/>
  <c r="X18" i="19"/>
  <c r="AA18" i="19" s="1"/>
  <c r="R18" i="19"/>
  <c r="M18" i="19"/>
  <c r="N18" i="19" s="1"/>
  <c r="O18" i="19" s="1"/>
  <c r="AQ17" i="19"/>
  <c r="AG17" i="19"/>
  <c r="X17" i="19"/>
  <c r="AA17" i="19" s="1"/>
  <c r="R17" i="19"/>
  <c r="M17" i="19"/>
  <c r="N17" i="19" s="1"/>
  <c r="O17" i="19" s="1"/>
  <c r="AQ16" i="19"/>
  <c r="AG16" i="19"/>
  <c r="X16" i="19"/>
  <c r="AA16" i="19" s="1"/>
  <c r="R16" i="19"/>
  <c r="M16" i="19"/>
  <c r="N16" i="19" s="1"/>
  <c r="O16" i="19" s="1"/>
  <c r="AQ15" i="19"/>
  <c r="AG15" i="19"/>
  <c r="X15" i="19"/>
  <c r="AA15" i="19" s="1"/>
  <c r="R15" i="19"/>
  <c r="M15" i="19"/>
  <c r="N15" i="19" s="1"/>
  <c r="O15" i="19" s="1"/>
  <c r="AQ14" i="19"/>
  <c r="AG14" i="19"/>
  <c r="X14" i="19"/>
  <c r="AA14" i="19" s="1"/>
  <c r="R14" i="19"/>
  <c r="M14" i="19"/>
  <c r="N14" i="19" s="1"/>
  <c r="O14" i="19" s="1"/>
  <c r="AQ13" i="19"/>
  <c r="AG13" i="19"/>
  <c r="X13" i="19"/>
  <c r="AA13" i="19" s="1"/>
  <c r="R13" i="19"/>
  <c r="M13" i="19"/>
  <c r="N13" i="19" s="1"/>
  <c r="O13" i="19" s="1"/>
  <c r="AQ12" i="19"/>
  <c r="AG12" i="19"/>
  <c r="X12" i="19"/>
  <c r="AA12" i="19" s="1"/>
  <c r="R12" i="19"/>
  <c r="M12" i="19"/>
  <c r="N12" i="19" s="1"/>
  <c r="O12" i="19" s="1"/>
  <c r="AQ11" i="19"/>
  <c r="AG11" i="19"/>
  <c r="X11" i="19"/>
  <c r="AA11" i="19" s="1"/>
  <c r="R11" i="19"/>
  <c r="M11" i="19"/>
  <c r="N11" i="19" s="1"/>
  <c r="O11" i="19" s="1"/>
  <c r="AQ10" i="19"/>
  <c r="AG10" i="19"/>
  <c r="X10" i="19"/>
  <c r="AA10" i="19" s="1"/>
  <c r="R10" i="19"/>
  <c r="M10" i="19"/>
  <c r="N10" i="19" s="1"/>
  <c r="O10" i="19" s="1"/>
  <c r="AQ9" i="19"/>
  <c r="AG9" i="19"/>
  <c r="X9" i="19"/>
  <c r="AA9" i="19" s="1"/>
  <c r="R9" i="19"/>
  <c r="M9" i="19"/>
  <c r="N9" i="19" s="1"/>
  <c r="O9" i="19" s="1"/>
  <c r="AQ8" i="19"/>
  <c r="AG8" i="19"/>
  <c r="X8" i="19"/>
  <c r="AA8" i="19" s="1"/>
  <c r="R8" i="19"/>
  <c r="M8" i="19"/>
  <c r="N8" i="19" s="1"/>
  <c r="O8" i="19" s="1"/>
  <c r="AQ7" i="19"/>
  <c r="AG7" i="19"/>
  <c r="X7" i="19"/>
  <c r="AA7" i="19" s="1"/>
  <c r="R7" i="19"/>
  <c r="M7" i="19"/>
  <c r="N7" i="19" s="1"/>
  <c r="O7" i="19" s="1"/>
  <c r="AQ6" i="19"/>
  <c r="AG6" i="19"/>
  <c r="X6" i="19"/>
  <c r="AA6" i="19" s="1"/>
  <c r="R6" i="19"/>
  <c r="M6" i="19"/>
  <c r="N6" i="19" s="1"/>
  <c r="O6" i="19" s="1"/>
  <c r="AQ5" i="19"/>
  <c r="AG5" i="19"/>
  <c r="X5" i="19"/>
  <c r="AA5" i="19" s="1"/>
  <c r="R5" i="19"/>
  <c r="M5" i="19"/>
  <c r="N5" i="19" s="1"/>
  <c r="O5" i="19" s="1"/>
  <c r="AQ4" i="19"/>
  <c r="AG4" i="19"/>
  <c r="X4" i="19"/>
  <c r="AA4" i="19" s="1"/>
  <c r="R4" i="19"/>
  <c r="M4" i="19"/>
  <c r="N4" i="19" s="1"/>
  <c r="O4" i="19" s="1"/>
  <c r="BD135" i="18"/>
  <c r="BC135" i="18"/>
  <c r="BB135" i="18"/>
  <c r="AT135" i="18"/>
  <c r="AS135" i="18"/>
  <c r="AR135" i="18"/>
  <c r="AI135" i="18"/>
  <c r="AQ135" i="18" s="1"/>
  <c r="AH135" i="18"/>
  <c r="AP135" i="18" s="1"/>
  <c r="AG135" i="18"/>
  <c r="AO135" i="18" s="1"/>
  <c r="AF135" i="18"/>
  <c r="AN135" i="18" s="1"/>
  <c r="AE135" i="18"/>
  <c r="AM135" i="18" s="1"/>
  <c r="AD135" i="18"/>
  <c r="AL135" i="18" s="1"/>
  <c r="AC135" i="18"/>
  <c r="AK135" i="18" s="1"/>
  <c r="AB135" i="18"/>
  <c r="Y135" i="18"/>
  <c r="X135" i="18"/>
  <c r="W135" i="18"/>
  <c r="C135" i="18"/>
  <c r="B135" i="18"/>
  <c r="BD134" i="18"/>
  <c r="BC134" i="18"/>
  <c r="BB134" i="18"/>
  <c r="AT134" i="18"/>
  <c r="AS134" i="18"/>
  <c r="AR134" i="18"/>
  <c r="AI134" i="18"/>
  <c r="AQ134" i="18" s="1"/>
  <c r="AH134" i="18"/>
  <c r="AP134" i="18" s="1"/>
  <c r="AG134" i="18"/>
  <c r="AO134" i="18" s="1"/>
  <c r="AF134" i="18"/>
  <c r="AN134" i="18" s="1"/>
  <c r="AE134" i="18"/>
  <c r="AM134" i="18" s="1"/>
  <c r="AD134" i="18"/>
  <c r="AL134" i="18" s="1"/>
  <c r="AC134" i="18"/>
  <c r="AB134" i="18"/>
  <c r="Y134" i="18"/>
  <c r="X134" i="18"/>
  <c r="W134" i="18"/>
  <c r="C134" i="18"/>
  <c r="B134" i="18"/>
  <c r="BD133" i="18"/>
  <c r="BC133" i="18"/>
  <c r="BB133" i="18"/>
  <c r="AT133" i="18"/>
  <c r="AS133" i="18"/>
  <c r="AR133" i="18"/>
  <c r="AI133" i="18"/>
  <c r="AQ133" i="18" s="1"/>
  <c r="AH133" i="18"/>
  <c r="AP133" i="18" s="1"/>
  <c r="AG133" i="18"/>
  <c r="AO133" i="18" s="1"/>
  <c r="AF133" i="18"/>
  <c r="AN133" i="18" s="1"/>
  <c r="AE133" i="18"/>
  <c r="AM133" i="18" s="1"/>
  <c r="AD133" i="18"/>
  <c r="AL133" i="18" s="1"/>
  <c r="AC133" i="18"/>
  <c r="AK133" i="18" s="1"/>
  <c r="AB133" i="18"/>
  <c r="Y133" i="18"/>
  <c r="X133" i="18"/>
  <c r="W133" i="18"/>
  <c r="C133" i="18"/>
  <c r="B133" i="18"/>
  <c r="BD132" i="18"/>
  <c r="BC132" i="18"/>
  <c r="BB132" i="18"/>
  <c r="AT132" i="18"/>
  <c r="AS132" i="18"/>
  <c r="AR132" i="18"/>
  <c r="AI132" i="18"/>
  <c r="AQ132" i="18" s="1"/>
  <c r="AH132" i="18"/>
  <c r="AP132" i="18" s="1"/>
  <c r="AG132" i="18"/>
  <c r="AO132" i="18" s="1"/>
  <c r="AF132" i="18"/>
  <c r="AN132" i="18" s="1"/>
  <c r="AE132" i="18"/>
  <c r="AD132" i="18"/>
  <c r="AC132" i="18"/>
  <c r="AB132" i="18"/>
  <c r="Y132" i="18"/>
  <c r="X132" i="18"/>
  <c r="W132" i="18"/>
  <c r="C132" i="18"/>
  <c r="B132" i="18"/>
  <c r="BD131" i="18"/>
  <c r="BC131" i="18"/>
  <c r="BB131" i="18"/>
  <c r="AT131" i="18"/>
  <c r="AS131" i="18"/>
  <c r="AR131" i="18"/>
  <c r="AI131" i="18"/>
  <c r="AQ131" i="18" s="1"/>
  <c r="AH131" i="18"/>
  <c r="AP131" i="18" s="1"/>
  <c r="AG131" i="18"/>
  <c r="AO131" i="18" s="1"/>
  <c r="AF131" i="18"/>
  <c r="AN131" i="18" s="1"/>
  <c r="AE131" i="18"/>
  <c r="AM131" i="18" s="1"/>
  <c r="AD131" i="18"/>
  <c r="AL131" i="18" s="1"/>
  <c r="AC131" i="18"/>
  <c r="AB131" i="18"/>
  <c r="Y131" i="18"/>
  <c r="X131" i="18"/>
  <c r="W131" i="18"/>
  <c r="C131" i="18"/>
  <c r="B131" i="18"/>
  <c r="BD130" i="18"/>
  <c r="BC130" i="18"/>
  <c r="BB130" i="18"/>
  <c r="AT130" i="18"/>
  <c r="AS130" i="18"/>
  <c r="AR130" i="18"/>
  <c r="AI130" i="18"/>
  <c r="AQ130" i="18" s="1"/>
  <c r="AH130" i="18"/>
  <c r="AP130" i="18" s="1"/>
  <c r="AG130" i="18"/>
  <c r="AO130" i="18" s="1"/>
  <c r="AF130" i="18"/>
  <c r="AN130" i="18" s="1"/>
  <c r="AE130" i="18"/>
  <c r="AM130" i="18" s="1"/>
  <c r="AD130" i="18"/>
  <c r="AL130" i="18" s="1"/>
  <c r="AC130" i="18"/>
  <c r="AB130" i="18"/>
  <c r="Y130" i="18"/>
  <c r="X130" i="18"/>
  <c r="W130" i="18"/>
  <c r="C130" i="18"/>
  <c r="B130" i="18"/>
  <c r="BD129" i="18"/>
  <c r="BC129" i="18"/>
  <c r="BB129" i="18"/>
  <c r="AT129" i="18"/>
  <c r="AS129" i="18"/>
  <c r="AR129" i="18"/>
  <c r="AI129" i="18"/>
  <c r="AQ129" i="18" s="1"/>
  <c r="AH129" i="18"/>
  <c r="AP129" i="18" s="1"/>
  <c r="AG129" i="18"/>
  <c r="AO129" i="18" s="1"/>
  <c r="AF129" i="18"/>
  <c r="AN129" i="18" s="1"/>
  <c r="AE129" i="18"/>
  <c r="AM129" i="18" s="1"/>
  <c r="AD129" i="18"/>
  <c r="AL129" i="18" s="1"/>
  <c r="AC129" i="18"/>
  <c r="AK129" i="18" s="1"/>
  <c r="AB129" i="18"/>
  <c r="Y129" i="18"/>
  <c r="X129" i="18"/>
  <c r="W129" i="18"/>
  <c r="C129" i="18"/>
  <c r="B129" i="18"/>
  <c r="BD128" i="18"/>
  <c r="BC128" i="18"/>
  <c r="BB128" i="18"/>
  <c r="AT128" i="18"/>
  <c r="AS128" i="18"/>
  <c r="AR128" i="18"/>
  <c r="AI128" i="18"/>
  <c r="AQ128" i="18" s="1"/>
  <c r="AH128" i="18"/>
  <c r="AP128" i="18" s="1"/>
  <c r="AG128" i="18"/>
  <c r="AO128" i="18" s="1"/>
  <c r="AF128" i="18"/>
  <c r="AN128" i="18" s="1"/>
  <c r="AE128" i="18"/>
  <c r="AM128" i="18" s="1"/>
  <c r="AD128" i="18"/>
  <c r="AL128" i="18" s="1"/>
  <c r="AC128" i="18"/>
  <c r="AK128" i="18" s="1"/>
  <c r="AB128" i="18"/>
  <c r="Y128" i="18"/>
  <c r="X128" i="18"/>
  <c r="W128" i="18"/>
  <c r="C128" i="18"/>
  <c r="B128" i="18"/>
  <c r="BD127" i="18"/>
  <c r="BC127" i="18"/>
  <c r="BB127" i="18"/>
  <c r="AT127" i="18"/>
  <c r="AS127" i="18"/>
  <c r="AR127" i="18"/>
  <c r="AI127" i="18"/>
  <c r="AQ127" i="18" s="1"/>
  <c r="AH127" i="18"/>
  <c r="AP127" i="18" s="1"/>
  <c r="AG127" i="18"/>
  <c r="AO127" i="18" s="1"/>
  <c r="AF127" i="18"/>
  <c r="AN127" i="18" s="1"/>
  <c r="AE127" i="18"/>
  <c r="AM127" i="18" s="1"/>
  <c r="AD127" i="18"/>
  <c r="AL127" i="18" s="1"/>
  <c r="AC127" i="18"/>
  <c r="AK127" i="18" s="1"/>
  <c r="AB127" i="18"/>
  <c r="Y127" i="18"/>
  <c r="X127" i="18"/>
  <c r="W127" i="18"/>
  <c r="C127" i="18"/>
  <c r="B127" i="18"/>
  <c r="BD126" i="18"/>
  <c r="BC126" i="18"/>
  <c r="BB126" i="18"/>
  <c r="AT126" i="18"/>
  <c r="AS126" i="18"/>
  <c r="AR126" i="18"/>
  <c r="AI126" i="18"/>
  <c r="AQ126" i="18" s="1"/>
  <c r="AH126" i="18"/>
  <c r="AP126" i="18" s="1"/>
  <c r="AG126" i="18"/>
  <c r="AO126" i="18" s="1"/>
  <c r="AF126" i="18"/>
  <c r="AN126" i="18" s="1"/>
  <c r="AE126" i="18"/>
  <c r="AM126" i="18" s="1"/>
  <c r="AD126" i="18"/>
  <c r="AL126" i="18" s="1"/>
  <c r="AC126" i="18"/>
  <c r="AK126" i="18" s="1"/>
  <c r="AB126" i="18"/>
  <c r="Y126" i="18"/>
  <c r="X126" i="18"/>
  <c r="W126" i="18"/>
  <c r="C126" i="18"/>
  <c r="B126" i="18"/>
  <c r="BD125" i="18"/>
  <c r="BC125" i="18"/>
  <c r="BB125" i="18"/>
  <c r="AT125" i="18"/>
  <c r="AS125" i="18"/>
  <c r="AR125" i="18"/>
  <c r="AI125" i="18"/>
  <c r="AQ125" i="18" s="1"/>
  <c r="AH125" i="18"/>
  <c r="AP125" i="18" s="1"/>
  <c r="AG125" i="18"/>
  <c r="AO125" i="18" s="1"/>
  <c r="AF125" i="18"/>
  <c r="AN125" i="18" s="1"/>
  <c r="AE125" i="18"/>
  <c r="AM125" i="18" s="1"/>
  <c r="AD125" i="18"/>
  <c r="AL125" i="18" s="1"/>
  <c r="AC125" i="18"/>
  <c r="AK125" i="18" s="1"/>
  <c r="AB125" i="18"/>
  <c r="AJ125" i="18" s="1"/>
  <c r="Y125" i="18"/>
  <c r="X125" i="18"/>
  <c r="W125" i="18"/>
  <c r="C125" i="18"/>
  <c r="B125" i="18"/>
  <c r="BD124" i="18"/>
  <c r="BC124" i="18"/>
  <c r="BB124" i="18"/>
  <c r="AT124" i="18"/>
  <c r="AS124" i="18"/>
  <c r="AR124" i="18"/>
  <c r="AI124" i="18"/>
  <c r="AQ124" i="18" s="1"/>
  <c r="AH124" i="18"/>
  <c r="AP124" i="18" s="1"/>
  <c r="AG124" i="18"/>
  <c r="AO124" i="18" s="1"/>
  <c r="AF124" i="18"/>
  <c r="AN124" i="18" s="1"/>
  <c r="AE124" i="18"/>
  <c r="AM124" i="18" s="1"/>
  <c r="AD124" i="18"/>
  <c r="AL124" i="18" s="1"/>
  <c r="AC124" i="18"/>
  <c r="AB124" i="18"/>
  <c r="Y124" i="18"/>
  <c r="X124" i="18"/>
  <c r="W124" i="18"/>
  <c r="C124" i="18"/>
  <c r="B124" i="18"/>
  <c r="BD123" i="18"/>
  <c r="BC123" i="18"/>
  <c r="BB123" i="18"/>
  <c r="AT123" i="18"/>
  <c r="AS123" i="18"/>
  <c r="AR123" i="18"/>
  <c r="AI123" i="18"/>
  <c r="AQ123" i="18" s="1"/>
  <c r="AH123" i="18"/>
  <c r="AP123" i="18" s="1"/>
  <c r="AG123" i="18"/>
  <c r="AO123" i="18" s="1"/>
  <c r="AF123" i="18"/>
  <c r="AN123" i="18" s="1"/>
  <c r="AE123" i="18"/>
  <c r="AM123" i="18" s="1"/>
  <c r="AD123" i="18"/>
  <c r="AL123" i="18" s="1"/>
  <c r="AC123" i="18"/>
  <c r="AK123" i="18" s="1"/>
  <c r="AB123" i="18"/>
  <c r="Y123" i="18"/>
  <c r="X123" i="18"/>
  <c r="W123" i="18"/>
  <c r="C123" i="18"/>
  <c r="B123" i="18"/>
  <c r="BD122" i="18"/>
  <c r="BC122" i="18"/>
  <c r="BB122" i="18"/>
  <c r="AT122" i="18"/>
  <c r="AS122" i="18"/>
  <c r="AR122" i="18"/>
  <c r="AI122" i="18"/>
  <c r="AQ122" i="18" s="1"/>
  <c r="AH122" i="18"/>
  <c r="AP122" i="18" s="1"/>
  <c r="AG122" i="18"/>
  <c r="AO122" i="18" s="1"/>
  <c r="AF122" i="18"/>
  <c r="AN122" i="18" s="1"/>
  <c r="AE122" i="18"/>
  <c r="AM122" i="18" s="1"/>
  <c r="AD122" i="18"/>
  <c r="AL122" i="18" s="1"/>
  <c r="AC122" i="18"/>
  <c r="AK122" i="18" s="1"/>
  <c r="AB122" i="18"/>
  <c r="Y122" i="18"/>
  <c r="X122" i="18"/>
  <c r="W122" i="18"/>
  <c r="C122" i="18"/>
  <c r="B122" i="18"/>
  <c r="BD121" i="18"/>
  <c r="BC121" i="18"/>
  <c r="BB121" i="18"/>
  <c r="AT121" i="18"/>
  <c r="AS121" i="18"/>
  <c r="AR121" i="18"/>
  <c r="AI121" i="18"/>
  <c r="AQ121" i="18" s="1"/>
  <c r="AH121" i="18"/>
  <c r="AP121" i="18" s="1"/>
  <c r="AG121" i="18"/>
  <c r="AO121" i="18" s="1"/>
  <c r="AF121" i="18"/>
  <c r="AN121" i="18" s="1"/>
  <c r="AE121" i="18"/>
  <c r="AD121" i="18"/>
  <c r="AC121" i="18"/>
  <c r="AB121" i="18"/>
  <c r="Y121" i="18"/>
  <c r="X121" i="18"/>
  <c r="W121" i="18"/>
  <c r="C121" i="18"/>
  <c r="B121" i="18"/>
  <c r="BD120" i="18"/>
  <c r="BC120" i="18"/>
  <c r="BB120" i="18"/>
  <c r="AT120" i="18"/>
  <c r="AS120" i="18"/>
  <c r="AR120" i="18"/>
  <c r="AI120" i="18"/>
  <c r="AQ120" i="18" s="1"/>
  <c r="AH120" i="18"/>
  <c r="AP120" i="18" s="1"/>
  <c r="AG120" i="18"/>
  <c r="AO120" i="18" s="1"/>
  <c r="AF120" i="18"/>
  <c r="AN120" i="18" s="1"/>
  <c r="AE120" i="18"/>
  <c r="AM120" i="18" s="1"/>
  <c r="AD120" i="18"/>
  <c r="AL120" i="18" s="1"/>
  <c r="AC120" i="18"/>
  <c r="AB120" i="18"/>
  <c r="Y120" i="18"/>
  <c r="X120" i="18"/>
  <c r="W120" i="18"/>
  <c r="C120" i="18"/>
  <c r="B120" i="18"/>
  <c r="BD119" i="18"/>
  <c r="BC119" i="18"/>
  <c r="BB119" i="18"/>
  <c r="AT119" i="18"/>
  <c r="AS119" i="18"/>
  <c r="AR119" i="18"/>
  <c r="AI119" i="18"/>
  <c r="AQ119" i="18" s="1"/>
  <c r="AH119" i="18"/>
  <c r="AP119" i="18" s="1"/>
  <c r="AG119" i="18"/>
  <c r="AO119" i="18" s="1"/>
  <c r="AF119" i="18"/>
  <c r="AN119" i="18" s="1"/>
  <c r="AE119" i="18"/>
  <c r="AM119" i="18" s="1"/>
  <c r="AD119" i="18"/>
  <c r="AL119" i="18" s="1"/>
  <c r="AC119" i="18"/>
  <c r="AK119" i="18" s="1"/>
  <c r="AB119" i="18"/>
  <c r="Y119" i="18"/>
  <c r="X119" i="18"/>
  <c r="W119" i="18"/>
  <c r="C119" i="18"/>
  <c r="B119" i="18"/>
  <c r="BD118" i="18"/>
  <c r="BC118" i="18"/>
  <c r="BB118" i="18"/>
  <c r="AT118" i="18"/>
  <c r="AS118" i="18"/>
  <c r="AR118" i="18"/>
  <c r="AI118" i="18"/>
  <c r="AQ118" i="18" s="1"/>
  <c r="AH118" i="18"/>
  <c r="AP118" i="18" s="1"/>
  <c r="AG118" i="18"/>
  <c r="AO118" i="18" s="1"/>
  <c r="AF118" i="18"/>
  <c r="AN118" i="18" s="1"/>
  <c r="AE118" i="18"/>
  <c r="AM118" i="18" s="1"/>
  <c r="AD118" i="18"/>
  <c r="AL118" i="18" s="1"/>
  <c r="AC118" i="18"/>
  <c r="AK118" i="18" s="1"/>
  <c r="AB118" i="18"/>
  <c r="Y118" i="18"/>
  <c r="X118" i="18"/>
  <c r="W118" i="18"/>
  <c r="C118" i="18"/>
  <c r="B118" i="18"/>
  <c r="BD117" i="18"/>
  <c r="BC117" i="18"/>
  <c r="BB117" i="18"/>
  <c r="AT117" i="18"/>
  <c r="AS117" i="18"/>
  <c r="AR117" i="18"/>
  <c r="AI117" i="18"/>
  <c r="AQ117" i="18" s="1"/>
  <c r="AH117" i="18"/>
  <c r="AP117" i="18" s="1"/>
  <c r="AG117" i="18"/>
  <c r="AO117" i="18" s="1"/>
  <c r="AF117" i="18"/>
  <c r="AN117" i="18" s="1"/>
  <c r="AE117" i="18"/>
  <c r="AM117" i="18" s="1"/>
  <c r="AD117" i="18"/>
  <c r="AL117" i="18" s="1"/>
  <c r="AC117" i="18"/>
  <c r="AK117" i="18" s="1"/>
  <c r="AB117" i="18"/>
  <c r="Y117" i="18"/>
  <c r="X117" i="18"/>
  <c r="W117" i="18"/>
  <c r="C117" i="18"/>
  <c r="B117" i="18"/>
  <c r="BD116" i="18"/>
  <c r="BC116" i="18"/>
  <c r="BB116" i="18"/>
  <c r="AT116" i="18"/>
  <c r="AS116" i="18"/>
  <c r="AR116" i="18"/>
  <c r="AI116" i="18"/>
  <c r="AQ116" i="18" s="1"/>
  <c r="AH116" i="18"/>
  <c r="AP116" i="18" s="1"/>
  <c r="AG116" i="18"/>
  <c r="AO116" i="18" s="1"/>
  <c r="AF116" i="18"/>
  <c r="AN116" i="18" s="1"/>
  <c r="AE116" i="18"/>
  <c r="AM116" i="18" s="1"/>
  <c r="AD116" i="18"/>
  <c r="AL116" i="18" s="1"/>
  <c r="AC116" i="18"/>
  <c r="AK116" i="18" s="1"/>
  <c r="AB116" i="18"/>
  <c r="Y116" i="18"/>
  <c r="X116" i="18"/>
  <c r="W116" i="18"/>
  <c r="C116" i="18"/>
  <c r="B116" i="18"/>
  <c r="BD115" i="18"/>
  <c r="BC115" i="18"/>
  <c r="BB115" i="18"/>
  <c r="AT115" i="18"/>
  <c r="AS115" i="18"/>
  <c r="AR115" i="18"/>
  <c r="AI115" i="18"/>
  <c r="AQ115" i="18" s="1"/>
  <c r="AH115" i="18"/>
  <c r="AP115" i="18" s="1"/>
  <c r="AG115" i="18"/>
  <c r="AO115" i="18" s="1"/>
  <c r="AF115" i="18"/>
  <c r="AN115" i="18" s="1"/>
  <c r="AE115" i="18"/>
  <c r="AM115" i="18" s="1"/>
  <c r="AD115" i="18"/>
  <c r="AC115" i="18"/>
  <c r="AB115" i="18"/>
  <c r="Y115" i="18"/>
  <c r="X115" i="18"/>
  <c r="W115" i="18"/>
  <c r="C115" i="18"/>
  <c r="B115" i="18"/>
  <c r="BD114" i="18"/>
  <c r="BC114" i="18"/>
  <c r="BB114" i="18"/>
  <c r="AT114" i="18"/>
  <c r="AS114" i="18"/>
  <c r="AR114" i="18"/>
  <c r="AI114" i="18"/>
  <c r="AQ114" i="18" s="1"/>
  <c r="AH114" i="18"/>
  <c r="AP114" i="18" s="1"/>
  <c r="AG114" i="18"/>
  <c r="AO114" i="18" s="1"/>
  <c r="AF114" i="18"/>
  <c r="AN114" i="18" s="1"/>
  <c r="AE114" i="18"/>
  <c r="AM114" i="18" s="1"/>
  <c r="AD114" i="18"/>
  <c r="AL114" i="18" s="1"/>
  <c r="AC114" i="18"/>
  <c r="AB114" i="18"/>
  <c r="Y114" i="18"/>
  <c r="X114" i="18"/>
  <c r="W114" i="18"/>
  <c r="C114" i="18"/>
  <c r="B114" i="18"/>
  <c r="BD113" i="18"/>
  <c r="BC113" i="18"/>
  <c r="BB113" i="18"/>
  <c r="AT113" i="18"/>
  <c r="AS113" i="18"/>
  <c r="AR113" i="18"/>
  <c r="AI113" i="18"/>
  <c r="AQ113" i="18" s="1"/>
  <c r="AH113" i="18"/>
  <c r="AP113" i="18" s="1"/>
  <c r="AG113" i="18"/>
  <c r="AO113" i="18" s="1"/>
  <c r="AF113" i="18"/>
  <c r="AN113" i="18" s="1"/>
  <c r="AE113" i="18"/>
  <c r="AM113" i="18" s="1"/>
  <c r="AD113" i="18"/>
  <c r="AC113" i="18"/>
  <c r="AB113" i="18"/>
  <c r="Y113" i="18"/>
  <c r="X113" i="18"/>
  <c r="W113" i="18"/>
  <c r="C113" i="18"/>
  <c r="B113" i="18"/>
  <c r="BD112" i="18"/>
  <c r="BC112" i="18"/>
  <c r="BB112" i="18"/>
  <c r="AT112" i="18"/>
  <c r="AS112" i="18"/>
  <c r="AR112" i="18"/>
  <c r="AI112" i="18"/>
  <c r="AQ112" i="18" s="1"/>
  <c r="AH112" i="18"/>
  <c r="AP112" i="18" s="1"/>
  <c r="AG112" i="18"/>
  <c r="AO112" i="18" s="1"/>
  <c r="AF112" i="18"/>
  <c r="AN112" i="18" s="1"/>
  <c r="AE112" i="18"/>
  <c r="AM112" i="18" s="1"/>
  <c r="AD112" i="18"/>
  <c r="AL112" i="18" s="1"/>
  <c r="AC112" i="18"/>
  <c r="AK112" i="18" s="1"/>
  <c r="AB112" i="18"/>
  <c r="Y112" i="18"/>
  <c r="X112" i="18"/>
  <c r="W112" i="18"/>
  <c r="C112" i="18"/>
  <c r="B112" i="18"/>
  <c r="BD111" i="18"/>
  <c r="BC111" i="18"/>
  <c r="BB111" i="18"/>
  <c r="AT111" i="18"/>
  <c r="AS111" i="18"/>
  <c r="AR111" i="18"/>
  <c r="AI111" i="18"/>
  <c r="AQ111" i="18" s="1"/>
  <c r="AH111" i="18"/>
  <c r="AP111" i="18" s="1"/>
  <c r="AG111" i="18"/>
  <c r="AO111" i="18" s="1"/>
  <c r="AF111" i="18"/>
  <c r="AN111" i="18" s="1"/>
  <c r="AE111" i="18"/>
  <c r="AM111" i="18" s="1"/>
  <c r="AD111" i="18"/>
  <c r="AL111" i="18" s="1"/>
  <c r="AC111" i="18"/>
  <c r="AK111" i="18" s="1"/>
  <c r="AB111" i="18"/>
  <c r="Y111" i="18"/>
  <c r="X111" i="18"/>
  <c r="W111" i="18"/>
  <c r="C111" i="18"/>
  <c r="B111" i="18"/>
  <c r="BD110" i="18"/>
  <c r="BC110" i="18"/>
  <c r="BB110" i="18"/>
  <c r="AT110" i="18"/>
  <c r="AS110" i="18"/>
  <c r="AR110" i="18"/>
  <c r="AI110" i="18"/>
  <c r="AQ110" i="18" s="1"/>
  <c r="AH110" i="18"/>
  <c r="AP110" i="18" s="1"/>
  <c r="AG110" i="18"/>
  <c r="AO110" i="18" s="1"/>
  <c r="AF110" i="18"/>
  <c r="AN110" i="18" s="1"/>
  <c r="AE110" i="18"/>
  <c r="AM110" i="18" s="1"/>
  <c r="AD110" i="18"/>
  <c r="AL110" i="18" s="1"/>
  <c r="AC110" i="18"/>
  <c r="AK110" i="18" s="1"/>
  <c r="AB110" i="18"/>
  <c r="Y110" i="18"/>
  <c r="X110" i="18"/>
  <c r="W110" i="18"/>
  <c r="C110" i="18"/>
  <c r="B110" i="18"/>
  <c r="BD109" i="18"/>
  <c r="BC109" i="18"/>
  <c r="BB109" i="18"/>
  <c r="AT109" i="18"/>
  <c r="AS109" i="18"/>
  <c r="AR109" i="18"/>
  <c r="AI109" i="18"/>
  <c r="AQ109" i="18" s="1"/>
  <c r="AH109" i="18"/>
  <c r="AP109" i="18" s="1"/>
  <c r="AG109" i="18"/>
  <c r="AO109" i="18" s="1"/>
  <c r="AF109" i="18"/>
  <c r="AN109" i="18" s="1"/>
  <c r="AE109" i="18"/>
  <c r="AM109" i="18" s="1"/>
  <c r="AD109" i="18"/>
  <c r="AL109" i="18" s="1"/>
  <c r="AC109" i="18"/>
  <c r="AK109" i="18" s="1"/>
  <c r="AB109" i="18"/>
  <c r="Y109" i="18"/>
  <c r="X109" i="18"/>
  <c r="W109" i="18"/>
  <c r="C109" i="18"/>
  <c r="B109" i="18"/>
  <c r="BD108" i="18"/>
  <c r="BC108" i="18"/>
  <c r="BB108" i="18"/>
  <c r="AT108" i="18"/>
  <c r="AS108" i="18"/>
  <c r="AR108" i="18"/>
  <c r="AI108" i="18"/>
  <c r="AQ108" i="18" s="1"/>
  <c r="AH108" i="18"/>
  <c r="AP108" i="18" s="1"/>
  <c r="AG108" i="18"/>
  <c r="AO108" i="18" s="1"/>
  <c r="AF108" i="18"/>
  <c r="AN108" i="18" s="1"/>
  <c r="AE108" i="18"/>
  <c r="AM108" i="18" s="1"/>
  <c r="AD108" i="18"/>
  <c r="AL108" i="18" s="1"/>
  <c r="AC108" i="18"/>
  <c r="AK108" i="18" s="1"/>
  <c r="AB108" i="18"/>
  <c r="Y108" i="18"/>
  <c r="X108" i="18"/>
  <c r="W108" i="18"/>
  <c r="C108" i="18"/>
  <c r="B108" i="18"/>
  <c r="BD107" i="18"/>
  <c r="BC107" i="18"/>
  <c r="BB107" i="18"/>
  <c r="AT107" i="18"/>
  <c r="AS107" i="18"/>
  <c r="AR107" i="18"/>
  <c r="AI107" i="18"/>
  <c r="AQ107" i="18" s="1"/>
  <c r="AH107" i="18"/>
  <c r="AP107" i="18" s="1"/>
  <c r="AG107" i="18"/>
  <c r="AO107" i="18" s="1"/>
  <c r="AF107" i="18"/>
  <c r="AN107" i="18" s="1"/>
  <c r="AE107" i="18"/>
  <c r="AM107" i="18" s="1"/>
  <c r="AD107" i="18"/>
  <c r="AL107" i="18" s="1"/>
  <c r="AC107" i="18"/>
  <c r="AK107" i="18" s="1"/>
  <c r="AB107" i="18"/>
  <c r="Y107" i="18"/>
  <c r="X107" i="18"/>
  <c r="W107" i="18"/>
  <c r="C107" i="18"/>
  <c r="B107" i="18"/>
  <c r="BD106" i="18"/>
  <c r="BC106" i="18"/>
  <c r="BB106" i="18"/>
  <c r="AT106" i="18"/>
  <c r="AS106" i="18"/>
  <c r="AR106" i="18"/>
  <c r="AI106" i="18"/>
  <c r="AQ106" i="18" s="1"/>
  <c r="AH106" i="18"/>
  <c r="AP106" i="18" s="1"/>
  <c r="AG106" i="18"/>
  <c r="AO106" i="18" s="1"/>
  <c r="AF106" i="18"/>
  <c r="AN106" i="18" s="1"/>
  <c r="AE106" i="18"/>
  <c r="AM106" i="18" s="1"/>
  <c r="AD106" i="18"/>
  <c r="AL106" i="18" s="1"/>
  <c r="AC106" i="18"/>
  <c r="AK106" i="18" s="1"/>
  <c r="AB106" i="18"/>
  <c r="Y106" i="18"/>
  <c r="X106" i="18"/>
  <c r="W106" i="18"/>
  <c r="C106" i="18"/>
  <c r="B106" i="18"/>
  <c r="BD105" i="18"/>
  <c r="BC105" i="18"/>
  <c r="BB105" i="18"/>
  <c r="AT105" i="18"/>
  <c r="AS105" i="18"/>
  <c r="AR105" i="18"/>
  <c r="AI105" i="18"/>
  <c r="AQ105" i="18" s="1"/>
  <c r="AH105" i="18"/>
  <c r="AP105" i="18" s="1"/>
  <c r="AG105" i="18"/>
  <c r="AO105" i="18" s="1"/>
  <c r="AF105" i="18"/>
  <c r="AN105" i="18" s="1"/>
  <c r="AE105" i="18"/>
  <c r="AM105" i="18" s="1"/>
  <c r="AD105" i="18"/>
  <c r="AL105" i="18" s="1"/>
  <c r="AC105" i="18"/>
  <c r="AK105" i="18" s="1"/>
  <c r="AB105" i="18"/>
  <c r="Y105" i="18"/>
  <c r="X105" i="18"/>
  <c r="W105" i="18"/>
  <c r="C105" i="18"/>
  <c r="B105" i="18"/>
  <c r="BD104" i="18"/>
  <c r="BC104" i="18"/>
  <c r="BB104" i="18"/>
  <c r="AT104" i="18"/>
  <c r="AS104" i="18"/>
  <c r="AR104" i="18"/>
  <c r="AI104" i="18"/>
  <c r="AQ104" i="18" s="1"/>
  <c r="AH104" i="18"/>
  <c r="AP104" i="18" s="1"/>
  <c r="AG104" i="18"/>
  <c r="AO104" i="18" s="1"/>
  <c r="AF104" i="18"/>
  <c r="AN104" i="18" s="1"/>
  <c r="AE104" i="18"/>
  <c r="AM104" i="18" s="1"/>
  <c r="AD104" i="18"/>
  <c r="AL104" i="18" s="1"/>
  <c r="AC104" i="18"/>
  <c r="AK104" i="18" s="1"/>
  <c r="AB104" i="18"/>
  <c r="Y104" i="18"/>
  <c r="X104" i="18"/>
  <c r="W104" i="18"/>
  <c r="C104" i="18"/>
  <c r="B104" i="18"/>
  <c r="BD103" i="18"/>
  <c r="BC103" i="18"/>
  <c r="BB103" i="18"/>
  <c r="AT103" i="18"/>
  <c r="AS103" i="18"/>
  <c r="AR103" i="18"/>
  <c r="AI103" i="18"/>
  <c r="AQ103" i="18" s="1"/>
  <c r="AH103" i="18"/>
  <c r="AP103" i="18" s="1"/>
  <c r="AG103" i="18"/>
  <c r="AO103" i="18" s="1"/>
  <c r="AF103" i="18"/>
  <c r="AN103" i="18" s="1"/>
  <c r="AE103" i="18"/>
  <c r="AM103" i="18" s="1"/>
  <c r="AD103" i="18"/>
  <c r="AL103" i="18" s="1"/>
  <c r="AC103" i="18"/>
  <c r="AK103" i="18" s="1"/>
  <c r="AB103" i="18"/>
  <c r="Y103" i="18"/>
  <c r="X103" i="18"/>
  <c r="W103" i="18"/>
  <c r="C103" i="18"/>
  <c r="B103" i="18"/>
  <c r="BD102" i="18"/>
  <c r="BC102" i="18"/>
  <c r="BB102" i="18"/>
  <c r="AT102" i="18"/>
  <c r="AS102" i="18"/>
  <c r="AR102" i="18"/>
  <c r="AI102" i="18"/>
  <c r="AQ102" i="18" s="1"/>
  <c r="AH102" i="18"/>
  <c r="AP102" i="18" s="1"/>
  <c r="AG102" i="18"/>
  <c r="AO102" i="18" s="1"/>
  <c r="AF102" i="18"/>
  <c r="AN102" i="18" s="1"/>
  <c r="AE102" i="18"/>
  <c r="AM102" i="18" s="1"/>
  <c r="AD102" i="18"/>
  <c r="AL102" i="18" s="1"/>
  <c r="AC102" i="18"/>
  <c r="AK102" i="18" s="1"/>
  <c r="AB102" i="18"/>
  <c r="Y102" i="18"/>
  <c r="X102" i="18"/>
  <c r="W102" i="18"/>
  <c r="C102" i="18"/>
  <c r="B102" i="18"/>
  <c r="BD101" i="18"/>
  <c r="BC101" i="18"/>
  <c r="BB101" i="18"/>
  <c r="AT101" i="18"/>
  <c r="AS101" i="18"/>
  <c r="AR101" i="18"/>
  <c r="AI101" i="18"/>
  <c r="AQ101" i="18" s="1"/>
  <c r="AH101" i="18"/>
  <c r="AP101" i="18" s="1"/>
  <c r="AG101" i="18"/>
  <c r="AO101" i="18" s="1"/>
  <c r="AF101" i="18"/>
  <c r="AN101" i="18" s="1"/>
  <c r="AE101" i="18"/>
  <c r="AM101" i="18" s="1"/>
  <c r="AD101" i="18"/>
  <c r="AL101" i="18" s="1"/>
  <c r="AC101" i="18"/>
  <c r="AK101" i="18" s="1"/>
  <c r="AB101" i="18"/>
  <c r="Y101" i="18"/>
  <c r="X101" i="18"/>
  <c r="W101" i="18"/>
  <c r="C101" i="18"/>
  <c r="B101" i="18"/>
  <c r="BD100" i="18"/>
  <c r="BC100" i="18"/>
  <c r="BB100" i="18"/>
  <c r="AT100" i="18"/>
  <c r="AS100" i="18"/>
  <c r="AR100" i="18"/>
  <c r="AI100" i="18"/>
  <c r="AQ100" i="18" s="1"/>
  <c r="AH100" i="18"/>
  <c r="AP100" i="18" s="1"/>
  <c r="AG100" i="18"/>
  <c r="AO100" i="18" s="1"/>
  <c r="AF100" i="18"/>
  <c r="AN100" i="18" s="1"/>
  <c r="AE100" i="18"/>
  <c r="AM100" i="18" s="1"/>
  <c r="AD100" i="18"/>
  <c r="AL100" i="18" s="1"/>
  <c r="AC100" i="18"/>
  <c r="AB100" i="18"/>
  <c r="Y100" i="18"/>
  <c r="X100" i="18"/>
  <c r="W100" i="18"/>
  <c r="C100" i="18"/>
  <c r="B100" i="18"/>
  <c r="BD99" i="18"/>
  <c r="BC99" i="18"/>
  <c r="BB99" i="18"/>
  <c r="AT99" i="18"/>
  <c r="AS99" i="18"/>
  <c r="AR99" i="18"/>
  <c r="AI99" i="18"/>
  <c r="AQ99" i="18" s="1"/>
  <c r="AH99" i="18"/>
  <c r="AP99" i="18" s="1"/>
  <c r="AG99" i="18"/>
  <c r="AO99" i="18" s="1"/>
  <c r="AF99" i="18"/>
  <c r="AN99" i="18" s="1"/>
  <c r="AE99" i="18"/>
  <c r="AM99" i="18" s="1"/>
  <c r="AD99" i="18"/>
  <c r="AC99" i="18"/>
  <c r="AB99" i="18"/>
  <c r="Y99" i="18"/>
  <c r="X99" i="18"/>
  <c r="W99" i="18"/>
  <c r="C99" i="18"/>
  <c r="B99" i="18"/>
  <c r="BD98" i="18"/>
  <c r="BC98" i="18"/>
  <c r="BB98" i="18"/>
  <c r="AT98" i="18"/>
  <c r="AS98" i="18"/>
  <c r="AR98" i="18"/>
  <c r="AI98" i="18"/>
  <c r="AQ98" i="18" s="1"/>
  <c r="AH98" i="18"/>
  <c r="AP98" i="18" s="1"/>
  <c r="AG98" i="18"/>
  <c r="AO98" i="18" s="1"/>
  <c r="AF98" i="18"/>
  <c r="AN98" i="18" s="1"/>
  <c r="AE98" i="18"/>
  <c r="AM98" i="18" s="1"/>
  <c r="AD98" i="18"/>
  <c r="AL98" i="18" s="1"/>
  <c r="AC98" i="18"/>
  <c r="AK98" i="18" s="1"/>
  <c r="AB98" i="18"/>
  <c r="Y98" i="18"/>
  <c r="X98" i="18"/>
  <c r="W98" i="18"/>
  <c r="C98" i="18"/>
  <c r="B98" i="18"/>
  <c r="BD97" i="18"/>
  <c r="BC97" i="18"/>
  <c r="BB97" i="18"/>
  <c r="AT97" i="18"/>
  <c r="AS97" i="18"/>
  <c r="AR97" i="18"/>
  <c r="AI97" i="18"/>
  <c r="AQ97" i="18" s="1"/>
  <c r="AH97" i="18"/>
  <c r="AP97" i="18" s="1"/>
  <c r="AG97" i="18"/>
  <c r="AO97" i="18" s="1"/>
  <c r="AF97" i="18"/>
  <c r="AN97" i="18" s="1"/>
  <c r="AE97" i="18"/>
  <c r="AM97" i="18" s="1"/>
  <c r="AD97" i="18"/>
  <c r="AC97" i="18"/>
  <c r="AB97" i="18"/>
  <c r="Y97" i="18"/>
  <c r="X97" i="18"/>
  <c r="W97" i="18"/>
  <c r="C97" i="18"/>
  <c r="B97" i="18"/>
  <c r="BD96" i="18"/>
  <c r="BC96" i="18"/>
  <c r="BB96" i="18"/>
  <c r="AT96" i="18"/>
  <c r="AS96" i="18"/>
  <c r="AR96" i="18"/>
  <c r="AI96" i="18"/>
  <c r="AH96" i="18"/>
  <c r="AG96" i="18"/>
  <c r="AF96" i="18"/>
  <c r="AE96" i="18"/>
  <c r="AD96" i="18"/>
  <c r="AC96" i="18"/>
  <c r="AB96" i="18"/>
  <c r="Y96" i="18"/>
  <c r="X96" i="18"/>
  <c r="W96" i="18"/>
  <c r="C96" i="18"/>
  <c r="B96" i="18"/>
  <c r="BD95" i="18"/>
  <c r="BC95" i="18"/>
  <c r="BB95" i="18"/>
  <c r="AT95" i="18"/>
  <c r="AS95" i="18"/>
  <c r="AR95" i="18"/>
  <c r="AI95" i="18"/>
  <c r="AQ95" i="18" s="1"/>
  <c r="AH95" i="18"/>
  <c r="AP95" i="18" s="1"/>
  <c r="AG95" i="18"/>
  <c r="AO95" i="18" s="1"/>
  <c r="AF95" i="18"/>
  <c r="AN95" i="18" s="1"/>
  <c r="AE95" i="18"/>
  <c r="AM95" i="18" s="1"/>
  <c r="AD95" i="18"/>
  <c r="AL95" i="18" s="1"/>
  <c r="AC95" i="18"/>
  <c r="AB95" i="18"/>
  <c r="Y95" i="18"/>
  <c r="X95" i="18"/>
  <c r="W95" i="18"/>
  <c r="C95" i="18"/>
  <c r="B95" i="18"/>
  <c r="BD94" i="18"/>
  <c r="BC94" i="18"/>
  <c r="BB94" i="18"/>
  <c r="AT94" i="18"/>
  <c r="AS94" i="18"/>
  <c r="AR94" i="18"/>
  <c r="AI94" i="18"/>
  <c r="AQ94" i="18" s="1"/>
  <c r="AH94" i="18"/>
  <c r="AP94" i="18" s="1"/>
  <c r="AG94" i="18"/>
  <c r="AO94" i="18" s="1"/>
  <c r="AF94" i="18"/>
  <c r="AN94" i="18" s="1"/>
  <c r="AE94" i="18"/>
  <c r="AM94" i="18" s="1"/>
  <c r="AD94" i="18"/>
  <c r="AL94" i="18" s="1"/>
  <c r="AC94" i="18"/>
  <c r="AB94" i="18"/>
  <c r="Y94" i="18"/>
  <c r="X94" i="18"/>
  <c r="W94" i="18"/>
  <c r="C94" i="18"/>
  <c r="B94" i="18"/>
  <c r="BD93" i="18"/>
  <c r="BC93" i="18"/>
  <c r="BB93" i="18"/>
  <c r="AT93" i="18"/>
  <c r="AS93" i="18"/>
  <c r="AR93" i="18"/>
  <c r="AI93" i="18"/>
  <c r="AQ93" i="18" s="1"/>
  <c r="AH93" i="18"/>
  <c r="AP93" i="18" s="1"/>
  <c r="AG93" i="18"/>
  <c r="AO93" i="18" s="1"/>
  <c r="AF93" i="18"/>
  <c r="AN93" i="18" s="1"/>
  <c r="AE93" i="18"/>
  <c r="AM93" i="18" s="1"/>
  <c r="AD93" i="18"/>
  <c r="AL93" i="18" s="1"/>
  <c r="AC93" i="18"/>
  <c r="AB93" i="18"/>
  <c r="Y93" i="18"/>
  <c r="X93" i="18"/>
  <c r="W93" i="18"/>
  <c r="C93" i="18"/>
  <c r="B93" i="18"/>
  <c r="BD92" i="18"/>
  <c r="BC92" i="18"/>
  <c r="BB92" i="18"/>
  <c r="AT92" i="18"/>
  <c r="AS92" i="18"/>
  <c r="AR92" i="18"/>
  <c r="AI92" i="18"/>
  <c r="AQ92" i="18" s="1"/>
  <c r="AH92" i="18"/>
  <c r="AP92" i="18" s="1"/>
  <c r="AG92" i="18"/>
  <c r="AO92" i="18" s="1"/>
  <c r="AF92" i="18"/>
  <c r="AN92" i="18" s="1"/>
  <c r="AE92" i="18"/>
  <c r="AM92" i="18" s="1"/>
  <c r="AD92" i="18"/>
  <c r="AL92" i="18" s="1"/>
  <c r="AC92" i="18"/>
  <c r="AB92" i="18"/>
  <c r="Y92" i="18"/>
  <c r="X92" i="18"/>
  <c r="W92" i="18"/>
  <c r="C92" i="18"/>
  <c r="B92" i="18"/>
  <c r="BD91" i="18"/>
  <c r="BC91" i="18"/>
  <c r="BB91" i="18"/>
  <c r="AT91" i="18"/>
  <c r="AS91" i="18"/>
  <c r="AR91" i="18"/>
  <c r="AI91" i="18"/>
  <c r="AQ91" i="18" s="1"/>
  <c r="AH91" i="18"/>
  <c r="AP91" i="18" s="1"/>
  <c r="AG91" i="18"/>
  <c r="AO91" i="18" s="1"/>
  <c r="AF91" i="18"/>
  <c r="AN91" i="18" s="1"/>
  <c r="AE91" i="18"/>
  <c r="AM91" i="18" s="1"/>
  <c r="AD91" i="18"/>
  <c r="AL91" i="18" s="1"/>
  <c r="AC91" i="18"/>
  <c r="AB91" i="18"/>
  <c r="Y91" i="18"/>
  <c r="X91" i="18"/>
  <c r="W91" i="18"/>
  <c r="C91" i="18"/>
  <c r="B91" i="18"/>
  <c r="BD90" i="18"/>
  <c r="BC90" i="18"/>
  <c r="BB90" i="18"/>
  <c r="AT90" i="18"/>
  <c r="AS90" i="18"/>
  <c r="AR90" i="18"/>
  <c r="AI90" i="18"/>
  <c r="AQ90" i="18" s="1"/>
  <c r="AH90" i="18"/>
  <c r="AP90" i="18" s="1"/>
  <c r="AG90" i="18"/>
  <c r="AO90" i="18" s="1"/>
  <c r="AF90" i="18"/>
  <c r="AN90" i="18" s="1"/>
  <c r="AE90" i="18"/>
  <c r="AM90" i="18" s="1"/>
  <c r="AD90" i="18"/>
  <c r="AC90" i="18"/>
  <c r="AB90" i="18"/>
  <c r="Y90" i="18"/>
  <c r="X90" i="18"/>
  <c r="W90" i="18"/>
  <c r="C90" i="18"/>
  <c r="B90" i="18"/>
  <c r="BD89" i="18"/>
  <c r="BC89" i="18"/>
  <c r="BB89" i="18"/>
  <c r="AT89" i="18"/>
  <c r="AS89" i="18"/>
  <c r="AR89" i="18"/>
  <c r="AI89" i="18"/>
  <c r="AQ89" i="18" s="1"/>
  <c r="AH89" i="18"/>
  <c r="AP89" i="18" s="1"/>
  <c r="AG89" i="18"/>
  <c r="AO89" i="18" s="1"/>
  <c r="AF89" i="18"/>
  <c r="AN89" i="18" s="1"/>
  <c r="AE89" i="18"/>
  <c r="AM89" i="18" s="1"/>
  <c r="AD89" i="18"/>
  <c r="AC89" i="18"/>
  <c r="AB89" i="18"/>
  <c r="Y89" i="18"/>
  <c r="X89" i="18"/>
  <c r="W89" i="18"/>
  <c r="C89" i="18"/>
  <c r="B89" i="18"/>
  <c r="BD88" i="18"/>
  <c r="BC88" i="18"/>
  <c r="BB88" i="18"/>
  <c r="AT88" i="18"/>
  <c r="AS88" i="18"/>
  <c r="AR88" i="18"/>
  <c r="AI88" i="18"/>
  <c r="AQ88" i="18" s="1"/>
  <c r="AH88" i="18"/>
  <c r="AP88" i="18" s="1"/>
  <c r="AG88" i="18"/>
  <c r="AO88" i="18" s="1"/>
  <c r="AF88" i="18"/>
  <c r="AN88" i="18" s="1"/>
  <c r="AE88" i="18"/>
  <c r="AM88" i="18" s="1"/>
  <c r="AD88" i="18"/>
  <c r="AL88" i="18" s="1"/>
  <c r="AC88" i="18"/>
  <c r="AK88" i="18" s="1"/>
  <c r="AB88" i="18"/>
  <c r="Y88" i="18"/>
  <c r="X88" i="18"/>
  <c r="W88" i="18"/>
  <c r="C88" i="18"/>
  <c r="B88" i="18"/>
  <c r="BD87" i="18"/>
  <c r="BC87" i="18"/>
  <c r="BB87" i="18"/>
  <c r="AT87" i="18"/>
  <c r="AS87" i="18"/>
  <c r="AR87" i="18"/>
  <c r="AI87" i="18"/>
  <c r="AQ87" i="18" s="1"/>
  <c r="AH87" i="18"/>
  <c r="AP87" i="18" s="1"/>
  <c r="AG87" i="18"/>
  <c r="AO87" i="18" s="1"/>
  <c r="AF87" i="18"/>
  <c r="AN87" i="18" s="1"/>
  <c r="AE87" i="18"/>
  <c r="AM87" i="18" s="1"/>
  <c r="AD87" i="18"/>
  <c r="AL87" i="18" s="1"/>
  <c r="AC87" i="18"/>
  <c r="AB87" i="18"/>
  <c r="Y87" i="18"/>
  <c r="X87" i="18"/>
  <c r="W87" i="18"/>
  <c r="C87" i="18"/>
  <c r="B87" i="18"/>
  <c r="BD86" i="18"/>
  <c r="BC86" i="18"/>
  <c r="BB86" i="18"/>
  <c r="AT86" i="18"/>
  <c r="AS86" i="18"/>
  <c r="AR86" i="18"/>
  <c r="AI86" i="18"/>
  <c r="AQ86" i="18" s="1"/>
  <c r="AH86" i="18"/>
  <c r="AP86" i="18" s="1"/>
  <c r="AG86" i="18"/>
  <c r="AO86" i="18" s="1"/>
  <c r="AF86" i="18"/>
  <c r="AN86" i="18" s="1"/>
  <c r="AE86" i="18"/>
  <c r="AM86" i="18" s="1"/>
  <c r="AD86" i="18"/>
  <c r="AL86" i="18" s="1"/>
  <c r="AC86" i="18"/>
  <c r="AB86" i="18"/>
  <c r="Y86" i="18"/>
  <c r="X86" i="18"/>
  <c r="W86" i="18"/>
  <c r="C86" i="18"/>
  <c r="B86" i="18"/>
  <c r="BD85" i="18"/>
  <c r="BC85" i="18"/>
  <c r="BB85" i="18"/>
  <c r="AT85" i="18"/>
  <c r="AS85" i="18"/>
  <c r="AR85" i="18"/>
  <c r="AI85" i="18"/>
  <c r="AQ85" i="18" s="1"/>
  <c r="AH85" i="18"/>
  <c r="AP85" i="18" s="1"/>
  <c r="AG85" i="18"/>
  <c r="AO85" i="18" s="1"/>
  <c r="AF85" i="18"/>
  <c r="AN85" i="18" s="1"/>
  <c r="AE85" i="18"/>
  <c r="AM85" i="18" s="1"/>
  <c r="AD85" i="18"/>
  <c r="AL85" i="18" s="1"/>
  <c r="AC85" i="18"/>
  <c r="AK85" i="18" s="1"/>
  <c r="AB85" i="18"/>
  <c r="Y85" i="18"/>
  <c r="X85" i="18"/>
  <c r="W85" i="18"/>
  <c r="C85" i="18"/>
  <c r="B85" i="18"/>
  <c r="BD84" i="18"/>
  <c r="BC84" i="18"/>
  <c r="BB84" i="18"/>
  <c r="AT84" i="18"/>
  <c r="AS84" i="18"/>
  <c r="AR84" i="18"/>
  <c r="AI84" i="18"/>
  <c r="AQ84" i="18" s="1"/>
  <c r="AH84" i="18"/>
  <c r="AP84" i="18" s="1"/>
  <c r="AG84" i="18"/>
  <c r="AO84" i="18" s="1"/>
  <c r="AF84" i="18"/>
  <c r="AN84" i="18" s="1"/>
  <c r="AE84" i="18"/>
  <c r="AM84" i="18" s="1"/>
  <c r="AD84" i="18"/>
  <c r="AL84" i="18" s="1"/>
  <c r="AC84" i="18"/>
  <c r="AB84" i="18"/>
  <c r="Y84" i="18"/>
  <c r="X84" i="18"/>
  <c r="W84" i="18"/>
  <c r="C84" i="18"/>
  <c r="B84" i="18"/>
  <c r="BD83" i="18"/>
  <c r="BC83" i="18"/>
  <c r="BB83" i="18"/>
  <c r="AT83" i="18"/>
  <c r="AS83" i="18"/>
  <c r="AR83" i="18"/>
  <c r="AI83" i="18"/>
  <c r="AQ83" i="18" s="1"/>
  <c r="AH83" i="18"/>
  <c r="AP83" i="18" s="1"/>
  <c r="AG83" i="18"/>
  <c r="AO83" i="18" s="1"/>
  <c r="AF83" i="18"/>
  <c r="AN83" i="18" s="1"/>
  <c r="AE83" i="18"/>
  <c r="AM83" i="18" s="1"/>
  <c r="AD83" i="18"/>
  <c r="AC83" i="18"/>
  <c r="AB83" i="18"/>
  <c r="Y83" i="18"/>
  <c r="X83" i="18"/>
  <c r="W83" i="18"/>
  <c r="C83" i="18"/>
  <c r="B83" i="18"/>
  <c r="BD82" i="18"/>
  <c r="BC82" i="18"/>
  <c r="BB82" i="18"/>
  <c r="AT82" i="18"/>
  <c r="AS82" i="18"/>
  <c r="AR82" i="18"/>
  <c r="AI82" i="18"/>
  <c r="AQ82" i="18" s="1"/>
  <c r="AH82" i="18"/>
  <c r="AP82" i="18" s="1"/>
  <c r="AG82" i="18"/>
  <c r="AO82" i="18" s="1"/>
  <c r="AF82" i="18"/>
  <c r="AN82" i="18" s="1"/>
  <c r="AE82" i="18"/>
  <c r="AM82" i="18" s="1"/>
  <c r="AD82" i="18"/>
  <c r="AL82" i="18" s="1"/>
  <c r="AC82" i="18"/>
  <c r="AB82" i="18"/>
  <c r="Y82" i="18"/>
  <c r="X82" i="18"/>
  <c r="W82" i="18"/>
  <c r="C82" i="18"/>
  <c r="B82" i="18"/>
  <c r="BD81" i="18"/>
  <c r="BC81" i="18"/>
  <c r="BB81" i="18"/>
  <c r="AT81" i="18"/>
  <c r="AS81" i="18"/>
  <c r="AR81" i="18"/>
  <c r="AI81" i="18"/>
  <c r="AQ81" i="18" s="1"/>
  <c r="AH81" i="18"/>
  <c r="AP81" i="18" s="1"/>
  <c r="AG81" i="18"/>
  <c r="AO81" i="18" s="1"/>
  <c r="AF81" i="18"/>
  <c r="AN81" i="18" s="1"/>
  <c r="AE81" i="18"/>
  <c r="AM81" i="18" s="1"/>
  <c r="AD81" i="18"/>
  <c r="AL81" i="18" s="1"/>
  <c r="AC81" i="18"/>
  <c r="AB81" i="18"/>
  <c r="Y81" i="18"/>
  <c r="X81" i="18"/>
  <c r="W81" i="18"/>
  <c r="C81" i="18"/>
  <c r="B81" i="18"/>
  <c r="BD80" i="18"/>
  <c r="BC80" i="18"/>
  <c r="BB80" i="18"/>
  <c r="AT80" i="18"/>
  <c r="AS80" i="18"/>
  <c r="AR80" i="18"/>
  <c r="AI80" i="18"/>
  <c r="AQ80" i="18" s="1"/>
  <c r="AH80" i="18"/>
  <c r="AP80" i="18" s="1"/>
  <c r="AG80" i="18"/>
  <c r="AO80" i="18" s="1"/>
  <c r="AF80" i="18"/>
  <c r="AN80" i="18" s="1"/>
  <c r="AE80" i="18"/>
  <c r="AM80" i="18" s="1"/>
  <c r="AD80" i="18"/>
  <c r="AL80" i="18" s="1"/>
  <c r="AC80" i="18"/>
  <c r="AB80" i="18"/>
  <c r="Y80" i="18"/>
  <c r="X80" i="18"/>
  <c r="W80" i="18"/>
  <c r="C80" i="18"/>
  <c r="B80" i="18"/>
  <c r="BD79" i="18"/>
  <c r="BC79" i="18"/>
  <c r="BB79" i="18"/>
  <c r="AT79" i="18"/>
  <c r="AS79" i="18"/>
  <c r="AR79" i="18"/>
  <c r="AI79" i="18"/>
  <c r="AQ79" i="18" s="1"/>
  <c r="AH79" i="18"/>
  <c r="AP79" i="18" s="1"/>
  <c r="AG79" i="18"/>
  <c r="AO79" i="18" s="1"/>
  <c r="AF79" i="18"/>
  <c r="AN79" i="18" s="1"/>
  <c r="AE79" i="18"/>
  <c r="AM79" i="18" s="1"/>
  <c r="AD79" i="18"/>
  <c r="AL79" i="18" s="1"/>
  <c r="AC79" i="18"/>
  <c r="AB79" i="18"/>
  <c r="Y79" i="18"/>
  <c r="X79" i="18"/>
  <c r="W79" i="18"/>
  <c r="C79" i="18"/>
  <c r="B79" i="18"/>
  <c r="BD78" i="18"/>
  <c r="BC78" i="18"/>
  <c r="BB78" i="18"/>
  <c r="AT78" i="18"/>
  <c r="AS78" i="18"/>
  <c r="AR78" i="18"/>
  <c r="AI78" i="18"/>
  <c r="AQ78" i="18" s="1"/>
  <c r="AH78" i="18"/>
  <c r="AP78" i="18" s="1"/>
  <c r="AG78" i="18"/>
  <c r="AO78" i="18" s="1"/>
  <c r="AF78" i="18"/>
  <c r="AN78" i="18" s="1"/>
  <c r="AE78" i="18"/>
  <c r="AM78" i="18" s="1"/>
  <c r="AD78" i="18"/>
  <c r="AL78" i="18" s="1"/>
  <c r="AC78" i="18"/>
  <c r="AB78" i="18"/>
  <c r="Y78" i="18"/>
  <c r="X78" i="18"/>
  <c r="W78" i="18"/>
  <c r="C78" i="18"/>
  <c r="B78" i="18"/>
  <c r="BD77" i="18"/>
  <c r="BC77" i="18"/>
  <c r="BB77" i="18"/>
  <c r="AT77" i="18"/>
  <c r="AS77" i="18"/>
  <c r="AR77" i="18"/>
  <c r="AI77" i="18"/>
  <c r="AQ77" i="18" s="1"/>
  <c r="AH77" i="18"/>
  <c r="AP77" i="18" s="1"/>
  <c r="AG77" i="18"/>
  <c r="AO77" i="18" s="1"/>
  <c r="AF77" i="18"/>
  <c r="AN77" i="18" s="1"/>
  <c r="AE77" i="18"/>
  <c r="AM77" i="18" s="1"/>
  <c r="AD77" i="18"/>
  <c r="AC77" i="18"/>
  <c r="AB77" i="18"/>
  <c r="Y77" i="18"/>
  <c r="X77" i="18"/>
  <c r="W77" i="18"/>
  <c r="C77" i="18"/>
  <c r="B77" i="18"/>
  <c r="BD76" i="18"/>
  <c r="BC76" i="18"/>
  <c r="BB76" i="18"/>
  <c r="AT76" i="18"/>
  <c r="AS76" i="18"/>
  <c r="AR76" i="18"/>
  <c r="AI76" i="18"/>
  <c r="AQ76" i="18" s="1"/>
  <c r="AH76" i="18"/>
  <c r="AP76" i="18" s="1"/>
  <c r="AG76" i="18"/>
  <c r="AO76" i="18" s="1"/>
  <c r="AF76" i="18"/>
  <c r="AN76" i="18" s="1"/>
  <c r="AE76" i="18"/>
  <c r="AM76" i="18" s="1"/>
  <c r="AD76" i="18"/>
  <c r="AL76" i="18" s="1"/>
  <c r="AC76" i="18"/>
  <c r="AB76" i="18"/>
  <c r="Y76" i="18"/>
  <c r="X76" i="18"/>
  <c r="W76" i="18"/>
  <c r="C76" i="18"/>
  <c r="B76" i="18"/>
  <c r="BD75" i="18"/>
  <c r="BC75" i="18"/>
  <c r="BB75" i="18"/>
  <c r="AT75" i="18"/>
  <c r="AS75" i="18"/>
  <c r="AR75" i="18"/>
  <c r="AI75" i="18"/>
  <c r="AQ75" i="18" s="1"/>
  <c r="AH75" i="18"/>
  <c r="AP75" i="18" s="1"/>
  <c r="AG75" i="18"/>
  <c r="AO75" i="18" s="1"/>
  <c r="AF75" i="18"/>
  <c r="AN75" i="18" s="1"/>
  <c r="AE75" i="18"/>
  <c r="AM75" i="18" s="1"/>
  <c r="AD75" i="18"/>
  <c r="AL75" i="18" s="1"/>
  <c r="AC75" i="18"/>
  <c r="AB75" i="18"/>
  <c r="Y75" i="18"/>
  <c r="X75" i="18"/>
  <c r="W75" i="18"/>
  <c r="C75" i="18"/>
  <c r="B75" i="18"/>
  <c r="BD74" i="18"/>
  <c r="BC74" i="18"/>
  <c r="BB74" i="18"/>
  <c r="AT74" i="18"/>
  <c r="AS74" i="18"/>
  <c r="AR74" i="18"/>
  <c r="AI74" i="18"/>
  <c r="AQ74" i="18" s="1"/>
  <c r="AH74" i="18"/>
  <c r="AP74" i="18" s="1"/>
  <c r="AG74" i="18"/>
  <c r="AO74" i="18" s="1"/>
  <c r="AF74" i="18"/>
  <c r="AN74" i="18" s="1"/>
  <c r="AE74" i="18"/>
  <c r="AM74" i="18" s="1"/>
  <c r="AD74" i="18"/>
  <c r="AL74" i="18" s="1"/>
  <c r="AC74" i="18"/>
  <c r="AB74" i="18"/>
  <c r="Y74" i="18"/>
  <c r="X74" i="18"/>
  <c r="W74" i="18"/>
  <c r="C74" i="18"/>
  <c r="B74" i="18"/>
  <c r="BD73" i="18"/>
  <c r="BC73" i="18"/>
  <c r="BB73" i="18"/>
  <c r="AT73" i="18"/>
  <c r="AS73" i="18"/>
  <c r="AR73" i="18"/>
  <c r="AI73" i="18"/>
  <c r="AQ73" i="18" s="1"/>
  <c r="AH73" i="18"/>
  <c r="AP73" i="18" s="1"/>
  <c r="AG73" i="18"/>
  <c r="AO73" i="18" s="1"/>
  <c r="AF73" i="18"/>
  <c r="AN73" i="18" s="1"/>
  <c r="AE73" i="18"/>
  <c r="AM73" i="18" s="1"/>
  <c r="AD73" i="18"/>
  <c r="AL73" i="18" s="1"/>
  <c r="AC73" i="18"/>
  <c r="AB73" i="18"/>
  <c r="Y73" i="18"/>
  <c r="X73" i="18"/>
  <c r="W73" i="18"/>
  <c r="C73" i="18"/>
  <c r="B73" i="18"/>
  <c r="BD72" i="18"/>
  <c r="BC72" i="18"/>
  <c r="BB72" i="18"/>
  <c r="AT72" i="18"/>
  <c r="AS72" i="18"/>
  <c r="AR72" i="18"/>
  <c r="AI72" i="18"/>
  <c r="AQ72" i="18" s="1"/>
  <c r="AH72" i="18"/>
  <c r="AP72" i="18" s="1"/>
  <c r="AG72" i="18"/>
  <c r="AO72" i="18" s="1"/>
  <c r="AF72" i="18"/>
  <c r="AN72" i="18" s="1"/>
  <c r="AE72" i="18"/>
  <c r="AM72" i="18" s="1"/>
  <c r="AD72" i="18"/>
  <c r="AL72" i="18" s="1"/>
  <c r="AC72" i="18"/>
  <c r="AB72" i="18"/>
  <c r="Y72" i="18"/>
  <c r="X72" i="18"/>
  <c r="W72" i="18"/>
  <c r="C72" i="18"/>
  <c r="B72" i="18"/>
  <c r="BD71" i="18"/>
  <c r="BC71" i="18"/>
  <c r="BB71" i="18"/>
  <c r="AT71" i="18"/>
  <c r="AS71" i="18"/>
  <c r="AR71" i="18"/>
  <c r="AI71" i="18"/>
  <c r="AQ71" i="18" s="1"/>
  <c r="AH71" i="18"/>
  <c r="AP71" i="18" s="1"/>
  <c r="AG71" i="18"/>
  <c r="AO71" i="18" s="1"/>
  <c r="AF71" i="18"/>
  <c r="AN71" i="18" s="1"/>
  <c r="AE71" i="18"/>
  <c r="AM71" i="18" s="1"/>
  <c r="AD71" i="18"/>
  <c r="AC71" i="18"/>
  <c r="AB71" i="18"/>
  <c r="Y71" i="18"/>
  <c r="X71" i="18"/>
  <c r="W71" i="18"/>
  <c r="C71" i="18"/>
  <c r="B71" i="18"/>
  <c r="BD70" i="18"/>
  <c r="BC70" i="18"/>
  <c r="BB70" i="18"/>
  <c r="AT70" i="18"/>
  <c r="AS70" i="18"/>
  <c r="AR70" i="18"/>
  <c r="AI70" i="18"/>
  <c r="AQ70" i="18" s="1"/>
  <c r="AH70" i="18"/>
  <c r="AP70" i="18" s="1"/>
  <c r="AG70" i="18"/>
  <c r="AO70" i="18" s="1"/>
  <c r="AF70" i="18"/>
  <c r="AN70" i="18" s="1"/>
  <c r="AE70" i="18"/>
  <c r="AM70" i="18" s="1"/>
  <c r="AD70" i="18"/>
  <c r="AL70" i="18" s="1"/>
  <c r="AC70" i="18"/>
  <c r="AB70" i="18"/>
  <c r="Y70" i="18"/>
  <c r="X70" i="18"/>
  <c r="W70" i="18"/>
  <c r="C70" i="18"/>
  <c r="B70" i="18"/>
  <c r="BD69" i="18"/>
  <c r="BC69" i="18"/>
  <c r="BB69" i="18"/>
  <c r="AT69" i="18"/>
  <c r="AS69" i="18"/>
  <c r="AR69" i="18"/>
  <c r="AI69" i="18"/>
  <c r="AQ69" i="18" s="1"/>
  <c r="AH69" i="18"/>
  <c r="AP69" i="18" s="1"/>
  <c r="AG69" i="18"/>
  <c r="AO69" i="18" s="1"/>
  <c r="AF69" i="18"/>
  <c r="AN69" i="18" s="1"/>
  <c r="AE69" i="18"/>
  <c r="AM69" i="18" s="1"/>
  <c r="AD69" i="18"/>
  <c r="AC69" i="18"/>
  <c r="AB69" i="18"/>
  <c r="Y69" i="18"/>
  <c r="X69" i="18"/>
  <c r="W69" i="18"/>
  <c r="C69" i="18"/>
  <c r="B69" i="18"/>
  <c r="BD68" i="18"/>
  <c r="BC68" i="18"/>
  <c r="BB68" i="18"/>
  <c r="AT68" i="18"/>
  <c r="AS68" i="18"/>
  <c r="AR68" i="18"/>
  <c r="AI68" i="18"/>
  <c r="AQ68" i="18" s="1"/>
  <c r="AH68" i="18"/>
  <c r="AP68" i="18" s="1"/>
  <c r="AG68" i="18"/>
  <c r="AO68" i="18" s="1"/>
  <c r="AF68" i="18"/>
  <c r="AN68" i="18" s="1"/>
  <c r="AE68" i="18"/>
  <c r="AM68" i="18" s="1"/>
  <c r="AD68" i="18"/>
  <c r="AL68" i="18" s="1"/>
  <c r="AC68" i="18"/>
  <c r="AB68" i="18"/>
  <c r="Y68" i="18"/>
  <c r="X68" i="18"/>
  <c r="W68" i="18"/>
  <c r="C68" i="18"/>
  <c r="B68" i="18"/>
  <c r="BD67" i="18"/>
  <c r="BC67" i="18"/>
  <c r="BB67" i="18"/>
  <c r="AT67" i="18"/>
  <c r="AS67" i="18"/>
  <c r="AR67" i="18"/>
  <c r="AI67" i="18"/>
  <c r="AQ67" i="18" s="1"/>
  <c r="AH67" i="18"/>
  <c r="AP67" i="18" s="1"/>
  <c r="AG67" i="18"/>
  <c r="AO67" i="18" s="1"/>
  <c r="AF67" i="18"/>
  <c r="AN67" i="18" s="1"/>
  <c r="AE67" i="18"/>
  <c r="AM67" i="18" s="1"/>
  <c r="AD67" i="18"/>
  <c r="AL67" i="18" s="1"/>
  <c r="AC67" i="18"/>
  <c r="AB67" i="18"/>
  <c r="Y67" i="18"/>
  <c r="X67" i="18"/>
  <c r="W67" i="18"/>
  <c r="C67" i="18"/>
  <c r="B67" i="18"/>
  <c r="BD66" i="18"/>
  <c r="BC66" i="18"/>
  <c r="BB66" i="18"/>
  <c r="AT66" i="18"/>
  <c r="AS66" i="18"/>
  <c r="AR66" i="18"/>
  <c r="AI66" i="18"/>
  <c r="AQ66" i="18" s="1"/>
  <c r="AH66" i="18"/>
  <c r="AP66" i="18" s="1"/>
  <c r="AG66" i="18"/>
  <c r="AO66" i="18" s="1"/>
  <c r="AF66" i="18"/>
  <c r="AN66" i="18" s="1"/>
  <c r="AE66" i="18"/>
  <c r="AM66" i="18" s="1"/>
  <c r="AD66" i="18"/>
  <c r="AC66" i="18"/>
  <c r="AB66" i="18"/>
  <c r="Y66" i="18"/>
  <c r="X66" i="18"/>
  <c r="W66" i="18"/>
  <c r="C66" i="18"/>
  <c r="B66" i="18"/>
  <c r="BD65" i="18"/>
  <c r="BC65" i="18"/>
  <c r="BB65" i="18"/>
  <c r="AT65" i="18"/>
  <c r="AS65" i="18"/>
  <c r="AR65" i="18"/>
  <c r="AI65" i="18"/>
  <c r="AQ65" i="18" s="1"/>
  <c r="AH65" i="18"/>
  <c r="AP65" i="18" s="1"/>
  <c r="AG65" i="18"/>
  <c r="AO65" i="18" s="1"/>
  <c r="AF65" i="18"/>
  <c r="AN65" i="18" s="1"/>
  <c r="AE65" i="18"/>
  <c r="AM65" i="18" s="1"/>
  <c r="AD65" i="18"/>
  <c r="AL65" i="18" s="1"/>
  <c r="AC65" i="18"/>
  <c r="AK65" i="18" s="1"/>
  <c r="AB65" i="18"/>
  <c r="Y65" i="18"/>
  <c r="X65" i="18"/>
  <c r="W65" i="18"/>
  <c r="C65" i="18"/>
  <c r="B65" i="18"/>
  <c r="BD64" i="18"/>
  <c r="BC64" i="18"/>
  <c r="BB64" i="18"/>
  <c r="AT64" i="18"/>
  <c r="AS64" i="18"/>
  <c r="AR64" i="18"/>
  <c r="AI64" i="18"/>
  <c r="AQ64" i="18" s="1"/>
  <c r="AH64" i="18"/>
  <c r="AP64" i="18" s="1"/>
  <c r="AG64" i="18"/>
  <c r="AO64" i="18" s="1"/>
  <c r="AF64" i="18"/>
  <c r="AN64" i="18" s="1"/>
  <c r="AE64" i="18"/>
  <c r="AM64" i="18" s="1"/>
  <c r="AD64" i="18"/>
  <c r="AL64" i="18" s="1"/>
  <c r="AC64" i="18"/>
  <c r="AB64" i="18"/>
  <c r="Y64" i="18"/>
  <c r="X64" i="18"/>
  <c r="W64" i="18"/>
  <c r="C64" i="18"/>
  <c r="B64" i="18"/>
  <c r="BD63" i="18"/>
  <c r="BC63" i="18"/>
  <c r="BB63" i="18"/>
  <c r="AT63" i="18"/>
  <c r="AS63" i="18"/>
  <c r="AR63" i="18"/>
  <c r="AI63" i="18"/>
  <c r="AQ63" i="18" s="1"/>
  <c r="AH63" i="18"/>
  <c r="AP63" i="18" s="1"/>
  <c r="AG63" i="18"/>
  <c r="AO63" i="18" s="1"/>
  <c r="AF63" i="18"/>
  <c r="AN63" i="18" s="1"/>
  <c r="AE63" i="18"/>
  <c r="AM63" i="18" s="1"/>
  <c r="AD63" i="18"/>
  <c r="AL63" i="18" s="1"/>
  <c r="AC63" i="18"/>
  <c r="AB63" i="18"/>
  <c r="Y63" i="18"/>
  <c r="X63" i="18"/>
  <c r="W63" i="18"/>
  <c r="C63" i="18"/>
  <c r="B63" i="18"/>
  <c r="BD62" i="18"/>
  <c r="BC62" i="18"/>
  <c r="BB62" i="18"/>
  <c r="AT62" i="18"/>
  <c r="AS62" i="18"/>
  <c r="AR62" i="18"/>
  <c r="AI62" i="18"/>
  <c r="AQ62" i="18" s="1"/>
  <c r="AH62" i="18"/>
  <c r="AP62" i="18" s="1"/>
  <c r="AG62" i="18"/>
  <c r="AO62" i="18" s="1"/>
  <c r="AF62" i="18"/>
  <c r="AN62" i="18" s="1"/>
  <c r="AE62" i="18"/>
  <c r="AM62" i="18" s="1"/>
  <c r="AD62" i="18"/>
  <c r="AL62" i="18" s="1"/>
  <c r="AC62" i="18"/>
  <c r="AB62" i="18"/>
  <c r="Y62" i="18"/>
  <c r="X62" i="18"/>
  <c r="W62" i="18"/>
  <c r="C62" i="18"/>
  <c r="B62" i="18"/>
  <c r="BD61" i="18"/>
  <c r="BC61" i="18"/>
  <c r="BB61" i="18"/>
  <c r="AT61" i="18"/>
  <c r="AS61" i="18"/>
  <c r="AR61" i="18"/>
  <c r="AI61" i="18"/>
  <c r="AQ61" i="18" s="1"/>
  <c r="AH61" i="18"/>
  <c r="AP61" i="18" s="1"/>
  <c r="AG61" i="18"/>
  <c r="AO61" i="18" s="1"/>
  <c r="AF61" i="18"/>
  <c r="AN61" i="18" s="1"/>
  <c r="AE61" i="18"/>
  <c r="AM61" i="18" s="1"/>
  <c r="AD61" i="18"/>
  <c r="AL61" i="18" s="1"/>
  <c r="AC61" i="18"/>
  <c r="AB61" i="18"/>
  <c r="Y61" i="18"/>
  <c r="X61" i="18"/>
  <c r="W61" i="18"/>
  <c r="C61" i="18"/>
  <c r="B61" i="18"/>
  <c r="BD60" i="18"/>
  <c r="BC60" i="18"/>
  <c r="BB60" i="18"/>
  <c r="AT60" i="18"/>
  <c r="AS60" i="18"/>
  <c r="AR60" i="18"/>
  <c r="AI60" i="18"/>
  <c r="AQ60" i="18" s="1"/>
  <c r="AH60" i="18"/>
  <c r="AP60" i="18" s="1"/>
  <c r="AG60" i="18"/>
  <c r="AO60" i="18" s="1"/>
  <c r="AF60" i="18"/>
  <c r="AN60" i="18" s="1"/>
  <c r="AE60" i="18"/>
  <c r="AM60" i="18" s="1"/>
  <c r="AD60" i="18"/>
  <c r="AL60" i="18" s="1"/>
  <c r="AC60" i="18"/>
  <c r="AB60" i="18"/>
  <c r="Y60" i="18"/>
  <c r="X60" i="18"/>
  <c r="W60" i="18"/>
  <c r="C60" i="18"/>
  <c r="B60" i="18"/>
  <c r="BD59" i="18"/>
  <c r="BC59" i="18"/>
  <c r="BB59" i="18"/>
  <c r="AT59" i="18"/>
  <c r="AS59" i="18"/>
  <c r="AR59" i="18"/>
  <c r="AI59" i="18"/>
  <c r="AQ59" i="18" s="1"/>
  <c r="AH59" i="18"/>
  <c r="AP59" i="18" s="1"/>
  <c r="AG59" i="18"/>
  <c r="AO59" i="18" s="1"/>
  <c r="AF59" i="18"/>
  <c r="AN59" i="18" s="1"/>
  <c r="AE59" i="18"/>
  <c r="AD59" i="18"/>
  <c r="AC59" i="18"/>
  <c r="AB59" i="18"/>
  <c r="Y59" i="18"/>
  <c r="X59" i="18"/>
  <c r="W59" i="18"/>
  <c r="C59" i="18"/>
  <c r="B59" i="18"/>
  <c r="BD58" i="18"/>
  <c r="BC58" i="18"/>
  <c r="BB58" i="18"/>
  <c r="AT58" i="18"/>
  <c r="AS58" i="18"/>
  <c r="AR58" i="18"/>
  <c r="AI58" i="18"/>
  <c r="AQ58" i="18" s="1"/>
  <c r="AH58" i="18"/>
  <c r="AP58" i="18" s="1"/>
  <c r="AG58" i="18"/>
  <c r="AO58" i="18" s="1"/>
  <c r="AF58" i="18"/>
  <c r="AN58" i="18" s="1"/>
  <c r="AE58" i="18"/>
  <c r="AM58" i="18" s="1"/>
  <c r="AD58" i="18"/>
  <c r="AL58" i="18" s="1"/>
  <c r="AC58" i="18"/>
  <c r="AB58" i="18"/>
  <c r="Y58" i="18"/>
  <c r="X58" i="18"/>
  <c r="W58" i="18"/>
  <c r="C58" i="18"/>
  <c r="B58" i="18"/>
  <c r="BD57" i="18"/>
  <c r="BC57" i="18"/>
  <c r="BB57" i="18"/>
  <c r="AT57" i="18"/>
  <c r="AS57" i="18"/>
  <c r="AR57" i="18"/>
  <c r="AI57" i="18"/>
  <c r="AQ57" i="18" s="1"/>
  <c r="AH57" i="18"/>
  <c r="AP57" i="18" s="1"/>
  <c r="AG57" i="18"/>
  <c r="AO57" i="18" s="1"/>
  <c r="AF57" i="18"/>
  <c r="AN57" i="18" s="1"/>
  <c r="AE57" i="18"/>
  <c r="AM57" i="18" s="1"/>
  <c r="AD57" i="18"/>
  <c r="AC57" i="18"/>
  <c r="AB57" i="18"/>
  <c r="Y57" i="18"/>
  <c r="X57" i="18"/>
  <c r="W57" i="18"/>
  <c r="C57" i="18"/>
  <c r="B57" i="18"/>
  <c r="BD56" i="18"/>
  <c r="BC56" i="18"/>
  <c r="BB56" i="18"/>
  <c r="AT56" i="18"/>
  <c r="AS56" i="18"/>
  <c r="AR56" i="18"/>
  <c r="AI56" i="18"/>
  <c r="AQ56" i="18" s="1"/>
  <c r="AH56" i="18"/>
  <c r="AP56" i="18" s="1"/>
  <c r="AG56" i="18"/>
  <c r="AO56" i="18" s="1"/>
  <c r="AF56" i="18"/>
  <c r="AN56" i="18" s="1"/>
  <c r="AE56" i="18"/>
  <c r="AM56" i="18" s="1"/>
  <c r="AD56" i="18"/>
  <c r="AC56" i="18"/>
  <c r="AB56" i="18"/>
  <c r="Y56" i="18"/>
  <c r="X56" i="18"/>
  <c r="W56" i="18"/>
  <c r="C56" i="18"/>
  <c r="B56" i="18"/>
  <c r="BD55" i="18"/>
  <c r="BC55" i="18"/>
  <c r="BB55" i="18"/>
  <c r="AT55" i="18"/>
  <c r="AS55" i="18"/>
  <c r="AR55" i="18"/>
  <c r="AI55" i="18"/>
  <c r="AQ55" i="18" s="1"/>
  <c r="AH55" i="18"/>
  <c r="AP55" i="18" s="1"/>
  <c r="AG55" i="18"/>
  <c r="AO55" i="18" s="1"/>
  <c r="AF55" i="18"/>
  <c r="AN55" i="18" s="1"/>
  <c r="AE55" i="18"/>
  <c r="AM55" i="18" s="1"/>
  <c r="AD55" i="18"/>
  <c r="AL55" i="18" s="1"/>
  <c r="AC55" i="18"/>
  <c r="AB55" i="18"/>
  <c r="Y55" i="18"/>
  <c r="X55" i="18"/>
  <c r="W55" i="18"/>
  <c r="C55" i="18"/>
  <c r="B55" i="18"/>
  <c r="BD54" i="18"/>
  <c r="BC54" i="18"/>
  <c r="BB54" i="18"/>
  <c r="AT54" i="18"/>
  <c r="AS54" i="18"/>
  <c r="AR54" i="18"/>
  <c r="AI54" i="18"/>
  <c r="AQ54" i="18" s="1"/>
  <c r="AH54" i="18"/>
  <c r="AP54" i="18" s="1"/>
  <c r="AG54" i="18"/>
  <c r="AO54" i="18" s="1"/>
  <c r="AF54" i="18"/>
  <c r="AN54" i="18" s="1"/>
  <c r="AE54" i="18"/>
  <c r="AM54" i="18" s="1"/>
  <c r="AD54" i="18"/>
  <c r="AL54" i="18" s="1"/>
  <c r="AC54" i="18"/>
  <c r="AB54" i="18"/>
  <c r="Y54" i="18"/>
  <c r="X54" i="18"/>
  <c r="W54" i="18"/>
  <c r="C54" i="18"/>
  <c r="B54" i="18"/>
  <c r="BD53" i="18"/>
  <c r="BC53" i="18"/>
  <c r="BB53" i="18"/>
  <c r="AT53" i="18"/>
  <c r="AS53" i="18"/>
  <c r="AR53" i="18"/>
  <c r="AI53" i="18"/>
  <c r="AQ53" i="18" s="1"/>
  <c r="AH53" i="18"/>
  <c r="AP53" i="18" s="1"/>
  <c r="AG53" i="18"/>
  <c r="AO53" i="18" s="1"/>
  <c r="AF53" i="18"/>
  <c r="AN53" i="18" s="1"/>
  <c r="AE53" i="18"/>
  <c r="AM53" i="18" s="1"/>
  <c r="AD53" i="18"/>
  <c r="AL53" i="18" s="1"/>
  <c r="AC53" i="18"/>
  <c r="AB53" i="18"/>
  <c r="Y53" i="18"/>
  <c r="X53" i="18"/>
  <c r="W53" i="18"/>
  <c r="C53" i="18"/>
  <c r="B53" i="18"/>
  <c r="BD52" i="18"/>
  <c r="BC52" i="18"/>
  <c r="BB52" i="18"/>
  <c r="AT52" i="18"/>
  <c r="AS52" i="18"/>
  <c r="AR52" i="18"/>
  <c r="AI52" i="18"/>
  <c r="AQ52" i="18" s="1"/>
  <c r="AH52" i="18"/>
  <c r="AP52" i="18" s="1"/>
  <c r="AG52" i="18"/>
  <c r="AO52" i="18" s="1"/>
  <c r="AF52" i="18"/>
  <c r="AN52" i="18" s="1"/>
  <c r="AE52" i="18"/>
  <c r="AM52" i="18" s="1"/>
  <c r="AD52" i="18"/>
  <c r="AL52" i="18" s="1"/>
  <c r="AC52" i="18"/>
  <c r="AB52" i="18"/>
  <c r="Y52" i="18"/>
  <c r="X52" i="18"/>
  <c r="W52" i="18"/>
  <c r="C52" i="18"/>
  <c r="B52" i="18"/>
  <c r="BD51" i="18"/>
  <c r="BC51" i="18"/>
  <c r="BB51" i="18"/>
  <c r="AT51" i="18"/>
  <c r="AS51" i="18"/>
  <c r="AR51" i="18"/>
  <c r="AI51" i="18"/>
  <c r="AQ51" i="18" s="1"/>
  <c r="AH51" i="18"/>
  <c r="AP51" i="18" s="1"/>
  <c r="AG51" i="18"/>
  <c r="AO51" i="18" s="1"/>
  <c r="AF51" i="18"/>
  <c r="AN51" i="18" s="1"/>
  <c r="AE51" i="18"/>
  <c r="AM51" i="18" s="1"/>
  <c r="AD51" i="18"/>
  <c r="AL51" i="18" s="1"/>
  <c r="AC51" i="18"/>
  <c r="AB51" i="18"/>
  <c r="Y51" i="18"/>
  <c r="X51" i="18"/>
  <c r="W51" i="18"/>
  <c r="C51" i="18"/>
  <c r="B51" i="18"/>
  <c r="BD50" i="18"/>
  <c r="BC50" i="18"/>
  <c r="BB50" i="18"/>
  <c r="AT50" i="18"/>
  <c r="AS50" i="18"/>
  <c r="AR50" i="18"/>
  <c r="AI50" i="18"/>
  <c r="AQ50" i="18" s="1"/>
  <c r="AH50" i="18"/>
  <c r="AP50" i="18" s="1"/>
  <c r="AG50" i="18"/>
  <c r="AO50" i="18" s="1"/>
  <c r="AF50" i="18"/>
  <c r="AN50" i="18" s="1"/>
  <c r="AE50" i="18"/>
  <c r="AM50" i="18" s="1"/>
  <c r="AD50" i="18"/>
  <c r="AL50" i="18" s="1"/>
  <c r="AC50" i="18"/>
  <c r="AB50" i="18"/>
  <c r="Y50" i="18"/>
  <c r="X50" i="18"/>
  <c r="W50" i="18"/>
  <c r="C50" i="18"/>
  <c r="B50" i="18"/>
  <c r="BD49" i="18"/>
  <c r="BC49" i="18"/>
  <c r="BB49" i="18"/>
  <c r="AT49" i="18"/>
  <c r="AS49" i="18"/>
  <c r="AR49" i="18"/>
  <c r="AI49" i="18"/>
  <c r="AQ49" i="18" s="1"/>
  <c r="AH49" i="18"/>
  <c r="AP49" i="18" s="1"/>
  <c r="AG49" i="18"/>
  <c r="AO49" i="18" s="1"/>
  <c r="AF49" i="18"/>
  <c r="AN49" i="18" s="1"/>
  <c r="AE49" i="18"/>
  <c r="AM49" i="18" s="1"/>
  <c r="AD49" i="18"/>
  <c r="AL49" i="18" s="1"/>
  <c r="AC49" i="18"/>
  <c r="AB49" i="18"/>
  <c r="Y49" i="18"/>
  <c r="X49" i="18"/>
  <c r="W49" i="18"/>
  <c r="C49" i="18"/>
  <c r="B49" i="18"/>
  <c r="BD48" i="18"/>
  <c r="BC48" i="18"/>
  <c r="BB48" i="18"/>
  <c r="AT48" i="18"/>
  <c r="AS48" i="18"/>
  <c r="AR48" i="18"/>
  <c r="AI48" i="18"/>
  <c r="AQ48" i="18" s="1"/>
  <c r="AH48" i="18"/>
  <c r="AP48" i="18" s="1"/>
  <c r="AG48" i="18"/>
  <c r="AO48" i="18" s="1"/>
  <c r="AF48" i="18"/>
  <c r="AN48" i="18" s="1"/>
  <c r="AE48" i="18"/>
  <c r="AM48" i="18" s="1"/>
  <c r="AD48" i="18"/>
  <c r="AL48" i="18" s="1"/>
  <c r="AC48" i="18"/>
  <c r="AB48" i="18"/>
  <c r="Y48" i="18"/>
  <c r="X48" i="18"/>
  <c r="W48" i="18"/>
  <c r="C48" i="18"/>
  <c r="B48" i="18"/>
  <c r="BD47" i="18"/>
  <c r="BC47" i="18"/>
  <c r="BB47" i="18"/>
  <c r="AT47" i="18"/>
  <c r="AS47" i="18"/>
  <c r="AR47" i="18"/>
  <c r="AI47" i="18"/>
  <c r="AQ47" i="18" s="1"/>
  <c r="AH47" i="18"/>
  <c r="AP47" i="18" s="1"/>
  <c r="AG47" i="18"/>
  <c r="AO47" i="18" s="1"/>
  <c r="AF47" i="18"/>
  <c r="AN47" i="18" s="1"/>
  <c r="AE47" i="18"/>
  <c r="AM47" i="18" s="1"/>
  <c r="AD47" i="18"/>
  <c r="AC47" i="18"/>
  <c r="AB47" i="18"/>
  <c r="Y47" i="18"/>
  <c r="X47" i="18"/>
  <c r="W47" i="18"/>
  <c r="C47" i="18"/>
  <c r="B47" i="18"/>
  <c r="BD46" i="18"/>
  <c r="BC46" i="18"/>
  <c r="BB46" i="18"/>
  <c r="AT46" i="18"/>
  <c r="AS46" i="18"/>
  <c r="AR46" i="18"/>
  <c r="AI46" i="18"/>
  <c r="AQ46" i="18" s="1"/>
  <c r="AH46" i="18"/>
  <c r="AP46" i="18" s="1"/>
  <c r="AG46" i="18"/>
  <c r="AO46" i="18" s="1"/>
  <c r="AF46" i="18"/>
  <c r="AN46" i="18" s="1"/>
  <c r="AE46" i="18"/>
  <c r="AM46" i="18" s="1"/>
  <c r="AD46" i="18"/>
  <c r="AL46" i="18" s="1"/>
  <c r="AC46" i="18"/>
  <c r="AB46" i="18"/>
  <c r="Y46" i="18"/>
  <c r="X46" i="18"/>
  <c r="W46" i="18"/>
  <c r="C46" i="18"/>
  <c r="B46" i="18"/>
  <c r="BD45" i="18"/>
  <c r="BC45" i="18"/>
  <c r="BB45" i="18"/>
  <c r="AT45" i="18"/>
  <c r="AS45" i="18"/>
  <c r="AR45" i="18"/>
  <c r="AI45" i="18"/>
  <c r="AQ45" i="18" s="1"/>
  <c r="AH45" i="18"/>
  <c r="AP45" i="18" s="1"/>
  <c r="AG45" i="18"/>
  <c r="AO45" i="18" s="1"/>
  <c r="AF45" i="18"/>
  <c r="AN45" i="18" s="1"/>
  <c r="AE45" i="18"/>
  <c r="AM45" i="18" s="1"/>
  <c r="AD45" i="18"/>
  <c r="AL45" i="18" s="1"/>
  <c r="AC45" i="18"/>
  <c r="AB45" i="18"/>
  <c r="Y45" i="18"/>
  <c r="X45" i="18"/>
  <c r="W45" i="18"/>
  <c r="C45" i="18"/>
  <c r="B45" i="18"/>
  <c r="BD44" i="18"/>
  <c r="BC44" i="18"/>
  <c r="BB44" i="18"/>
  <c r="AT44" i="18"/>
  <c r="AS44" i="18"/>
  <c r="AR44" i="18"/>
  <c r="AI44" i="18"/>
  <c r="AQ44" i="18" s="1"/>
  <c r="AH44" i="18"/>
  <c r="AP44" i="18" s="1"/>
  <c r="AG44" i="18"/>
  <c r="AO44" i="18" s="1"/>
  <c r="AF44" i="18"/>
  <c r="AN44" i="18" s="1"/>
  <c r="AE44" i="18"/>
  <c r="AM44" i="18" s="1"/>
  <c r="AD44" i="18"/>
  <c r="AL44" i="18" s="1"/>
  <c r="AC44" i="18"/>
  <c r="AB44" i="18"/>
  <c r="Y44" i="18"/>
  <c r="X44" i="18"/>
  <c r="W44" i="18"/>
  <c r="C44" i="18"/>
  <c r="B44" i="18"/>
  <c r="BD43" i="18"/>
  <c r="BC43" i="18"/>
  <c r="BB43" i="18"/>
  <c r="AT43" i="18"/>
  <c r="AS43" i="18"/>
  <c r="AR43" i="18"/>
  <c r="AI43" i="18"/>
  <c r="AQ43" i="18" s="1"/>
  <c r="AH43" i="18"/>
  <c r="AP43" i="18" s="1"/>
  <c r="AG43" i="18"/>
  <c r="AO43" i="18" s="1"/>
  <c r="AF43" i="18"/>
  <c r="AN43" i="18" s="1"/>
  <c r="AE43" i="18"/>
  <c r="AM43" i="18" s="1"/>
  <c r="AD43" i="18"/>
  <c r="AL43" i="18" s="1"/>
  <c r="AC43" i="18"/>
  <c r="AB43" i="18"/>
  <c r="Y43" i="18"/>
  <c r="X43" i="18"/>
  <c r="W43" i="18"/>
  <c r="C43" i="18"/>
  <c r="B43" i="18"/>
  <c r="BD42" i="18"/>
  <c r="BC42" i="18"/>
  <c r="BB42" i="18"/>
  <c r="AT42" i="18"/>
  <c r="AS42" i="18"/>
  <c r="AR42" i="18"/>
  <c r="AI42" i="18"/>
  <c r="AQ42" i="18" s="1"/>
  <c r="AH42" i="18"/>
  <c r="AP42" i="18" s="1"/>
  <c r="AG42" i="18"/>
  <c r="AO42" i="18" s="1"/>
  <c r="AF42" i="18"/>
  <c r="AN42" i="18" s="1"/>
  <c r="AE42" i="18"/>
  <c r="AM42" i="18" s="1"/>
  <c r="AD42" i="18"/>
  <c r="AL42" i="18" s="1"/>
  <c r="AC42" i="18"/>
  <c r="AB42" i="18"/>
  <c r="Y42" i="18"/>
  <c r="X42" i="18"/>
  <c r="W42" i="18"/>
  <c r="C42" i="18"/>
  <c r="B42" i="18"/>
  <c r="BD41" i="18"/>
  <c r="BC41" i="18"/>
  <c r="BB41" i="18"/>
  <c r="AT41" i="18"/>
  <c r="AS41" i="18"/>
  <c r="AR41" i="18"/>
  <c r="AI41" i="18"/>
  <c r="AQ41" i="18" s="1"/>
  <c r="AH41" i="18"/>
  <c r="AP41" i="18" s="1"/>
  <c r="AG41" i="18"/>
  <c r="AO41" i="18" s="1"/>
  <c r="AF41" i="18"/>
  <c r="AN41" i="18" s="1"/>
  <c r="AE41" i="18"/>
  <c r="AM41" i="18" s="1"/>
  <c r="AD41" i="18"/>
  <c r="AL41" i="18" s="1"/>
  <c r="AC41" i="18"/>
  <c r="AK41" i="18" s="1"/>
  <c r="AB41" i="18"/>
  <c r="Y41" i="18"/>
  <c r="X41" i="18"/>
  <c r="W41" i="18"/>
  <c r="C41" i="18"/>
  <c r="B41" i="18"/>
  <c r="BD40" i="18"/>
  <c r="BC40" i="18"/>
  <c r="BB40" i="18"/>
  <c r="AT40" i="18"/>
  <c r="AS40" i="18"/>
  <c r="AR40" i="18"/>
  <c r="AI40" i="18"/>
  <c r="AQ40" i="18" s="1"/>
  <c r="AH40" i="18"/>
  <c r="AP40" i="18" s="1"/>
  <c r="AG40" i="18"/>
  <c r="AO40" i="18" s="1"/>
  <c r="AF40" i="18"/>
  <c r="AN40" i="18" s="1"/>
  <c r="AE40" i="18"/>
  <c r="AD40" i="18"/>
  <c r="AC40" i="18"/>
  <c r="AB40" i="18"/>
  <c r="Y40" i="18"/>
  <c r="X40" i="18"/>
  <c r="W40" i="18"/>
  <c r="Z40" i="18" s="1"/>
  <c r="C40" i="18"/>
  <c r="B40" i="18"/>
  <c r="BD39" i="18"/>
  <c r="BC39" i="18"/>
  <c r="BB39" i="18"/>
  <c r="AT39" i="18"/>
  <c r="AS39" i="18"/>
  <c r="AR39" i="18"/>
  <c r="AI39" i="18"/>
  <c r="AQ39" i="18" s="1"/>
  <c r="AH39" i="18"/>
  <c r="AP39" i="18" s="1"/>
  <c r="AG39" i="18"/>
  <c r="AO39" i="18" s="1"/>
  <c r="AF39" i="18"/>
  <c r="AN39" i="18" s="1"/>
  <c r="AE39" i="18"/>
  <c r="AM39" i="18" s="1"/>
  <c r="AD39" i="18"/>
  <c r="AL39" i="18" s="1"/>
  <c r="AC39" i="18"/>
  <c r="AB39" i="18"/>
  <c r="AJ39" i="18" s="1"/>
  <c r="Y39" i="18"/>
  <c r="X39" i="18"/>
  <c r="W39" i="18"/>
  <c r="C39" i="18"/>
  <c r="B39" i="18"/>
  <c r="BD38" i="18"/>
  <c r="BC38" i="18"/>
  <c r="BB38" i="18"/>
  <c r="AT38" i="18"/>
  <c r="AS38" i="18"/>
  <c r="AR38" i="18"/>
  <c r="AI38" i="18"/>
  <c r="AQ38" i="18" s="1"/>
  <c r="AH38" i="18"/>
  <c r="AP38" i="18" s="1"/>
  <c r="AG38" i="18"/>
  <c r="AO38" i="18" s="1"/>
  <c r="AF38" i="18"/>
  <c r="AN38" i="18" s="1"/>
  <c r="AE38" i="18"/>
  <c r="AM38" i="18" s="1"/>
  <c r="AD38" i="18"/>
  <c r="AL38" i="18" s="1"/>
  <c r="AC38" i="18"/>
  <c r="AB38" i="18"/>
  <c r="Y38" i="18"/>
  <c r="X38" i="18"/>
  <c r="W38" i="18"/>
  <c r="C38" i="18"/>
  <c r="B38" i="18"/>
  <c r="BD37" i="18"/>
  <c r="BC37" i="18"/>
  <c r="BB37" i="18"/>
  <c r="AT37" i="18"/>
  <c r="AS37" i="18"/>
  <c r="AR37" i="18"/>
  <c r="AI37" i="18"/>
  <c r="AQ37" i="18" s="1"/>
  <c r="AH37" i="18"/>
  <c r="AP37" i="18" s="1"/>
  <c r="AG37" i="18"/>
  <c r="AO37" i="18" s="1"/>
  <c r="AF37" i="18"/>
  <c r="AN37" i="18" s="1"/>
  <c r="AE37" i="18"/>
  <c r="AM37" i="18" s="1"/>
  <c r="AD37" i="18"/>
  <c r="AL37" i="18" s="1"/>
  <c r="AC37" i="18"/>
  <c r="AB37" i="18"/>
  <c r="Y37" i="18"/>
  <c r="X37" i="18"/>
  <c r="W37" i="18"/>
  <c r="C37" i="18"/>
  <c r="B37" i="18"/>
  <c r="BD36" i="18"/>
  <c r="BC36" i="18"/>
  <c r="BB36" i="18"/>
  <c r="AT36" i="18"/>
  <c r="AS36" i="18"/>
  <c r="AR36" i="18"/>
  <c r="AI36" i="18"/>
  <c r="AQ36" i="18" s="1"/>
  <c r="AH36" i="18"/>
  <c r="AP36" i="18" s="1"/>
  <c r="AG36" i="18"/>
  <c r="AO36" i="18" s="1"/>
  <c r="AF36" i="18"/>
  <c r="AN36" i="18" s="1"/>
  <c r="AE36" i="18"/>
  <c r="AM36" i="18" s="1"/>
  <c r="AD36" i="18"/>
  <c r="AL36" i="18" s="1"/>
  <c r="AC36" i="18"/>
  <c r="AB36" i="18"/>
  <c r="Y36" i="18"/>
  <c r="X36" i="18"/>
  <c r="W36" i="18"/>
  <c r="C36" i="18"/>
  <c r="B36" i="18"/>
  <c r="BD35" i="18"/>
  <c r="BC35" i="18"/>
  <c r="BB35" i="18"/>
  <c r="AT35" i="18"/>
  <c r="AS35" i="18"/>
  <c r="AR35" i="18"/>
  <c r="AI35" i="18"/>
  <c r="AQ35" i="18" s="1"/>
  <c r="AH35" i="18"/>
  <c r="AP35" i="18" s="1"/>
  <c r="AG35" i="18"/>
  <c r="AO35" i="18" s="1"/>
  <c r="AF35" i="18"/>
  <c r="AN35" i="18" s="1"/>
  <c r="AE35" i="18"/>
  <c r="AM35" i="18" s="1"/>
  <c r="AD35" i="18"/>
  <c r="AL35" i="18" s="1"/>
  <c r="AC35" i="18"/>
  <c r="AB35" i="18"/>
  <c r="Y35" i="18"/>
  <c r="X35" i="18"/>
  <c r="W35" i="18"/>
  <c r="C35" i="18"/>
  <c r="B35" i="18"/>
  <c r="BD34" i="18"/>
  <c r="BC34" i="18"/>
  <c r="BB34" i="18"/>
  <c r="AT34" i="18"/>
  <c r="AS34" i="18"/>
  <c r="AR34" i="18"/>
  <c r="AI34" i="18"/>
  <c r="AQ34" i="18" s="1"/>
  <c r="AH34" i="18"/>
  <c r="AP34" i="18" s="1"/>
  <c r="AG34" i="18"/>
  <c r="AO34" i="18" s="1"/>
  <c r="AF34" i="18"/>
  <c r="AN34" i="18" s="1"/>
  <c r="AE34" i="18"/>
  <c r="AM34" i="18" s="1"/>
  <c r="AD34" i="18"/>
  <c r="AL34" i="18" s="1"/>
  <c r="AC34" i="18"/>
  <c r="AB34" i="18"/>
  <c r="Y34" i="18"/>
  <c r="X34" i="18"/>
  <c r="W34" i="18"/>
  <c r="C34" i="18"/>
  <c r="B34" i="18"/>
  <c r="BD33" i="18"/>
  <c r="BC33" i="18"/>
  <c r="BB33" i="18"/>
  <c r="AT33" i="18"/>
  <c r="AS33" i="18"/>
  <c r="AR33" i="18"/>
  <c r="AI33" i="18"/>
  <c r="AQ33" i="18" s="1"/>
  <c r="AH33" i="18"/>
  <c r="AP33" i="18" s="1"/>
  <c r="AG33" i="18"/>
  <c r="AO33" i="18" s="1"/>
  <c r="AF33" i="18"/>
  <c r="AN33" i="18" s="1"/>
  <c r="AE33" i="18"/>
  <c r="AM33" i="18" s="1"/>
  <c r="AD33" i="18"/>
  <c r="AL33" i="18" s="1"/>
  <c r="AC33" i="18"/>
  <c r="AB33" i="18"/>
  <c r="Y33" i="18"/>
  <c r="X33" i="18"/>
  <c r="W33" i="18"/>
  <c r="C33" i="18"/>
  <c r="B33" i="18"/>
  <c r="BD32" i="18"/>
  <c r="BC32" i="18"/>
  <c r="BB32" i="18"/>
  <c r="AT32" i="18"/>
  <c r="AS32" i="18"/>
  <c r="AR32" i="18"/>
  <c r="AI32" i="18"/>
  <c r="AQ32" i="18" s="1"/>
  <c r="AH32" i="18"/>
  <c r="AP32" i="18" s="1"/>
  <c r="AG32" i="18"/>
  <c r="AO32" i="18" s="1"/>
  <c r="AF32" i="18"/>
  <c r="AN32" i="18" s="1"/>
  <c r="AE32" i="18"/>
  <c r="AM32" i="18" s="1"/>
  <c r="AD32" i="18"/>
  <c r="AL32" i="18" s="1"/>
  <c r="AC32" i="18"/>
  <c r="AB32" i="18"/>
  <c r="Y32" i="18"/>
  <c r="X32" i="18"/>
  <c r="W32" i="18"/>
  <c r="C32" i="18"/>
  <c r="B32" i="18"/>
  <c r="BD31" i="18"/>
  <c r="BC31" i="18"/>
  <c r="BB31" i="18"/>
  <c r="AT31" i="18"/>
  <c r="AS31" i="18"/>
  <c r="AR31" i="18"/>
  <c r="AI31" i="18"/>
  <c r="AQ31" i="18" s="1"/>
  <c r="AH31" i="18"/>
  <c r="AP31" i="18" s="1"/>
  <c r="AG31" i="18"/>
  <c r="AO31" i="18" s="1"/>
  <c r="AF31" i="18"/>
  <c r="AN31" i="18" s="1"/>
  <c r="AE31" i="18"/>
  <c r="AM31" i="18" s="1"/>
  <c r="AD31" i="18"/>
  <c r="AC31" i="18"/>
  <c r="AB31" i="18"/>
  <c r="Y31" i="18"/>
  <c r="X31" i="18"/>
  <c r="W31" i="18"/>
  <c r="C31" i="18"/>
  <c r="B31" i="18"/>
  <c r="BD30" i="18"/>
  <c r="BC30" i="18"/>
  <c r="BB30" i="18"/>
  <c r="AT30" i="18"/>
  <c r="AS30" i="18"/>
  <c r="AR30" i="18"/>
  <c r="AI30" i="18"/>
  <c r="AQ30" i="18" s="1"/>
  <c r="AH30" i="18"/>
  <c r="AP30" i="18" s="1"/>
  <c r="AG30" i="18"/>
  <c r="AO30" i="18" s="1"/>
  <c r="AF30" i="18"/>
  <c r="AN30" i="18" s="1"/>
  <c r="AE30" i="18"/>
  <c r="AM30" i="18" s="1"/>
  <c r="AD30" i="18"/>
  <c r="AL30" i="18" s="1"/>
  <c r="AC30" i="18"/>
  <c r="AK30" i="18" s="1"/>
  <c r="AB30" i="18"/>
  <c r="Y30" i="18"/>
  <c r="X30" i="18"/>
  <c r="W30" i="18"/>
  <c r="C30" i="18"/>
  <c r="B30" i="18"/>
  <c r="BD29" i="18"/>
  <c r="BC29" i="18"/>
  <c r="BB29" i="18"/>
  <c r="AT29" i="18"/>
  <c r="AS29" i="18"/>
  <c r="AR29" i="18"/>
  <c r="AI29" i="18"/>
  <c r="AQ29" i="18" s="1"/>
  <c r="AH29" i="18"/>
  <c r="AP29" i="18" s="1"/>
  <c r="AG29" i="18"/>
  <c r="AO29" i="18" s="1"/>
  <c r="AF29" i="18"/>
  <c r="AN29" i="18" s="1"/>
  <c r="AE29" i="18"/>
  <c r="AM29" i="18" s="1"/>
  <c r="AD29" i="18"/>
  <c r="AL29" i="18" s="1"/>
  <c r="AC29" i="18"/>
  <c r="AB29" i="18"/>
  <c r="AJ29" i="18" s="1"/>
  <c r="Y29" i="18"/>
  <c r="X29" i="18"/>
  <c r="W29" i="18"/>
  <c r="C29" i="18"/>
  <c r="B29" i="18"/>
  <c r="BD28" i="18"/>
  <c r="BC28" i="18"/>
  <c r="BB28" i="18"/>
  <c r="AT28" i="18"/>
  <c r="AS28" i="18"/>
  <c r="AR28" i="18"/>
  <c r="AI28" i="18"/>
  <c r="AQ28" i="18" s="1"/>
  <c r="AH28" i="18"/>
  <c r="AP28" i="18" s="1"/>
  <c r="AG28" i="18"/>
  <c r="AO28" i="18" s="1"/>
  <c r="AF28" i="18"/>
  <c r="AN28" i="18" s="1"/>
  <c r="AE28" i="18"/>
  <c r="AM28" i="18" s="1"/>
  <c r="AD28" i="18"/>
  <c r="AC28" i="18"/>
  <c r="AB28" i="18"/>
  <c r="Y28" i="18"/>
  <c r="X28" i="18"/>
  <c r="W28" i="18"/>
  <c r="C28" i="18"/>
  <c r="B28" i="18"/>
  <c r="BD27" i="18"/>
  <c r="BC27" i="18"/>
  <c r="BB27" i="18"/>
  <c r="AT27" i="18"/>
  <c r="AS27" i="18"/>
  <c r="AR27" i="18"/>
  <c r="AI27" i="18"/>
  <c r="AQ27" i="18" s="1"/>
  <c r="AH27" i="18"/>
  <c r="AP27" i="18" s="1"/>
  <c r="AG27" i="18"/>
  <c r="AO27" i="18" s="1"/>
  <c r="AF27" i="18"/>
  <c r="AN27" i="18" s="1"/>
  <c r="AE27" i="18"/>
  <c r="AM27" i="18" s="1"/>
  <c r="AD27" i="18"/>
  <c r="AL27" i="18" s="1"/>
  <c r="AC27" i="18"/>
  <c r="AK27" i="18" s="1"/>
  <c r="AB27" i="18"/>
  <c r="Y27" i="18"/>
  <c r="X27" i="18"/>
  <c r="W27" i="18"/>
  <c r="C27" i="18"/>
  <c r="B27" i="18"/>
  <c r="BD26" i="18"/>
  <c r="BC26" i="18"/>
  <c r="BB26" i="18"/>
  <c r="AT26" i="18"/>
  <c r="AS26" i="18"/>
  <c r="AR26" i="18"/>
  <c r="AI26" i="18"/>
  <c r="AQ26" i="18" s="1"/>
  <c r="AH26" i="18"/>
  <c r="AP26" i="18" s="1"/>
  <c r="AG26" i="18"/>
  <c r="AO26" i="18" s="1"/>
  <c r="AF26" i="18"/>
  <c r="AN26" i="18" s="1"/>
  <c r="AE26" i="18"/>
  <c r="AM26" i="18" s="1"/>
  <c r="AD26" i="18"/>
  <c r="AL26" i="18" s="1"/>
  <c r="AC26" i="18"/>
  <c r="AK26" i="18" s="1"/>
  <c r="AB26" i="18"/>
  <c r="Y26" i="18"/>
  <c r="X26" i="18"/>
  <c r="W26" i="18"/>
  <c r="C26" i="18"/>
  <c r="B26" i="18"/>
  <c r="BD25" i="18"/>
  <c r="BC25" i="18"/>
  <c r="BB25" i="18"/>
  <c r="AT25" i="18"/>
  <c r="AS25" i="18"/>
  <c r="AR25" i="18"/>
  <c r="AI25" i="18"/>
  <c r="AQ25" i="18" s="1"/>
  <c r="AH25" i="18"/>
  <c r="AP25" i="18" s="1"/>
  <c r="AG25" i="18"/>
  <c r="AO25" i="18" s="1"/>
  <c r="AF25" i="18"/>
  <c r="AN25" i="18" s="1"/>
  <c r="AE25" i="18"/>
  <c r="AM25" i="18" s="1"/>
  <c r="AD25" i="18"/>
  <c r="AL25" i="18" s="1"/>
  <c r="AC25" i="18"/>
  <c r="AB25" i="18"/>
  <c r="AJ25" i="18" s="1"/>
  <c r="Y25" i="18"/>
  <c r="X25" i="18"/>
  <c r="W25" i="18"/>
  <c r="C25" i="18"/>
  <c r="B25" i="18"/>
  <c r="BD24" i="18"/>
  <c r="BC24" i="18"/>
  <c r="BB24" i="18"/>
  <c r="AT24" i="18"/>
  <c r="AS24" i="18"/>
  <c r="AR24" i="18"/>
  <c r="AI24" i="18"/>
  <c r="AQ24" i="18" s="1"/>
  <c r="AH24" i="18"/>
  <c r="AP24" i="18" s="1"/>
  <c r="AG24" i="18"/>
  <c r="AO24" i="18" s="1"/>
  <c r="AF24" i="18"/>
  <c r="AN24" i="18" s="1"/>
  <c r="AE24" i="18"/>
  <c r="AM24" i="18" s="1"/>
  <c r="AD24" i="18"/>
  <c r="AL24" i="18" s="1"/>
  <c r="AC24" i="18"/>
  <c r="AK24" i="18" s="1"/>
  <c r="AB24" i="18"/>
  <c r="Y24" i="18"/>
  <c r="X24" i="18"/>
  <c r="W24" i="18"/>
  <c r="C24" i="18"/>
  <c r="B24" i="18"/>
  <c r="BD23" i="18"/>
  <c r="BC23" i="18"/>
  <c r="BB23" i="18"/>
  <c r="AT23" i="18"/>
  <c r="AS23" i="18"/>
  <c r="AR23" i="18"/>
  <c r="AI23" i="18"/>
  <c r="AQ23" i="18" s="1"/>
  <c r="AH23" i="18"/>
  <c r="AP23" i="18" s="1"/>
  <c r="AG23" i="18"/>
  <c r="AO23" i="18" s="1"/>
  <c r="AF23" i="18"/>
  <c r="AN23" i="18" s="1"/>
  <c r="AE23" i="18"/>
  <c r="AM23" i="18" s="1"/>
  <c r="AD23" i="18"/>
  <c r="AL23" i="18" s="1"/>
  <c r="AC23" i="18"/>
  <c r="AK23" i="18" s="1"/>
  <c r="AB23" i="18"/>
  <c r="Y23" i="18"/>
  <c r="X23" i="18"/>
  <c r="W23" i="18"/>
  <c r="C23" i="18"/>
  <c r="B23" i="18"/>
  <c r="BD22" i="18"/>
  <c r="BC22" i="18"/>
  <c r="BB22" i="18"/>
  <c r="AT22" i="18"/>
  <c r="AS22" i="18"/>
  <c r="AR22" i="18"/>
  <c r="AI22" i="18"/>
  <c r="AQ22" i="18" s="1"/>
  <c r="AH22" i="18"/>
  <c r="AP22" i="18" s="1"/>
  <c r="AG22" i="18"/>
  <c r="AO22" i="18" s="1"/>
  <c r="AF22" i="18"/>
  <c r="AN22" i="18" s="1"/>
  <c r="AE22" i="18"/>
  <c r="AM22" i="18" s="1"/>
  <c r="AD22" i="18"/>
  <c r="AL22" i="18" s="1"/>
  <c r="AC22" i="18"/>
  <c r="AK22" i="18" s="1"/>
  <c r="AB22" i="18"/>
  <c r="Y22" i="18"/>
  <c r="X22" i="18"/>
  <c r="W22" i="18"/>
  <c r="C22" i="18"/>
  <c r="B22" i="18"/>
  <c r="BD21" i="18"/>
  <c r="BC21" i="18"/>
  <c r="BB21" i="18"/>
  <c r="AT21" i="18"/>
  <c r="AS21" i="18"/>
  <c r="AR21" i="18"/>
  <c r="AI21" i="18"/>
  <c r="AQ21" i="18" s="1"/>
  <c r="AH21" i="18"/>
  <c r="AP21" i="18" s="1"/>
  <c r="AG21" i="18"/>
  <c r="AO21" i="18" s="1"/>
  <c r="AF21" i="18"/>
  <c r="AN21" i="18" s="1"/>
  <c r="AE21" i="18"/>
  <c r="AM21" i="18" s="1"/>
  <c r="AD21" i="18"/>
  <c r="AC21" i="18"/>
  <c r="AB21" i="18"/>
  <c r="Y21" i="18"/>
  <c r="X21" i="18"/>
  <c r="W21" i="18"/>
  <c r="C21" i="18"/>
  <c r="B21" i="18"/>
  <c r="BD20" i="18"/>
  <c r="BC20" i="18"/>
  <c r="BB20" i="18"/>
  <c r="AT20" i="18"/>
  <c r="AS20" i="18"/>
  <c r="AR20" i="18"/>
  <c r="AI20" i="18"/>
  <c r="AQ20" i="18" s="1"/>
  <c r="AH20" i="18"/>
  <c r="AP20" i="18" s="1"/>
  <c r="AG20" i="18"/>
  <c r="AO20" i="18" s="1"/>
  <c r="AF20" i="18"/>
  <c r="AN20" i="18" s="1"/>
  <c r="AE20" i="18"/>
  <c r="AM20" i="18" s="1"/>
  <c r="AD20" i="18"/>
  <c r="AL20" i="18" s="1"/>
  <c r="AC20" i="18"/>
  <c r="AB20" i="18"/>
  <c r="Y20" i="18"/>
  <c r="X20" i="18"/>
  <c r="W20" i="18"/>
  <c r="C20" i="18"/>
  <c r="B20" i="18"/>
  <c r="BD19" i="18"/>
  <c r="BC19" i="18"/>
  <c r="BB19" i="18"/>
  <c r="AT19" i="18"/>
  <c r="AS19" i="18"/>
  <c r="AR19" i="18"/>
  <c r="AI19" i="18"/>
  <c r="AQ19" i="18" s="1"/>
  <c r="AH19" i="18"/>
  <c r="AP19" i="18" s="1"/>
  <c r="AG19" i="18"/>
  <c r="AO19" i="18" s="1"/>
  <c r="AF19" i="18"/>
  <c r="AN19" i="18" s="1"/>
  <c r="AE19" i="18"/>
  <c r="AM19" i="18" s="1"/>
  <c r="AD19" i="18"/>
  <c r="AL19" i="18" s="1"/>
  <c r="AC19" i="18"/>
  <c r="AB19" i="18"/>
  <c r="Y19" i="18"/>
  <c r="X19" i="18"/>
  <c r="W19" i="18"/>
  <c r="C19" i="18"/>
  <c r="B19" i="18"/>
  <c r="BD18" i="18"/>
  <c r="BC18" i="18"/>
  <c r="BB18" i="18"/>
  <c r="AT18" i="18"/>
  <c r="AS18" i="18"/>
  <c r="AR18" i="18"/>
  <c r="AI18" i="18"/>
  <c r="AQ18" i="18" s="1"/>
  <c r="AH18" i="18"/>
  <c r="AP18" i="18" s="1"/>
  <c r="AG18" i="18"/>
  <c r="AO18" i="18" s="1"/>
  <c r="AF18" i="18"/>
  <c r="AN18" i="18" s="1"/>
  <c r="AE18" i="18"/>
  <c r="AM18" i="18" s="1"/>
  <c r="AD18" i="18"/>
  <c r="AL18" i="18" s="1"/>
  <c r="AC18" i="18"/>
  <c r="AK18" i="18" s="1"/>
  <c r="AB18" i="18"/>
  <c r="Y18" i="18"/>
  <c r="X18" i="18"/>
  <c r="W18" i="18"/>
  <c r="C18" i="18"/>
  <c r="B18" i="18"/>
  <c r="BD17" i="18"/>
  <c r="BC17" i="18"/>
  <c r="BB17" i="18"/>
  <c r="AT17" i="18"/>
  <c r="AS17" i="18"/>
  <c r="AR17" i="18"/>
  <c r="AI17" i="18"/>
  <c r="AQ17" i="18" s="1"/>
  <c r="AH17" i="18"/>
  <c r="AP17" i="18" s="1"/>
  <c r="AG17" i="18"/>
  <c r="AO17" i="18" s="1"/>
  <c r="AF17" i="18"/>
  <c r="AN17" i="18" s="1"/>
  <c r="AE17" i="18"/>
  <c r="AM17" i="18" s="1"/>
  <c r="AD17" i="18"/>
  <c r="AL17" i="18" s="1"/>
  <c r="AC17" i="18"/>
  <c r="AK17" i="18" s="1"/>
  <c r="AB17" i="18"/>
  <c r="Y17" i="18"/>
  <c r="X17" i="18"/>
  <c r="W17" i="18"/>
  <c r="C17" i="18"/>
  <c r="B17" i="18"/>
  <c r="BD16" i="18"/>
  <c r="BC16" i="18"/>
  <c r="BB16" i="18"/>
  <c r="AT16" i="18"/>
  <c r="AS16" i="18"/>
  <c r="AR16" i="18"/>
  <c r="AI16" i="18"/>
  <c r="AQ16" i="18" s="1"/>
  <c r="AH16" i="18"/>
  <c r="AP16" i="18" s="1"/>
  <c r="AG16" i="18"/>
  <c r="AO16" i="18" s="1"/>
  <c r="AF16" i="18"/>
  <c r="AN16" i="18" s="1"/>
  <c r="AE16" i="18"/>
  <c r="AM16" i="18" s="1"/>
  <c r="AD16" i="18"/>
  <c r="AC16" i="18"/>
  <c r="AB16" i="18"/>
  <c r="AJ16" i="18" s="1"/>
  <c r="Y16" i="18"/>
  <c r="X16" i="18"/>
  <c r="W16" i="18"/>
  <c r="C16" i="18"/>
  <c r="B16" i="18"/>
  <c r="BD15" i="18"/>
  <c r="BC15" i="18"/>
  <c r="BB15" i="18"/>
  <c r="AT15" i="18"/>
  <c r="AS15" i="18"/>
  <c r="AR15" i="18"/>
  <c r="AI15" i="18"/>
  <c r="AQ15" i="18" s="1"/>
  <c r="AH15" i="18"/>
  <c r="AP15" i="18" s="1"/>
  <c r="AG15" i="18"/>
  <c r="AO15" i="18" s="1"/>
  <c r="AF15" i="18"/>
  <c r="AN15" i="18" s="1"/>
  <c r="AE15" i="18"/>
  <c r="AM15" i="18" s="1"/>
  <c r="AD15" i="18"/>
  <c r="AL15" i="18" s="1"/>
  <c r="AC15" i="18"/>
  <c r="AK15" i="18" s="1"/>
  <c r="AB15" i="18"/>
  <c r="Y15" i="18"/>
  <c r="X15" i="18"/>
  <c r="W15" i="18"/>
  <c r="C15" i="18"/>
  <c r="B15" i="18"/>
  <c r="BD14" i="18"/>
  <c r="BC14" i="18"/>
  <c r="BB14" i="18"/>
  <c r="AT14" i="18"/>
  <c r="AS14" i="18"/>
  <c r="AR14" i="18"/>
  <c r="AI14" i="18"/>
  <c r="AQ14" i="18" s="1"/>
  <c r="AH14" i="18"/>
  <c r="AP14" i="18" s="1"/>
  <c r="AG14" i="18"/>
  <c r="AO14" i="18" s="1"/>
  <c r="AF14" i="18"/>
  <c r="AN14" i="18" s="1"/>
  <c r="AE14" i="18"/>
  <c r="AM14" i="18" s="1"/>
  <c r="AD14" i="18"/>
  <c r="AL14" i="18" s="1"/>
  <c r="AC14" i="18"/>
  <c r="AB14" i="18"/>
  <c r="Y14" i="18"/>
  <c r="X14" i="18"/>
  <c r="W14" i="18"/>
  <c r="C14" i="18"/>
  <c r="B14" i="18"/>
  <c r="BD13" i="18"/>
  <c r="BC13" i="18"/>
  <c r="BB13" i="18"/>
  <c r="AT13" i="18"/>
  <c r="AS13" i="18"/>
  <c r="AR13" i="18"/>
  <c r="AI13" i="18"/>
  <c r="AQ13" i="18" s="1"/>
  <c r="AH13" i="18"/>
  <c r="AP13" i="18" s="1"/>
  <c r="AG13" i="18"/>
  <c r="AO13" i="18" s="1"/>
  <c r="AF13" i="18"/>
  <c r="AN13" i="18" s="1"/>
  <c r="AE13" i="18"/>
  <c r="AM13" i="18" s="1"/>
  <c r="AD13" i="18"/>
  <c r="AL13" i="18" s="1"/>
  <c r="AC13" i="18"/>
  <c r="AB13" i="18"/>
  <c r="AJ13" i="18" s="1"/>
  <c r="Y13" i="18"/>
  <c r="X13" i="18"/>
  <c r="W13" i="18"/>
  <c r="C13" i="18"/>
  <c r="B13" i="18"/>
  <c r="BD12" i="18"/>
  <c r="BC12" i="18"/>
  <c r="BB12" i="18"/>
  <c r="AT12" i="18"/>
  <c r="AS12" i="18"/>
  <c r="AR12" i="18"/>
  <c r="AI12" i="18"/>
  <c r="AQ12" i="18" s="1"/>
  <c r="AH12" i="18"/>
  <c r="AP12" i="18" s="1"/>
  <c r="AG12" i="18"/>
  <c r="AO12" i="18" s="1"/>
  <c r="AF12" i="18"/>
  <c r="AN12" i="18" s="1"/>
  <c r="AE12" i="18"/>
  <c r="AM12" i="18" s="1"/>
  <c r="AD12" i="18"/>
  <c r="AL12" i="18" s="1"/>
  <c r="AC12" i="18"/>
  <c r="AK12" i="18" s="1"/>
  <c r="AB12" i="18"/>
  <c r="Y12" i="18"/>
  <c r="X12" i="18"/>
  <c r="W12" i="18"/>
  <c r="C12" i="18"/>
  <c r="B12" i="18"/>
  <c r="BD11" i="18"/>
  <c r="BC11" i="18"/>
  <c r="BB11" i="18"/>
  <c r="AT11" i="18"/>
  <c r="AS11" i="18"/>
  <c r="AR11" i="18"/>
  <c r="AI11" i="18"/>
  <c r="AQ11" i="18" s="1"/>
  <c r="AH11" i="18"/>
  <c r="AP11" i="18" s="1"/>
  <c r="AG11" i="18"/>
  <c r="AO11" i="18" s="1"/>
  <c r="AF11" i="18"/>
  <c r="AN11" i="18" s="1"/>
  <c r="AE11" i="18"/>
  <c r="AM11" i="18" s="1"/>
  <c r="AD11" i="18"/>
  <c r="AL11" i="18" s="1"/>
  <c r="AC11" i="18"/>
  <c r="AB11" i="18"/>
  <c r="Y11" i="18"/>
  <c r="X11" i="18"/>
  <c r="W11" i="18"/>
  <c r="C11" i="18"/>
  <c r="B11" i="18"/>
  <c r="BD10" i="18"/>
  <c r="BC10" i="18"/>
  <c r="BB10" i="18"/>
  <c r="AT10" i="18"/>
  <c r="AS10" i="18"/>
  <c r="AR10" i="18"/>
  <c r="AI10" i="18"/>
  <c r="AQ10" i="18" s="1"/>
  <c r="AH10" i="18"/>
  <c r="AP10" i="18" s="1"/>
  <c r="AG10" i="18"/>
  <c r="AO10" i="18" s="1"/>
  <c r="AF10" i="18"/>
  <c r="AN10" i="18" s="1"/>
  <c r="AE10" i="18"/>
  <c r="AM10" i="18" s="1"/>
  <c r="AD10" i="18"/>
  <c r="AL10" i="18" s="1"/>
  <c r="AC10" i="18"/>
  <c r="AK10" i="18" s="1"/>
  <c r="AB10" i="18"/>
  <c r="Y10" i="18"/>
  <c r="X10" i="18"/>
  <c r="W10" i="18"/>
  <c r="C10" i="18"/>
  <c r="B10" i="18"/>
  <c r="BD9" i="18"/>
  <c r="BC9" i="18"/>
  <c r="BB9" i="18"/>
  <c r="AT9" i="18"/>
  <c r="AS9" i="18"/>
  <c r="AR9" i="18"/>
  <c r="AI9" i="18"/>
  <c r="AQ9" i="18" s="1"/>
  <c r="AH9" i="18"/>
  <c r="AP9" i="18" s="1"/>
  <c r="AG9" i="18"/>
  <c r="AO9" i="18" s="1"/>
  <c r="AF9" i="18"/>
  <c r="AN9" i="18" s="1"/>
  <c r="AE9" i="18"/>
  <c r="AM9" i="18" s="1"/>
  <c r="AD9" i="18"/>
  <c r="AL9" i="18" s="1"/>
  <c r="AC9" i="18"/>
  <c r="AK9" i="18" s="1"/>
  <c r="AB9" i="18"/>
  <c r="Y9" i="18"/>
  <c r="X9" i="18"/>
  <c r="W9" i="18"/>
  <c r="C9" i="18"/>
  <c r="B9" i="18"/>
  <c r="BD8" i="18"/>
  <c r="BC8" i="18"/>
  <c r="BB8" i="18"/>
  <c r="AT8" i="18"/>
  <c r="AS8" i="18"/>
  <c r="AR8" i="18"/>
  <c r="AI8" i="18"/>
  <c r="AQ8" i="18" s="1"/>
  <c r="AH8" i="18"/>
  <c r="AP8" i="18" s="1"/>
  <c r="AG8" i="18"/>
  <c r="AO8" i="18" s="1"/>
  <c r="AF8" i="18"/>
  <c r="AN8" i="18" s="1"/>
  <c r="AE8" i="18"/>
  <c r="AM8" i="18" s="1"/>
  <c r="AD8" i="18"/>
  <c r="AL8" i="18" s="1"/>
  <c r="AC8" i="18"/>
  <c r="AK8" i="18" s="1"/>
  <c r="AB8" i="18"/>
  <c r="Y8" i="18"/>
  <c r="X8" i="18"/>
  <c r="W8" i="18"/>
  <c r="C8" i="18"/>
  <c r="B8" i="18"/>
  <c r="BD7" i="18"/>
  <c r="BC7" i="18"/>
  <c r="BB7" i="18"/>
  <c r="AT7" i="18"/>
  <c r="AS7" i="18"/>
  <c r="AR7" i="18"/>
  <c r="AI7" i="18"/>
  <c r="AQ7" i="18" s="1"/>
  <c r="AH7" i="18"/>
  <c r="AP7" i="18" s="1"/>
  <c r="AG7" i="18"/>
  <c r="AO7" i="18" s="1"/>
  <c r="AF7" i="18"/>
  <c r="AN7" i="18" s="1"/>
  <c r="AE7" i="18"/>
  <c r="AM7" i="18" s="1"/>
  <c r="AD7" i="18"/>
  <c r="AL7" i="18" s="1"/>
  <c r="AC7" i="18"/>
  <c r="AK7" i="18" s="1"/>
  <c r="AB7" i="18"/>
  <c r="Y7" i="18"/>
  <c r="X7" i="18"/>
  <c r="W7" i="18"/>
  <c r="C7" i="18"/>
  <c r="B7" i="18"/>
  <c r="BD6" i="18"/>
  <c r="BC6" i="18"/>
  <c r="BB6" i="18"/>
  <c r="AT6" i="18"/>
  <c r="AS6" i="18"/>
  <c r="AR6" i="18"/>
  <c r="AI6" i="18"/>
  <c r="AQ6" i="18" s="1"/>
  <c r="AH6" i="18"/>
  <c r="AP6" i="18" s="1"/>
  <c r="AG6" i="18"/>
  <c r="AO6" i="18" s="1"/>
  <c r="AF6" i="18"/>
  <c r="AN6" i="18" s="1"/>
  <c r="AE6" i="18"/>
  <c r="AM6" i="18" s="1"/>
  <c r="AD6" i="18"/>
  <c r="AL6" i="18" s="1"/>
  <c r="AC6" i="18"/>
  <c r="AK6" i="18" s="1"/>
  <c r="AB6" i="18"/>
  <c r="Y6" i="18"/>
  <c r="X6" i="18"/>
  <c r="W6" i="18"/>
  <c r="C6" i="18"/>
  <c r="B6" i="18"/>
  <c r="BD5" i="18"/>
  <c r="BC5" i="18"/>
  <c r="BB5" i="18"/>
  <c r="AT5" i="18"/>
  <c r="AS5" i="18"/>
  <c r="AR5" i="18"/>
  <c r="AI5" i="18"/>
  <c r="AQ5" i="18" s="1"/>
  <c r="AH5" i="18"/>
  <c r="AP5" i="18" s="1"/>
  <c r="AG5" i="18"/>
  <c r="AO5" i="18" s="1"/>
  <c r="AF5" i="18"/>
  <c r="AN5" i="18" s="1"/>
  <c r="AE5" i="18"/>
  <c r="AM5" i="18" s="1"/>
  <c r="AD5" i="18"/>
  <c r="AL5" i="18" s="1"/>
  <c r="AC5" i="18"/>
  <c r="AK5" i="18" s="1"/>
  <c r="AB5" i="18"/>
  <c r="Y5" i="18"/>
  <c r="X5" i="18"/>
  <c r="W5" i="18"/>
  <c r="C5" i="18"/>
  <c r="B5" i="18"/>
  <c r="BD4" i="18"/>
  <c r="BC4" i="18"/>
  <c r="BB4" i="18"/>
  <c r="AT4" i="18"/>
  <c r="AS4" i="18"/>
  <c r="AR4" i="18"/>
  <c r="AI4" i="18"/>
  <c r="AQ4" i="18" s="1"/>
  <c r="AH4" i="18"/>
  <c r="AP4" i="18" s="1"/>
  <c r="AG4" i="18"/>
  <c r="AO4" i="18" s="1"/>
  <c r="AF4" i="18"/>
  <c r="AN4" i="18" s="1"/>
  <c r="AE4" i="18"/>
  <c r="AM4" i="18" s="1"/>
  <c r="AD4" i="18"/>
  <c r="AL4" i="18" s="1"/>
  <c r="AC4" i="18"/>
  <c r="AK4" i="18" s="1"/>
  <c r="AB4" i="18"/>
  <c r="AJ4" i="18" s="1"/>
  <c r="Y4" i="18"/>
  <c r="X4" i="18"/>
  <c r="W4" i="18"/>
  <c r="C4" i="18"/>
  <c r="B4" i="18"/>
  <c r="Y103" i="17"/>
  <c r="S103" i="17"/>
  <c r="J103" i="17"/>
  <c r="Y102" i="17"/>
  <c r="S102" i="17"/>
  <c r="J102" i="17"/>
  <c r="Y101" i="17"/>
  <c r="S101" i="17"/>
  <c r="J101" i="17"/>
  <c r="Y100" i="17"/>
  <c r="S100" i="17"/>
  <c r="J100" i="17"/>
  <c r="Y99" i="17"/>
  <c r="S99" i="17"/>
  <c r="J99" i="17"/>
  <c r="Y98" i="17"/>
  <c r="S98" i="17"/>
  <c r="J98" i="17"/>
  <c r="Y97" i="17"/>
  <c r="S97" i="17"/>
  <c r="J97" i="17"/>
  <c r="Y96" i="17"/>
  <c r="S96" i="17"/>
  <c r="J96" i="17"/>
  <c r="Y95" i="17"/>
  <c r="S95" i="17"/>
  <c r="J95" i="17"/>
  <c r="Y94" i="17"/>
  <c r="S94" i="17"/>
  <c r="J94" i="17"/>
  <c r="Y93" i="17"/>
  <c r="S93" i="17"/>
  <c r="J93" i="17"/>
  <c r="Y92" i="17"/>
  <c r="S92" i="17"/>
  <c r="J92" i="17"/>
  <c r="Y91" i="17"/>
  <c r="S91" i="17"/>
  <c r="J91" i="17"/>
  <c r="Y90" i="17"/>
  <c r="S90" i="17"/>
  <c r="J90" i="17"/>
  <c r="Y89" i="17"/>
  <c r="S89" i="17"/>
  <c r="J89" i="17"/>
  <c r="Y88" i="17"/>
  <c r="S88" i="17"/>
  <c r="J88" i="17"/>
  <c r="Y87" i="17"/>
  <c r="S87" i="17"/>
  <c r="J87" i="17"/>
  <c r="Y86" i="17"/>
  <c r="S86" i="17"/>
  <c r="J86" i="17"/>
  <c r="Y85" i="17"/>
  <c r="S85" i="17"/>
  <c r="J85" i="17"/>
  <c r="Y84" i="17"/>
  <c r="S84" i="17"/>
  <c r="J84" i="17"/>
  <c r="Y83" i="17"/>
  <c r="S83" i="17"/>
  <c r="J83" i="17"/>
  <c r="Y82" i="17"/>
  <c r="S82" i="17"/>
  <c r="J82" i="17"/>
  <c r="Y81" i="17"/>
  <c r="S81" i="17"/>
  <c r="J81" i="17"/>
  <c r="Y80" i="17"/>
  <c r="S80" i="17"/>
  <c r="J80" i="17"/>
  <c r="Y79" i="17"/>
  <c r="S79" i="17"/>
  <c r="J79" i="17"/>
  <c r="Y78" i="17"/>
  <c r="S78" i="17"/>
  <c r="J78" i="17"/>
  <c r="Y77" i="17"/>
  <c r="S77" i="17"/>
  <c r="J77" i="17"/>
  <c r="Y76" i="17"/>
  <c r="S76" i="17"/>
  <c r="J76" i="17"/>
  <c r="Y75" i="17"/>
  <c r="S75" i="17"/>
  <c r="J75" i="17"/>
  <c r="Y74" i="17"/>
  <c r="S74" i="17"/>
  <c r="J74" i="17"/>
  <c r="Y73" i="17"/>
  <c r="S73" i="17"/>
  <c r="J73" i="17"/>
  <c r="Y72" i="17"/>
  <c r="S72" i="17"/>
  <c r="J72" i="17"/>
  <c r="Y71" i="17"/>
  <c r="S71" i="17"/>
  <c r="J71" i="17"/>
  <c r="Y70" i="17"/>
  <c r="S70" i="17"/>
  <c r="J70" i="17"/>
  <c r="Y69" i="17"/>
  <c r="S69" i="17"/>
  <c r="J69" i="17"/>
  <c r="Y68" i="17"/>
  <c r="S68" i="17"/>
  <c r="J68" i="17"/>
  <c r="Y67" i="17"/>
  <c r="S67" i="17"/>
  <c r="J67" i="17"/>
  <c r="Y66" i="17"/>
  <c r="S66" i="17"/>
  <c r="J66" i="17"/>
  <c r="Y65" i="17"/>
  <c r="S65" i="17"/>
  <c r="J65" i="17"/>
  <c r="Y64" i="17"/>
  <c r="S64" i="17"/>
  <c r="J64" i="17"/>
  <c r="Y63" i="17"/>
  <c r="S63" i="17"/>
  <c r="J63" i="17"/>
  <c r="Y62" i="17"/>
  <c r="S62" i="17"/>
  <c r="J62" i="17"/>
  <c r="Y61" i="17"/>
  <c r="S61" i="17"/>
  <c r="J61" i="17"/>
  <c r="Y60" i="17"/>
  <c r="S60" i="17"/>
  <c r="J60" i="17"/>
  <c r="Y59" i="17"/>
  <c r="S59" i="17"/>
  <c r="J59" i="17"/>
  <c r="Y58" i="17"/>
  <c r="S58" i="17"/>
  <c r="J58" i="17"/>
  <c r="Y57" i="17"/>
  <c r="S57" i="17"/>
  <c r="J57" i="17"/>
  <c r="Y56" i="17"/>
  <c r="S56" i="17"/>
  <c r="J56" i="17"/>
  <c r="Y55" i="17"/>
  <c r="S55" i="17"/>
  <c r="J55" i="17"/>
  <c r="Y54" i="17"/>
  <c r="S54" i="17"/>
  <c r="J54" i="17"/>
  <c r="Y53" i="17"/>
  <c r="S53" i="17"/>
  <c r="J53" i="17"/>
  <c r="Y52" i="17"/>
  <c r="S52" i="17"/>
  <c r="J52" i="17"/>
  <c r="Y51" i="17"/>
  <c r="S51" i="17"/>
  <c r="J51" i="17"/>
  <c r="Y50" i="17"/>
  <c r="S50" i="17"/>
  <c r="J50" i="17"/>
  <c r="Y49" i="17"/>
  <c r="S49" i="17"/>
  <c r="J49" i="17"/>
  <c r="Y48" i="17"/>
  <c r="S48" i="17"/>
  <c r="J48" i="17"/>
  <c r="Y47" i="17"/>
  <c r="S47" i="17"/>
  <c r="J47" i="17"/>
  <c r="Y46" i="17"/>
  <c r="S46" i="17"/>
  <c r="J46" i="17"/>
  <c r="Y45" i="17"/>
  <c r="S45" i="17"/>
  <c r="J45" i="17"/>
  <c r="Y44" i="17"/>
  <c r="S44" i="17"/>
  <c r="J44" i="17"/>
  <c r="Y43" i="17"/>
  <c r="S43" i="17"/>
  <c r="J43" i="17"/>
  <c r="Y42" i="17"/>
  <c r="S42" i="17"/>
  <c r="J42" i="17"/>
  <c r="Y41" i="17"/>
  <c r="S41" i="17"/>
  <c r="J41" i="17"/>
  <c r="Y40" i="17"/>
  <c r="S40" i="17"/>
  <c r="J40" i="17"/>
  <c r="Y39" i="17"/>
  <c r="S39" i="17"/>
  <c r="J39" i="17"/>
  <c r="Y38" i="17"/>
  <c r="S38" i="17"/>
  <c r="J38" i="17"/>
  <c r="Y37" i="17"/>
  <c r="S37" i="17"/>
  <c r="J37" i="17"/>
  <c r="Y36" i="17"/>
  <c r="S36" i="17"/>
  <c r="J36" i="17"/>
  <c r="Y35" i="17"/>
  <c r="S35" i="17"/>
  <c r="J35" i="17"/>
  <c r="Y34" i="17"/>
  <c r="S34" i="17"/>
  <c r="J34" i="17"/>
  <c r="Y33" i="17"/>
  <c r="S33" i="17"/>
  <c r="J33" i="17"/>
  <c r="Y32" i="17"/>
  <c r="S32" i="17"/>
  <c r="J32" i="17"/>
  <c r="Y31" i="17"/>
  <c r="S31" i="17"/>
  <c r="J31" i="17"/>
  <c r="Y30" i="17"/>
  <c r="S30" i="17"/>
  <c r="J30" i="17"/>
  <c r="Y29" i="17"/>
  <c r="S29" i="17"/>
  <c r="J29" i="17"/>
  <c r="Y28" i="17"/>
  <c r="S28" i="17"/>
  <c r="J28" i="17"/>
  <c r="Y27" i="17"/>
  <c r="S27" i="17"/>
  <c r="J27" i="17"/>
  <c r="Y26" i="17"/>
  <c r="S26" i="17"/>
  <c r="J26" i="17"/>
  <c r="Y25" i="17"/>
  <c r="S25" i="17"/>
  <c r="J25" i="17"/>
  <c r="Y24" i="17"/>
  <c r="S24" i="17"/>
  <c r="J24" i="17"/>
  <c r="Y23" i="17"/>
  <c r="S23" i="17"/>
  <c r="J23" i="17"/>
  <c r="Y22" i="17"/>
  <c r="S22" i="17"/>
  <c r="J22" i="17"/>
  <c r="Y21" i="17"/>
  <c r="S21" i="17"/>
  <c r="J21" i="17"/>
  <c r="Y20" i="17"/>
  <c r="S20" i="17"/>
  <c r="J20" i="17"/>
  <c r="Y19" i="17"/>
  <c r="S19" i="17"/>
  <c r="J19" i="17"/>
  <c r="Y18" i="17"/>
  <c r="S18" i="17"/>
  <c r="J18" i="17"/>
  <c r="Y17" i="17"/>
  <c r="S17" i="17"/>
  <c r="J17" i="17"/>
  <c r="Y16" i="17"/>
  <c r="S16" i="17"/>
  <c r="J16" i="17"/>
  <c r="Y15" i="17"/>
  <c r="S15" i="17"/>
  <c r="J15" i="17"/>
  <c r="Y14" i="17"/>
  <c r="S14" i="17"/>
  <c r="J14" i="17"/>
  <c r="Y13" i="17"/>
  <c r="S13" i="17"/>
  <c r="J13" i="17"/>
  <c r="Y12" i="17"/>
  <c r="S12" i="17"/>
  <c r="J12" i="17"/>
  <c r="Y11" i="17"/>
  <c r="S11" i="17"/>
  <c r="J11" i="17"/>
  <c r="Y10" i="17"/>
  <c r="S10" i="17"/>
  <c r="J10" i="17"/>
  <c r="Y9" i="17"/>
  <c r="S9" i="17"/>
  <c r="J9" i="17"/>
  <c r="Y8" i="17"/>
  <c r="S8" i="17"/>
  <c r="J8" i="17"/>
  <c r="Y7" i="17"/>
  <c r="S7" i="17"/>
  <c r="J7" i="17"/>
  <c r="Y6" i="17"/>
  <c r="S6" i="17"/>
  <c r="J6" i="17"/>
  <c r="Y5" i="17"/>
  <c r="S5" i="17"/>
  <c r="J5" i="17"/>
  <c r="Y4" i="17"/>
  <c r="S4" i="17"/>
  <c r="J4" i="17"/>
  <c r="W103" i="16"/>
  <c r="V103" i="16"/>
  <c r="Q103" i="16"/>
  <c r="F103" i="16"/>
  <c r="E103" i="16"/>
  <c r="D103" i="16"/>
  <c r="C103" i="16"/>
  <c r="B103" i="16"/>
  <c r="W102" i="16"/>
  <c r="V102" i="16"/>
  <c r="Q102" i="16"/>
  <c r="F102" i="16"/>
  <c r="E102" i="16"/>
  <c r="D102" i="16"/>
  <c r="C102" i="16"/>
  <c r="B102" i="16"/>
  <c r="W101" i="16"/>
  <c r="V101" i="16"/>
  <c r="Q101" i="16"/>
  <c r="F101" i="16"/>
  <c r="E101" i="16"/>
  <c r="D101" i="16"/>
  <c r="C101" i="16"/>
  <c r="B101" i="16"/>
  <c r="W100" i="16"/>
  <c r="V100" i="16"/>
  <c r="Q100" i="16"/>
  <c r="F100" i="16"/>
  <c r="E100" i="16"/>
  <c r="D100" i="16"/>
  <c r="C100" i="16"/>
  <c r="B100" i="16"/>
  <c r="W99" i="16"/>
  <c r="V99" i="16"/>
  <c r="Q99" i="16"/>
  <c r="F99" i="16"/>
  <c r="E99" i="16"/>
  <c r="D99" i="16"/>
  <c r="C99" i="16"/>
  <c r="B99" i="16"/>
  <c r="W98" i="16"/>
  <c r="V98" i="16"/>
  <c r="Q98" i="16"/>
  <c r="F98" i="16"/>
  <c r="E98" i="16"/>
  <c r="D98" i="16"/>
  <c r="C98" i="16"/>
  <c r="B98" i="16"/>
  <c r="W97" i="16"/>
  <c r="V97" i="16"/>
  <c r="Q97" i="16"/>
  <c r="F97" i="16"/>
  <c r="E97" i="16"/>
  <c r="D97" i="16"/>
  <c r="C97" i="16"/>
  <c r="B97" i="16"/>
  <c r="W96" i="16"/>
  <c r="V96" i="16"/>
  <c r="Q96" i="16"/>
  <c r="F96" i="16"/>
  <c r="E96" i="16"/>
  <c r="D96" i="16"/>
  <c r="C96" i="16"/>
  <c r="B96" i="16"/>
  <c r="W95" i="16"/>
  <c r="V95" i="16"/>
  <c r="Q95" i="16"/>
  <c r="F95" i="16"/>
  <c r="E95" i="16"/>
  <c r="D95" i="16"/>
  <c r="C95" i="16"/>
  <c r="B95" i="16"/>
  <c r="W94" i="16"/>
  <c r="V94" i="16"/>
  <c r="Q94" i="16"/>
  <c r="F94" i="16"/>
  <c r="E94" i="16"/>
  <c r="D94" i="16"/>
  <c r="C94" i="16"/>
  <c r="B94" i="16"/>
  <c r="W93" i="16"/>
  <c r="V93" i="16"/>
  <c r="Q93" i="16"/>
  <c r="F93" i="16"/>
  <c r="E93" i="16"/>
  <c r="D93" i="16"/>
  <c r="C93" i="16"/>
  <c r="B93" i="16"/>
  <c r="W92" i="16"/>
  <c r="V92" i="16"/>
  <c r="Q92" i="16"/>
  <c r="F92" i="16"/>
  <c r="E92" i="16"/>
  <c r="D92" i="16"/>
  <c r="C92" i="16"/>
  <c r="B92" i="16"/>
  <c r="W91" i="16"/>
  <c r="V91" i="16"/>
  <c r="Q91" i="16"/>
  <c r="F91" i="16"/>
  <c r="E91" i="16"/>
  <c r="D91" i="16"/>
  <c r="C91" i="16"/>
  <c r="B91" i="16"/>
  <c r="W90" i="16"/>
  <c r="V90" i="16"/>
  <c r="Q90" i="16"/>
  <c r="F90" i="16"/>
  <c r="E90" i="16"/>
  <c r="D90" i="16"/>
  <c r="C90" i="16"/>
  <c r="B90" i="16"/>
  <c r="W89" i="16"/>
  <c r="V89" i="16"/>
  <c r="Q89" i="16"/>
  <c r="F89" i="16"/>
  <c r="E89" i="16"/>
  <c r="D89" i="16"/>
  <c r="C89" i="16"/>
  <c r="B89" i="16"/>
  <c r="W88" i="16"/>
  <c r="V88" i="16"/>
  <c r="Q88" i="16"/>
  <c r="F88" i="16"/>
  <c r="E88" i="16"/>
  <c r="D88" i="16"/>
  <c r="C88" i="16"/>
  <c r="B88" i="16"/>
  <c r="W87" i="16"/>
  <c r="V87" i="16"/>
  <c r="Q87" i="16"/>
  <c r="F87" i="16"/>
  <c r="E87" i="16"/>
  <c r="D87" i="16"/>
  <c r="C87" i="16"/>
  <c r="B87" i="16"/>
  <c r="W86" i="16"/>
  <c r="V86" i="16"/>
  <c r="Q86" i="16"/>
  <c r="F86" i="16"/>
  <c r="E86" i="16"/>
  <c r="D86" i="16"/>
  <c r="C86" i="16"/>
  <c r="B86" i="16"/>
  <c r="W85" i="16"/>
  <c r="V85" i="16"/>
  <c r="Q85" i="16"/>
  <c r="F85" i="16"/>
  <c r="E85" i="16"/>
  <c r="D85" i="16"/>
  <c r="C85" i="16"/>
  <c r="B85" i="16"/>
  <c r="W84" i="16"/>
  <c r="V84" i="16"/>
  <c r="Q84" i="16"/>
  <c r="F84" i="16"/>
  <c r="E84" i="16"/>
  <c r="D84" i="16"/>
  <c r="C84" i="16"/>
  <c r="B84" i="16"/>
  <c r="W83" i="16"/>
  <c r="V83" i="16"/>
  <c r="Q83" i="16"/>
  <c r="F83" i="16"/>
  <c r="E83" i="16"/>
  <c r="D83" i="16"/>
  <c r="C83" i="16"/>
  <c r="B83" i="16"/>
  <c r="W82" i="16"/>
  <c r="V82" i="16"/>
  <c r="Q82" i="16"/>
  <c r="F82" i="16"/>
  <c r="E82" i="16"/>
  <c r="D82" i="16"/>
  <c r="C82" i="16"/>
  <c r="B82" i="16"/>
  <c r="W81" i="16"/>
  <c r="V81" i="16"/>
  <c r="Q81" i="16"/>
  <c r="F81" i="16"/>
  <c r="E81" i="16"/>
  <c r="D81" i="16"/>
  <c r="C81" i="16"/>
  <c r="B81" i="16"/>
  <c r="W80" i="16"/>
  <c r="V80" i="16"/>
  <c r="Q80" i="16"/>
  <c r="F80" i="16"/>
  <c r="E80" i="16"/>
  <c r="D80" i="16"/>
  <c r="C80" i="16"/>
  <c r="B80" i="16"/>
  <c r="W79" i="16"/>
  <c r="V79" i="16"/>
  <c r="Q79" i="16"/>
  <c r="F79" i="16"/>
  <c r="E79" i="16"/>
  <c r="D79" i="16"/>
  <c r="C79" i="16"/>
  <c r="B79" i="16"/>
  <c r="W78" i="16"/>
  <c r="V78" i="16"/>
  <c r="Q78" i="16"/>
  <c r="F78" i="16"/>
  <c r="E78" i="16"/>
  <c r="D78" i="16"/>
  <c r="C78" i="16"/>
  <c r="B78" i="16"/>
  <c r="W77" i="16"/>
  <c r="V77" i="16"/>
  <c r="Q77" i="16"/>
  <c r="F77" i="16"/>
  <c r="E77" i="16"/>
  <c r="D77" i="16"/>
  <c r="C77" i="16"/>
  <c r="B77" i="16"/>
  <c r="W76" i="16"/>
  <c r="V76" i="16"/>
  <c r="Q76" i="16"/>
  <c r="F76" i="16"/>
  <c r="E76" i="16"/>
  <c r="D76" i="16"/>
  <c r="C76" i="16"/>
  <c r="B76" i="16"/>
  <c r="W75" i="16"/>
  <c r="V75" i="16"/>
  <c r="Q75" i="16"/>
  <c r="F75" i="16"/>
  <c r="E75" i="16"/>
  <c r="D75" i="16"/>
  <c r="C75" i="16"/>
  <c r="B75" i="16"/>
  <c r="W74" i="16"/>
  <c r="V74" i="16"/>
  <c r="Q74" i="16"/>
  <c r="F74" i="16"/>
  <c r="E74" i="16"/>
  <c r="D74" i="16"/>
  <c r="C74" i="16"/>
  <c r="B74" i="16"/>
  <c r="W73" i="16"/>
  <c r="V73" i="16"/>
  <c r="Q73" i="16"/>
  <c r="F73" i="16"/>
  <c r="E73" i="16"/>
  <c r="D73" i="16"/>
  <c r="C73" i="16"/>
  <c r="B73" i="16"/>
  <c r="W72" i="16"/>
  <c r="V72" i="16"/>
  <c r="Q72" i="16"/>
  <c r="F72" i="16"/>
  <c r="E72" i="16"/>
  <c r="D72" i="16"/>
  <c r="C72" i="16"/>
  <c r="B72" i="16"/>
  <c r="W71" i="16"/>
  <c r="V71" i="16"/>
  <c r="Q71" i="16"/>
  <c r="F71" i="16"/>
  <c r="E71" i="16"/>
  <c r="D71" i="16"/>
  <c r="C71" i="16"/>
  <c r="B71" i="16"/>
  <c r="W70" i="16"/>
  <c r="V70" i="16"/>
  <c r="Q70" i="16"/>
  <c r="F70" i="16"/>
  <c r="E70" i="16"/>
  <c r="D70" i="16"/>
  <c r="C70" i="16"/>
  <c r="B70" i="16"/>
  <c r="W69" i="16"/>
  <c r="V69" i="16"/>
  <c r="Q69" i="16"/>
  <c r="F69" i="16"/>
  <c r="E69" i="16"/>
  <c r="D69" i="16"/>
  <c r="C69" i="16"/>
  <c r="B69" i="16"/>
  <c r="W68" i="16"/>
  <c r="V68" i="16"/>
  <c r="Q68" i="16"/>
  <c r="F68" i="16"/>
  <c r="E68" i="16"/>
  <c r="D68" i="16"/>
  <c r="C68" i="16"/>
  <c r="B68" i="16"/>
  <c r="W67" i="16"/>
  <c r="V67" i="16"/>
  <c r="Q67" i="16"/>
  <c r="F67" i="16"/>
  <c r="E67" i="16"/>
  <c r="D67" i="16"/>
  <c r="C67" i="16"/>
  <c r="B67" i="16"/>
  <c r="W66" i="16"/>
  <c r="V66" i="16"/>
  <c r="Q66" i="16"/>
  <c r="F66" i="16"/>
  <c r="E66" i="16"/>
  <c r="D66" i="16"/>
  <c r="C66" i="16"/>
  <c r="B66" i="16"/>
  <c r="W65" i="16"/>
  <c r="V65" i="16"/>
  <c r="Q65" i="16"/>
  <c r="F65" i="16"/>
  <c r="E65" i="16"/>
  <c r="D65" i="16"/>
  <c r="C65" i="16"/>
  <c r="B65" i="16"/>
  <c r="W64" i="16"/>
  <c r="V64" i="16"/>
  <c r="Q64" i="16"/>
  <c r="F64" i="16"/>
  <c r="E64" i="16"/>
  <c r="D64" i="16"/>
  <c r="C64" i="16"/>
  <c r="B64" i="16"/>
  <c r="W63" i="16"/>
  <c r="V63" i="16"/>
  <c r="Q63" i="16"/>
  <c r="F63" i="16"/>
  <c r="E63" i="16"/>
  <c r="D63" i="16"/>
  <c r="C63" i="16"/>
  <c r="B63" i="16"/>
  <c r="W62" i="16"/>
  <c r="V62" i="16"/>
  <c r="Q62" i="16"/>
  <c r="F62" i="16"/>
  <c r="E62" i="16"/>
  <c r="D62" i="16"/>
  <c r="C62" i="16"/>
  <c r="B62" i="16"/>
  <c r="W61" i="16"/>
  <c r="V61" i="16"/>
  <c r="Q61" i="16"/>
  <c r="F61" i="16"/>
  <c r="E61" i="16"/>
  <c r="D61" i="16"/>
  <c r="C61" i="16"/>
  <c r="B61" i="16"/>
  <c r="W60" i="16"/>
  <c r="V60" i="16"/>
  <c r="Q60" i="16"/>
  <c r="F60" i="16"/>
  <c r="E60" i="16"/>
  <c r="D60" i="16"/>
  <c r="C60" i="16"/>
  <c r="B60" i="16"/>
  <c r="W59" i="16"/>
  <c r="V59" i="16"/>
  <c r="Q59" i="16"/>
  <c r="F59" i="16"/>
  <c r="E59" i="16"/>
  <c r="D59" i="16"/>
  <c r="C59" i="16"/>
  <c r="B59" i="16"/>
  <c r="W58" i="16"/>
  <c r="V58" i="16"/>
  <c r="Q58" i="16"/>
  <c r="F58" i="16"/>
  <c r="E58" i="16"/>
  <c r="D58" i="16"/>
  <c r="C58" i="16"/>
  <c r="B58" i="16"/>
  <c r="W57" i="16"/>
  <c r="V57" i="16"/>
  <c r="Q57" i="16"/>
  <c r="F57" i="16"/>
  <c r="E57" i="16"/>
  <c r="D57" i="16"/>
  <c r="C57" i="16"/>
  <c r="B57" i="16"/>
  <c r="W56" i="16"/>
  <c r="V56" i="16"/>
  <c r="Q56" i="16"/>
  <c r="F56" i="16"/>
  <c r="E56" i="16"/>
  <c r="D56" i="16"/>
  <c r="C56" i="16"/>
  <c r="B56" i="16"/>
  <c r="W55" i="16"/>
  <c r="V55" i="16"/>
  <c r="Q55" i="16"/>
  <c r="F55" i="16"/>
  <c r="E55" i="16"/>
  <c r="D55" i="16"/>
  <c r="C55" i="16"/>
  <c r="B55" i="16"/>
  <c r="W54" i="16"/>
  <c r="V54" i="16"/>
  <c r="Q54" i="16"/>
  <c r="F54" i="16"/>
  <c r="E54" i="16"/>
  <c r="D54" i="16"/>
  <c r="C54" i="16"/>
  <c r="B54" i="16"/>
  <c r="W53" i="16"/>
  <c r="V53" i="16"/>
  <c r="Q53" i="16"/>
  <c r="F53" i="16"/>
  <c r="E53" i="16"/>
  <c r="D53" i="16"/>
  <c r="C53" i="16"/>
  <c r="B53" i="16"/>
  <c r="W52" i="16"/>
  <c r="V52" i="16"/>
  <c r="Q52" i="16"/>
  <c r="F52" i="16"/>
  <c r="E52" i="16"/>
  <c r="D52" i="16"/>
  <c r="C52" i="16"/>
  <c r="B52" i="16"/>
  <c r="W51" i="16"/>
  <c r="V51" i="16"/>
  <c r="Q51" i="16"/>
  <c r="F51" i="16"/>
  <c r="E51" i="16"/>
  <c r="D51" i="16"/>
  <c r="C51" i="16"/>
  <c r="B51" i="16"/>
  <c r="W50" i="16"/>
  <c r="V50" i="16"/>
  <c r="Q50" i="16"/>
  <c r="F50" i="16"/>
  <c r="E50" i="16"/>
  <c r="D50" i="16"/>
  <c r="C50" i="16"/>
  <c r="B50" i="16"/>
  <c r="W49" i="16"/>
  <c r="V49" i="16"/>
  <c r="Q49" i="16"/>
  <c r="F49" i="16"/>
  <c r="E49" i="16"/>
  <c r="D49" i="16"/>
  <c r="C49" i="16"/>
  <c r="B49" i="16"/>
  <c r="W48" i="16"/>
  <c r="V48" i="16"/>
  <c r="Q48" i="16"/>
  <c r="F48" i="16"/>
  <c r="E48" i="16"/>
  <c r="D48" i="16"/>
  <c r="C48" i="16"/>
  <c r="B48" i="16"/>
  <c r="W47" i="16"/>
  <c r="V47" i="16"/>
  <c r="Q47" i="16"/>
  <c r="F47" i="16"/>
  <c r="E47" i="16"/>
  <c r="D47" i="16"/>
  <c r="C47" i="16"/>
  <c r="B47" i="16"/>
  <c r="W46" i="16"/>
  <c r="V46" i="16"/>
  <c r="Q46" i="16"/>
  <c r="F46" i="16"/>
  <c r="E46" i="16"/>
  <c r="D46" i="16"/>
  <c r="C46" i="16"/>
  <c r="B46" i="16"/>
  <c r="W45" i="16"/>
  <c r="V45" i="16"/>
  <c r="Q45" i="16"/>
  <c r="F45" i="16"/>
  <c r="E45" i="16"/>
  <c r="D45" i="16"/>
  <c r="C45" i="16"/>
  <c r="B45" i="16"/>
  <c r="W44" i="16"/>
  <c r="V44" i="16"/>
  <c r="Q44" i="16"/>
  <c r="F44" i="16"/>
  <c r="E44" i="16"/>
  <c r="D44" i="16"/>
  <c r="C44" i="16"/>
  <c r="B44" i="16"/>
  <c r="W43" i="16"/>
  <c r="V43" i="16"/>
  <c r="Q43" i="16"/>
  <c r="F43" i="16"/>
  <c r="E43" i="16"/>
  <c r="D43" i="16"/>
  <c r="C43" i="16"/>
  <c r="B43" i="16"/>
  <c r="W42" i="16"/>
  <c r="V42" i="16"/>
  <c r="Q42" i="16"/>
  <c r="F42" i="16"/>
  <c r="E42" i="16"/>
  <c r="D42" i="16"/>
  <c r="C42" i="16"/>
  <c r="B42" i="16"/>
  <c r="W41" i="16"/>
  <c r="V41" i="16"/>
  <c r="Q41" i="16"/>
  <c r="F41" i="16"/>
  <c r="E41" i="16"/>
  <c r="D41" i="16"/>
  <c r="C41" i="16"/>
  <c r="B41" i="16"/>
  <c r="W40" i="16"/>
  <c r="V40" i="16"/>
  <c r="Q40" i="16"/>
  <c r="F40" i="16"/>
  <c r="E40" i="16"/>
  <c r="D40" i="16"/>
  <c r="C40" i="16"/>
  <c r="B40" i="16"/>
  <c r="W39" i="16"/>
  <c r="V39" i="16"/>
  <c r="Q39" i="16"/>
  <c r="F39" i="16"/>
  <c r="E39" i="16"/>
  <c r="D39" i="16"/>
  <c r="C39" i="16"/>
  <c r="B39" i="16"/>
  <c r="W38" i="16"/>
  <c r="V38" i="16"/>
  <c r="Q38" i="16"/>
  <c r="F38" i="16"/>
  <c r="E38" i="16"/>
  <c r="D38" i="16"/>
  <c r="C38" i="16"/>
  <c r="B38" i="16"/>
  <c r="W37" i="16"/>
  <c r="V37" i="16"/>
  <c r="Q37" i="16"/>
  <c r="F37" i="16"/>
  <c r="E37" i="16"/>
  <c r="D37" i="16"/>
  <c r="C37" i="16"/>
  <c r="B37" i="16"/>
  <c r="W36" i="16"/>
  <c r="V36" i="16"/>
  <c r="Q36" i="16"/>
  <c r="F36" i="16"/>
  <c r="E36" i="16"/>
  <c r="D36" i="16"/>
  <c r="C36" i="16"/>
  <c r="B36" i="16"/>
  <c r="W35" i="16"/>
  <c r="V35" i="16"/>
  <c r="Q35" i="16"/>
  <c r="F35" i="16"/>
  <c r="E35" i="16"/>
  <c r="D35" i="16"/>
  <c r="C35" i="16"/>
  <c r="B35" i="16"/>
  <c r="W34" i="16"/>
  <c r="V34" i="16"/>
  <c r="Q34" i="16"/>
  <c r="F34" i="16"/>
  <c r="E34" i="16"/>
  <c r="D34" i="16"/>
  <c r="C34" i="16"/>
  <c r="B34" i="16"/>
  <c r="W33" i="16"/>
  <c r="V33" i="16"/>
  <c r="Q33" i="16"/>
  <c r="F33" i="16"/>
  <c r="E33" i="16"/>
  <c r="D33" i="16"/>
  <c r="C33" i="16"/>
  <c r="B33" i="16"/>
  <c r="W32" i="16"/>
  <c r="V32" i="16"/>
  <c r="Q32" i="16"/>
  <c r="F32" i="16"/>
  <c r="E32" i="16"/>
  <c r="D32" i="16"/>
  <c r="C32" i="16"/>
  <c r="B32" i="16"/>
  <c r="W31" i="16"/>
  <c r="V31" i="16"/>
  <c r="Q31" i="16"/>
  <c r="F31" i="16"/>
  <c r="E31" i="16"/>
  <c r="D31" i="16"/>
  <c r="C31" i="16"/>
  <c r="B31" i="16"/>
  <c r="W30" i="16"/>
  <c r="V30" i="16"/>
  <c r="Q30" i="16"/>
  <c r="F30" i="16"/>
  <c r="E30" i="16"/>
  <c r="D30" i="16"/>
  <c r="C30" i="16"/>
  <c r="B30" i="16"/>
  <c r="W29" i="16"/>
  <c r="V29" i="16"/>
  <c r="Q29" i="16"/>
  <c r="F29" i="16"/>
  <c r="E29" i="16"/>
  <c r="D29" i="16"/>
  <c r="C29" i="16"/>
  <c r="B29" i="16"/>
  <c r="W28" i="16"/>
  <c r="V28" i="16"/>
  <c r="Q28" i="16"/>
  <c r="F28" i="16"/>
  <c r="E28" i="16"/>
  <c r="D28" i="16"/>
  <c r="C28" i="16"/>
  <c r="B28" i="16"/>
  <c r="W27" i="16"/>
  <c r="V27" i="16"/>
  <c r="Q27" i="16"/>
  <c r="F27" i="16"/>
  <c r="E27" i="16"/>
  <c r="D27" i="16"/>
  <c r="C27" i="16"/>
  <c r="B27" i="16"/>
  <c r="W26" i="16"/>
  <c r="V26" i="16"/>
  <c r="Q26" i="16"/>
  <c r="F26" i="16"/>
  <c r="E26" i="16"/>
  <c r="D26" i="16"/>
  <c r="C26" i="16"/>
  <c r="B26" i="16"/>
  <c r="W25" i="16"/>
  <c r="V25" i="16"/>
  <c r="Q25" i="16"/>
  <c r="F25" i="16"/>
  <c r="E25" i="16"/>
  <c r="D25" i="16"/>
  <c r="C25" i="16"/>
  <c r="B25" i="16"/>
  <c r="W24" i="16"/>
  <c r="V24" i="16"/>
  <c r="Q24" i="16"/>
  <c r="F24" i="16"/>
  <c r="E24" i="16"/>
  <c r="D24" i="16"/>
  <c r="C24" i="16"/>
  <c r="B24" i="16"/>
  <c r="W23" i="16"/>
  <c r="V23" i="16"/>
  <c r="Q23" i="16"/>
  <c r="F23" i="16"/>
  <c r="E23" i="16"/>
  <c r="D23" i="16"/>
  <c r="C23" i="16"/>
  <c r="B23" i="16"/>
  <c r="W22" i="16"/>
  <c r="V22" i="16"/>
  <c r="Q22" i="16"/>
  <c r="F22" i="16"/>
  <c r="E22" i="16"/>
  <c r="D22" i="16"/>
  <c r="C22" i="16"/>
  <c r="B22" i="16"/>
  <c r="V21" i="16"/>
  <c r="Q21" i="16"/>
  <c r="F21" i="16"/>
  <c r="E21" i="16"/>
  <c r="D21" i="16"/>
  <c r="C21" i="16"/>
  <c r="B21" i="16"/>
  <c r="V20" i="16"/>
  <c r="Q20" i="16"/>
  <c r="F20" i="16"/>
  <c r="E20" i="16"/>
  <c r="D20" i="16"/>
  <c r="C20" i="16"/>
  <c r="B20" i="16"/>
  <c r="V19" i="16"/>
  <c r="Q19" i="16"/>
  <c r="F19" i="16"/>
  <c r="E19" i="16"/>
  <c r="D19" i="16"/>
  <c r="C19" i="16"/>
  <c r="B19" i="16"/>
  <c r="V18" i="16"/>
  <c r="Q18" i="16"/>
  <c r="F18" i="16"/>
  <c r="E18" i="16"/>
  <c r="D18" i="16"/>
  <c r="C18" i="16"/>
  <c r="B18" i="16"/>
  <c r="V17" i="16"/>
  <c r="Q17" i="16"/>
  <c r="F17" i="16"/>
  <c r="E17" i="16"/>
  <c r="D17" i="16"/>
  <c r="C17" i="16"/>
  <c r="B17" i="16"/>
  <c r="V16" i="16"/>
  <c r="Q16" i="16"/>
  <c r="F16" i="16"/>
  <c r="E16" i="16"/>
  <c r="D16" i="16"/>
  <c r="C16" i="16"/>
  <c r="B16" i="16"/>
  <c r="V15" i="16"/>
  <c r="Q15" i="16"/>
  <c r="F15" i="16"/>
  <c r="E15" i="16"/>
  <c r="D15" i="16"/>
  <c r="C15" i="16"/>
  <c r="B15" i="16"/>
  <c r="V14" i="16"/>
  <c r="Q14" i="16"/>
  <c r="F14" i="16"/>
  <c r="E14" i="16"/>
  <c r="D14" i="16"/>
  <c r="C14" i="16"/>
  <c r="B14" i="16"/>
  <c r="V13" i="16"/>
  <c r="Q13" i="16"/>
  <c r="F13" i="16"/>
  <c r="E13" i="16"/>
  <c r="D13" i="16"/>
  <c r="C13" i="16"/>
  <c r="B13" i="16"/>
  <c r="V12" i="16"/>
  <c r="Q12" i="16"/>
  <c r="F12" i="16"/>
  <c r="E12" i="16"/>
  <c r="D12" i="16"/>
  <c r="C12" i="16"/>
  <c r="B12" i="16"/>
  <c r="V11" i="16"/>
  <c r="Q11" i="16"/>
  <c r="F11" i="16"/>
  <c r="E11" i="16"/>
  <c r="D11" i="16"/>
  <c r="C11" i="16"/>
  <c r="B11" i="16"/>
  <c r="V10" i="16"/>
  <c r="Q10" i="16"/>
  <c r="F10" i="16"/>
  <c r="E10" i="16"/>
  <c r="D10" i="16"/>
  <c r="C10" i="16"/>
  <c r="B10" i="16"/>
  <c r="V9" i="16"/>
  <c r="Q9" i="16"/>
  <c r="F9" i="16"/>
  <c r="E9" i="16"/>
  <c r="D9" i="16"/>
  <c r="C9" i="16"/>
  <c r="B9" i="16"/>
  <c r="V8" i="16"/>
  <c r="Q8" i="16"/>
  <c r="F8" i="16"/>
  <c r="E8" i="16"/>
  <c r="D8" i="16"/>
  <c r="C8" i="16"/>
  <c r="B8" i="16"/>
  <c r="V7" i="16"/>
  <c r="Q7" i="16"/>
  <c r="F7" i="16"/>
  <c r="E7" i="16"/>
  <c r="D7" i="16"/>
  <c r="C7" i="16"/>
  <c r="B7" i="16"/>
  <c r="V6" i="16"/>
  <c r="Q6" i="16"/>
  <c r="F6" i="16"/>
  <c r="E6" i="16"/>
  <c r="D6" i="16"/>
  <c r="C6" i="16"/>
  <c r="B6" i="16"/>
  <c r="V5" i="16"/>
  <c r="Q5" i="16"/>
  <c r="F5" i="16"/>
  <c r="E5" i="16"/>
  <c r="D5" i="16"/>
  <c r="C5" i="16"/>
  <c r="B5" i="16"/>
  <c r="V4" i="16"/>
  <c r="Q4" i="16"/>
  <c r="F4" i="16"/>
  <c r="E4" i="16"/>
  <c r="D4" i="16"/>
  <c r="C4" i="16"/>
  <c r="B4" i="16"/>
  <c r="X43" i="11"/>
  <c r="X42" i="11"/>
  <c r="X41" i="11"/>
  <c r="X40" i="11"/>
  <c r="X39" i="11"/>
  <c r="X38" i="11"/>
  <c r="X37" i="11"/>
  <c r="X36" i="11"/>
  <c r="X35" i="11"/>
  <c r="X34" i="11"/>
  <c r="X33" i="11"/>
  <c r="X32" i="11"/>
  <c r="X31" i="11"/>
  <c r="X30" i="11"/>
  <c r="X29" i="11"/>
  <c r="X28" i="11"/>
  <c r="X27" i="11"/>
  <c r="X26" i="11"/>
  <c r="X25" i="11"/>
  <c r="X24" i="11"/>
  <c r="X23" i="11"/>
  <c r="X22" i="11"/>
  <c r="X21" i="11"/>
  <c r="X20" i="11"/>
  <c r="X19" i="11"/>
  <c r="X18" i="11"/>
  <c r="X17" i="11"/>
  <c r="X16" i="11"/>
  <c r="X15" i="11"/>
  <c r="X14" i="11"/>
  <c r="X13" i="11"/>
  <c r="X12" i="11"/>
  <c r="X11" i="11"/>
  <c r="X10" i="11"/>
  <c r="X9" i="11"/>
  <c r="X8" i="11"/>
  <c r="X7" i="11"/>
  <c r="X6" i="11"/>
  <c r="X5" i="11"/>
  <c r="X4" i="11"/>
  <c r="H430" i="9"/>
  <c r="F430" i="9"/>
  <c r="D430" i="9"/>
  <c r="C430" i="9"/>
  <c r="B430" i="9"/>
  <c r="H429" i="9"/>
  <c r="F429" i="9"/>
  <c r="D429" i="9"/>
  <c r="C429" i="9"/>
  <c r="B429" i="9"/>
  <c r="H428" i="9"/>
  <c r="F428" i="9"/>
  <c r="D428" i="9"/>
  <c r="C428" i="9"/>
  <c r="B428" i="9"/>
  <c r="H427" i="9"/>
  <c r="F427" i="9"/>
  <c r="D427" i="9"/>
  <c r="C427" i="9"/>
  <c r="B427" i="9"/>
  <c r="H426" i="9"/>
  <c r="F426" i="9"/>
  <c r="D426" i="9"/>
  <c r="C426" i="9"/>
  <c r="B426" i="9"/>
  <c r="H425" i="9"/>
  <c r="F425" i="9"/>
  <c r="D425" i="9"/>
  <c r="C425" i="9"/>
  <c r="B425" i="9"/>
  <c r="H424" i="9"/>
  <c r="F424" i="9"/>
  <c r="D424" i="9"/>
  <c r="C424" i="9"/>
  <c r="B424" i="9"/>
  <c r="H423" i="9"/>
  <c r="F423" i="9"/>
  <c r="D423" i="9"/>
  <c r="C423" i="9"/>
  <c r="B423" i="9"/>
  <c r="H422" i="9"/>
  <c r="F422" i="9"/>
  <c r="D422" i="9"/>
  <c r="C422" i="9"/>
  <c r="B422" i="9"/>
  <c r="H421" i="9"/>
  <c r="F421" i="9"/>
  <c r="D421" i="9"/>
  <c r="C421" i="9"/>
  <c r="B421" i="9"/>
  <c r="H420" i="9"/>
  <c r="F420" i="9"/>
  <c r="D420" i="9"/>
  <c r="C420" i="9"/>
  <c r="B420" i="9"/>
  <c r="H419" i="9"/>
  <c r="F419" i="9"/>
  <c r="D419" i="9"/>
  <c r="C419" i="9"/>
  <c r="B419" i="9"/>
  <c r="H418" i="9"/>
  <c r="F418" i="9"/>
  <c r="D418" i="9"/>
  <c r="C418" i="9"/>
  <c r="B418" i="9"/>
  <c r="H417" i="9"/>
  <c r="F417" i="9"/>
  <c r="D417" i="9"/>
  <c r="C417" i="9"/>
  <c r="B417" i="9"/>
  <c r="H416" i="9"/>
  <c r="F416" i="9"/>
  <c r="D416" i="9"/>
  <c r="C416" i="9"/>
  <c r="B416" i="9"/>
  <c r="H415" i="9"/>
  <c r="F415" i="9"/>
  <c r="D415" i="9"/>
  <c r="C415" i="9"/>
  <c r="B415" i="9"/>
  <c r="H414" i="9"/>
  <c r="F414" i="9"/>
  <c r="D414" i="9"/>
  <c r="C414" i="9"/>
  <c r="B414" i="9"/>
  <c r="H413" i="9"/>
  <c r="F413" i="9"/>
  <c r="D413" i="9"/>
  <c r="C413" i="9"/>
  <c r="B413" i="9"/>
  <c r="H412" i="9"/>
  <c r="F412" i="9"/>
  <c r="D412" i="9"/>
  <c r="C412" i="9"/>
  <c r="B412" i="9"/>
  <c r="H411" i="9"/>
  <c r="F411" i="9"/>
  <c r="D411" i="9"/>
  <c r="C411" i="9"/>
  <c r="B411" i="9"/>
  <c r="H410" i="9"/>
  <c r="F410" i="9"/>
  <c r="D410" i="9"/>
  <c r="C410" i="9"/>
  <c r="B410" i="9"/>
  <c r="H409" i="9"/>
  <c r="F409" i="9"/>
  <c r="D409" i="9"/>
  <c r="C409" i="9"/>
  <c r="B409" i="9"/>
  <c r="H408" i="9"/>
  <c r="F408" i="9"/>
  <c r="D408" i="9"/>
  <c r="C408" i="9"/>
  <c r="B408" i="9"/>
  <c r="H407" i="9"/>
  <c r="F407" i="9"/>
  <c r="D407" i="9"/>
  <c r="C407" i="9"/>
  <c r="B407" i="9"/>
  <c r="H406" i="9"/>
  <c r="F406" i="9"/>
  <c r="D406" i="9"/>
  <c r="C406" i="9"/>
  <c r="B406" i="9"/>
  <c r="H405" i="9"/>
  <c r="F405" i="9"/>
  <c r="D405" i="9"/>
  <c r="C405" i="9"/>
  <c r="B405" i="9"/>
  <c r="H404" i="9"/>
  <c r="F404" i="9"/>
  <c r="D404" i="9"/>
  <c r="C404" i="9"/>
  <c r="B404" i="9"/>
  <c r="H403" i="9"/>
  <c r="F403" i="9"/>
  <c r="D403" i="9"/>
  <c r="C403" i="9"/>
  <c r="B403" i="9"/>
  <c r="H402" i="9"/>
  <c r="F402" i="9"/>
  <c r="D402" i="9"/>
  <c r="C402" i="9"/>
  <c r="B402" i="9"/>
  <c r="H401" i="9"/>
  <c r="F401" i="9"/>
  <c r="D401" i="9"/>
  <c r="C401" i="9"/>
  <c r="B401" i="9"/>
  <c r="H400" i="9"/>
  <c r="F400" i="9"/>
  <c r="D400" i="9"/>
  <c r="C400" i="9"/>
  <c r="B400" i="9"/>
  <c r="H399" i="9"/>
  <c r="F399" i="9"/>
  <c r="D399" i="9"/>
  <c r="C399" i="9"/>
  <c r="B399" i="9"/>
  <c r="H398" i="9"/>
  <c r="F398" i="9"/>
  <c r="D398" i="9"/>
  <c r="C398" i="9"/>
  <c r="B398" i="9"/>
  <c r="H397" i="9"/>
  <c r="F397" i="9"/>
  <c r="D397" i="9"/>
  <c r="C397" i="9"/>
  <c r="B397" i="9"/>
  <c r="H396" i="9"/>
  <c r="F396" i="9"/>
  <c r="D396" i="9"/>
  <c r="C396" i="9"/>
  <c r="B396" i="9"/>
  <c r="H395" i="9"/>
  <c r="F395" i="9"/>
  <c r="D395" i="9"/>
  <c r="C395" i="9"/>
  <c r="B395" i="9"/>
  <c r="H394" i="9"/>
  <c r="F394" i="9"/>
  <c r="D394" i="9"/>
  <c r="C394" i="9"/>
  <c r="B394" i="9"/>
  <c r="H393" i="9"/>
  <c r="F393" i="9"/>
  <c r="D393" i="9"/>
  <c r="C393" i="9"/>
  <c r="B393" i="9"/>
  <c r="H392" i="9"/>
  <c r="F392" i="9"/>
  <c r="D392" i="9"/>
  <c r="C392" i="9"/>
  <c r="B392" i="9"/>
  <c r="H391" i="9"/>
  <c r="F391" i="9"/>
  <c r="D391" i="9"/>
  <c r="C391" i="9"/>
  <c r="B391" i="9"/>
  <c r="H390" i="9"/>
  <c r="F390" i="9"/>
  <c r="D390" i="9"/>
  <c r="C390" i="9"/>
  <c r="B390" i="9"/>
  <c r="H389" i="9"/>
  <c r="F389" i="9"/>
  <c r="D389" i="9"/>
  <c r="C389" i="9"/>
  <c r="B389" i="9"/>
  <c r="H388" i="9"/>
  <c r="F388" i="9"/>
  <c r="D388" i="9"/>
  <c r="C388" i="9"/>
  <c r="B388" i="9"/>
  <c r="H387" i="9"/>
  <c r="F387" i="9"/>
  <c r="D387" i="9"/>
  <c r="C387" i="9"/>
  <c r="B387" i="9"/>
  <c r="H386" i="9"/>
  <c r="F386" i="9"/>
  <c r="D386" i="9"/>
  <c r="C386" i="9"/>
  <c r="B386" i="9"/>
  <c r="H385" i="9"/>
  <c r="F385" i="9"/>
  <c r="D385" i="9"/>
  <c r="C385" i="9"/>
  <c r="B385" i="9"/>
  <c r="H384" i="9"/>
  <c r="F384" i="9"/>
  <c r="D384" i="9"/>
  <c r="C384" i="9"/>
  <c r="B384" i="9"/>
  <c r="H383" i="9"/>
  <c r="F383" i="9"/>
  <c r="D383" i="9"/>
  <c r="C383" i="9"/>
  <c r="B383" i="9"/>
  <c r="H382" i="9"/>
  <c r="F382" i="9"/>
  <c r="D382" i="9"/>
  <c r="C382" i="9"/>
  <c r="B382" i="9"/>
  <c r="H381" i="9"/>
  <c r="F381" i="9"/>
  <c r="D381" i="9"/>
  <c r="C381" i="9"/>
  <c r="B381" i="9"/>
  <c r="H380" i="9"/>
  <c r="F380" i="9"/>
  <c r="D380" i="9"/>
  <c r="C380" i="9"/>
  <c r="B380" i="9"/>
  <c r="H379" i="9"/>
  <c r="F379" i="9"/>
  <c r="D379" i="9"/>
  <c r="C379" i="9"/>
  <c r="B379" i="9"/>
  <c r="H378" i="9"/>
  <c r="F378" i="9"/>
  <c r="D378" i="9"/>
  <c r="C378" i="9"/>
  <c r="B378" i="9"/>
  <c r="H377" i="9"/>
  <c r="F377" i="9"/>
  <c r="D377" i="9"/>
  <c r="C377" i="9"/>
  <c r="B377" i="9"/>
  <c r="H376" i="9"/>
  <c r="F376" i="9"/>
  <c r="D376" i="9"/>
  <c r="C376" i="9"/>
  <c r="B376" i="9"/>
  <c r="H375" i="9"/>
  <c r="F375" i="9"/>
  <c r="D375" i="9"/>
  <c r="C375" i="9"/>
  <c r="B375" i="9"/>
  <c r="H374" i="9"/>
  <c r="F374" i="9"/>
  <c r="D374" i="9"/>
  <c r="C374" i="9"/>
  <c r="B374" i="9"/>
  <c r="H373" i="9"/>
  <c r="F373" i="9"/>
  <c r="D373" i="9"/>
  <c r="C373" i="9"/>
  <c r="B373" i="9"/>
  <c r="H372" i="9"/>
  <c r="F372" i="9"/>
  <c r="D372" i="9"/>
  <c r="C372" i="9"/>
  <c r="B372" i="9"/>
  <c r="H371" i="9"/>
  <c r="F371" i="9"/>
  <c r="D371" i="9"/>
  <c r="C371" i="9"/>
  <c r="B371" i="9"/>
  <c r="H370" i="9"/>
  <c r="F370" i="9"/>
  <c r="D370" i="9"/>
  <c r="C370" i="9"/>
  <c r="B370" i="9"/>
  <c r="H369" i="9"/>
  <c r="F369" i="9"/>
  <c r="D369" i="9"/>
  <c r="C369" i="9"/>
  <c r="B369" i="9"/>
  <c r="H368" i="9"/>
  <c r="F368" i="9"/>
  <c r="D368" i="9"/>
  <c r="C368" i="9"/>
  <c r="B368" i="9"/>
  <c r="H367" i="9"/>
  <c r="F367" i="9"/>
  <c r="D367" i="9"/>
  <c r="C367" i="9"/>
  <c r="B367" i="9"/>
  <c r="H366" i="9"/>
  <c r="F366" i="9"/>
  <c r="D366" i="9"/>
  <c r="C366" i="9"/>
  <c r="B366" i="9"/>
  <c r="H365" i="9"/>
  <c r="F365" i="9"/>
  <c r="D365" i="9"/>
  <c r="C365" i="9"/>
  <c r="B365" i="9"/>
  <c r="H364" i="9"/>
  <c r="F364" i="9"/>
  <c r="D364" i="9"/>
  <c r="C364" i="9"/>
  <c r="B364" i="9"/>
  <c r="H363" i="9"/>
  <c r="F363" i="9"/>
  <c r="D363" i="9"/>
  <c r="C363" i="9"/>
  <c r="B363" i="9"/>
  <c r="H362" i="9"/>
  <c r="F362" i="9"/>
  <c r="D362" i="9"/>
  <c r="C362" i="9"/>
  <c r="B362" i="9"/>
  <c r="H361" i="9"/>
  <c r="F361" i="9"/>
  <c r="D361" i="9"/>
  <c r="C361" i="9"/>
  <c r="B361" i="9"/>
  <c r="H360" i="9"/>
  <c r="F360" i="9"/>
  <c r="D360" i="9"/>
  <c r="C360" i="9"/>
  <c r="B360" i="9"/>
  <c r="H359" i="9"/>
  <c r="F359" i="9"/>
  <c r="D359" i="9"/>
  <c r="C359" i="9"/>
  <c r="B359" i="9"/>
  <c r="H358" i="9"/>
  <c r="F358" i="9"/>
  <c r="D358" i="9"/>
  <c r="C358" i="9"/>
  <c r="B358" i="9"/>
  <c r="H357" i="9"/>
  <c r="F357" i="9"/>
  <c r="D357" i="9"/>
  <c r="C357" i="9"/>
  <c r="B357" i="9"/>
  <c r="H356" i="9"/>
  <c r="F356" i="9"/>
  <c r="D356" i="9"/>
  <c r="C356" i="9"/>
  <c r="B356" i="9"/>
  <c r="H355" i="9"/>
  <c r="F355" i="9"/>
  <c r="D355" i="9"/>
  <c r="C355" i="9"/>
  <c r="B355" i="9"/>
  <c r="H354" i="9"/>
  <c r="F354" i="9"/>
  <c r="D354" i="9"/>
  <c r="C354" i="9"/>
  <c r="B354" i="9"/>
  <c r="H353" i="9"/>
  <c r="F353" i="9"/>
  <c r="D353" i="9"/>
  <c r="C353" i="9"/>
  <c r="B353" i="9"/>
  <c r="H352" i="9"/>
  <c r="F352" i="9"/>
  <c r="D352" i="9"/>
  <c r="C352" i="9"/>
  <c r="B352" i="9"/>
  <c r="H351" i="9"/>
  <c r="F351" i="9"/>
  <c r="D351" i="9"/>
  <c r="C351" i="9"/>
  <c r="B351" i="9"/>
  <c r="H350" i="9"/>
  <c r="F350" i="9"/>
  <c r="D350" i="9"/>
  <c r="C350" i="9"/>
  <c r="B350" i="9"/>
  <c r="H349" i="9"/>
  <c r="F349" i="9"/>
  <c r="D349" i="9"/>
  <c r="C349" i="9"/>
  <c r="B349" i="9"/>
  <c r="H348" i="9"/>
  <c r="F348" i="9"/>
  <c r="D348" i="9"/>
  <c r="C348" i="9"/>
  <c r="B348" i="9"/>
  <c r="H347" i="9"/>
  <c r="F347" i="9"/>
  <c r="D347" i="9"/>
  <c r="C347" i="9"/>
  <c r="B347" i="9"/>
  <c r="H346" i="9"/>
  <c r="F346" i="9"/>
  <c r="D346" i="9"/>
  <c r="C346" i="9"/>
  <c r="B346" i="9"/>
  <c r="H345" i="9"/>
  <c r="F345" i="9"/>
  <c r="D345" i="9"/>
  <c r="C345" i="9"/>
  <c r="B345" i="9"/>
  <c r="H344" i="9"/>
  <c r="F344" i="9"/>
  <c r="D344" i="9"/>
  <c r="C344" i="9"/>
  <c r="B344" i="9"/>
  <c r="H343" i="9"/>
  <c r="F343" i="9"/>
  <c r="D343" i="9"/>
  <c r="C343" i="9"/>
  <c r="B343" i="9"/>
  <c r="H342" i="9"/>
  <c r="F342" i="9"/>
  <c r="D342" i="9"/>
  <c r="C342" i="9"/>
  <c r="B342" i="9"/>
  <c r="H341" i="9"/>
  <c r="F341" i="9"/>
  <c r="D341" i="9"/>
  <c r="C341" i="9"/>
  <c r="B341" i="9"/>
  <c r="H340" i="9"/>
  <c r="F340" i="9"/>
  <c r="D340" i="9"/>
  <c r="C340" i="9"/>
  <c r="B340" i="9"/>
  <c r="H339" i="9"/>
  <c r="F339" i="9"/>
  <c r="D339" i="9"/>
  <c r="C339" i="9"/>
  <c r="B339" i="9"/>
  <c r="H338" i="9"/>
  <c r="F338" i="9"/>
  <c r="D338" i="9"/>
  <c r="C338" i="9"/>
  <c r="B338" i="9"/>
  <c r="H337" i="9"/>
  <c r="F337" i="9"/>
  <c r="D337" i="9"/>
  <c r="C337" i="9"/>
  <c r="B337" i="9"/>
  <c r="H336" i="9"/>
  <c r="F336" i="9"/>
  <c r="D336" i="9"/>
  <c r="C336" i="9"/>
  <c r="B336" i="9"/>
  <c r="H335" i="9"/>
  <c r="F335" i="9"/>
  <c r="D335" i="9"/>
  <c r="C335" i="9"/>
  <c r="B335" i="9"/>
  <c r="H334" i="9"/>
  <c r="F334" i="9"/>
  <c r="D334" i="9"/>
  <c r="C334" i="9"/>
  <c r="B334" i="9"/>
  <c r="H333" i="9"/>
  <c r="F333" i="9"/>
  <c r="D333" i="9"/>
  <c r="C333" i="9"/>
  <c r="B333" i="9"/>
  <c r="H332" i="9"/>
  <c r="F332" i="9"/>
  <c r="D332" i="9"/>
  <c r="C332" i="9"/>
  <c r="B332" i="9"/>
  <c r="H331" i="9"/>
  <c r="F331" i="9"/>
  <c r="D331" i="9"/>
  <c r="C331" i="9"/>
  <c r="B331" i="9"/>
  <c r="H330" i="9"/>
  <c r="F330" i="9"/>
  <c r="D330" i="9"/>
  <c r="C330" i="9"/>
  <c r="B330" i="9"/>
  <c r="H329" i="9"/>
  <c r="F329" i="9"/>
  <c r="D329" i="9"/>
  <c r="C329" i="9"/>
  <c r="B329" i="9"/>
  <c r="H328" i="9"/>
  <c r="F328" i="9"/>
  <c r="D328" i="9"/>
  <c r="C328" i="9"/>
  <c r="B328" i="9"/>
  <c r="H327" i="9"/>
  <c r="F327" i="9"/>
  <c r="D327" i="9"/>
  <c r="C327" i="9"/>
  <c r="B327" i="9"/>
  <c r="H326" i="9"/>
  <c r="F326" i="9"/>
  <c r="D326" i="9"/>
  <c r="C326" i="9"/>
  <c r="B326" i="9"/>
  <c r="H325" i="9"/>
  <c r="F325" i="9"/>
  <c r="D325" i="9"/>
  <c r="C325" i="9"/>
  <c r="B325" i="9"/>
  <c r="H324" i="9"/>
  <c r="F324" i="9"/>
  <c r="D324" i="9"/>
  <c r="C324" i="9"/>
  <c r="B324" i="9"/>
  <c r="H323" i="9"/>
  <c r="F323" i="9"/>
  <c r="D323" i="9"/>
  <c r="C323" i="9"/>
  <c r="B323" i="9"/>
  <c r="H322" i="9"/>
  <c r="F322" i="9"/>
  <c r="D322" i="9"/>
  <c r="C322" i="9"/>
  <c r="B322" i="9"/>
  <c r="H321" i="9"/>
  <c r="F321" i="9"/>
  <c r="D321" i="9"/>
  <c r="C321" i="9"/>
  <c r="B321" i="9"/>
  <c r="H320" i="9"/>
  <c r="F320" i="9"/>
  <c r="D320" i="9"/>
  <c r="C320" i="9"/>
  <c r="B320" i="9"/>
  <c r="H319" i="9"/>
  <c r="F319" i="9"/>
  <c r="D319" i="9"/>
  <c r="C319" i="9"/>
  <c r="B319" i="9"/>
  <c r="H318" i="9"/>
  <c r="F318" i="9"/>
  <c r="D318" i="9"/>
  <c r="C318" i="9"/>
  <c r="B318" i="9"/>
  <c r="H317" i="9"/>
  <c r="F317" i="9"/>
  <c r="D317" i="9"/>
  <c r="C317" i="9"/>
  <c r="B317" i="9"/>
  <c r="H316" i="9"/>
  <c r="F316" i="9"/>
  <c r="D316" i="9"/>
  <c r="C316" i="9"/>
  <c r="B316" i="9"/>
  <c r="H315" i="9"/>
  <c r="F315" i="9"/>
  <c r="D315" i="9"/>
  <c r="C315" i="9"/>
  <c r="B315" i="9"/>
  <c r="H314" i="9"/>
  <c r="F314" i="9"/>
  <c r="D314" i="9"/>
  <c r="C314" i="9"/>
  <c r="B314" i="9"/>
  <c r="H313" i="9"/>
  <c r="F313" i="9"/>
  <c r="D313" i="9"/>
  <c r="C313" i="9"/>
  <c r="B313" i="9"/>
  <c r="H312" i="9"/>
  <c r="F312" i="9"/>
  <c r="D312" i="9"/>
  <c r="C312" i="9"/>
  <c r="B312" i="9"/>
  <c r="H311" i="9"/>
  <c r="F311" i="9"/>
  <c r="D311" i="9"/>
  <c r="C311" i="9"/>
  <c r="B311" i="9"/>
  <c r="H310" i="9"/>
  <c r="F310" i="9"/>
  <c r="D310" i="9"/>
  <c r="C310" i="9"/>
  <c r="B310" i="9"/>
  <c r="H309" i="9"/>
  <c r="F309" i="9"/>
  <c r="D309" i="9"/>
  <c r="C309" i="9"/>
  <c r="B309" i="9"/>
  <c r="H308" i="9"/>
  <c r="F308" i="9"/>
  <c r="D308" i="9"/>
  <c r="C308" i="9"/>
  <c r="B308" i="9"/>
  <c r="H307" i="9"/>
  <c r="F307" i="9"/>
  <c r="D307" i="9"/>
  <c r="C307" i="9"/>
  <c r="B307" i="9"/>
  <c r="H306" i="9"/>
  <c r="F306" i="9"/>
  <c r="D306" i="9"/>
  <c r="C306" i="9"/>
  <c r="B306" i="9"/>
  <c r="H305" i="9"/>
  <c r="F305" i="9"/>
  <c r="D305" i="9"/>
  <c r="C305" i="9"/>
  <c r="B305" i="9"/>
  <c r="H304" i="9"/>
  <c r="F304" i="9"/>
  <c r="D304" i="9"/>
  <c r="C304" i="9"/>
  <c r="B304" i="9"/>
  <c r="H303" i="9"/>
  <c r="F303" i="9"/>
  <c r="D303" i="9"/>
  <c r="C303" i="9"/>
  <c r="B303" i="9"/>
  <c r="H302" i="9"/>
  <c r="F302" i="9"/>
  <c r="D302" i="9"/>
  <c r="C302" i="9"/>
  <c r="B302" i="9"/>
  <c r="H301" i="9"/>
  <c r="F301" i="9"/>
  <c r="D301" i="9"/>
  <c r="C301" i="9"/>
  <c r="B301" i="9"/>
  <c r="H300" i="9"/>
  <c r="F300" i="9"/>
  <c r="D300" i="9"/>
  <c r="C300" i="9"/>
  <c r="B300" i="9"/>
  <c r="H299" i="9"/>
  <c r="F299" i="9"/>
  <c r="D299" i="9"/>
  <c r="C299" i="9"/>
  <c r="B299" i="9"/>
  <c r="H298" i="9"/>
  <c r="F298" i="9"/>
  <c r="D298" i="9"/>
  <c r="C298" i="9"/>
  <c r="B298" i="9"/>
  <c r="H297" i="9"/>
  <c r="F297" i="9"/>
  <c r="D297" i="9"/>
  <c r="C297" i="9"/>
  <c r="B297" i="9"/>
  <c r="H296" i="9"/>
  <c r="F296" i="9"/>
  <c r="D296" i="9"/>
  <c r="C296" i="9"/>
  <c r="B296" i="9"/>
  <c r="H295" i="9"/>
  <c r="F295" i="9"/>
  <c r="D295" i="9"/>
  <c r="C295" i="9"/>
  <c r="B295" i="9"/>
  <c r="H294" i="9"/>
  <c r="F294" i="9"/>
  <c r="D294" i="9"/>
  <c r="C294" i="9"/>
  <c r="B294" i="9"/>
  <c r="H293" i="9"/>
  <c r="F293" i="9"/>
  <c r="D293" i="9"/>
  <c r="C293" i="9"/>
  <c r="B293" i="9"/>
  <c r="H292" i="9"/>
  <c r="F292" i="9"/>
  <c r="D292" i="9"/>
  <c r="C292" i="9"/>
  <c r="B292" i="9"/>
  <c r="H291" i="9"/>
  <c r="F291" i="9"/>
  <c r="D291" i="9"/>
  <c r="C291" i="9"/>
  <c r="B291" i="9"/>
  <c r="H290" i="9"/>
  <c r="F290" i="9"/>
  <c r="D290" i="9"/>
  <c r="C290" i="9"/>
  <c r="B290" i="9"/>
  <c r="H289" i="9"/>
  <c r="F289" i="9"/>
  <c r="D289" i="9"/>
  <c r="C289" i="9"/>
  <c r="B289" i="9"/>
  <c r="H288" i="9"/>
  <c r="F288" i="9"/>
  <c r="D288" i="9"/>
  <c r="C288" i="9"/>
  <c r="B288" i="9"/>
  <c r="H287" i="9"/>
  <c r="F287" i="9"/>
  <c r="D287" i="9"/>
  <c r="C287" i="9"/>
  <c r="B287" i="9"/>
  <c r="H286" i="9"/>
  <c r="F286" i="9"/>
  <c r="D286" i="9"/>
  <c r="C286" i="9"/>
  <c r="B286" i="9"/>
  <c r="H285" i="9"/>
  <c r="F285" i="9"/>
  <c r="D285" i="9"/>
  <c r="C285" i="9"/>
  <c r="B285" i="9"/>
  <c r="H284" i="9"/>
  <c r="F284" i="9"/>
  <c r="D284" i="9"/>
  <c r="C284" i="9"/>
  <c r="B284" i="9"/>
  <c r="H283" i="9"/>
  <c r="F283" i="9"/>
  <c r="D283" i="9"/>
  <c r="C283" i="9"/>
  <c r="B283" i="9"/>
  <c r="H282" i="9"/>
  <c r="F282" i="9"/>
  <c r="D282" i="9"/>
  <c r="C282" i="9"/>
  <c r="B282" i="9"/>
  <c r="H281" i="9"/>
  <c r="F281" i="9"/>
  <c r="D281" i="9"/>
  <c r="C281" i="9"/>
  <c r="B281" i="9"/>
  <c r="H280" i="9"/>
  <c r="F280" i="9"/>
  <c r="D280" i="9"/>
  <c r="C280" i="9"/>
  <c r="B280" i="9"/>
  <c r="H279" i="9"/>
  <c r="F279" i="9"/>
  <c r="D279" i="9"/>
  <c r="C279" i="9"/>
  <c r="B279" i="9"/>
  <c r="H278" i="9"/>
  <c r="F278" i="9"/>
  <c r="D278" i="9"/>
  <c r="C278" i="9"/>
  <c r="B278" i="9"/>
  <c r="H277" i="9"/>
  <c r="F277" i="9"/>
  <c r="D277" i="9"/>
  <c r="C277" i="9"/>
  <c r="B277" i="9"/>
  <c r="H276" i="9"/>
  <c r="F276" i="9"/>
  <c r="D276" i="9"/>
  <c r="C276" i="9"/>
  <c r="B276" i="9"/>
  <c r="H275" i="9"/>
  <c r="F275" i="9"/>
  <c r="D275" i="9"/>
  <c r="C275" i="9"/>
  <c r="B275" i="9"/>
  <c r="H274" i="9"/>
  <c r="F274" i="9"/>
  <c r="D274" i="9"/>
  <c r="C274" i="9"/>
  <c r="B274" i="9"/>
  <c r="H273" i="9"/>
  <c r="F273" i="9"/>
  <c r="D273" i="9"/>
  <c r="C273" i="9"/>
  <c r="B273" i="9"/>
  <c r="H272" i="9"/>
  <c r="F272" i="9"/>
  <c r="D272" i="9"/>
  <c r="C272" i="9"/>
  <c r="B272" i="9"/>
  <c r="H271" i="9"/>
  <c r="F271" i="9"/>
  <c r="D271" i="9"/>
  <c r="C271" i="9"/>
  <c r="B271" i="9"/>
  <c r="H270" i="9"/>
  <c r="F270" i="9"/>
  <c r="D270" i="9"/>
  <c r="C270" i="9"/>
  <c r="B270" i="9"/>
  <c r="H269" i="9"/>
  <c r="F269" i="9"/>
  <c r="D269" i="9"/>
  <c r="C269" i="9"/>
  <c r="B269" i="9"/>
  <c r="H268" i="9"/>
  <c r="F268" i="9"/>
  <c r="D268" i="9"/>
  <c r="C268" i="9"/>
  <c r="B268" i="9"/>
  <c r="H267" i="9"/>
  <c r="F267" i="9"/>
  <c r="D267" i="9"/>
  <c r="C267" i="9"/>
  <c r="B267" i="9"/>
  <c r="H266" i="9"/>
  <c r="F266" i="9"/>
  <c r="D266" i="9"/>
  <c r="C266" i="9"/>
  <c r="B266" i="9"/>
  <c r="H265" i="9"/>
  <c r="F265" i="9"/>
  <c r="D265" i="9"/>
  <c r="C265" i="9"/>
  <c r="B265" i="9"/>
  <c r="H264" i="9"/>
  <c r="F264" i="9"/>
  <c r="D264" i="9"/>
  <c r="C264" i="9"/>
  <c r="B264" i="9"/>
  <c r="H263" i="9"/>
  <c r="F263" i="9"/>
  <c r="D263" i="9"/>
  <c r="C263" i="9"/>
  <c r="B263" i="9"/>
  <c r="H262" i="9"/>
  <c r="F262" i="9"/>
  <c r="D262" i="9"/>
  <c r="C262" i="9"/>
  <c r="B262" i="9"/>
  <c r="H261" i="9"/>
  <c r="F261" i="9"/>
  <c r="D261" i="9"/>
  <c r="C261" i="9"/>
  <c r="B261" i="9"/>
  <c r="H260" i="9"/>
  <c r="F260" i="9"/>
  <c r="D260" i="9"/>
  <c r="C260" i="9"/>
  <c r="B260" i="9"/>
  <c r="H259" i="9"/>
  <c r="F259" i="9"/>
  <c r="D259" i="9"/>
  <c r="C259" i="9"/>
  <c r="B259" i="9"/>
  <c r="H258" i="9"/>
  <c r="F258" i="9"/>
  <c r="D258" i="9"/>
  <c r="C258" i="9"/>
  <c r="B258" i="9"/>
  <c r="H257" i="9"/>
  <c r="F257" i="9"/>
  <c r="D257" i="9"/>
  <c r="C257" i="9"/>
  <c r="B257" i="9"/>
  <c r="H256" i="9"/>
  <c r="F256" i="9"/>
  <c r="D256" i="9"/>
  <c r="C256" i="9"/>
  <c r="B256" i="9"/>
  <c r="H255" i="9"/>
  <c r="F255" i="9"/>
  <c r="D255" i="9"/>
  <c r="C255" i="9"/>
  <c r="B255" i="9"/>
  <c r="H254" i="9"/>
  <c r="F254" i="9"/>
  <c r="D254" i="9"/>
  <c r="C254" i="9"/>
  <c r="B254" i="9"/>
  <c r="H253" i="9"/>
  <c r="F253" i="9"/>
  <c r="D253" i="9"/>
  <c r="C253" i="9"/>
  <c r="B253" i="9"/>
  <c r="H252" i="9"/>
  <c r="F252" i="9"/>
  <c r="D252" i="9"/>
  <c r="C252" i="9"/>
  <c r="B252" i="9"/>
  <c r="H251" i="9"/>
  <c r="F251" i="9"/>
  <c r="D251" i="9"/>
  <c r="C251" i="9"/>
  <c r="B251" i="9"/>
  <c r="H250" i="9"/>
  <c r="F250" i="9"/>
  <c r="D250" i="9"/>
  <c r="C250" i="9"/>
  <c r="B250" i="9"/>
  <c r="H249" i="9"/>
  <c r="F249" i="9"/>
  <c r="D249" i="9"/>
  <c r="C249" i="9"/>
  <c r="B249" i="9"/>
  <c r="H248" i="9"/>
  <c r="F248" i="9"/>
  <c r="D248" i="9"/>
  <c r="C248" i="9"/>
  <c r="B248" i="9"/>
  <c r="H247" i="9"/>
  <c r="F247" i="9"/>
  <c r="D247" i="9"/>
  <c r="C247" i="9"/>
  <c r="B247" i="9"/>
  <c r="H246" i="9"/>
  <c r="F246" i="9"/>
  <c r="D246" i="9"/>
  <c r="C246" i="9"/>
  <c r="B246" i="9"/>
  <c r="H245" i="9"/>
  <c r="F245" i="9"/>
  <c r="D245" i="9"/>
  <c r="C245" i="9"/>
  <c r="B245" i="9"/>
  <c r="H244" i="9"/>
  <c r="F244" i="9"/>
  <c r="D244" i="9"/>
  <c r="C244" i="9"/>
  <c r="B244" i="9"/>
  <c r="H243" i="9"/>
  <c r="F243" i="9"/>
  <c r="D243" i="9"/>
  <c r="C243" i="9"/>
  <c r="B243" i="9"/>
  <c r="H242" i="9"/>
  <c r="F242" i="9"/>
  <c r="D242" i="9"/>
  <c r="C242" i="9"/>
  <c r="B242" i="9"/>
  <c r="H241" i="9"/>
  <c r="F241" i="9"/>
  <c r="D241" i="9"/>
  <c r="C241" i="9"/>
  <c r="B241" i="9"/>
  <c r="H240" i="9"/>
  <c r="F240" i="9"/>
  <c r="D240" i="9"/>
  <c r="C240" i="9"/>
  <c r="B240" i="9"/>
  <c r="H239" i="9"/>
  <c r="F239" i="9"/>
  <c r="D239" i="9"/>
  <c r="C239" i="9"/>
  <c r="B239" i="9"/>
  <c r="H238" i="9"/>
  <c r="F238" i="9"/>
  <c r="D238" i="9"/>
  <c r="C238" i="9"/>
  <c r="B238" i="9"/>
  <c r="H237" i="9"/>
  <c r="F237" i="9"/>
  <c r="D237" i="9"/>
  <c r="C237" i="9"/>
  <c r="B237" i="9"/>
  <c r="H236" i="9"/>
  <c r="F236" i="9"/>
  <c r="D236" i="9"/>
  <c r="C236" i="9"/>
  <c r="B236" i="9"/>
  <c r="H235" i="9"/>
  <c r="F235" i="9"/>
  <c r="D235" i="9"/>
  <c r="C235" i="9"/>
  <c r="B235" i="9"/>
  <c r="H234" i="9"/>
  <c r="F234" i="9"/>
  <c r="D234" i="9"/>
  <c r="C234" i="9"/>
  <c r="B234" i="9"/>
  <c r="H233" i="9"/>
  <c r="F233" i="9"/>
  <c r="D233" i="9"/>
  <c r="C233" i="9"/>
  <c r="B233" i="9"/>
  <c r="H232" i="9"/>
  <c r="F232" i="9"/>
  <c r="D232" i="9"/>
  <c r="C232" i="9"/>
  <c r="B232" i="9"/>
  <c r="H231" i="9"/>
  <c r="F231" i="9"/>
  <c r="D231" i="9"/>
  <c r="C231" i="9"/>
  <c r="B231" i="9"/>
  <c r="H230" i="9"/>
  <c r="F230" i="9"/>
  <c r="D230" i="9"/>
  <c r="C230" i="9"/>
  <c r="B230" i="9"/>
  <c r="H229" i="9"/>
  <c r="F229" i="9"/>
  <c r="D229" i="9"/>
  <c r="C229" i="9"/>
  <c r="B229" i="9"/>
  <c r="H228" i="9"/>
  <c r="F228" i="9"/>
  <c r="D228" i="9"/>
  <c r="C228" i="9"/>
  <c r="B228" i="9"/>
  <c r="H227" i="9"/>
  <c r="F227" i="9"/>
  <c r="D227" i="9"/>
  <c r="C227" i="9"/>
  <c r="B227" i="9"/>
  <c r="H226" i="9"/>
  <c r="F226" i="9"/>
  <c r="D226" i="9"/>
  <c r="C226" i="9"/>
  <c r="B226" i="9"/>
  <c r="H225" i="9"/>
  <c r="F225" i="9"/>
  <c r="D225" i="9"/>
  <c r="C225" i="9"/>
  <c r="B225" i="9"/>
  <c r="H224" i="9"/>
  <c r="F224" i="9"/>
  <c r="D224" i="9"/>
  <c r="C224" i="9"/>
  <c r="B224" i="9"/>
  <c r="H223" i="9"/>
  <c r="F223" i="9"/>
  <c r="D223" i="9"/>
  <c r="C223" i="9"/>
  <c r="B223" i="9"/>
  <c r="H222" i="9"/>
  <c r="F222" i="9"/>
  <c r="D222" i="9"/>
  <c r="C222" i="9"/>
  <c r="B222" i="9"/>
  <c r="H221" i="9"/>
  <c r="F221" i="9"/>
  <c r="D221" i="9"/>
  <c r="C221" i="9"/>
  <c r="B221" i="9"/>
  <c r="H220" i="9"/>
  <c r="F220" i="9"/>
  <c r="D220" i="9"/>
  <c r="C220" i="9"/>
  <c r="B220" i="9"/>
  <c r="H219" i="9"/>
  <c r="F219" i="9"/>
  <c r="D219" i="9"/>
  <c r="C219" i="9"/>
  <c r="B219" i="9"/>
  <c r="H218" i="9"/>
  <c r="F218" i="9"/>
  <c r="D218" i="9"/>
  <c r="C218" i="9"/>
  <c r="B218" i="9"/>
  <c r="H217" i="9"/>
  <c r="F217" i="9"/>
  <c r="D217" i="9"/>
  <c r="C217" i="9"/>
  <c r="B217" i="9"/>
  <c r="H216" i="9"/>
  <c r="F216" i="9"/>
  <c r="D216" i="9"/>
  <c r="C216" i="9"/>
  <c r="B216" i="9"/>
  <c r="H215" i="9"/>
  <c r="F215" i="9"/>
  <c r="D215" i="9"/>
  <c r="C215" i="9"/>
  <c r="B215" i="9"/>
  <c r="H214" i="9"/>
  <c r="F214" i="9"/>
  <c r="D214" i="9"/>
  <c r="C214" i="9"/>
  <c r="B214" i="9"/>
  <c r="H213" i="9"/>
  <c r="F213" i="9"/>
  <c r="D213" i="9"/>
  <c r="C213" i="9"/>
  <c r="B213" i="9"/>
  <c r="H212" i="9"/>
  <c r="F212" i="9"/>
  <c r="D212" i="9"/>
  <c r="C212" i="9"/>
  <c r="B212" i="9"/>
  <c r="H211" i="9"/>
  <c r="F211" i="9"/>
  <c r="D211" i="9"/>
  <c r="C211" i="9"/>
  <c r="B211" i="9"/>
  <c r="H210" i="9"/>
  <c r="F210" i="9"/>
  <c r="D210" i="9"/>
  <c r="C210" i="9"/>
  <c r="B210" i="9"/>
  <c r="H209" i="9"/>
  <c r="F209" i="9"/>
  <c r="D209" i="9"/>
  <c r="C209" i="9"/>
  <c r="B209" i="9"/>
  <c r="H208" i="9"/>
  <c r="F208" i="9"/>
  <c r="D208" i="9"/>
  <c r="C208" i="9"/>
  <c r="B208" i="9"/>
  <c r="H207" i="9"/>
  <c r="F207" i="9"/>
  <c r="D207" i="9"/>
  <c r="C207" i="9"/>
  <c r="B207" i="9"/>
  <c r="H206" i="9"/>
  <c r="F206" i="9"/>
  <c r="D206" i="9"/>
  <c r="C206" i="9"/>
  <c r="B206" i="9"/>
  <c r="H205" i="9"/>
  <c r="F205" i="9"/>
  <c r="D205" i="9"/>
  <c r="C205" i="9"/>
  <c r="B205" i="9"/>
  <c r="H204" i="9"/>
  <c r="F204" i="9"/>
  <c r="D204" i="9"/>
  <c r="C204" i="9"/>
  <c r="B204" i="9"/>
  <c r="H203" i="9"/>
  <c r="F203" i="9"/>
  <c r="D203" i="9"/>
  <c r="C203" i="9"/>
  <c r="B203" i="9"/>
  <c r="H202" i="9"/>
  <c r="F202" i="9"/>
  <c r="D202" i="9"/>
  <c r="C202" i="9"/>
  <c r="B202" i="9"/>
  <c r="H201" i="9"/>
  <c r="F201" i="9"/>
  <c r="D201" i="9"/>
  <c r="C201" i="9"/>
  <c r="B201" i="9"/>
  <c r="H200" i="9"/>
  <c r="F200" i="9"/>
  <c r="D200" i="9"/>
  <c r="C200" i="9"/>
  <c r="B200" i="9"/>
  <c r="H199" i="9"/>
  <c r="F199" i="9"/>
  <c r="D199" i="9"/>
  <c r="C199" i="9"/>
  <c r="B199" i="9"/>
  <c r="H198" i="9"/>
  <c r="F198" i="9"/>
  <c r="D198" i="9"/>
  <c r="C198" i="9"/>
  <c r="B198" i="9"/>
  <c r="H197" i="9"/>
  <c r="F197" i="9"/>
  <c r="D197" i="9"/>
  <c r="C197" i="9"/>
  <c r="B197" i="9"/>
  <c r="H196" i="9"/>
  <c r="F196" i="9"/>
  <c r="D196" i="9"/>
  <c r="C196" i="9"/>
  <c r="B196" i="9"/>
  <c r="H195" i="9"/>
  <c r="F195" i="9"/>
  <c r="D195" i="9"/>
  <c r="C195" i="9"/>
  <c r="B195" i="9"/>
  <c r="H194" i="9"/>
  <c r="F194" i="9"/>
  <c r="D194" i="9"/>
  <c r="C194" i="9"/>
  <c r="B194" i="9"/>
  <c r="H193" i="9"/>
  <c r="F193" i="9"/>
  <c r="D193" i="9"/>
  <c r="C193" i="9"/>
  <c r="B193" i="9"/>
  <c r="H192" i="9"/>
  <c r="F192" i="9"/>
  <c r="D192" i="9"/>
  <c r="C192" i="9"/>
  <c r="B192" i="9"/>
  <c r="H191" i="9"/>
  <c r="F191" i="9"/>
  <c r="D191" i="9"/>
  <c r="C191" i="9"/>
  <c r="B191" i="9"/>
  <c r="H190" i="9"/>
  <c r="F190" i="9"/>
  <c r="D190" i="9"/>
  <c r="C190" i="9"/>
  <c r="B190" i="9"/>
  <c r="H189" i="9"/>
  <c r="F189" i="9"/>
  <c r="D189" i="9"/>
  <c r="C189" i="9"/>
  <c r="B189" i="9"/>
  <c r="H188" i="9"/>
  <c r="F188" i="9"/>
  <c r="D188" i="9"/>
  <c r="C188" i="9"/>
  <c r="B188" i="9"/>
  <c r="H187" i="9"/>
  <c r="F187" i="9"/>
  <c r="D187" i="9"/>
  <c r="C187" i="9"/>
  <c r="B187" i="9"/>
  <c r="H186" i="9"/>
  <c r="F186" i="9"/>
  <c r="D186" i="9"/>
  <c r="C186" i="9"/>
  <c r="B186" i="9"/>
  <c r="H185" i="9"/>
  <c r="F185" i="9"/>
  <c r="D185" i="9"/>
  <c r="C185" i="9"/>
  <c r="B185" i="9"/>
  <c r="H184" i="9"/>
  <c r="F184" i="9"/>
  <c r="D184" i="9"/>
  <c r="C184" i="9"/>
  <c r="B184" i="9"/>
  <c r="H183" i="9"/>
  <c r="F183" i="9"/>
  <c r="D183" i="9"/>
  <c r="C183" i="9"/>
  <c r="B183" i="9"/>
  <c r="H182" i="9"/>
  <c r="F182" i="9"/>
  <c r="D182" i="9"/>
  <c r="C182" i="9"/>
  <c r="B182" i="9"/>
  <c r="H181" i="9"/>
  <c r="F181" i="9"/>
  <c r="D181" i="9"/>
  <c r="C181" i="9"/>
  <c r="B181" i="9"/>
  <c r="H180" i="9"/>
  <c r="F180" i="9"/>
  <c r="D180" i="9"/>
  <c r="C180" i="9"/>
  <c r="B180" i="9"/>
  <c r="H179" i="9"/>
  <c r="F179" i="9"/>
  <c r="D179" i="9"/>
  <c r="C179" i="9"/>
  <c r="B179" i="9"/>
  <c r="H178" i="9"/>
  <c r="F178" i="9"/>
  <c r="D178" i="9"/>
  <c r="C178" i="9"/>
  <c r="B178" i="9"/>
  <c r="H177" i="9"/>
  <c r="F177" i="9"/>
  <c r="D177" i="9"/>
  <c r="C177" i="9"/>
  <c r="B177" i="9"/>
  <c r="H176" i="9"/>
  <c r="F176" i="9"/>
  <c r="D176" i="9"/>
  <c r="C176" i="9"/>
  <c r="B176" i="9"/>
  <c r="H175" i="9"/>
  <c r="F175" i="9"/>
  <c r="D175" i="9"/>
  <c r="C175" i="9"/>
  <c r="B175" i="9"/>
  <c r="H174" i="9"/>
  <c r="F174" i="9"/>
  <c r="D174" i="9"/>
  <c r="C174" i="9"/>
  <c r="B174" i="9"/>
  <c r="H173" i="9"/>
  <c r="F173" i="9"/>
  <c r="D173" i="9"/>
  <c r="C173" i="9"/>
  <c r="B173" i="9"/>
  <c r="H172" i="9"/>
  <c r="F172" i="9"/>
  <c r="D172" i="9"/>
  <c r="C172" i="9"/>
  <c r="B172" i="9"/>
  <c r="H171" i="9"/>
  <c r="F171" i="9"/>
  <c r="D171" i="9"/>
  <c r="C171" i="9"/>
  <c r="B171" i="9"/>
  <c r="H170" i="9"/>
  <c r="F170" i="9"/>
  <c r="D170" i="9"/>
  <c r="C170" i="9"/>
  <c r="B170" i="9"/>
  <c r="H169" i="9"/>
  <c r="F169" i="9"/>
  <c r="D169" i="9"/>
  <c r="C169" i="9"/>
  <c r="B169" i="9"/>
  <c r="H168" i="9"/>
  <c r="F168" i="9"/>
  <c r="D168" i="9"/>
  <c r="C168" i="9"/>
  <c r="B168" i="9"/>
  <c r="H167" i="9"/>
  <c r="F167" i="9"/>
  <c r="D167" i="9"/>
  <c r="C167" i="9"/>
  <c r="B167" i="9"/>
  <c r="H166" i="9"/>
  <c r="F166" i="9"/>
  <c r="D166" i="9"/>
  <c r="C166" i="9"/>
  <c r="B166" i="9"/>
  <c r="H165" i="9"/>
  <c r="F165" i="9"/>
  <c r="D165" i="9"/>
  <c r="C165" i="9"/>
  <c r="B165" i="9"/>
  <c r="H164" i="9"/>
  <c r="F164" i="9"/>
  <c r="D164" i="9"/>
  <c r="C164" i="9"/>
  <c r="B164" i="9"/>
  <c r="H163" i="9"/>
  <c r="F163" i="9"/>
  <c r="D163" i="9"/>
  <c r="C163" i="9"/>
  <c r="B163" i="9"/>
  <c r="H162" i="9"/>
  <c r="F162" i="9"/>
  <c r="D162" i="9"/>
  <c r="C162" i="9"/>
  <c r="B162" i="9"/>
  <c r="H161" i="9"/>
  <c r="F161" i="9"/>
  <c r="D161" i="9"/>
  <c r="C161" i="9"/>
  <c r="B161" i="9"/>
  <c r="H160" i="9"/>
  <c r="F160" i="9"/>
  <c r="D160" i="9"/>
  <c r="C160" i="9"/>
  <c r="B160" i="9"/>
  <c r="H159" i="9"/>
  <c r="F159" i="9"/>
  <c r="D159" i="9"/>
  <c r="C159" i="9"/>
  <c r="B159" i="9"/>
  <c r="H158" i="9"/>
  <c r="F158" i="9"/>
  <c r="D158" i="9"/>
  <c r="C158" i="9"/>
  <c r="B158" i="9"/>
  <c r="H157" i="9"/>
  <c r="F157" i="9"/>
  <c r="D157" i="9"/>
  <c r="C157" i="9"/>
  <c r="B157" i="9"/>
  <c r="H156" i="9"/>
  <c r="F156" i="9"/>
  <c r="D156" i="9"/>
  <c r="C156" i="9"/>
  <c r="B156" i="9"/>
  <c r="H155" i="9"/>
  <c r="F155" i="9"/>
  <c r="D155" i="9"/>
  <c r="C155" i="9"/>
  <c r="B155" i="9"/>
  <c r="H154" i="9"/>
  <c r="F154" i="9"/>
  <c r="D154" i="9"/>
  <c r="C154" i="9"/>
  <c r="B154" i="9"/>
  <c r="H153" i="9"/>
  <c r="F153" i="9"/>
  <c r="D153" i="9"/>
  <c r="C153" i="9"/>
  <c r="B153" i="9"/>
  <c r="H152" i="9"/>
  <c r="F152" i="9"/>
  <c r="D152" i="9"/>
  <c r="C152" i="9"/>
  <c r="B152" i="9"/>
  <c r="H151" i="9"/>
  <c r="F151" i="9"/>
  <c r="D151" i="9"/>
  <c r="C151" i="9"/>
  <c r="B151" i="9"/>
  <c r="H150" i="9"/>
  <c r="F150" i="9"/>
  <c r="D150" i="9"/>
  <c r="C150" i="9"/>
  <c r="B150" i="9"/>
  <c r="H149" i="9"/>
  <c r="F149" i="9"/>
  <c r="D149" i="9"/>
  <c r="C149" i="9"/>
  <c r="B149" i="9"/>
  <c r="H148" i="9"/>
  <c r="F148" i="9"/>
  <c r="D148" i="9"/>
  <c r="C148" i="9"/>
  <c r="B148" i="9"/>
  <c r="H147" i="9"/>
  <c r="F147" i="9"/>
  <c r="D147" i="9"/>
  <c r="C147" i="9"/>
  <c r="B147" i="9"/>
  <c r="H146" i="9"/>
  <c r="F146" i="9"/>
  <c r="D146" i="9"/>
  <c r="C146" i="9"/>
  <c r="B146" i="9"/>
  <c r="H145" i="9"/>
  <c r="F145" i="9"/>
  <c r="D145" i="9"/>
  <c r="C145" i="9"/>
  <c r="B145" i="9"/>
  <c r="H144" i="9"/>
  <c r="F144" i="9"/>
  <c r="D144" i="9"/>
  <c r="C144" i="9"/>
  <c r="B144" i="9"/>
  <c r="H143" i="9"/>
  <c r="F143" i="9"/>
  <c r="D143" i="9"/>
  <c r="C143" i="9"/>
  <c r="B143" i="9"/>
  <c r="H142" i="9"/>
  <c r="F142" i="9"/>
  <c r="D142" i="9"/>
  <c r="C142" i="9"/>
  <c r="B142" i="9"/>
  <c r="H141" i="9"/>
  <c r="F141" i="9"/>
  <c r="D141" i="9"/>
  <c r="C141" i="9"/>
  <c r="B141" i="9"/>
  <c r="H140" i="9"/>
  <c r="F140" i="9"/>
  <c r="D140" i="9"/>
  <c r="C140" i="9"/>
  <c r="B140" i="9"/>
  <c r="H139" i="9"/>
  <c r="F139" i="9"/>
  <c r="D139" i="9"/>
  <c r="C139" i="9"/>
  <c r="B139" i="9"/>
  <c r="H138" i="9"/>
  <c r="F138" i="9"/>
  <c r="D138" i="9"/>
  <c r="C138" i="9"/>
  <c r="B138" i="9"/>
  <c r="H137" i="9"/>
  <c r="F137" i="9"/>
  <c r="D137" i="9"/>
  <c r="C137" i="9"/>
  <c r="B137" i="9"/>
  <c r="H136" i="9"/>
  <c r="F136" i="9"/>
  <c r="D136" i="9"/>
  <c r="C136" i="9"/>
  <c r="B136" i="9"/>
  <c r="H135" i="9"/>
  <c r="F135" i="9"/>
  <c r="D135" i="9"/>
  <c r="C135" i="9"/>
  <c r="B135" i="9"/>
  <c r="H134" i="9"/>
  <c r="F134" i="9"/>
  <c r="D134" i="9"/>
  <c r="C134" i="9"/>
  <c r="B134" i="9"/>
  <c r="H133" i="9"/>
  <c r="F133" i="9"/>
  <c r="D133" i="9"/>
  <c r="C133" i="9"/>
  <c r="B133" i="9"/>
  <c r="H132" i="9"/>
  <c r="F132" i="9"/>
  <c r="D132" i="9"/>
  <c r="C132" i="9"/>
  <c r="B132" i="9"/>
  <c r="H131" i="9"/>
  <c r="F131" i="9"/>
  <c r="D131" i="9"/>
  <c r="C131" i="9"/>
  <c r="B131" i="9"/>
  <c r="H130" i="9"/>
  <c r="F130" i="9"/>
  <c r="D130" i="9"/>
  <c r="C130" i="9"/>
  <c r="B130" i="9"/>
  <c r="H129" i="9"/>
  <c r="F129" i="9"/>
  <c r="D129" i="9"/>
  <c r="C129" i="9"/>
  <c r="B129" i="9"/>
  <c r="H128" i="9"/>
  <c r="F128" i="9"/>
  <c r="D128" i="9"/>
  <c r="C128" i="9"/>
  <c r="B128" i="9"/>
  <c r="H127" i="9"/>
  <c r="F127" i="9"/>
  <c r="D127" i="9"/>
  <c r="C127" i="9"/>
  <c r="B127" i="9"/>
  <c r="H126" i="9"/>
  <c r="F126" i="9"/>
  <c r="D126" i="9"/>
  <c r="C126" i="9"/>
  <c r="B126" i="9"/>
  <c r="H125" i="9"/>
  <c r="F125" i="9"/>
  <c r="D125" i="9"/>
  <c r="C125" i="9"/>
  <c r="B125" i="9"/>
  <c r="H124" i="9"/>
  <c r="F124" i="9"/>
  <c r="D124" i="9"/>
  <c r="C124" i="9"/>
  <c r="B124" i="9"/>
  <c r="H123" i="9"/>
  <c r="F123" i="9"/>
  <c r="D123" i="9"/>
  <c r="C123" i="9"/>
  <c r="B123" i="9"/>
  <c r="H122" i="9"/>
  <c r="F122" i="9"/>
  <c r="D122" i="9"/>
  <c r="C122" i="9"/>
  <c r="B122" i="9"/>
  <c r="H121" i="9"/>
  <c r="F121" i="9"/>
  <c r="D121" i="9"/>
  <c r="C121" i="9"/>
  <c r="B121" i="9"/>
  <c r="H120" i="9"/>
  <c r="F120" i="9"/>
  <c r="D120" i="9"/>
  <c r="C120" i="9"/>
  <c r="B120" i="9"/>
  <c r="H119" i="9"/>
  <c r="F119" i="9"/>
  <c r="D119" i="9"/>
  <c r="C119" i="9"/>
  <c r="B119" i="9"/>
  <c r="H118" i="9"/>
  <c r="F118" i="9"/>
  <c r="D118" i="9"/>
  <c r="C118" i="9"/>
  <c r="B118" i="9"/>
  <c r="H117" i="9"/>
  <c r="F117" i="9"/>
  <c r="D117" i="9"/>
  <c r="C117" i="9"/>
  <c r="B117" i="9"/>
  <c r="H116" i="9"/>
  <c r="F116" i="9"/>
  <c r="D116" i="9"/>
  <c r="C116" i="9"/>
  <c r="B116" i="9"/>
  <c r="H115" i="9"/>
  <c r="F115" i="9"/>
  <c r="D115" i="9"/>
  <c r="C115" i="9"/>
  <c r="B115" i="9"/>
  <c r="H114" i="9"/>
  <c r="F114" i="9"/>
  <c r="D114" i="9"/>
  <c r="C114" i="9"/>
  <c r="B114" i="9"/>
  <c r="H113" i="9"/>
  <c r="F113" i="9"/>
  <c r="D113" i="9"/>
  <c r="C113" i="9"/>
  <c r="B113" i="9"/>
  <c r="H112" i="9"/>
  <c r="F112" i="9"/>
  <c r="D112" i="9"/>
  <c r="C112" i="9"/>
  <c r="B112" i="9"/>
  <c r="H111" i="9"/>
  <c r="F111" i="9"/>
  <c r="D111" i="9"/>
  <c r="C111" i="9"/>
  <c r="B111" i="9"/>
  <c r="H110" i="9"/>
  <c r="F110" i="9"/>
  <c r="D110" i="9"/>
  <c r="C110" i="9"/>
  <c r="B110" i="9"/>
  <c r="H109" i="9"/>
  <c r="F109" i="9"/>
  <c r="D109" i="9"/>
  <c r="C109" i="9"/>
  <c r="B109" i="9"/>
  <c r="H108" i="9"/>
  <c r="F108" i="9"/>
  <c r="D108" i="9"/>
  <c r="C108" i="9"/>
  <c r="B108" i="9"/>
  <c r="H107" i="9"/>
  <c r="F107" i="9"/>
  <c r="D107" i="9"/>
  <c r="C107" i="9"/>
  <c r="B107" i="9"/>
  <c r="H106" i="9"/>
  <c r="F106" i="9"/>
  <c r="D106" i="9"/>
  <c r="C106" i="9"/>
  <c r="B106" i="9"/>
  <c r="H105" i="9"/>
  <c r="F105" i="9"/>
  <c r="D105" i="9"/>
  <c r="C105" i="9"/>
  <c r="B105" i="9"/>
  <c r="H104" i="9"/>
  <c r="F104" i="9"/>
  <c r="D104" i="9"/>
  <c r="C104" i="9"/>
  <c r="B104" i="9"/>
  <c r="H103" i="9"/>
  <c r="F103" i="9"/>
  <c r="D103" i="9"/>
  <c r="C103" i="9"/>
  <c r="B103" i="9"/>
  <c r="H102" i="9"/>
  <c r="F102" i="9"/>
  <c r="D102" i="9"/>
  <c r="C102" i="9"/>
  <c r="B102" i="9"/>
  <c r="H101" i="9"/>
  <c r="F101" i="9"/>
  <c r="D101" i="9"/>
  <c r="C101" i="9"/>
  <c r="B101" i="9"/>
  <c r="H100" i="9"/>
  <c r="F100" i="9"/>
  <c r="D100" i="9"/>
  <c r="C100" i="9"/>
  <c r="B100" i="9"/>
  <c r="H99" i="9"/>
  <c r="F99" i="9"/>
  <c r="D99" i="9"/>
  <c r="C99" i="9"/>
  <c r="B99" i="9"/>
  <c r="H98" i="9"/>
  <c r="F98" i="9"/>
  <c r="D98" i="9"/>
  <c r="C98" i="9"/>
  <c r="B98" i="9"/>
  <c r="H97" i="9"/>
  <c r="F97" i="9"/>
  <c r="D97" i="9"/>
  <c r="C97" i="9"/>
  <c r="B97" i="9"/>
  <c r="H96" i="9"/>
  <c r="F96" i="9"/>
  <c r="D96" i="9"/>
  <c r="C96" i="9"/>
  <c r="B96" i="9"/>
  <c r="H95" i="9"/>
  <c r="F95" i="9"/>
  <c r="D95" i="9"/>
  <c r="C95" i="9"/>
  <c r="B95" i="9"/>
  <c r="H94" i="9"/>
  <c r="F94" i="9"/>
  <c r="D94" i="9"/>
  <c r="C94" i="9"/>
  <c r="B94" i="9"/>
  <c r="H93" i="9"/>
  <c r="F93" i="9"/>
  <c r="D93" i="9"/>
  <c r="C93" i="9"/>
  <c r="B93" i="9"/>
  <c r="H92" i="9"/>
  <c r="F92" i="9"/>
  <c r="D92" i="9"/>
  <c r="C92" i="9"/>
  <c r="B92" i="9"/>
  <c r="H91" i="9"/>
  <c r="F91" i="9"/>
  <c r="D91" i="9"/>
  <c r="C91" i="9"/>
  <c r="B91" i="9"/>
  <c r="H90" i="9"/>
  <c r="F90" i="9"/>
  <c r="D90" i="9"/>
  <c r="C90" i="9"/>
  <c r="B90" i="9"/>
  <c r="H89" i="9"/>
  <c r="F89" i="9"/>
  <c r="D89" i="9"/>
  <c r="C89" i="9"/>
  <c r="B89" i="9"/>
  <c r="H88" i="9"/>
  <c r="F88" i="9"/>
  <c r="D88" i="9"/>
  <c r="C88" i="9"/>
  <c r="B88" i="9"/>
  <c r="H87" i="9"/>
  <c r="F87" i="9"/>
  <c r="D87" i="9"/>
  <c r="C87" i="9"/>
  <c r="B87" i="9"/>
  <c r="H86" i="9"/>
  <c r="F86" i="9"/>
  <c r="D86" i="9"/>
  <c r="C86" i="9"/>
  <c r="B86" i="9"/>
  <c r="H85" i="9"/>
  <c r="F85" i="9"/>
  <c r="D85" i="9"/>
  <c r="C85" i="9"/>
  <c r="B85" i="9"/>
  <c r="H84" i="9"/>
  <c r="F84" i="9"/>
  <c r="D84" i="9"/>
  <c r="C84" i="9"/>
  <c r="B84" i="9"/>
  <c r="H83" i="9"/>
  <c r="F83" i="9"/>
  <c r="D83" i="9"/>
  <c r="C83" i="9"/>
  <c r="B83" i="9"/>
  <c r="H82" i="9"/>
  <c r="F82" i="9"/>
  <c r="D82" i="9"/>
  <c r="C82" i="9"/>
  <c r="B82" i="9"/>
  <c r="H81" i="9"/>
  <c r="F81" i="9"/>
  <c r="D81" i="9"/>
  <c r="C81" i="9"/>
  <c r="B81" i="9"/>
  <c r="H80" i="9"/>
  <c r="F80" i="9"/>
  <c r="D80" i="9"/>
  <c r="C80" i="9"/>
  <c r="B80" i="9"/>
  <c r="H79" i="9"/>
  <c r="F79" i="9"/>
  <c r="D79" i="9"/>
  <c r="C79" i="9"/>
  <c r="B79" i="9"/>
  <c r="H78" i="9"/>
  <c r="F78" i="9"/>
  <c r="D78" i="9"/>
  <c r="C78" i="9"/>
  <c r="B78" i="9"/>
  <c r="H77" i="9"/>
  <c r="F77" i="9"/>
  <c r="D77" i="9"/>
  <c r="C77" i="9"/>
  <c r="B77" i="9"/>
  <c r="H76" i="9"/>
  <c r="F76" i="9"/>
  <c r="D76" i="9"/>
  <c r="C76" i="9"/>
  <c r="B76" i="9"/>
  <c r="H75" i="9"/>
  <c r="F75" i="9"/>
  <c r="D75" i="9"/>
  <c r="C75" i="9"/>
  <c r="B75" i="9"/>
  <c r="H74" i="9"/>
  <c r="F74" i="9"/>
  <c r="D74" i="9"/>
  <c r="C74" i="9"/>
  <c r="B74" i="9"/>
  <c r="H73" i="9"/>
  <c r="F73" i="9"/>
  <c r="D73" i="9"/>
  <c r="C73" i="9"/>
  <c r="B73" i="9"/>
  <c r="H72" i="9"/>
  <c r="F72" i="9"/>
  <c r="D72" i="9"/>
  <c r="C72" i="9"/>
  <c r="B72" i="9"/>
  <c r="H71" i="9"/>
  <c r="F71" i="9"/>
  <c r="D71" i="9"/>
  <c r="C71" i="9"/>
  <c r="B71" i="9"/>
  <c r="H70" i="9"/>
  <c r="F70" i="9"/>
  <c r="D70" i="9"/>
  <c r="C70" i="9"/>
  <c r="B70" i="9"/>
  <c r="H69" i="9"/>
  <c r="F69" i="9"/>
  <c r="D69" i="9"/>
  <c r="C69" i="9"/>
  <c r="B69" i="9"/>
  <c r="H68" i="9"/>
  <c r="F68" i="9"/>
  <c r="D68" i="9"/>
  <c r="C68" i="9"/>
  <c r="B68" i="9"/>
  <c r="H67" i="9"/>
  <c r="F67" i="9"/>
  <c r="D67" i="9"/>
  <c r="C67" i="9"/>
  <c r="B67" i="9"/>
  <c r="H66" i="9"/>
  <c r="F66" i="9"/>
  <c r="D66" i="9"/>
  <c r="C66" i="9"/>
  <c r="B66" i="9"/>
  <c r="H65" i="9"/>
  <c r="F65" i="9"/>
  <c r="D65" i="9"/>
  <c r="C65" i="9"/>
  <c r="B65" i="9"/>
  <c r="H64" i="9"/>
  <c r="F64" i="9"/>
  <c r="D64" i="9"/>
  <c r="C64" i="9"/>
  <c r="B64" i="9"/>
  <c r="H63" i="9"/>
  <c r="F63" i="9"/>
  <c r="D63" i="9"/>
  <c r="C63" i="9"/>
  <c r="B63" i="9"/>
  <c r="H62" i="9"/>
  <c r="F62" i="9"/>
  <c r="D62" i="9"/>
  <c r="C62" i="9"/>
  <c r="B62" i="9"/>
  <c r="H61" i="9"/>
  <c r="F61" i="9"/>
  <c r="D61" i="9"/>
  <c r="C61" i="9"/>
  <c r="B61" i="9"/>
  <c r="H60" i="9"/>
  <c r="F60" i="9"/>
  <c r="D60" i="9"/>
  <c r="C60" i="9"/>
  <c r="B60" i="9"/>
  <c r="H59" i="9"/>
  <c r="F59" i="9"/>
  <c r="D59" i="9"/>
  <c r="C59" i="9"/>
  <c r="B59" i="9"/>
  <c r="H58" i="9"/>
  <c r="F58" i="9"/>
  <c r="D58" i="9"/>
  <c r="C58" i="9"/>
  <c r="B58" i="9"/>
  <c r="H57" i="9"/>
  <c r="F57" i="9"/>
  <c r="D57" i="9"/>
  <c r="C57" i="9"/>
  <c r="B57" i="9"/>
  <c r="H56" i="9"/>
  <c r="F56" i="9"/>
  <c r="D56" i="9"/>
  <c r="C56" i="9"/>
  <c r="B56" i="9"/>
  <c r="H55" i="9"/>
  <c r="F55" i="9"/>
  <c r="D55" i="9"/>
  <c r="C55" i="9"/>
  <c r="B55" i="9"/>
  <c r="H54" i="9"/>
  <c r="F54" i="9"/>
  <c r="D54" i="9"/>
  <c r="C54" i="9"/>
  <c r="B54" i="9"/>
  <c r="H53" i="9"/>
  <c r="F53" i="9"/>
  <c r="D53" i="9"/>
  <c r="C53" i="9"/>
  <c r="B53" i="9"/>
  <c r="H52" i="9"/>
  <c r="F52" i="9"/>
  <c r="D52" i="9"/>
  <c r="C52" i="9"/>
  <c r="B52" i="9"/>
  <c r="H51" i="9"/>
  <c r="F51" i="9"/>
  <c r="D51" i="9"/>
  <c r="C51" i="9"/>
  <c r="B51" i="9"/>
  <c r="H50" i="9"/>
  <c r="F50" i="9"/>
  <c r="D50" i="9"/>
  <c r="C50" i="9"/>
  <c r="B50" i="9"/>
  <c r="H49" i="9"/>
  <c r="F49" i="9"/>
  <c r="D49" i="9"/>
  <c r="C49" i="9"/>
  <c r="B49" i="9"/>
  <c r="H48" i="9"/>
  <c r="F48" i="9"/>
  <c r="D48" i="9"/>
  <c r="C48" i="9"/>
  <c r="B48" i="9"/>
  <c r="H47" i="9"/>
  <c r="F47" i="9"/>
  <c r="D47" i="9"/>
  <c r="C47" i="9"/>
  <c r="B47" i="9"/>
  <c r="H46" i="9"/>
  <c r="F46" i="9"/>
  <c r="D46" i="9"/>
  <c r="C46" i="9"/>
  <c r="B46" i="9"/>
  <c r="H45" i="9"/>
  <c r="F45" i="9"/>
  <c r="D45" i="9"/>
  <c r="C45" i="9"/>
  <c r="B45" i="9"/>
  <c r="H44" i="9"/>
  <c r="F44" i="9"/>
  <c r="D44" i="9"/>
  <c r="C44" i="9"/>
  <c r="B44" i="9"/>
  <c r="H43" i="9"/>
  <c r="F43" i="9"/>
  <c r="D43" i="9"/>
  <c r="C43" i="9"/>
  <c r="B43" i="9"/>
  <c r="H42" i="9"/>
  <c r="F42" i="9"/>
  <c r="D42" i="9"/>
  <c r="C42" i="9"/>
  <c r="B42" i="9"/>
  <c r="H41" i="9"/>
  <c r="F41" i="9"/>
  <c r="D41" i="9"/>
  <c r="C41" i="9"/>
  <c r="B41" i="9"/>
  <c r="H40" i="9"/>
  <c r="F40" i="9"/>
  <c r="D40" i="9"/>
  <c r="C40" i="9"/>
  <c r="B40" i="9"/>
  <c r="H39" i="9"/>
  <c r="F39" i="9"/>
  <c r="D39" i="9"/>
  <c r="C39" i="9"/>
  <c r="B39" i="9"/>
  <c r="H38" i="9"/>
  <c r="F38" i="9"/>
  <c r="D38" i="9"/>
  <c r="C38" i="9"/>
  <c r="B38" i="9"/>
  <c r="H37" i="9"/>
  <c r="F37" i="9"/>
  <c r="D37" i="9"/>
  <c r="C37" i="9"/>
  <c r="B37" i="9"/>
  <c r="H36" i="9"/>
  <c r="F36" i="9"/>
  <c r="D36" i="9"/>
  <c r="C36" i="9"/>
  <c r="B36" i="9"/>
  <c r="H35" i="9"/>
  <c r="F35" i="9"/>
  <c r="D35" i="9"/>
  <c r="C35" i="9"/>
  <c r="B35" i="9"/>
  <c r="H34" i="9"/>
  <c r="F34" i="9"/>
  <c r="D34" i="9"/>
  <c r="C34" i="9"/>
  <c r="B34" i="9"/>
  <c r="H33" i="9"/>
  <c r="F33" i="9"/>
  <c r="D33" i="9"/>
  <c r="C33" i="9"/>
  <c r="B33" i="9"/>
  <c r="H32" i="9"/>
  <c r="F32" i="9"/>
  <c r="D32" i="9"/>
  <c r="C32" i="9"/>
  <c r="B32" i="9"/>
  <c r="H31" i="9"/>
  <c r="F31" i="9"/>
  <c r="D31" i="9"/>
  <c r="C31" i="9"/>
  <c r="B31" i="9"/>
  <c r="H30" i="9"/>
  <c r="F30" i="9"/>
  <c r="D30" i="9"/>
  <c r="C30" i="9"/>
  <c r="B30" i="9"/>
  <c r="H29" i="9"/>
  <c r="F29" i="9"/>
  <c r="D29" i="9"/>
  <c r="C29" i="9"/>
  <c r="B29" i="9"/>
  <c r="H28" i="9"/>
  <c r="F28" i="9"/>
  <c r="D28" i="9"/>
  <c r="C28" i="9"/>
  <c r="B28" i="9"/>
  <c r="H27" i="9"/>
  <c r="F27" i="9"/>
  <c r="D27" i="9"/>
  <c r="C27" i="9"/>
  <c r="B27" i="9"/>
  <c r="H26" i="9"/>
  <c r="F26" i="9"/>
  <c r="D26" i="9"/>
  <c r="C26" i="9"/>
  <c r="B26" i="9"/>
  <c r="H25" i="9"/>
  <c r="F25" i="9"/>
  <c r="D25" i="9"/>
  <c r="C25" i="9"/>
  <c r="B25" i="9"/>
  <c r="H24" i="9"/>
  <c r="F24" i="9"/>
  <c r="D24" i="9"/>
  <c r="C24" i="9"/>
  <c r="B24" i="9"/>
  <c r="H23" i="9"/>
  <c r="F23" i="9"/>
  <c r="D23" i="9"/>
  <c r="C23" i="9"/>
  <c r="B23" i="9"/>
  <c r="H22" i="9"/>
  <c r="F22" i="9"/>
  <c r="D22" i="9"/>
  <c r="C22" i="9"/>
  <c r="B22" i="9"/>
  <c r="H21" i="9"/>
  <c r="F21" i="9"/>
  <c r="D21" i="9"/>
  <c r="C21" i="9"/>
  <c r="B21" i="9"/>
  <c r="H20" i="9"/>
  <c r="F20" i="9"/>
  <c r="D20" i="9"/>
  <c r="C20" i="9"/>
  <c r="B20" i="9"/>
  <c r="H19" i="9"/>
  <c r="F19" i="9"/>
  <c r="D19" i="9"/>
  <c r="C19" i="9"/>
  <c r="B19" i="9"/>
  <c r="H18" i="9"/>
  <c r="F18" i="9"/>
  <c r="D18" i="9"/>
  <c r="C18" i="9"/>
  <c r="B18" i="9"/>
  <c r="H17" i="9"/>
  <c r="F17" i="9"/>
  <c r="D17" i="9"/>
  <c r="C17" i="9"/>
  <c r="B17" i="9"/>
  <c r="H16" i="9"/>
  <c r="F16" i="9"/>
  <c r="D16" i="9"/>
  <c r="C16" i="9"/>
  <c r="B16" i="9"/>
  <c r="H15" i="9"/>
  <c r="F15" i="9"/>
  <c r="D15" i="9"/>
  <c r="C15" i="9"/>
  <c r="B15" i="9"/>
  <c r="H14" i="9"/>
  <c r="F14" i="9"/>
  <c r="D14" i="9"/>
  <c r="C14" i="9"/>
  <c r="B14" i="9"/>
  <c r="H13" i="9"/>
  <c r="F13" i="9"/>
  <c r="D13" i="9"/>
  <c r="C13" i="9"/>
  <c r="B13" i="9"/>
  <c r="H12" i="9"/>
  <c r="F12" i="9"/>
  <c r="D12" i="9"/>
  <c r="C12" i="9"/>
  <c r="B12" i="9"/>
  <c r="H11" i="9"/>
  <c r="F11" i="9"/>
  <c r="D11" i="9"/>
  <c r="C11" i="9"/>
  <c r="B11" i="9"/>
  <c r="H10" i="9"/>
  <c r="F10" i="9"/>
  <c r="D10" i="9"/>
  <c r="C10" i="9"/>
  <c r="B10" i="9"/>
  <c r="H9" i="9"/>
  <c r="F9" i="9"/>
  <c r="D9" i="9"/>
  <c r="C9" i="9"/>
  <c r="B9" i="9"/>
  <c r="H8" i="9"/>
  <c r="F8" i="9"/>
  <c r="D8" i="9"/>
  <c r="C8" i="9"/>
  <c r="B8" i="9"/>
  <c r="H7" i="9"/>
  <c r="F7" i="9"/>
  <c r="D7" i="9"/>
  <c r="C7" i="9"/>
  <c r="B7" i="9"/>
  <c r="H6" i="9"/>
  <c r="F6" i="9"/>
  <c r="D6" i="9"/>
  <c r="C6" i="9"/>
  <c r="B6" i="9"/>
  <c r="H5" i="9"/>
  <c r="F5" i="9"/>
  <c r="D5" i="9"/>
  <c r="C5" i="9"/>
  <c r="B5" i="9"/>
  <c r="H4" i="9"/>
  <c r="F4" i="9"/>
  <c r="D4" i="9"/>
  <c r="C4" i="9"/>
  <c r="B4" i="9"/>
  <c r="U23" i="7"/>
  <c r="S23" i="7"/>
  <c r="L23" i="7"/>
  <c r="U22" i="7"/>
  <c r="S22" i="7"/>
  <c r="L22" i="7"/>
  <c r="U21" i="7"/>
  <c r="S21" i="7"/>
  <c r="L21" i="7"/>
  <c r="U20" i="7"/>
  <c r="S20" i="7"/>
  <c r="L20" i="7"/>
  <c r="U19" i="7"/>
  <c r="S19" i="7"/>
  <c r="L19" i="7"/>
  <c r="U18" i="7"/>
  <c r="S18" i="7"/>
  <c r="L18" i="7"/>
  <c r="U17" i="7"/>
  <c r="S17" i="7"/>
  <c r="L17" i="7"/>
  <c r="U16" i="7"/>
  <c r="S16" i="7"/>
  <c r="L16" i="7"/>
  <c r="U15" i="7"/>
  <c r="S15" i="7"/>
  <c r="L15" i="7"/>
  <c r="U14" i="7"/>
  <c r="S14" i="7"/>
  <c r="L14" i="7"/>
  <c r="U13" i="7"/>
  <c r="S13" i="7"/>
  <c r="L13" i="7"/>
  <c r="U12" i="7"/>
  <c r="S12" i="7"/>
  <c r="L12" i="7"/>
  <c r="U11" i="7"/>
  <c r="S11" i="7"/>
  <c r="L11" i="7"/>
  <c r="U10" i="7"/>
  <c r="S10" i="7"/>
  <c r="L10" i="7"/>
  <c r="U9" i="7"/>
  <c r="S9" i="7"/>
  <c r="L9" i="7"/>
  <c r="U8" i="7"/>
  <c r="S8" i="7"/>
  <c r="L8" i="7"/>
  <c r="U7" i="7"/>
  <c r="S7" i="7"/>
  <c r="L7" i="7"/>
  <c r="U6" i="7"/>
  <c r="S6" i="7"/>
  <c r="L6" i="7"/>
  <c r="U5" i="7"/>
  <c r="S5" i="7"/>
  <c r="L5" i="7"/>
  <c r="U4" i="7"/>
  <c r="S4" i="7"/>
  <c r="L4" i="7"/>
  <c r="B42" i="1"/>
  <c r="B39" i="1"/>
  <c r="B41" i="1" s="1"/>
  <c r="B38" i="1"/>
  <c r="B37" i="1"/>
  <c r="B36" i="1"/>
  <c r="Q25" i="27" l="1"/>
  <c r="W4" i="16"/>
  <c r="AL113" i="18"/>
  <c r="AJ30" i="18"/>
  <c r="AK25" i="18"/>
  <c r="AJ18" i="18"/>
  <c r="AJ14" i="18"/>
  <c r="AJ98" i="18"/>
  <c r="AK66" i="18"/>
  <c r="AL40" i="18"/>
  <c r="AJ35" i="18"/>
  <c r="AJ70" i="18"/>
  <c r="AJ61" i="18"/>
  <c r="AJ90" i="18"/>
  <c r="AJ80" i="18"/>
  <c r="AJ62" i="18"/>
  <c r="AL97" i="18"/>
  <c r="AJ53" i="18"/>
  <c r="AK90" i="18"/>
  <c r="AJ88" i="18"/>
  <c r="AK77" i="18"/>
  <c r="AK55" i="18"/>
  <c r="AK50" i="18"/>
  <c r="AJ94" i="18"/>
  <c r="AJ92" i="18"/>
  <c r="AJ73" i="18"/>
  <c r="AJ63" i="18"/>
  <c r="AJ51" i="18"/>
  <c r="AK28" i="18"/>
  <c r="AJ27" i="18"/>
  <c r="AJ91" i="18"/>
  <c r="AK76" i="18"/>
  <c r="AK73" i="18"/>
  <c r="AK56" i="18"/>
  <c r="AK49" i="18"/>
  <c r="AJ37" i="18"/>
  <c r="AJ34" i="18"/>
  <c r="AJ31" i="18"/>
  <c r="AJ89" i="18"/>
  <c r="AJ74" i="18"/>
  <c r="AK52" i="18"/>
  <c r="AK39" i="18"/>
  <c r="AJ33" i="18"/>
  <c r="AJ96" i="18"/>
  <c r="AK92" i="18"/>
  <c r="AJ87" i="18"/>
  <c r="AJ75" i="18"/>
  <c r="AJ66" i="18"/>
  <c r="AJ28" i="18"/>
  <c r="AJ26" i="18"/>
  <c r="AK134" i="18"/>
  <c r="AJ134" i="18"/>
  <c r="AK87" i="18"/>
  <c r="AJ85" i="18"/>
  <c r="AJ123" i="18"/>
  <c r="AJ122" i="18"/>
  <c r="AM121" i="18"/>
  <c r="AL121" i="18"/>
  <c r="AJ76" i="18"/>
  <c r="AL28" i="18"/>
  <c r="AJ86" i="18"/>
  <c r="AJ17" i="18"/>
  <c r="AK16" i="18"/>
  <c r="AK13" i="18"/>
  <c r="AJ130" i="18"/>
  <c r="AJ118" i="18"/>
  <c r="AJ117" i="18"/>
  <c r="AJ101" i="18"/>
  <c r="AK99" i="18"/>
  <c r="AJ67" i="18"/>
  <c r="AJ55" i="18"/>
  <c r="AJ50" i="18"/>
  <c r="AK32" i="18"/>
  <c r="AJ124" i="18"/>
  <c r="AL89" i="18"/>
  <c r="AJ52" i="18"/>
  <c r="AK43" i="18"/>
  <c r="AJ41" i="18"/>
  <c r="AK33" i="18"/>
  <c r="AK68" i="18"/>
  <c r="AK38" i="18"/>
  <c r="AJ32" i="18"/>
  <c r="AK20" i="18"/>
  <c r="AJ15" i="18"/>
  <c r="AJ127" i="18"/>
  <c r="AK124" i="18"/>
  <c r="AK113" i="18"/>
  <c r="AJ102" i="18"/>
  <c r="AL99" i="18"/>
  <c r="AK94" i="18"/>
  <c r="AL66" i="18"/>
  <c r="AJ43" i="18"/>
  <c r="AJ20" i="18"/>
  <c r="AL16" i="18"/>
  <c r="AJ104" i="18"/>
  <c r="AJ99" i="18"/>
  <c r="AK64" i="18"/>
  <c r="AL115" i="18"/>
  <c r="AJ113" i="18"/>
  <c r="AJ111" i="18"/>
  <c r="AJ65" i="18"/>
  <c r="AL56" i="18"/>
  <c r="AK54" i="18"/>
  <c r="AJ44" i="18"/>
  <c r="AK14" i="18"/>
  <c r="AK130" i="18"/>
  <c r="AL90" i="18"/>
  <c r="AK62" i="18"/>
  <c r="AJ126" i="18"/>
  <c r="AJ116" i="18"/>
  <c r="AK114" i="18"/>
  <c r="AK86" i="18"/>
  <c r="AK78" i="18"/>
  <c r="AJ68" i="18"/>
  <c r="AJ54" i="18"/>
  <c r="AK42" i="18"/>
  <c r="AJ40" i="18"/>
  <c r="AJ38" i="18"/>
  <c r="AK115" i="18"/>
  <c r="AJ135" i="18"/>
  <c r="AJ105" i="18"/>
  <c r="AK100" i="18"/>
  <c r="AK89" i="18"/>
  <c r="AK79" i="18"/>
  <c r="AJ77" i="18"/>
  <c r="AK75" i="18"/>
  <c r="AK45" i="18"/>
  <c r="AM40" i="18"/>
  <c r="AK31" i="18"/>
  <c r="AJ114" i="18"/>
  <c r="AJ100" i="18"/>
  <c r="AK97" i="18"/>
  <c r="AK93" i="18"/>
  <c r="AK91" i="18"/>
  <c r="AL77" i="18"/>
  <c r="AK61" i="18"/>
  <c r="AJ49" i="18"/>
  <c r="AJ133" i="18"/>
  <c r="AM132" i="18"/>
  <c r="AL132" i="18"/>
  <c r="AK132" i="18"/>
  <c r="AJ132" i="18"/>
  <c r="AK131" i="18"/>
  <c r="AJ131" i="18"/>
  <c r="AJ129" i="18"/>
  <c r="AJ128" i="18"/>
  <c r="AJ112" i="18"/>
  <c r="AJ106" i="18"/>
  <c r="AJ103" i="18"/>
  <c r="AJ93" i="18"/>
  <c r="AJ78" i="18"/>
  <c r="AJ64" i="18"/>
  <c r="AJ21" i="18"/>
  <c r="AK121" i="18"/>
  <c r="AJ121" i="18"/>
  <c r="AK120" i="18"/>
  <c r="AJ120" i="18"/>
  <c r="AJ119" i="18"/>
  <c r="AJ115" i="18"/>
  <c r="AJ110" i="18"/>
  <c r="AJ79" i="18"/>
  <c r="AJ56" i="18"/>
  <c r="AJ19" i="18"/>
  <c r="AJ109" i="18"/>
  <c r="AJ108" i="18"/>
  <c r="AJ107" i="18"/>
  <c r="AK74" i="18"/>
  <c r="AK67" i="18"/>
  <c r="AK53" i="18"/>
  <c r="AK40" i="18"/>
  <c r="AJ97" i="18"/>
  <c r="AQ96" i="18"/>
  <c r="AP96" i="18"/>
  <c r="AO96" i="18"/>
  <c r="AN96" i="18"/>
  <c r="AM96" i="18"/>
  <c r="AL96" i="18"/>
  <c r="AK96" i="18"/>
  <c r="AK95" i="18"/>
  <c r="AJ95" i="18"/>
  <c r="AK44" i="18"/>
  <c r="AJ42" i="18"/>
  <c r="AL31" i="18"/>
  <c r="AK19" i="18"/>
  <c r="AK84" i="18"/>
  <c r="AJ84" i="18"/>
  <c r="AL83" i="18"/>
  <c r="AK83" i="18"/>
  <c r="AJ83" i="18"/>
  <c r="AK82" i="18"/>
  <c r="AJ82" i="18"/>
  <c r="AK81" i="18"/>
  <c r="AJ81" i="18"/>
  <c r="AK80" i="18"/>
  <c r="AK51" i="18"/>
  <c r="AK37" i="18"/>
  <c r="AK72" i="18"/>
  <c r="AJ72" i="18"/>
  <c r="AL71" i="18"/>
  <c r="AK71" i="18"/>
  <c r="AJ71" i="18"/>
  <c r="AK70" i="18"/>
  <c r="AL69" i="18"/>
  <c r="AK69" i="18"/>
  <c r="AJ69" i="18"/>
  <c r="AK29" i="18"/>
  <c r="AK60" i="18"/>
  <c r="AJ60" i="18"/>
  <c r="AM59" i="18"/>
  <c r="AL59" i="18"/>
  <c r="AK59" i="18"/>
  <c r="AJ59" i="18"/>
  <c r="AK58" i="18"/>
  <c r="AJ58" i="18"/>
  <c r="AL57" i="18"/>
  <c r="AK57" i="18"/>
  <c r="AJ57" i="18"/>
  <c r="AJ45" i="18"/>
  <c r="AA40" i="18"/>
  <c r="AK48" i="18"/>
  <c r="AJ48" i="18"/>
  <c r="AL47" i="18"/>
  <c r="AK47" i="18"/>
  <c r="AJ47" i="18"/>
  <c r="AK46" i="18"/>
  <c r="AJ46" i="18"/>
  <c r="AK36" i="18"/>
  <c r="AJ36" i="18"/>
  <c r="AK35" i="18"/>
  <c r="AK34" i="18"/>
  <c r="AJ24" i="18"/>
  <c r="AJ23" i="18"/>
  <c r="AJ22" i="18"/>
  <c r="AL21" i="18"/>
  <c r="AK21" i="18"/>
  <c r="AJ12" i="18"/>
  <c r="AK11" i="18"/>
  <c r="AJ11" i="18"/>
  <c r="AJ10" i="18"/>
  <c r="AJ9" i="18"/>
  <c r="AJ8" i="18"/>
  <c r="AJ7" i="18"/>
  <c r="AJ6" i="18"/>
  <c r="AJ5" i="18"/>
  <c r="W20" i="16"/>
  <c r="W18" i="16"/>
  <c r="W17" i="16"/>
  <c r="Z133" i="18"/>
  <c r="AA133" i="18"/>
  <c r="AA5" i="18"/>
  <c r="Z5" i="18"/>
  <c r="U27" i="27"/>
  <c r="X27" i="27"/>
  <c r="R27" i="27"/>
  <c r="T27" i="27"/>
  <c r="X26" i="27"/>
  <c r="U26" i="27"/>
  <c r="T26" i="27"/>
  <c r="R26" i="27"/>
  <c r="X25" i="27"/>
  <c r="U25" i="27"/>
  <c r="T25" i="27"/>
  <c r="R25" i="27"/>
  <c r="V43" i="23"/>
  <c r="U43" i="23"/>
  <c r="W43" i="23"/>
  <c r="U42" i="23"/>
  <c r="W42" i="23"/>
  <c r="V42" i="23"/>
  <c r="W41" i="23"/>
  <c r="V41" i="23"/>
  <c r="W40" i="23"/>
  <c r="U40" i="23"/>
  <c r="V40" i="23"/>
  <c r="U39" i="23"/>
  <c r="W39" i="23"/>
  <c r="V39" i="23"/>
  <c r="V38" i="23"/>
  <c r="W38" i="23"/>
  <c r="U38" i="23"/>
  <c r="W37" i="23"/>
  <c r="V37" i="23"/>
  <c r="U37" i="23"/>
  <c r="U36" i="23"/>
  <c r="V36" i="23"/>
  <c r="W36" i="23"/>
  <c r="U35" i="23"/>
  <c r="V35" i="23"/>
  <c r="W35" i="23"/>
  <c r="V34" i="23"/>
  <c r="W34" i="23"/>
  <c r="U34" i="23"/>
  <c r="U33" i="23"/>
  <c r="V33" i="23"/>
  <c r="W33" i="23"/>
  <c r="W32" i="23"/>
  <c r="V32" i="23"/>
  <c r="U32" i="23"/>
  <c r="U31" i="23"/>
  <c r="W31" i="23"/>
  <c r="V31" i="23"/>
  <c r="W30" i="23"/>
  <c r="U30" i="23"/>
  <c r="V30" i="23"/>
  <c r="V29" i="23"/>
  <c r="U29" i="23"/>
  <c r="W29" i="23"/>
  <c r="W28" i="23"/>
  <c r="U28" i="23"/>
  <c r="V28" i="23"/>
  <c r="V27" i="23"/>
  <c r="U27" i="23"/>
  <c r="W27" i="23"/>
  <c r="V26" i="23"/>
  <c r="W26" i="23"/>
  <c r="U26" i="23"/>
  <c r="W25" i="23"/>
  <c r="U25" i="23"/>
  <c r="V25" i="23"/>
  <c r="U24" i="23"/>
  <c r="V24" i="23"/>
  <c r="W24" i="23"/>
  <c r="W23" i="23"/>
  <c r="U23" i="23"/>
  <c r="V23" i="23"/>
  <c r="V22" i="23"/>
  <c r="U22" i="23"/>
  <c r="W22" i="23"/>
  <c r="U21" i="23"/>
  <c r="W21" i="23"/>
  <c r="V21" i="23"/>
  <c r="U20" i="23"/>
  <c r="V20" i="23"/>
  <c r="W20" i="23"/>
  <c r="W19" i="23"/>
  <c r="U19" i="23"/>
  <c r="V19" i="23"/>
  <c r="W18" i="23"/>
  <c r="U18" i="23"/>
  <c r="V18" i="23"/>
  <c r="U17" i="23"/>
  <c r="W17" i="23"/>
  <c r="V17" i="23"/>
  <c r="V16" i="23"/>
  <c r="U16" i="23"/>
  <c r="W16" i="23"/>
  <c r="U15" i="23"/>
  <c r="W15" i="23"/>
  <c r="V15" i="23"/>
  <c r="V14" i="23"/>
  <c r="U14" i="23"/>
  <c r="W14" i="23"/>
  <c r="W13" i="23"/>
  <c r="V13" i="23"/>
  <c r="U13" i="23"/>
  <c r="U12" i="23"/>
  <c r="V12" i="23"/>
  <c r="W12" i="23"/>
  <c r="U11" i="23"/>
  <c r="V11" i="23"/>
  <c r="W11" i="23"/>
  <c r="W10" i="23"/>
  <c r="U10" i="23"/>
  <c r="V10" i="23"/>
  <c r="U9" i="23"/>
  <c r="V9" i="23"/>
  <c r="W9" i="23"/>
  <c r="V8" i="23"/>
  <c r="W8" i="23"/>
  <c r="U8" i="23"/>
  <c r="U7" i="23"/>
  <c r="V7" i="23"/>
  <c r="W7" i="23"/>
  <c r="V6" i="23"/>
  <c r="W6" i="23"/>
  <c r="U6" i="23"/>
  <c r="U5" i="23"/>
  <c r="W5" i="23"/>
  <c r="V5" i="23"/>
  <c r="U4" i="23"/>
  <c r="V4" i="23"/>
  <c r="W4" i="23"/>
  <c r="AA135" i="18"/>
  <c r="Z135" i="18"/>
  <c r="Z134" i="18"/>
  <c r="AA134" i="18"/>
  <c r="AA132" i="18"/>
  <c r="Z132" i="18"/>
  <c r="AA131" i="18"/>
  <c r="Z131" i="18"/>
  <c r="Z130" i="18"/>
  <c r="AA130" i="18"/>
  <c r="Z129" i="18"/>
  <c r="AA129" i="18"/>
  <c r="AA128" i="18"/>
  <c r="Z128" i="18"/>
  <c r="Z127" i="18"/>
  <c r="AA127" i="18"/>
  <c r="Z126" i="18"/>
  <c r="AA126" i="18"/>
  <c r="AA125" i="18"/>
  <c r="Z125" i="18"/>
  <c r="AA124" i="18"/>
  <c r="Z124" i="18"/>
  <c r="Z123" i="18"/>
  <c r="AA123" i="18"/>
  <c r="Z122" i="18"/>
  <c r="AA122" i="18"/>
  <c r="AA121" i="18"/>
  <c r="Z121" i="18"/>
  <c r="AA120" i="18"/>
  <c r="Z120" i="18"/>
  <c r="AA119" i="18"/>
  <c r="Z119" i="18"/>
  <c r="Z118" i="18"/>
  <c r="AA118" i="18"/>
  <c r="AA117" i="18"/>
  <c r="Z117" i="18"/>
  <c r="AA116" i="18"/>
  <c r="Z116" i="18"/>
  <c r="Z115" i="18"/>
  <c r="AA115" i="18"/>
  <c r="AA114" i="18"/>
  <c r="Z114" i="18"/>
  <c r="AA113" i="18"/>
  <c r="Z113" i="18"/>
  <c r="AA112" i="18"/>
  <c r="Z112" i="18"/>
  <c r="AA111" i="18"/>
  <c r="Z111" i="18"/>
  <c r="AA110" i="18"/>
  <c r="Z110" i="18"/>
  <c r="AA109" i="18"/>
  <c r="Z109" i="18"/>
  <c r="AA108" i="18"/>
  <c r="Z108" i="18"/>
  <c r="Z107" i="18"/>
  <c r="AA107" i="18"/>
  <c r="Z106" i="18"/>
  <c r="AA106" i="18"/>
  <c r="AA105" i="18"/>
  <c r="Z105" i="18"/>
  <c r="Z104" i="18"/>
  <c r="AA104" i="18"/>
  <c r="Z103" i="18"/>
  <c r="AA103" i="18"/>
  <c r="Z102" i="18"/>
  <c r="AA102" i="18"/>
  <c r="AA101" i="18"/>
  <c r="Z101" i="18"/>
  <c r="Z100" i="18"/>
  <c r="AA100" i="18"/>
  <c r="Z99" i="18"/>
  <c r="AA99" i="18"/>
  <c r="AA98" i="18"/>
  <c r="Z98" i="18"/>
  <c r="Z97" i="18"/>
  <c r="AA97" i="18"/>
  <c r="AA96" i="18"/>
  <c r="Z96" i="18"/>
  <c r="AA95" i="18"/>
  <c r="Z95" i="18"/>
  <c r="AA94" i="18"/>
  <c r="Z94" i="18"/>
  <c r="AA93" i="18"/>
  <c r="Z93" i="18"/>
  <c r="AA92" i="18"/>
  <c r="Z92" i="18"/>
  <c r="Z91" i="18"/>
  <c r="AA91" i="18"/>
  <c r="Z90" i="18"/>
  <c r="AA90" i="18"/>
  <c r="AA89" i="18"/>
  <c r="Z89" i="18"/>
  <c r="AA88" i="18"/>
  <c r="Z88" i="18"/>
  <c r="AA87" i="18"/>
  <c r="Z87" i="18"/>
  <c r="AA86" i="18"/>
  <c r="Z86" i="18"/>
  <c r="Z85" i="18"/>
  <c r="AA85" i="18"/>
  <c r="AA84" i="18"/>
  <c r="Z84" i="18"/>
  <c r="AA83" i="18"/>
  <c r="Z83" i="18"/>
  <c r="AA82" i="18"/>
  <c r="Z82" i="18"/>
  <c r="Z81" i="18"/>
  <c r="AA81" i="18"/>
  <c r="Z80" i="18"/>
  <c r="AA80" i="18"/>
  <c r="AA79" i="18"/>
  <c r="Z79" i="18"/>
  <c r="AA78" i="18"/>
  <c r="Z78" i="18"/>
  <c r="AA77" i="18"/>
  <c r="Z77" i="18"/>
  <c r="AA76" i="18"/>
  <c r="Z76" i="18"/>
  <c r="AA75" i="18"/>
  <c r="Z75" i="18"/>
  <c r="Z74" i="18"/>
  <c r="AA74" i="18"/>
  <c r="AA73" i="18"/>
  <c r="Z73" i="18"/>
  <c r="AA72" i="18"/>
  <c r="Z72" i="18"/>
  <c r="Z71" i="18"/>
  <c r="AA71" i="18"/>
  <c r="AA70" i="18"/>
  <c r="Z70" i="18"/>
  <c r="AA69" i="18"/>
  <c r="Z69" i="18"/>
  <c r="AA68" i="18"/>
  <c r="Z68" i="18"/>
  <c r="AA67" i="18"/>
  <c r="Z67" i="18"/>
  <c r="AA66" i="18"/>
  <c r="Z66" i="18"/>
  <c r="Z65" i="18"/>
  <c r="AA65" i="18"/>
  <c r="AA64" i="18"/>
  <c r="Z64" i="18"/>
  <c r="Z63" i="18"/>
  <c r="AA63" i="18"/>
  <c r="AA62" i="18"/>
  <c r="Z62" i="18"/>
  <c r="AA61" i="18"/>
  <c r="Z61" i="18"/>
  <c r="AA60" i="18"/>
  <c r="Z60" i="18"/>
  <c r="AA59" i="18"/>
  <c r="Z59" i="18"/>
  <c r="AA58" i="18"/>
  <c r="Z58" i="18"/>
  <c r="AA57" i="18"/>
  <c r="Z57" i="18"/>
  <c r="AA56" i="18"/>
  <c r="Z56" i="18"/>
  <c r="Z55" i="18"/>
  <c r="AA55" i="18"/>
  <c r="AA54" i="18"/>
  <c r="Z54" i="18"/>
  <c r="Z53" i="18"/>
  <c r="AA53" i="18"/>
  <c r="AK63" i="18"/>
  <c r="AA52" i="18"/>
  <c r="Z52" i="18"/>
  <c r="AA51" i="18"/>
  <c r="Z51" i="18"/>
  <c r="AA50" i="18"/>
  <c r="Z50" i="18"/>
  <c r="AA49" i="18"/>
  <c r="Z49" i="18"/>
  <c r="Z48" i="18"/>
  <c r="AA48" i="18"/>
  <c r="Z47" i="18"/>
  <c r="AA47" i="18"/>
  <c r="Z46" i="18"/>
  <c r="AA46" i="18"/>
  <c r="Z45" i="18"/>
  <c r="AA45" i="18"/>
  <c r="Z44" i="18"/>
  <c r="AA44" i="18"/>
  <c r="Z43" i="18"/>
  <c r="AA43" i="18"/>
  <c r="Z42" i="18"/>
  <c r="AA42" i="18"/>
  <c r="Z41" i="18"/>
  <c r="AA41" i="18"/>
  <c r="AA39" i="18"/>
  <c r="Z39" i="18"/>
  <c r="Z38" i="18"/>
  <c r="AA38" i="18"/>
  <c r="AA37" i="18"/>
  <c r="Z37" i="18"/>
  <c r="AA36" i="18"/>
  <c r="Z36" i="18"/>
  <c r="AA35" i="18"/>
  <c r="Z35" i="18"/>
  <c r="AA34" i="18"/>
  <c r="Z34" i="18"/>
  <c r="AA33" i="18"/>
  <c r="Z33" i="18"/>
  <c r="Z32" i="18"/>
  <c r="AA32" i="18"/>
  <c r="Z31" i="18"/>
  <c r="AA31" i="18"/>
  <c r="AA30" i="18"/>
  <c r="Z30" i="18"/>
  <c r="AA29" i="18"/>
  <c r="Z29" i="18"/>
  <c r="Z28" i="18"/>
  <c r="AA28" i="18"/>
  <c r="AA27" i="18"/>
  <c r="Z27" i="18"/>
  <c r="AA26" i="18"/>
  <c r="Z26" i="18"/>
  <c r="AA25" i="18"/>
  <c r="Z25" i="18"/>
  <c r="AA24" i="18"/>
  <c r="Z24" i="18"/>
  <c r="AA23" i="18"/>
  <c r="Z23" i="18"/>
  <c r="AA22" i="18"/>
  <c r="Z22" i="18"/>
  <c r="AA21" i="18"/>
  <c r="Z21" i="18"/>
  <c r="AA20" i="18"/>
  <c r="Z20" i="18"/>
  <c r="AA19" i="18"/>
  <c r="Z19" i="18"/>
  <c r="AA18" i="18"/>
  <c r="Z18" i="18"/>
  <c r="AA17" i="18"/>
  <c r="Z17" i="18"/>
  <c r="AA16" i="18"/>
  <c r="Z16" i="18"/>
  <c r="AA15" i="18"/>
  <c r="Z15" i="18"/>
  <c r="AA14" i="18"/>
  <c r="Z14" i="18"/>
  <c r="AA13" i="18"/>
  <c r="Z13" i="18"/>
  <c r="AA12" i="18"/>
  <c r="Z12" i="18"/>
  <c r="AA11" i="18"/>
  <c r="Z11" i="18"/>
  <c r="AA10" i="18"/>
  <c r="Z10" i="18"/>
  <c r="AA9" i="18"/>
  <c r="Z9" i="18"/>
  <c r="AA8" i="18"/>
  <c r="Z8" i="18"/>
  <c r="AA7" i="18"/>
  <c r="Z7" i="18"/>
  <c r="AA6" i="18"/>
  <c r="Z6" i="18"/>
  <c r="AA4" i="18"/>
  <c r="Z4" i="18"/>
  <c r="W9" i="16"/>
  <c r="W21" i="16"/>
  <c r="W5" i="16"/>
  <c r="W19" i="16"/>
  <c r="W13" i="16"/>
  <c r="W10" i="16"/>
  <c r="W7" i="16"/>
  <c r="W6" i="16"/>
  <c r="W15" i="16"/>
  <c r="W12" i="16"/>
  <c r="W16" i="16"/>
  <c r="W14" i="16"/>
  <c r="W11" i="16"/>
  <c r="W8" i="16"/>
  <c r="AB9" i="30" l="1"/>
  <c r="B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A1" authorId="0" shapeId="0" xr:uid="{00000000-0006-0000-0000-000001000000}">
      <text>
        <r>
          <rPr>
            <sz val="11"/>
            <color theme="1"/>
            <rFont val="ＭＳ Ｐゴシック"/>
            <family val="2"/>
            <scheme val="minor"/>
          </rPr>
          <t>v1.1 | AR01〜AR27
レビュー指摘に基づく改訂。案件適用・承認は別途。</t>
        </r>
      </text>
    </comment>
    <comment ref="B4" authorId="0" shapeId="0" xr:uid="{00000000-0006-0000-0000-000002000000}">
      <text>
        <r>
          <rPr>
            <sz val="11"/>
            <color theme="1"/>
            <rFont val="ＭＳ Ｐゴシック"/>
            <family val="2"/>
            <scheme val="minor"/>
          </rPr>
          <t>v1.1 | AR01〜AR27
レビュー指摘に基づく改訂。案件適用・承認は別途。</t>
        </r>
      </text>
    </comment>
    <comment ref="C4" authorId="0" shapeId="0" xr:uid="{00000000-0006-0000-0000-000003000000}">
      <text>
        <r>
          <rPr>
            <sz val="11"/>
            <color theme="1"/>
            <rFont val="ＭＳ Ｐゴシック"/>
            <family val="2"/>
            <scheme val="minor"/>
          </rPr>
          <t>v1.1 | AR27
レビュー指摘に基づく改訂。案件適用・承認は別途。</t>
        </r>
      </text>
    </comment>
    <comment ref="B20" authorId="0" shapeId="0" xr:uid="{00000000-0006-0000-0000-000004000000}">
      <text>
        <r>
          <rPr>
            <sz val="11"/>
            <color theme="1"/>
            <rFont val="ＭＳ Ｐゴシック"/>
            <family val="2"/>
            <scheme val="minor"/>
          </rPr>
          <t>v1.1 | AR27
レビュー指摘に基づく改訂。案件適用・承認は別途。</t>
        </r>
      </text>
    </comment>
    <comment ref="C21" authorId="0" shapeId="0" xr:uid="{00000000-0006-0000-0000-000005000000}">
      <text>
        <r>
          <rPr>
            <sz val="11"/>
            <color theme="1"/>
            <rFont val="ＭＳ Ｐゴシック"/>
            <family val="2"/>
            <scheme val="minor"/>
          </rPr>
          <t>v1.1 | AR27
レビュー指摘に基づく改訂。案件適用・承認は別途。</t>
        </r>
      </text>
    </comment>
    <comment ref="B28" authorId="0" shapeId="0" xr:uid="{00000000-0006-0000-0000-000006000000}">
      <text>
        <r>
          <rPr>
            <sz val="11"/>
            <color theme="1"/>
            <rFont val="ＭＳ Ｐゴシック"/>
            <family val="2"/>
            <scheme val="minor"/>
          </rPr>
          <t>v1.1 | AR19
レビュー指摘に基づく改訂。案件適用・承認は別途。</t>
        </r>
      </text>
    </comment>
    <comment ref="B29" authorId="0" shapeId="0" xr:uid="{00000000-0006-0000-0000-000007000000}">
      <text>
        <r>
          <rPr>
            <sz val="11"/>
            <color theme="1"/>
            <rFont val="ＭＳ Ｐゴシック"/>
            <family val="2"/>
            <scheme val="minor"/>
          </rPr>
          <t>v1.1 | AR07・AR27
レビュー指摘に基づく改訂。案件適用・承認は別途。</t>
        </r>
      </text>
    </comment>
    <comment ref="C29" authorId="0" shapeId="0" xr:uid="{00000000-0006-0000-0000-000008000000}">
      <text>
        <r>
          <rPr>
            <sz val="11"/>
            <color theme="1"/>
            <rFont val="ＭＳ Ｐゴシック"/>
            <family val="2"/>
            <scheme val="minor"/>
          </rPr>
          <t>v1.1 | AR27
レビュー指摘に基づく改訂。案件適用・承認は別途。</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D10" authorId="0" shapeId="0" xr:uid="{00000000-0006-0000-0100-000001000000}">
      <text>
        <r>
          <rPr>
            <sz val="11"/>
            <color theme="1"/>
            <rFont val="ＭＳ Ｐゴシック"/>
            <family val="2"/>
            <scheme val="minor"/>
          </rPr>
          <t>v1.1 | AR06
レビュー指摘に基づく改訂。案件適用・承認は別途。</t>
        </r>
      </text>
    </comment>
    <comment ref="C15" authorId="0" shapeId="0" xr:uid="{00000000-0006-0000-0100-000002000000}">
      <text>
        <r>
          <rPr>
            <sz val="11"/>
            <color theme="1"/>
            <rFont val="ＭＳ Ｐゴシック"/>
            <family val="2"/>
            <scheme val="minor"/>
          </rPr>
          <t>v1.1 | AR20
レビュー指摘に基づく改訂。案件適用・承認は別途。</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I20" authorId="0" shapeId="0" xr:uid="{00000000-0006-0000-0200-000001000000}">
      <text>
        <r>
          <rPr>
            <sz val="11"/>
            <color theme="1"/>
            <rFont val="ＭＳ Ｐゴシック"/>
            <family val="2"/>
            <scheme val="minor"/>
          </rPr>
          <t>v1.1 | AR05・AR24
レビュー指摘に基づく改訂。案件適用・承認は別途。</t>
        </r>
      </text>
    </comment>
    <comment ref="I21" authorId="0" shapeId="0" xr:uid="{00000000-0006-0000-0200-000002000000}">
      <text>
        <r>
          <rPr>
            <sz val="11"/>
            <color theme="1"/>
            <rFont val="ＭＳ Ｐゴシック"/>
            <family val="2"/>
            <scheme val="minor"/>
          </rPr>
          <t>v1.1 | AR05・AR24
レビュー指摘に基づく改訂。案件適用・承認は別途。</t>
        </r>
      </text>
    </comment>
    <comment ref="I96" authorId="0" shapeId="0" xr:uid="{00000000-0006-0000-0200-000003000000}">
      <text>
        <r>
          <rPr>
            <sz val="11"/>
            <color theme="1"/>
            <rFont val="ＭＳ Ｐゴシック"/>
            <family val="2"/>
            <scheme val="minor"/>
          </rPr>
          <t>v1.1 | AR04・AR18
レビュー指摘に基づく改訂。案件適用・承認は別途。</t>
        </r>
      </text>
    </comment>
    <comment ref="O96" authorId="0" shapeId="0" xr:uid="{00000000-0006-0000-0200-000004000000}">
      <text>
        <r>
          <rPr>
            <sz val="11"/>
            <color theme="1"/>
            <rFont val="ＭＳ Ｐゴシック"/>
            <family val="2"/>
            <scheme val="minor"/>
          </rPr>
          <t>v1.1 | AR04
レビュー指摘に基づく改訂。案件適用・承認は別途。</t>
        </r>
      </text>
    </comment>
    <comment ref="E118" authorId="0" shapeId="0" xr:uid="{00000000-0006-0000-0200-000005000000}">
      <text>
        <r>
          <rPr>
            <sz val="11"/>
            <color theme="1"/>
            <rFont val="ＭＳ Ｐゴシック"/>
            <family val="2"/>
            <scheme val="minor"/>
          </rPr>
          <t>v1.1 | AR07
レビュー指摘に基づく改訂。案件適用・承認は別途。</t>
        </r>
      </text>
    </comment>
    <comment ref="O118" authorId="0" shapeId="0" xr:uid="{00000000-0006-0000-0200-000006000000}">
      <text>
        <r>
          <rPr>
            <sz val="11"/>
            <color theme="1"/>
            <rFont val="ＭＳ Ｐゴシック"/>
            <family val="2"/>
            <scheme val="minor"/>
          </rPr>
          <t>v1.1 | AR07
レビュー指摘に基づく改訂。案件適用・承認は別途。</t>
        </r>
      </text>
    </comment>
    <comment ref="E125" authorId="0" shapeId="0" xr:uid="{00000000-0006-0000-0200-000007000000}">
      <text>
        <r>
          <rPr>
            <sz val="11"/>
            <color theme="1"/>
            <rFont val="ＭＳ Ｐゴシック"/>
            <family val="2"/>
            <scheme val="minor"/>
          </rPr>
          <t>v1.1 | AR06
レビュー指摘に基づく改訂。案件適用・承認は別途。</t>
        </r>
      </text>
    </comment>
    <comment ref="I125" authorId="0" shapeId="0" xr:uid="{00000000-0006-0000-0200-000008000000}">
      <text>
        <r>
          <rPr>
            <sz val="11"/>
            <color theme="1"/>
            <rFont val="ＭＳ Ｐゴシック"/>
            <family val="2"/>
            <scheme val="minor"/>
          </rPr>
          <t>v1.1 | AR06
レビュー指摘に基づく改訂。案件適用・承認は別途。</t>
        </r>
      </text>
    </comment>
    <comment ref="O125" authorId="0" shapeId="0" xr:uid="{00000000-0006-0000-0200-000009000000}">
      <text>
        <r>
          <rPr>
            <sz val="11"/>
            <color theme="1"/>
            <rFont val="ＭＳ Ｐゴシック"/>
            <family val="2"/>
            <scheme val="minor"/>
          </rPr>
          <t>v1.1 | AR06
レビュー指摘に基づく改訂。案件適用・承認は別途。</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Revision</author>
    <author>出典</author>
  </authors>
  <commentList>
    <comment ref="E8" authorId="0" shapeId="0" xr:uid="{00000000-0006-0000-0400-000001000000}">
      <text>
        <r>
          <rPr>
            <sz val="11"/>
            <color theme="1"/>
            <rFont val="ＭＳ Ｐゴシック"/>
            <family val="2"/>
            <scheme val="minor"/>
          </rPr>
          <t>v1.1 | AR03
レビュー指摘に基づく改訂。案件適用・承認は別途。</t>
        </r>
      </text>
    </comment>
    <comment ref="B15" authorId="1" shapeId="0" xr:uid="{00000000-0006-0000-0400-000002000000}">
      <text>
        <r>
          <rPr>
            <sz val="11"/>
            <color theme="1"/>
            <rFont val="ＭＳ Ｐゴシック"/>
            <family val="2"/>
            <scheme val="minor"/>
          </rPr>
          <t>出典U01：添付改訂提案の初期計画レンジ。公的標準・保証値・見積係数ではない。</t>
        </r>
      </text>
    </comment>
    <comment ref="C15" authorId="1" shapeId="0" xr:uid="{00000000-0006-0000-0400-000003000000}">
      <text>
        <r>
          <rPr>
            <sz val="11"/>
            <color theme="1"/>
            <rFont val="ＭＳ Ｐゴシック"/>
            <family val="2"/>
            <scheme val="minor"/>
          </rPr>
          <t>出典U01：添付改訂提案の初期計画レンジ。公的標準・保証値・見積係数ではない。</t>
        </r>
      </text>
    </comment>
    <comment ref="D15" authorId="1" shapeId="0" xr:uid="{00000000-0006-0000-0400-000004000000}">
      <text>
        <r>
          <rPr>
            <sz val="11"/>
            <color theme="1"/>
            <rFont val="ＭＳ Ｐゴシック"/>
            <family val="2"/>
            <scheme val="minor"/>
          </rPr>
          <t>出典U01：添付改訂提案の初期計画レンジ。公的標準・保証値・見積係数ではない。</t>
        </r>
      </text>
    </comment>
    <comment ref="E15" authorId="1" shapeId="0" xr:uid="{00000000-0006-0000-0400-000005000000}">
      <text>
        <r>
          <rPr>
            <sz val="11"/>
            <color theme="1"/>
            <rFont val="ＭＳ Ｐゴシック"/>
            <family val="2"/>
            <scheme val="minor"/>
          </rPr>
          <t>出典U01：添付改訂提案の初期計画レンジ。公的標準・保証値・見積係数ではない。</t>
        </r>
      </text>
    </comment>
    <comment ref="F15" authorId="1" shapeId="0" xr:uid="{00000000-0006-0000-0400-000006000000}">
      <text>
        <r>
          <rPr>
            <sz val="11"/>
            <color theme="1"/>
            <rFont val="ＭＳ Ｐゴシック"/>
            <family val="2"/>
            <scheme val="minor"/>
          </rPr>
          <t>出典U01：添付改訂提案の初期計画レンジ。公的標準・保証値・見積係数ではない。</t>
        </r>
      </text>
    </comment>
    <comment ref="G15" authorId="1" shapeId="0" xr:uid="{00000000-0006-0000-0400-000007000000}">
      <text>
        <r>
          <rPr>
            <sz val="11"/>
            <color theme="1"/>
            <rFont val="ＭＳ Ｐゴシック"/>
            <family val="2"/>
            <scheme val="minor"/>
          </rPr>
          <t>出典U01：添付改訂提案の初期計画レンジ。公的標準・保証値・見積係数ではない。</t>
        </r>
      </text>
    </comment>
    <comment ref="B16" authorId="1" shapeId="0" xr:uid="{00000000-0006-0000-0400-000008000000}">
      <text>
        <r>
          <rPr>
            <sz val="11"/>
            <color theme="1"/>
            <rFont val="ＭＳ Ｐゴシック"/>
            <family val="2"/>
            <scheme val="minor"/>
          </rPr>
          <t>出典U01：添付改訂提案の初期計画レンジ。公的標準・保証値・見積係数ではない。</t>
        </r>
      </text>
    </comment>
    <comment ref="C16" authorId="1" shapeId="0" xr:uid="{00000000-0006-0000-0400-000009000000}">
      <text>
        <r>
          <rPr>
            <sz val="11"/>
            <color theme="1"/>
            <rFont val="ＭＳ Ｐゴシック"/>
            <family val="2"/>
            <scheme val="minor"/>
          </rPr>
          <t>出典U01：添付改訂提案の初期計画レンジ。公的標準・保証値・見積係数ではない。</t>
        </r>
      </text>
    </comment>
    <comment ref="D16" authorId="1" shapeId="0" xr:uid="{00000000-0006-0000-0400-00000A000000}">
      <text>
        <r>
          <rPr>
            <sz val="11"/>
            <color theme="1"/>
            <rFont val="ＭＳ Ｐゴシック"/>
            <family val="2"/>
            <scheme val="minor"/>
          </rPr>
          <t>出典U01：添付改訂提案の初期計画レンジ。公的標準・保証値・見積係数ではない。</t>
        </r>
      </text>
    </comment>
    <comment ref="E16" authorId="1" shapeId="0" xr:uid="{00000000-0006-0000-0400-00000B000000}">
      <text>
        <r>
          <rPr>
            <sz val="11"/>
            <color theme="1"/>
            <rFont val="ＭＳ Ｐゴシック"/>
            <family val="2"/>
            <scheme val="minor"/>
          </rPr>
          <t>出典U01：添付改訂提案の初期計画レンジ。公的標準・保証値・見積係数ではない。</t>
        </r>
      </text>
    </comment>
    <comment ref="F16" authorId="1" shapeId="0" xr:uid="{00000000-0006-0000-0400-00000C000000}">
      <text>
        <r>
          <rPr>
            <sz val="11"/>
            <color theme="1"/>
            <rFont val="ＭＳ Ｐゴシック"/>
            <family val="2"/>
            <scheme val="minor"/>
          </rPr>
          <t>出典U01：添付改訂提案の初期計画レンジ。公的標準・保証値・見積係数ではない。</t>
        </r>
      </text>
    </comment>
    <comment ref="G16" authorId="1" shapeId="0" xr:uid="{00000000-0006-0000-0400-00000D000000}">
      <text>
        <r>
          <rPr>
            <sz val="11"/>
            <color theme="1"/>
            <rFont val="ＭＳ Ｐゴシック"/>
            <family val="2"/>
            <scheme val="minor"/>
          </rPr>
          <t>出典U01：添付改訂提案の初期計画レンジ。公的標準・保証値・見積係数ではない。</t>
        </r>
      </text>
    </comment>
    <comment ref="B17" authorId="1" shapeId="0" xr:uid="{00000000-0006-0000-0400-00000E000000}">
      <text>
        <r>
          <rPr>
            <sz val="11"/>
            <color theme="1"/>
            <rFont val="ＭＳ Ｐゴシック"/>
            <family val="2"/>
            <scheme val="minor"/>
          </rPr>
          <t>出典U01：添付改訂提案の初期計画レンジ。公的標準・保証値・見積係数ではない。</t>
        </r>
      </text>
    </comment>
    <comment ref="C17" authorId="1" shapeId="0" xr:uid="{00000000-0006-0000-0400-00000F000000}">
      <text>
        <r>
          <rPr>
            <sz val="11"/>
            <color theme="1"/>
            <rFont val="ＭＳ Ｐゴシック"/>
            <family val="2"/>
            <scheme val="minor"/>
          </rPr>
          <t>出典U01：添付改訂提案の初期計画レンジ。公的標準・保証値・見積係数ではない。</t>
        </r>
      </text>
    </comment>
    <comment ref="D17" authorId="1" shapeId="0" xr:uid="{00000000-0006-0000-0400-000010000000}">
      <text>
        <r>
          <rPr>
            <sz val="11"/>
            <color theme="1"/>
            <rFont val="ＭＳ Ｐゴシック"/>
            <family val="2"/>
            <scheme val="minor"/>
          </rPr>
          <t>出典U01：添付改訂提案の初期計画レンジ。公的標準・保証値・見積係数ではない。</t>
        </r>
      </text>
    </comment>
    <comment ref="E17" authorId="1" shapeId="0" xr:uid="{00000000-0006-0000-0400-000011000000}">
      <text>
        <r>
          <rPr>
            <sz val="11"/>
            <color theme="1"/>
            <rFont val="ＭＳ Ｐゴシック"/>
            <family val="2"/>
            <scheme val="minor"/>
          </rPr>
          <t>出典U01：添付改訂提案の初期計画レンジ。公的標準・保証値・見積係数ではない。</t>
        </r>
      </text>
    </comment>
    <comment ref="F17" authorId="1" shapeId="0" xr:uid="{00000000-0006-0000-0400-000012000000}">
      <text>
        <r>
          <rPr>
            <sz val="11"/>
            <color theme="1"/>
            <rFont val="ＭＳ Ｐゴシック"/>
            <family val="2"/>
            <scheme val="minor"/>
          </rPr>
          <t>出典U01：添付改訂提案の初期計画レンジ。公的標準・保証値・見積係数ではない。</t>
        </r>
      </text>
    </comment>
    <comment ref="G17" authorId="1" shapeId="0" xr:uid="{00000000-0006-0000-0400-000013000000}">
      <text>
        <r>
          <rPr>
            <sz val="11"/>
            <color theme="1"/>
            <rFont val="ＭＳ Ｐゴシック"/>
            <family val="2"/>
            <scheme val="minor"/>
          </rPr>
          <t>出典U01：添付改訂提案の初期計画レンジ。公的標準・保証値・見積係数ではない。</t>
        </r>
      </text>
    </comment>
    <comment ref="B18" authorId="1" shapeId="0" xr:uid="{00000000-0006-0000-0400-000014000000}">
      <text>
        <r>
          <rPr>
            <sz val="11"/>
            <color theme="1"/>
            <rFont val="ＭＳ Ｐゴシック"/>
            <family val="2"/>
            <scheme val="minor"/>
          </rPr>
          <t>出典U01：添付改訂提案の初期計画レンジ。公的標準・保証値・見積係数ではない。</t>
        </r>
      </text>
    </comment>
    <comment ref="C18" authorId="1" shapeId="0" xr:uid="{00000000-0006-0000-0400-000015000000}">
      <text>
        <r>
          <rPr>
            <sz val="11"/>
            <color theme="1"/>
            <rFont val="ＭＳ Ｐゴシック"/>
            <family val="2"/>
            <scheme val="minor"/>
          </rPr>
          <t>出典U01：添付改訂提案の初期計画レンジ。公的標準・保証値・見積係数ではない。</t>
        </r>
      </text>
    </comment>
    <comment ref="D18" authorId="1" shapeId="0" xr:uid="{00000000-0006-0000-0400-000016000000}">
      <text>
        <r>
          <rPr>
            <sz val="11"/>
            <color theme="1"/>
            <rFont val="ＭＳ Ｐゴシック"/>
            <family val="2"/>
            <scheme val="minor"/>
          </rPr>
          <t>出典U01：添付改訂提案の初期計画レンジ。公的標準・保証値・見積係数ではない。</t>
        </r>
      </text>
    </comment>
    <comment ref="E18" authorId="1" shapeId="0" xr:uid="{00000000-0006-0000-0400-000017000000}">
      <text>
        <r>
          <rPr>
            <sz val="11"/>
            <color theme="1"/>
            <rFont val="ＭＳ Ｐゴシック"/>
            <family val="2"/>
            <scheme val="minor"/>
          </rPr>
          <t>出典U01：添付改訂提案の初期計画レンジ。公的標準・保証値・見積係数ではない。</t>
        </r>
      </text>
    </comment>
    <comment ref="F18" authorId="1" shapeId="0" xr:uid="{00000000-0006-0000-0400-000018000000}">
      <text>
        <r>
          <rPr>
            <sz val="11"/>
            <color theme="1"/>
            <rFont val="ＭＳ Ｐゴシック"/>
            <family val="2"/>
            <scheme val="minor"/>
          </rPr>
          <t>出典U01：添付改訂提案の初期計画レンジ。公的標準・保証値・見積係数ではない。</t>
        </r>
      </text>
    </comment>
    <comment ref="G18" authorId="1" shapeId="0" xr:uid="{00000000-0006-0000-0400-000019000000}">
      <text>
        <r>
          <rPr>
            <sz val="11"/>
            <color theme="1"/>
            <rFont val="ＭＳ Ｐゴシック"/>
            <family val="2"/>
            <scheme val="minor"/>
          </rPr>
          <t>出典U01：添付改訂提案の初期計画レンジ。公的標準・保証値・見積係数ではない。</t>
        </r>
      </text>
    </comment>
    <comment ref="B19" authorId="1" shapeId="0" xr:uid="{00000000-0006-0000-0400-00001A000000}">
      <text>
        <r>
          <rPr>
            <sz val="11"/>
            <color theme="1"/>
            <rFont val="ＭＳ Ｐゴシック"/>
            <family val="2"/>
            <scheme val="minor"/>
          </rPr>
          <t>出典U01：添付改訂提案の初期計画レンジ。公的標準・保証値・見積係数ではない。</t>
        </r>
      </text>
    </comment>
    <comment ref="C19" authorId="1" shapeId="0" xr:uid="{00000000-0006-0000-0400-00001B000000}">
      <text>
        <r>
          <rPr>
            <sz val="11"/>
            <color theme="1"/>
            <rFont val="ＭＳ Ｐゴシック"/>
            <family val="2"/>
            <scheme val="minor"/>
          </rPr>
          <t>出典U01：添付改訂提案の初期計画レンジ。公的標準・保証値・見積係数ではない。</t>
        </r>
      </text>
    </comment>
    <comment ref="D19" authorId="1" shapeId="0" xr:uid="{00000000-0006-0000-0400-00001C000000}">
      <text>
        <r>
          <rPr>
            <sz val="11"/>
            <color theme="1"/>
            <rFont val="ＭＳ Ｐゴシック"/>
            <family val="2"/>
            <scheme val="minor"/>
          </rPr>
          <t>出典U01：添付改訂提案の初期計画レンジ。公的標準・保証値・見積係数ではない。</t>
        </r>
      </text>
    </comment>
    <comment ref="E19" authorId="1" shapeId="0" xr:uid="{00000000-0006-0000-0400-00001D000000}">
      <text>
        <r>
          <rPr>
            <sz val="11"/>
            <color theme="1"/>
            <rFont val="ＭＳ Ｐゴシック"/>
            <family val="2"/>
            <scheme val="minor"/>
          </rPr>
          <t>出典U01：添付改訂提案の初期計画レンジ。公的標準・保証値・見積係数ではない。</t>
        </r>
      </text>
    </comment>
    <comment ref="F19" authorId="1" shapeId="0" xr:uid="{00000000-0006-0000-0400-00001E000000}">
      <text>
        <r>
          <rPr>
            <sz val="11"/>
            <color theme="1"/>
            <rFont val="ＭＳ Ｐゴシック"/>
            <family val="2"/>
            <scheme val="minor"/>
          </rPr>
          <t>出典U01：添付改訂提案の初期計画レンジ。公的標準・保証値・見積係数ではない。</t>
        </r>
      </text>
    </comment>
    <comment ref="G19" authorId="1" shapeId="0" xr:uid="{00000000-0006-0000-0400-00001F000000}">
      <text>
        <r>
          <rPr>
            <sz val="11"/>
            <color theme="1"/>
            <rFont val="ＭＳ Ｐゴシック"/>
            <family val="2"/>
            <scheme val="minor"/>
          </rPr>
          <t>出典U01：添付改訂提案の初期計画レンジ。公的標準・保証値・見積係数ではない。</t>
        </r>
      </text>
    </comment>
    <comment ref="B20" authorId="1" shapeId="0" xr:uid="{00000000-0006-0000-0400-000020000000}">
      <text>
        <r>
          <rPr>
            <sz val="11"/>
            <color theme="1"/>
            <rFont val="ＭＳ Ｐゴシック"/>
            <family val="2"/>
            <scheme val="minor"/>
          </rPr>
          <t>出典U01：添付改訂提案の初期計画レンジ。公的標準・保証値・見積係数ではない。</t>
        </r>
      </text>
    </comment>
    <comment ref="C20" authorId="1" shapeId="0" xr:uid="{00000000-0006-0000-0400-000021000000}">
      <text>
        <r>
          <rPr>
            <sz val="11"/>
            <color theme="1"/>
            <rFont val="ＭＳ Ｐゴシック"/>
            <family val="2"/>
            <scheme val="minor"/>
          </rPr>
          <t>出典U01：添付改訂提案の初期計画レンジ。公的標準・保証値・見積係数ではない。</t>
        </r>
      </text>
    </comment>
    <comment ref="D20" authorId="1" shapeId="0" xr:uid="{00000000-0006-0000-0400-000022000000}">
      <text>
        <r>
          <rPr>
            <sz val="11"/>
            <color theme="1"/>
            <rFont val="ＭＳ Ｐゴシック"/>
            <family val="2"/>
            <scheme val="minor"/>
          </rPr>
          <t>出典U01：添付改訂提案の初期計画レンジ。公的標準・保証値・見積係数ではない。</t>
        </r>
      </text>
    </comment>
    <comment ref="E20" authorId="1" shapeId="0" xr:uid="{00000000-0006-0000-0400-000023000000}">
      <text>
        <r>
          <rPr>
            <sz val="11"/>
            <color theme="1"/>
            <rFont val="ＭＳ Ｐゴシック"/>
            <family val="2"/>
            <scheme val="minor"/>
          </rPr>
          <t>出典U01：添付改訂提案の初期計画レンジ。公的標準・保証値・見積係数ではない。</t>
        </r>
      </text>
    </comment>
    <comment ref="F20" authorId="1" shapeId="0" xr:uid="{00000000-0006-0000-0400-000024000000}">
      <text>
        <r>
          <rPr>
            <sz val="11"/>
            <color theme="1"/>
            <rFont val="ＭＳ Ｐゴシック"/>
            <family val="2"/>
            <scheme val="minor"/>
          </rPr>
          <t>出典U01：添付改訂提案の初期計画レンジ。公的標準・保証値・見積係数ではない。</t>
        </r>
      </text>
    </comment>
    <comment ref="G20" authorId="1" shapeId="0" xr:uid="{00000000-0006-0000-0400-000025000000}">
      <text>
        <r>
          <rPr>
            <sz val="11"/>
            <color theme="1"/>
            <rFont val="ＭＳ Ｐゴシック"/>
            <family val="2"/>
            <scheme val="minor"/>
          </rPr>
          <t>出典U01：添付改訂提案の初期計画レンジ。公的標準・保証値・見積係数ではない。</t>
        </r>
      </text>
    </comment>
    <comment ref="B21" authorId="1" shapeId="0" xr:uid="{00000000-0006-0000-0400-000026000000}">
      <text>
        <r>
          <rPr>
            <sz val="11"/>
            <color theme="1"/>
            <rFont val="ＭＳ Ｐゴシック"/>
            <family val="2"/>
            <scheme val="minor"/>
          </rPr>
          <t>出典U01：添付改訂提案の初期計画レンジ。公的標準・保証値・見積係数ではない。</t>
        </r>
      </text>
    </comment>
    <comment ref="C21" authorId="1" shapeId="0" xr:uid="{00000000-0006-0000-0400-000027000000}">
      <text>
        <r>
          <rPr>
            <sz val="11"/>
            <color theme="1"/>
            <rFont val="ＭＳ Ｐゴシック"/>
            <family val="2"/>
            <scheme val="minor"/>
          </rPr>
          <t>出典U01：添付改訂提案の初期計画レンジ。公的標準・保証値・見積係数ではない。</t>
        </r>
      </text>
    </comment>
    <comment ref="D21" authorId="1" shapeId="0" xr:uid="{00000000-0006-0000-0400-000028000000}">
      <text>
        <r>
          <rPr>
            <sz val="11"/>
            <color theme="1"/>
            <rFont val="ＭＳ Ｐゴシック"/>
            <family val="2"/>
            <scheme val="minor"/>
          </rPr>
          <t>出典U01：添付改訂提案の初期計画レンジ。公的標準・保証値・見積係数ではない。</t>
        </r>
      </text>
    </comment>
    <comment ref="E21" authorId="1" shapeId="0" xr:uid="{00000000-0006-0000-0400-000029000000}">
      <text>
        <r>
          <rPr>
            <sz val="11"/>
            <color theme="1"/>
            <rFont val="ＭＳ Ｐゴシック"/>
            <family val="2"/>
            <scheme val="minor"/>
          </rPr>
          <t>出典U01：添付改訂提案の初期計画レンジ。公的標準・保証値・見積係数ではない。</t>
        </r>
      </text>
    </comment>
    <comment ref="F21" authorId="1" shapeId="0" xr:uid="{00000000-0006-0000-0400-00002A000000}">
      <text>
        <r>
          <rPr>
            <sz val="11"/>
            <color theme="1"/>
            <rFont val="ＭＳ Ｐゴシック"/>
            <family val="2"/>
            <scheme val="minor"/>
          </rPr>
          <t>出典U01：添付改訂提案の初期計画レンジ。公的標準・保証値・見積係数ではない。</t>
        </r>
      </text>
    </comment>
    <comment ref="G21" authorId="1" shapeId="0" xr:uid="{00000000-0006-0000-0400-00002B000000}">
      <text>
        <r>
          <rPr>
            <sz val="11"/>
            <color theme="1"/>
            <rFont val="ＭＳ Ｐゴシック"/>
            <family val="2"/>
            <scheme val="minor"/>
          </rPr>
          <t>出典U01：添付改訂提案の初期計画レンジ。公的標準・保証値・見積係数ではない。</t>
        </r>
      </text>
    </comment>
    <comment ref="B22" authorId="1" shapeId="0" xr:uid="{00000000-0006-0000-0400-00002C000000}">
      <text>
        <r>
          <rPr>
            <sz val="11"/>
            <color theme="1"/>
            <rFont val="ＭＳ Ｐゴシック"/>
            <family val="2"/>
            <scheme val="minor"/>
          </rPr>
          <t>出典U01：添付改訂提案の初期計画レンジ。公的標準・保証値・見積係数ではない。</t>
        </r>
      </text>
    </comment>
    <comment ref="C22" authorId="1" shapeId="0" xr:uid="{00000000-0006-0000-0400-00002D000000}">
      <text>
        <r>
          <rPr>
            <sz val="11"/>
            <color theme="1"/>
            <rFont val="ＭＳ Ｐゴシック"/>
            <family val="2"/>
            <scheme val="minor"/>
          </rPr>
          <t>出典U01：添付改訂提案の初期計画レンジ。公的標準・保証値・見積係数ではない。</t>
        </r>
      </text>
    </comment>
    <comment ref="D22" authorId="1" shapeId="0" xr:uid="{00000000-0006-0000-0400-00002E000000}">
      <text>
        <r>
          <rPr>
            <sz val="11"/>
            <color theme="1"/>
            <rFont val="ＭＳ Ｐゴシック"/>
            <family val="2"/>
            <scheme val="minor"/>
          </rPr>
          <t>出典U01：添付改訂提案の初期計画レンジ。公的標準・保証値・見積係数ではない。</t>
        </r>
      </text>
    </comment>
    <comment ref="E22" authorId="1" shapeId="0" xr:uid="{00000000-0006-0000-0400-00002F000000}">
      <text>
        <r>
          <rPr>
            <sz val="11"/>
            <color theme="1"/>
            <rFont val="ＭＳ Ｐゴシック"/>
            <family val="2"/>
            <scheme val="minor"/>
          </rPr>
          <t>出典U01：添付改訂提案の初期計画レンジ。公的標準・保証値・見積係数ではない。</t>
        </r>
      </text>
    </comment>
    <comment ref="F22" authorId="1" shapeId="0" xr:uid="{00000000-0006-0000-0400-000030000000}">
      <text>
        <r>
          <rPr>
            <sz val="11"/>
            <color theme="1"/>
            <rFont val="ＭＳ Ｐゴシック"/>
            <family val="2"/>
            <scheme val="minor"/>
          </rPr>
          <t>出典U01：添付改訂提案の初期計画レンジ。公的標準・保証値・見積係数ではない。</t>
        </r>
      </text>
    </comment>
    <comment ref="G22" authorId="1" shapeId="0" xr:uid="{00000000-0006-0000-0400-000031000000}">
      <text>
        <r>
          <rPr>
            <sz val="11"/>
            <color theme="1"/>
            <rFont val="ＭＳ Ｐゴシック"/>
            <family val="2"/>
            <scheme val="minor"/>
          </rPr>
          <t>出典U01：添付改訂提案の初期計画レンジ。公的標準・保証値・見積係数ではない。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A2" authorId="0" shapeId="0" xr:uid="{00000000-0006-0000-0600-000001000000}">
      <text>
        <r>
          <rPr>
            <sz val="11"/>
            <color theme="1"/>
            <rFont val="ＭＳ Ｐゴシック"/>
            <family val="2"/>
            <scheme val="minor"/>
          </rPr>
          <t>v1.1 | AR21
レビュー指摘に基づく改訂。案件適用・承認は別途。</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I9" authorId="0" shapeId="0" xr:uid="{00000000-0006-0000-0700-000001000000}">
      <text>
        <r>
          <rPr>
            <sz val="11"/>
            <color theme="1"/>
            <rFont val="ＭＳ Ｐゴシック"/>
            <family val="2"/>
            <scheme val="minor"/>
          </rPr>
          <t>v1.1 | AR01・AR02
レビュー指摘に基づく改訂。案件適用・承認は別途。</t>
        </r>
      </text>
    </comment>
    <comment ref="E14" authorId="0" shapeId="0" xr:uid="{00000000-0006-0000-0700-000002000000}">
      <text>
        <r>
          <rPr>
            <sz val="11"/>
            <color theme="1"/>
            <rFont val="ＭＳ Ｐゴシック"/>
            <family val="2"/>
            <scheme val="minor"/>
          </rPr>
          <t>v1.1 | AR01
レビュー指摘に基づく改訂。案件適用・承認は別途。</t>
        </r>
      </text>
    </comment>
    <comment ref="H14" authorId="0" shapeId="0" xr:uid="{00000000-0006-0000-0700-000003000000}">
      <text>
        <r>
          <rPr>
            <sz val="11"/>
            <color theme="1"/>
            <rFont val="ＭＳ Ｐゴシック"/>
            <family val="2"/>
            <scheme val="minor"/>
          </rPr>
          <t>v1.1 | AR01
レビュー指摘に基づく改訂。案件適用・承認は別途。</t>
        </r>
      </text>
    </comment>
    <comment ref="E18" authorId="0" shapeId="0" xr:uid="{00000000-0006-0000-0700-000004000000}">
      <text>
        <r>
          <rPr>
            <sz val="11"/>
            <color theme="1"/>
            <rFont val="ＭＳ Ｐゴシック"/>
            <family val="2"/>
            <scheme val="minor"/>
          </rPr>
          <t>v1.1 | AR01
レビュー指摘に基づく改訂。案件適用・承認は別途。</t>
        </r>
      </text>
    </comment>
    <comment ref="F18" authorId="0" shapeId="0" xr:uid="{00000000-0006-0000-0700-000005000000}">
      <text>
        <r>
          <rPr>
            <sz val="11"/>
            <color theme="1"/>
            <rFont val="ＭＳ Ｐゴシック"/>
            <family val="2"/>
            <scheme val="minor"/>
          </rPr>
          <t>v1.1 | AR01
レビュー指摘に基づく改訂。案件適用・承認は別途。</t>
        </r>
      </text>
    </comment>
    <comment ref="G18" authorId="0" shapeId="0" xr:uid="{00000000-0006-0000-0700-000006000000}">
      <text>
        <r>
          <rPr>
            <sz val="11"/>
            <color theme="1"/>
            <rFont val="ＭＳ Ｐゴシック"/>
            <family val="2"/>
            <scheme val="minor"/>
          </rPr>
          <t>v1.1 | AR01
レビュー指摘に基づく改訂。案件適用・承認は別途。</t>
        </r>
      </text>
    </comment>
    <comment ref="H18" authorId="0" shapeId="0" xr:uid="{00000000-0006-0000-0700-000007000000}">
      <text>
        <r>
          <rPr>
            <sz val="11"/>
            <color theme="1"/>
            <rFont val="ＭＳ Ｐゴシック"/>
            <family val="2"/>
            <scheme val="minor"/>
          </rPr>
          <t>v1.1 | AR01
レビュー指摘に基づく改訂。案件適用・承認は別途。</t>
        </r>
      </text>
    </comment>
    <comment ref="I18" authorId="0" shapeId="0" xr:uid="{00000000-0006-0000-0700-000008000000}">
      <text>
        <r>
          <rPr>
            <sz val="11"/>
            <color theme="1"/>
            <rFont val="ＭＳ Ｐゴシック"/>
            <family val="2"/>
            <scheme val="minor"/>
          </rPr>
          <t>v1.1 | AR01
レビュー指摘に基づく改訂。案件適用・承認は別途。</t>
        </r>
      </text>
    </comment>
    <comment ref="G19" authorId="0" shapeId="0" xr:uid="{00000000-0006-0000-0700-000009000000}">
      <text>
        <r>
          <rPr>
            <sz val="11"/>
            <color theme="1"/>
            <rFont val="ＭＳ Ｐゴシック"/>
            <family val="2"/>
            <scheme val="minor"/>
          </rPr>
          <t>v1.1 | AR01
レビュー指摘に基づく改訂。案件適用・承認は別途。</t>
        </r>
      </text>
    </comment>
    <comment ref="H19" authorId="0" shapeId="0" xr:uid="{00000000-0006-0000-0700-00000A000000}">
      <text>
        <r>
          <rPr>
            <sz val="11"/>
            <color theme="1"/>
            <rFont val="ＭＳ Ｐゴシック"/>
            <family val="2"/>
            <scheme val="minor"/>
          </rPr>
          <t>v1.1 | AR01
レビュー指摘に基づく改訂。案件適用・承認は別途。</t>
        </r>
      </text>
    </comment>
    <comment ref="I19" authorId="0" shapeId="0" xr:uid="{00000000-0006-0000-0700-00000B000000}">
      <text>
        <r>
          <rPr>
            <sz val="11"/>
            <color theme="1"/>
            <rFont val="ＭＳ Ｐゴシック"/>
            <family val="2"/>
            <scheme val="minor"/>
          </rPr>
          <t>v1.1 | AR01
レビュー指摘に基づく改訂。案件適用・承認は別途。</t>
        </r>
      </text>
    </comment>
    <comment ref="H29" authorId="0" shapeId="0" xr:uid="{00000000-0006-0000-0700-00000C000000}">
      <text>
        <r>
          <rPr>
            <sz val="11"/>
            <color theme="1"/>
            <rFont val="ＭＳ Ｐゴシック"/>
            <family val="2"/>
            <scheme val="minor"/>
          </rPr>
          <t>v1.1 | AR03
レビュー指摘に基づく改訂。案件適用・承認は別途。</t>
        </r>
      </text>
    </comment>
    <comment ref="G30" authorId="0" shapeId="0" xr:uid="{00000000-0006-0000-0700-00000D000000}">
      <text>
        <r>
          <rPr>
            <sz val="11"/>
            <color theme="1"/>
            <rFont val="ＭＳ Ｐゴシック"/>
            <family val="2"/>
            <scheme val="minor"/>
          </rPr>
          <t>v1.1 | AR01・AR02
レビュー指摘に基づく改訂。案件適用・承認は別途。</t>
        </r>
      </text>
    </comment>
    <comment ref="G37" authorId="0" shapeId="0" xr:uid="{00000000-0006-0000-0700-00000E000000}">
      <text>
        <r>
          <rPr>
            <sz val="11"/>
            <color theme="1"/>
            <rFont val="ＭＳ Ｐゴシック"/>
            <family val="2"/>
            <scheme val="minor"/>
          </rPr>
          <t>v1.1 | AR01・AR02
レビュー指摘に基づく改訂。案件適用・承認は別途。</t>
        </r>
      </text>
    </comment>
    <comment ref="G38" authorId="0" shapeId="0" xr:uid="{00000000-0006-0000-0700-00000F000000}">
      <text>
        <r>
          <rPr>
            <sz val="11"/>
            <color theme="1"/>
            <rFont val="ＭＳ Ｐゴシック"/>
            <family val="2"/>
            <scheme val="minor"/>
          </rPr>
          <t>v1.1 | AR01・AR02
レビュー指摘に基づく改訂。案件適用・承認は別途。</t>
        </r>
      </text>
    </comment>
    <comment ref="G43" authorId="0" shapeId="0" xr:uid="{00000000-0006-0000-0700-000010000000}">
      <text>
        <r>
          <rPr>
            <sz val="11"/>
            <color theme="1"/>
            <rFont val="ＭＳ Ｐゴシック"/>
            <family val="2"/>
            <scheme val="minor"/>
          </rPr>
          <t>v1.1 | AR01・AR02
レビュー指摘に基づく改訂。案件適用・承認は別途。</t>
        </r>
      </text>
    </comment>
    <comment ref="E57" authorId="0" shapeId="0" xr:uid="{00000000-0006-0000-0700-000011000000}">
      <text>
        <r>
          <rPr>
            <sz val="11"/>
            <color theme="1"/>
            <rFont val="ＭＳ Ｐゴシック"/>
            <family val="2"/>
            <scheme val="minor"/>
          </rPr>
          <t>v1.1 | AR01・AR02
レビュー指摘に基づく改訂。案件適用・承認は別途。</t>
        </r>
      </text>
    </comment>
    <comment ref="G57" authorId="0" shapeId="0" xr:uid="{00000000-0006-0000-0700-000012000000}">
      <text>
        <r>
          <rPr>
            <sz val="11"/>
            <color theme="1"/>
            <rFont val="ＭＳ Ｐゴシック"/>
            <family val="2"/>
            <scheme val="minor"/>
          </rPr>
          <t>v1.1 | AR01・AR02
レビュー指摘に基づく改訂。案件適用・承認は別途。</t>
        </r>
      </text>
    </comment>
    <comment ref="H58" authorId="0" shapeId="0" xr:uid="{00000000-0006-0000-0700-000013000000}">
      <text>
        <r>
          <rPr>
            <sz val="11"/>
            <color theme="1"/>
            <rFont val="ＭＳ Ｐゴシック"/>
            <family val="2"/>
            <scheme val="minor"/>
          </rPr>
          <t>v1.1 | AR01・AR02
レビュー指摘に基づく改訂。案件適用・承認は別途。</t>
        </r>
      </text>
    </comment>
    <comment ref="E62" authorId="0" shapeId="0" xr:uid="{00000000-0006-0000-0700-000014000000}">
      <text>
        <r>
          <rPr>
            <sz val="11"/>
            <color theme="1"/>
            <rFont val="ＭＳ Ｐゴシック"/>
            <family val="2"/>
            <scheme val="minor"/>
          </rPr>
          <t>v1.1 | AR01・AR02
レビュー指摘に基づく改訂。案件適用・承認は別途。</t>
        </r>
      </text>
    </comment>
    <comment ref="E64" authorId="0" shapeId="0" xr:uid="{00000000-0006-0000-0700-000015000000}">
      <text>
        <r>
          <rPr>
            <sz val="11"/>
            <color theme="1"/>
            <rFont val="ＭＳ Ｐゴシック"/>
            <family val="2"/>
            <scheme val="minor"/>
          </rPr>
          <t>v1.1 | AR01・AR02
レビュー指摘に基づく改訂。案件適用・承認は別途。</t>
        </r>
      </text>
    </comment>
    <comment ref="E68" authorId="0" shapeId="0" xr:uid="{00000000-0006-0000-0700-000016000000}">
      <text>
        <r>
          <rPr>
            <sz val="11"/>
            <color theme="1"/>
            <rFont val="ＭＳ Ｐゴシック"/>
            <family val="2"/>
            <scheme val="minor"/>
          </rPr>
          <t>v1.1 | AR01・AR02
レビュー指摘に基づく改訂。案件適用・承認は別途。</t>
        </r>
      </text>
    </comment>
    <comment ref="E70" authorId="0" shapeId="0" xr:uid="{00000000-0006-0000-0700-000017000000}">
      <text>
        <r>
          <rPr>
            <sz val="11"/>
            <color theme="1"/>
            <rFont val="ＭＳ Ｐゴシック"/>
            <family val="2"/>
            <scheme val="minor"/>
          </rPr>
          <t>v1.1 | AR01・AR02
レビュー指摘に基づく改訂。案件適用・承認は別途。</t>
        </r>
      </text>
    </comment>
    <comment ref="H75" authorId="0" shapeId="0" xr:uid="{00000000-0006-0000-0700-000018000000}">
      <text>
        <r>
          <rPr>
            <sz val="11"/>
            <color theme="1"/>
            <rFont val="ＭＳ Ｐゴシック"/>
            <family val="2"/>
            <scheme val="minor"/>
          </rPr>
          <t>v1.1 | AR01・AR02
レビュー指摘に基づく改訂。案件適用・承認は別途。</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A2" authorId="0" shapeId="0" xr:uid="{00000000-0006-0000-0800-000001000000}">
      <text>
        <r>
          <rPr>
            <sz val="11"/>
            <color theme="1"/>
            <rFont val="ＭＳ Ｐゴシック"/>
            <family val="2"/>
            <scheme val="minor"/>
          </rPr>
          <t>v1.1 | AR21
レビュー指摘に基づく改訂。案件適用・承認は別途。</t>
        </r>
      </text>
    </comment>
    <comment ref="H5" authorId="0" shapeId="0" xr:uid="{00000000-0006-0000-0800-000002000000}">
      <text>
        <r>
          <rPr>
            <sz val="11"/>
            <color theme="1"/>
            <rFont val="ＭＳ Ｐゴシック"/>
            <family val="2"/>
            <scheme val="minor"/>
          </rPr>
          <t>v1.1 | AR01・AR02
レビュー指摘に基づく改訂。案件適用・承認は別途。</t>
        </r>
      </text>
    </comment>
    <comment ref="H48" authorId="0" shapeId="0" xr:uid="{00000000-0006-0000-0800-000003000000}">
      <text>
        <r>
          <rPr>
            <sz val="11"/>
            <color theme="1"/>
            <rFont val="ＭＳ Ｐゴシック"/>
            <family val="2"/>
            <scheme val="minor"/>
          </rPr>
          <t>v1.1 | AR01・AR02
レビュー指摘に基づく改訂。案件適用・承認は別途。</t>
        </r>
      </text>
    </comment>
    <comment ref="H320" authorId="0" shapeId="0" xr:uid="{00000000-0006-0000-0800-000004000000}">
      <text>
        <r>
          <rPr>
            <sz val="11"/>
            <color theme="1"/>
            <rFont val="ＭＳ Ｐゴシック"/>
            <family val="2"/>
            <scheme val="minor"/>
          </rPr>
          <t>v1.1 | AR01・AR02
レビュー指摘に基づく改訂。案件適用・承認は別途。</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A2" authorId="0" shapeId="0" xr:uid="{00000000-0006-0000-0E00-000001000000}">
      <text>
        <r>
          <rPr>
            <sz val="11"/>
            <color theme="1"/>
            <rFont val="ＭＳ Ｐゴシック"/>
            <family val="2"/>
            <scheme val="minor"/>
          </rPr>
          <t>v1.1 | AR22・AR23
レビュー指摘に基づく改訂。案件適用・承認は別途。</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A2" authorId="0" shapeId="0" xr:uid="{00000000-0006-0000-0F00-000001000000}">
      <text>
        <r>
          <rPr>
            <sz val="11"/>
            <color theme="1"/>
            <rFont val="ＭＳ Ｐゴシック"/>
            <family val="2"/>
            <scheme val="minor"/>
          </rPr>
          <t>v1.1 | AR18・AR23
レビュー指摘に基づく改訂。案件適用・承認は別途。</t>
        </r>
      </text>
    </comment>
    <comment ref="A3" authorId="0" shapeId="0" xr:uid="{00000000-0006-0000-0F00-000002000000}">
      <text>
        <r>
          <rPr>
            <sz val="11"/>
            <color theme="1"/>
            <rFont val="ＭＳ Ｐゴシック"/>
            <family val="2"/>
            <scheme val="minor"/>
          </rPr>
          <t>v1.1 | AR18
レビュー指摘に基づく改訂。案件適用・承認は別途。</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A2" authorId="0" shapeId="0" xr:uid="{00000000-0006-0000-1000-000001000000}">
      <text>
        <r>
          <rPr>
            <sz val="11"/>
            <color theme="1"/>
            <rFont val="ＭＳ Ｐゴシック"/>
            <family val="2"/>
            <scheme val="minor"/>
          </rPr>
          <t>v1.1 | AR12・AR18・AR23
レビュー指摘に基づく改訂。案件適用・承認は別途。</t>
        </r>
      </text>
    </comment>
    <comment ref="B3" authorId="0" shapeId="0" xr:uid="{00000000-0006-0000-1000-000002000000}">
      <text>
        <r>
          <rPr>
            <sz val="11"/>
            <color theme="1"/>
            <rFont val="ＭＳ Ｐゴシック"/>
            <family val="2"/>
            <scheme val="minor"/>
          </rPr>
          <t>v1.1 | AR18
レビュー指摘に基づく改訂。案件適用・承認は別途。</t>
        </r>
      </text>
    </comment>
    <comment ref="J3" authorId="0" shapeId="0" xr:uid="{00000000-0006-0000-1000-000003000000}">
      <text>
        <r>
          <rPr>
            <sz val="11"/>
            <color theme="1"/>
            <rFont val="ＭＳ Ｐゴシック"/>
            <family val="2"/>
            <scheme val="minor"/>
          </rPr>
          <t>v1.1 | AR18
レビュー指摘に基づく改訂。案件適用・承認は別途。</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A2" authorId="0" shapeId="0" xr:uid="{00000000-0006-0000-1100-000001000000}">
      <text>
        <r>
          <rPr>
            <sz val="11"/>
            <color theme="1"/>
            <rFont val="ＭＳ Ｐゴシック"/>
            <family val="2"/>
            <scheme val="minor"/>
          </rPr>
          <t>v1.1 | AR08・AR10・AR11
レビュー指摘に基づく改訂。案件適用・承認は別途。</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A2" authorId="0" shapeId="0" xr:uid="{00000000-0006-0000-1400-000001000000}">
      <text>
        <r>
          <rPr>
            <sz val="11"/>
            <color theme="1"/>
            <rFont val="ＭＳ Ｐゴシック"/>
            <family val="2"/>
            <scheme val="minor"/>
          </rPr>
          <t>v1.1 | AR10・AR13・AR18〜20
レビュー指摘に基づく改訂。案件適用・承認は別途。</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Q16" authorId="0" shapeId="0" xr:uid="{00000000-0006-0000-1500-000001000000}">
      <text>
        <r>
          <rPr>
            <sz val="11"/>
            <color theme="1"/>
            <rFont val="ＭＳ Ｐゴシック"/>
            <family val="2"/>
            <scheme val="minor"/>
          </rPr>
          <t>v1.1 | AR14
レビュー指摘に基づく改訂。案件適用・承認は別途。</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A2" authorId="0" shapeId="0" xr:uid="{00000000-0006-0000-1600-000001000000}">
      <text>
        <r>
          <rPr>
            <sz val="11"/>
            <color theme="1"/>
            <rFont val="ＭＳ Ｐゴシック"/>
            <family val="2"/>
            <scheme val="minor"/>
          </rPr>
          <t>v1.1 | AR06・AR15
レビュー指摘に基づく改訂。案件適用・承認は別途。</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Input</author>
  </authors>
  <commentList>
    <comment ref="Y4" authorId="0" shapeId="0" xr:uid="{00000000-0006-0000-1900-000001000000}">
      <text>
        <r>
          <rPr>
            <sz val="11"/>
            <color theme="1"/>
            <rFont val="ＭＳ Ｐゴシック"/>
            <family val="2"/>
            <scheme val="minor"/>
          </rPr>
          <t>案件責任者が承認した実際の追加投資上限を入力。根拠はGateRunと予算正本。仮の金額は未入力。</t>
        </r>
      </text>
    </comment>
    <comment ref="Y5" authorId="0" shapeId="0" xr:uid="{00000000-0006-0000-1900-000002000000}">
      <text>
        <r>
          <rPr>
            <sz val="11"/>
            <color theme="1"/>
            <rFont val="ＭＳ Ｐゴシック"/>
            <family val="2"/>
            <scheme val="minor"/>
          </rPr>
          <t>案件責任者が承認した実際の追加投資上限を入力。根拠はGateRunと予算正本。仮の金額は未入力。</t>
        </r>
      </text>
    </comment>
    <comment ref="Y6" authorId="0" shapeId="0" xr:uid="{00000000-0006-0000-1900-000003000000}">
      <text>
        <r>
          <rPr>
            <sz val="11"/>
            <color theme="1"/>
            <rFont val="ＭＳ Ｐゴシック"/>
            <family val="2"/>
            <scheme val="minor"/>
          </rPr>
          <t>案件責任者が承認した実際の追加投資上限を入力。根拠はGateRunと予算正本。仮の金額は未入力。</t>
        </r>
      </text>
    </comment>
    <comment ref="Y7" authorId="0" shapeId="0" xr:uid="{00000000-0006-0000-1900-000004000000}">
      <text>
        <r>
          <rPr>
            <sz val="11"/>
            <color theme="1"/>
            <rFont val="ＭＳ Ｐゴシック"/>
            <family val="2"/>
            <scheme val="minor"/>
          </rPr>
          <t>案件責任者が承認した実際の追加投資上限を入力。根拠はGateRunと予算正本。仮の金額は未入力。</t>
        </r>
      </text>
    </comment>
    <comment ref="Y8" authorId="0" shapeId="0" xr:uid="{00000000-0006-0000-1900-000005000000}">
      <text>
        <r>
          <rPr>
            <sz val="11"/>
            <color theme="1"/>
            <rFont val="ＭＳ Ｐゴシック"/>
            <family val="2"/>
            <scheme val="minor"/>
          </rPr>
          <t>案件責任者が承認した実際の追加投資上限を入力。根拠はGateRunと予算正本。仮の金額は未入力。</t>
        </r>
      </text>
    </comment>
    <comment ref="Y9" authorId="0" shapeId="0" xr:uid="{00000000-0006-0000-1900-000006000000}">
      <text>
        <r>
          <rPr>
            <sz val="11"/>
            <color theme="1"/>
            <rFont val="ＭＳ Ｐゴシック"/>
            <family val="2"/>
            <scheme val="minor"/>
          </rPr>
          <t>案件責任者が承認した実際の追加投資上限を入力。根拠はGateRunと予算正本。仮の金額は未入力。</t>
        </r>
      </text>
    </comment>
    <comment ref="Y10" authorId="0" shapeId="0" xr:uid="{00000000-0006-0000-1900-000007000000}">
      <text>
        <r>
          <rPr>
            <sz val="11"/>
            <color theme="1"/>
            <rFont val="ＭＳ Ｐゴシック"/>
            <family val="2"/>
            <scheme val="minor"/>
          </rPr>
          <t>案件責任者が承認した実際の追加投資上限を入力。根拠はGateRunと予算正本。仮の金額は未入力。</t>
        </r>
      </text>
    </comment>
    <comment ref="Y11" authorId="0" shapeId="0" xr:uid="{00000000-0006-0000-1900-000008000000}">
      <text>
        <r>
          <rPr>
            <sz val="11"/>
            <color theme="1"/>
            <rFont val="ＭＳ Ｐゴシック"/>
            <family val="2"/>
            <scheme val="minor"/>
          </rPr>
          <t>案件責任者が承認した実際の追加投資上限を入力。根拠はGateRunと予算正本。仮の金額は未入力。</t>
        </r>
      </text>
    </comment>
    <comment ref="Y12" authorId="0" shapeId="0" xr:uid="{00000000-0006-0000-1900-000009000000}">
      <text>
        <r>
          <rPr>
            <sz val="11"/>
            <color theme="1"/>
            <rFont val="ＭＳ Ｐゴシック"/>
            <family val="2"/>
            <scheme val="minor"/>
          </rPr>
          <t>案件責任者が承認した実際の追加投資上限を入力。根拠はGateRunと予算正本。仮の金額は未入力。</t>
        </r>
      </text>
    </comment>
    <comment ref="Y13" authorId="0" shapeId="0" xr:uid="{00000000-0006-0000-1900-00000A000000}">
      <text>
        <r>
          <rPr>
            <sz val="11"/>
            <color theme="1"/>
            <rFont val="ＭＳ Ｐゴシック"/>
            <family val="2"/>
            <scheme val="minor"/>
          </rPr>
          <t>案件責任者が承認した実際の追加投資上限を入力。根拠はGateRunと予算正本。仮の金額は未入力。</t>
        </r>
      </text>
    </comment>
    <comment ref="Y14" authorId="0" shapeId="0" xr:uid="{00000000-0006-0000-1900-00000B000000}">
      <text>
        <r>
          <rPr>
            <sz val="11"/>
            <color theme="1"/>
            <rFont val="ＭＳ Ｐゴシック"/>
            <family val="2"/>
            <scheme val="minor"/>
          </rPr>
          <t>案件責任者が承認した実際の追加投資上限を入力。根拠はGateRunと予算正本。仮の金額は未入力。</t>
        </r>
      </text>
    </comment>
    <comment ref="Y15" authorId="0" shapeId="0" xr:uid="{00000000-0006-0000-1900-00000C000000}">
      <text>
        <r>
          <rPr>
            <sz val="11"/>
            <color theme="1"/>
            <rFont val="ＭＳ Ｐゴシック"/>
            <family val="2"/>
            <scheme val="minor"/>
          </rPr>
          <t>案件責任者が承認した実際の追加投資上限を入力。根拠はGateRunと予算正本。仮の金額は未入力。</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Revision</author>
    <author>入力根拠</author>
  </authors>
  <commentList>
    <comment ref="A2" authorId="0" shapeId="0" xr:uid="{00000000-0006-0000-1A00-000001000000}">
      <text>
        <r>
          <rPr>
            <sz val="11"/>
            <color theme="1"/>
            <rFont val="ＭＳ Ｐゴシック"/>
            <family val="2"/>
            <scheme val="minor"/>
          </rPr>
          <t>v1.1 | AR26
レビュー指摘に基づく改訂。案件適用・承認は別途。</t>
        </r>
      </text>
    </comment>
    <comment ref="I24" authorId="0" shapeId="0" xr:uid="{00000000-0006-0000-1A00-000002000000}">
      <text>
        <r>
          <rPr>
            <sz val="11"/>
            <color theme="1"/>
            <rFont val="ＭＳ Ｐゴシック"/>
            <family val="2"/>
            <scheme val="minor"/>
          </rPr>
          <t>v1.1 | AR26
レビュー指摘に基づく改訂。案件適用・承認は別途。</t>
        </r>
      </text>
    </comment>
    <comment ref="J24" authorId="0" shapeId="0" xr:uid="{00000000-0006-0000-1A00-000003000000}">
      <text>
        <r>
          <rPr>
            <sz val="11"/>
            <color theme="1"/>
            <rFont val="ＭＳ Ｐゴシック"/>
            <family val="2"/>
            <scheme val="minor"/>
          </rPr>
          <t>v1.1 | AR26
レビュー指摘に基づく改訂。案件適用・承認は別途。</t>
        </r>
      </text>
    </comment>
    <comment ref="U24" authorId="0" shapeId="0" xr:uid="{00000000-0006-0000-1A00-000004000000}">
      <text>
        <r>
          <rPr>
            <sz val="11"/>
            <color theme="1"/>
            <rFont val="ＭＳ Ｐゴシック"/>
            <family val="2"/>
            <scheme val="minor"/>
          </rPr>
          <t>v1.1 | AR26
レビュー指摘に基づく改訂。案件適用・承認は別途。</t>
        </r>
      </text>
    </comment>
    <comment ref="D25" authorId="1" shapeId="0" xr:uid="{00000000-0006-0000-1A00-000005000000}">
      <text>
        <r>
          <rPr>
            <sz val="11"/>
            <color theme="1"/>
            <rFont val="ＭＳ Ｐゴシック"/>
            <family val="2"/>
            <scheme val="minor"/>
          </rPr>
          <t>案件入力。参照URL/実績/予測根拠は同じ行V列に記載。添付の工数・削減率を自動適用していない。</t>
        </r>
      </text>
    </comment>
    <comment ref="E25" authorId="1" shapeId="0" xr:uid="{00000000-0006-0000-1A00-000006000000}">
      <text>
        <r>
          <rPr>
            <sz val="11"/>
            <color theme="1"/>
            <rFont val="ＭＳ Ｐゴシック"/>
            <family val="2"/>
            <scheme val="minor"/>
          </rPr>
          <t>案件入力。参照URL/実績/予測根拠は同じ行V列に記載。添付の工数・削減率を自動適用していない。</t>
        </r>
      </text>
    </comment>
    <comment ref="F25" authorId="1" shapeId="0" xr:uid="{00000000-0006-0000-1A00-000007000000}">
      <text>
        <r>
          <rPr>
            <sz val="11"/>
            <color theme="1"/>
            <rFont val="ＭＳ Ｐゴシック"/>
            <family val="2"/>
            <scheme val="minor"/>
          </rPr>
          <t>案件入力。参照URL/実績/予測根拠は同じ行V列に記載。添付の工数・削減率を自動適用していない。</t>
        </r>
      </text>
    </comment>
    <comment ref="G25" authorId="1" shapeId="0" xr:uid="{00000000-0006-0000-1A00-000008000000}">
      <text>
        <r>
          <rPr>
            <sz val="11"/>
            <color theme="1"/>
            <rFont val="ＭＳ Ｐゴシック"/>
            <family val="2"/>
            <scheme val="minor"/>
          </rPr>
          <t>案件入力。参照URL/実績/予測根拠は同じ行V列に記載。添付の工数・削減率を自動適用していない。</t>
        </r>
      </text>
    </comment>
    <comment ref="I25" authorId="1" shapeId="0" xr:uid="{00000000-0006-0000-1A00-000009000000}">
      <text>
        <r>
          <rPr>
            <sz val="11"/>
            <color theme="1"/>
            <rFont val="ＭＳ Ｐゴシック"/>
            <family val="2"/>
            <scheme val="minor"/>
          </rPr>
          <t>案件入力。参照URL/実績/予測根拠は同じ行V列に記載。添付の工数・削減率を自動適用していない。</t>
        </r>
      </text>
    </comment>
    <comment ref="J25" authorId="1" shapeId="0" xr:uid="{00000000-0006-0000-1A00-00000A000000}">
      <text>
        <r>
          <rPr>
            <sz val="11"/>
            <color theme="1"/>
            <rFont val="ＭＳ Ｐゴシック"/>
            <family val="2"/>
            <scheme val="minor"/>
          </rPr>
          <t>案件入力。参照URL/実績/予測根拠は同じ行V列に記載。添付の工数・削減率を自動適用していない。</t>
        </r>
      </text>
    </comment>
    <comment ref="K25" authorId="1" shapeId="0" xr:uid="{00000000-0006-0000-1A00-00000B000000}">
      <text>
        <r>
          <rPr>
            <sz val="11"/>
            <color theme="1"/>
            <rFont val="ＭＳ Ｐゴシック"/>
            <family val="2"/>
            <scheme val="minor"/>
          </rPr>
          <t>案件入力。参照URL/実績/予測根拠は同じ行V列に記載。添付の工数・削減率を自動適用していない。</t>
        </r>
      </text>
    </comment>
    <comment ref="L25" authorId="1" shapeId="0" xr:uid="{00000000-0006-0000-1A00-00000C000000}">
      <text>
        <r>
          <rPr>
            <sz val="11"/>
            <color theme="1"/>
            <rFont val="ＭＳ Ｐゴシック"/>
            <family val="2"/>
            <scheme val="minor"/>
          </rPr>
          <t>案件入力。参照URL/実績/予測根拠は同じ行V列に記載。添付の工数・削減率を自動適用していない。</t>
        </r>
      </text>
    </comment>
    <comment ref="M25" authorId="1" shapeId="0" xr:uid="{00000000-0006-0000-1A00-00000D000000}">
      <text>
        <r>
          <rPr>
            <sz val="11"/>
            <color theme="1"/>
            <rFont val="ＭＳ Ｐゴシック"/>
            <family val="2"/>
            <scheme val="minor"/>
          </rPr>
          <t>案件入力。参照URL/実績/予測根拠は同じ行V列に記載。添付の工数・削減率を自動適用していない。</t>
        </r>
      </text>
    </comment>
    <comment ref="N25" authorId="1" shapeId="0" xr:uid="{00000000-0006-0000-1A00-00000E000000}">
      <text>
        <r>
          <rPr>
            <sz val="11"/>
            <color theme="1"/>
            <rFont val="ＭＳ Ｐゴシック"/>
            <family val="2"/>
            <scheme val="minor"/>
          </rPr>
          <t>案件入力。参照URL/実績/予測根拠は同じ行V列に記載。添付の工数・削減率を自動適用していない。</t>
        </r>
      </text>
    </comment>
    <comment ref="O25" authorId="1" shapeId="0" xr:uid="{00000000-0006-0000-1A00-00000F000000}">
      <text>
        <r>
          <rPr>
            <sz val="11"/>
            <color theme="1"/>
            <rFont val="ＭＳ Ｐゴシック"/>
            <family val="2"/>
            <scheme val="minor"/>
          </rPr>
          <t>案件入力。参照URL/実績/予測根拠は同じ行V列に記載。添付の工数・削減率を自動適用していない。</t>
        </r>
      </text>
    </comment>
    <comment ref="S25" authorId="1" shapeId="0" xr:uid="{00000000-0006-0000-1A00-000010000000}">
      <text>
        <r>
          <rPr>
            <sz val="11"/>
            <color theme="1"/>
            <rFont val="ＭＳ Ｐゴシック"/>
            <family val="2"/>
            <scheme val="minor"/>
          </rPr>
          <t>案件入力。参照URL/実績/予測根拠は同じ行V列に記載。添付の工数・削減率を自動適用していない。</t>
        </r>
      </text>
    </comment>
    <comment ref="D26" authorId="1" shapeId="0" xr:uid="{00000000-0006-0000-1A00-000011000000}">
      <text>
        <r>
          <rPr>
            <sz val="11"/>
            <color theme="1"/>
            <rFont val="ＭＳ Ｐゴシック"/>
            <family val="2"/>
            <scheme val="minor"/>
          </rPr>
          <t>案件入力。参照URL/実績/予測根拠は同じ行V列に記載。添付の工数・削減率を自動適用していない。</t>
        </r>
      </text>
    </comment>
    <comment ref="E26" authorId="1" shapeId="0" xr:uid="{00000000-0006-0000-1A00-000012000000}">
      <text>
        <r>
          <rPr>
            <sz val="11"/>
            <color theme="1"/>
            <rFont val="ＭＳ Ｐゴシック"/>
            <family val="2"/>
            <scheme val="minor"/>
          </rPr>
          <t>案件入力。参照URL/実績/予測根拠は同じ行V列に記載。添付の工数・削減率を自動適用していない。</t>
        </r>
      </text>
    </comment>
    <comment ref="F26" authorId="1" shapeId="0" xr:uid="{00000000-0006-0000-1A00-000013000000}">
      <text>
        <r>
          <rPr>
            <sz val="11"/>
            <color theme="1"/>
            <rFont val="ＭＳ Ｐゴシック"/>
            <family val="2"/>
            <scheme val="minor"/>
          </rPr>
          <t>案件入力。参照URL/実績/予測根拠は同じ行V列に記載。添付の工数・削減率を自動適用していない。</t>
        </r>
      </text>
    </comment>
    <comment ref="G26" authorId="1" shapeId="0" xr:uid="{00000000-0006-0000-1A00-000014000000}">
      <text>
        <r>
          <rPr>
            <sz val="11"/>
            <color theme="1"/>
            <rFont val="ＭＳ Ｐゴシック"/>
            <family val="2"/>
            <scheme val="minor"/>
          </rPr>
          <t>案件入力。参照URL/実績/予測根拠は同じ行V列に記載。添付の工数・削減率を自動適用していない。</t>
        </r>
      </text>
    </comment>
    <comment ref="I26" authorId="1" shapeId="0" xr:uid="{00000000-0006-0000-1A00-000015000000}">
      <text>
        <r>
          <rPr>
            <sz val="11"/>
            <color theme="1"/>
            <rFont val="ＭＳ Ｐゴシック"/>
            <family val="2"/>
            <scheme val="minor"/>
          </rPr>
          <t>案件入力。参照URL/実績/予測根拠は同じ行V列に記載。添付の工数・削減率を自動適用していない。</t>
        </r>
      </text>
    </comment>
    <comment ref="J26" authorId="1" shapeId="0" xr:uid="{00000000-0006-0000-1A00-000016000000}">
      <text>
        <r>
          <rPr>
            <sz val="11"/>
            <color theme="1"/>
            <rFont val="ＭＳ Ｐゴシック"/>
            <family val="2"/>
            <scheme val="minor"/>
          </rPr>
          <t>案件入力。参照URL/実績/予測根拠は同じ行V列に記載。添付の工数・削減率を自動適用していない。</t>
        </r>
      </text>
    </comment>
    <comment ref="K26" authorId="1" shapeId="0" xr:uid="{00000000-0006-0000-1A00-000017000000}">
      <text>
        <r>
          <rPr>
            <sz val="11"/>
            <color theme="1"/>
            <rFont val="ＭＳ Ｐゴシック"/>
            <family val="2"/>
            <scheme val="minor"/>
          </rPr>
          <t>案件入力。参照URL/実績/予測根拠は同じ行V列に記載。添付の工数・削減率を自動適用していない。</t>
        </r>
      </text>
    </comment>
    <comment ref="L26" authorId="1" shapeId="0" xr:uid="{00000000-0006-0000-1A00-000018000000}">
      <text>
        <r>
          <rPr>
            <sz val="11"/>
            <color theme="1"/>
            <rFont val="ＭＳ Ｐゴシック"/>
            <family val="2"/>
            <scheme val="minor"/>
          </rPr>
          <t>案件入力。参照URL/実績/予測根拠は同じ行V列に記載。添付の工数・削減率を自動適用していない。</t>
        </r>
      </text>
    </comment>
    <comment ref="M26" authorId="1" shapeId="0" xr:uid="{00000000-0006-0000-1A00-000019000000}">
      <text>
        <r>
          <rPr>
            <sz val="11"/>
            <color theme="1"/>
            <rFont val="ＭＳ Ｐゴシック"/>
            <family val="2"/>
            <scheme val="minor"/>
          </rPr>
          <t>案件入力。参照URL/実績/予測根拠は同じ行V列に記載。添付の工数・削減率を自動適用していない。</t>
        </r>
      </text>
    </comment>
    <comment ref="N26" authorId="1" shapeId="0" xr:uid="{00000000-0006-0000-1A00-00001A000000}">
      <text>
        <r>
          <rPr>
            <sz val="11"/>
            <color theme="1"/>
            <rFont val="ＭＳ Ｐゴシック"/>
            <family val="2"/>
            <scheme val="minor"/>
          </rPr>
          <t>案件入力。参照URL/実績/予測根拠は同じ行V列に記載。添付の工数・削減率を自動適用していない。</t>
        </r>
      </text>
    </comment>
    <comment ref="O26" authorId="1" shapeId="0" xr:uid="{00000000-0006-0000-1A00-00001B000000}">
      <text>
        <r>
          <rPr>
            <sz val="11"/>
            <color theme="1"/>
            <rFont val="ＭＳ Ｐゴシック"/>
            <family val="2"/>
            <scheme val="minor"/>
          </rPr>
          <t>案件入力。参照URL/実績/予測根拠は同じ行V列に記載。添付の工数・削減率を自動適用していない。</t>
        </r>
      </text>
    </comment>
    <comment ref="S26" authorId="1" shapeId="0" xr:uid="{00000000-0006-0000-1A00-00001C000000}">
      <text>
        <r>
          <rPr>
            <sz val="11"/>
            <color theme="1"/>
            <rFont val="ＭＳ Ｐゴシック"/>
            <family val="2"/>
            <scheme val="minor"/>
          </rPr>
          <t>案件入力。参照URL/実績/予測根拠は同じ行V列に記載。添付の工数・削減率を自動適用していない。</t>
        </r>
      </text>
    </comment>
    <comment ref="D27" authorId="1" shapeId="0" xr:uid="{00000000-0006-0000-1A00-00001D000000}">
      <text>
        <r>
          <rPr>
            <sz val="11"/>
            <color theme="1"/>
            <rFont val="ＭＳ Ｐゴシック"/>
            <family val="2"/>
            <scheme val="minor"/>
          </rPr>
          <t>案件入力。参照URL/実績/予測根拠は同じ行V列に記載。添付の工数・削減率を自動適用していない。</t>
        </r>
      </text>
    </comment>
    <comment ref="E27" authorId="1" shapeId="0" xr:uid="{00000000-0006-0000-1A00-00001E000000}">
      <text>
        <r>
          <rPr>
            <sz val="11"/>
            <color theme="1"/>
            <rFont val="ＭＳ Ｐゴシック"/>
            <family val="2"/>
            <scheme val="minor"/>
          </rPr>
          <t>案件入力。参照URL/実績/予測根拠は同じ行V列に記載。添付の工数・削減率を自動適用していない。</t>
        </r>
      </text>
    </comment>
    <comment ref="F27" authorId="1" shapeId="0" xr:uid="{00000000-0006-0000-1A00-00001F000000}">
      <text>
        <r>
          <rPr>
            <sz val="11"/>
            <color theme="1"/>
            <rFont val="ＭＳ Ｐゴシック"/>
            <family val="2"/>
            <scheme val="minor"/>
          </rPr>
          <t>案件入力。参照URL/実績/予測根拠は同じ行V列に記載。添付の工数・削減率を自動適用していない。</t>
        </r>
      </text>
    </comment>
    <comment ref="G27" authorId="1" shapeId="0" xr:uid="{00000000-0006-0000-1A00-000020000000}">
      <text>
        <r>
          <rPr>
            <sz val="11"/>
            <color theme="1"/>
            <rFont val="ＭＳ Ｐゴシック"/>
            <family val="2"/>
            <scheme val="minor"/>
          </rPr>
          <t>案件入力。参照URL/実績/予測根拠は同じ行V列に記載。添付の工数・削減率を自動適用していない。</t>
        </r>
      </text>
    </comment>
    <comment ref="I27" authorId="1" shapeId="0" xr:uid="{00000000-0006-0000-1A00-000021000000}">
      <text>
        <r>
          <rPr>
            <sz val="11"/>
            <color theme="1"/>
            <rFont val="ＭＳ Ｐゴシック"/>
            <family val="2"/>
            <scheme val="minor"/>
          </rPr>
          <t>案件入力。参照URL/実績/予測根拠は同じ行V列に記載。添付の工数・削減率を自動適用していない。</t>
        </r>
      </text>
    </comment>
    <comment ref="J27" authorId="1" shapeId="0" xr:uid="{00000000-0006-0000-1A00-000022000000}">
      <text>
        <r>
          <rPr>
            <sz val="11"/>
            <color theme="1"/>
            <rFont val="ＭＳ Ｐゴシック"/>
            <family val="2"/>
            <scheme val="minor"/>
          </rPr>
          <t>案件入力。参照URL/実績/予測根拠は同じ行V列に記載。添付の工数・削減率を自動適用していない。</t>
        </r>
      </text>
    </comment>
    <comment ref="K27" authorId="1" shapeId="0" xr:uid="{00000000-0006-0000-1A00-000023000000}">
      <text>
        <r>
          <rPr>
            <sz val="11"/>
            <color theme="1"/>
            <rFont val="ＭＳ Ｐゴシック"/>
            <family val="2"/>
            <scheme val="minor"/>
          </rPr>
          <t>案件入力。参照URL/実績/予測根拠は同じ行V列に記載。添付の工数・削減率を自動適用していない。</t>
        </r>
      </text>
    </comment>
    <comment ref="L27" authorId="1" shapeId="0" xr:uid="{00000000-0006-0000-1A00-000024000000}">
      <text>
        <r>
          <rPr>
            <sz val="11"/>
            <color theme="1"/>
            <rFont val="ＭＳ Ｐゴシック"/>
            <family val="2"/>
            <scheme val="minor"/>
          </rPr>
          <t>案件入力。参照URL/実績/予測根拠は同じ行V列に記載。添付の工数・削減率を自動適用していない。</t>
        </r>
      </text>
    </comment>
    <comment ref="M27" authorId="1" shapeId="0" xr:uid="{00000000-0006-0000-1A00-000025000000}">
      <text>
        <r>
          <rPr>
            <sz val="11"/>
            <color theme="1"/>
            <rFont val="ＭＳ Ｐゴシック"/>
            <family val="2"/>
            <scheme val="minor"/>
          </rPr>
          <t>案件入力。参照URL/実績/予測根拠は同じ行V列に記載。添付の工数・削減率を自動適用していない。</t>
        </r>
      </text>
    </comment>
    <comment ref="N27" authorId="1" shapeId="0" xr:uid="{00000000-0006-0000-1A00-000026000000}">
      <text>
        <r>
          <rPr>
            <sz val="11"/>
            <color theme="1"/>
            <rFont val="ＭＳ Ｐゴシック"/>
            <family val="2"/>
            <scheme val="minor"/>
          </rPr>
          <t>案件入力。参照URL/実績/予測根拠は同じ行V列に記載。添付の工数・削減率を自動適用していない。</t>
        </r>
      </text>
    </comment>
    <comment ref="O27" authorId="1" shapeId="0" xr:uid="{00000000-0006-0000-1A00-000027000000}">
      <text>
        <r>
          <rPr>
            <sz val="11"/>
            <color theme="1"/>
            <rFont val="ＭＳ Ｐゴシック"/>
            <family val="2"/>
            <scheme val="minor"/>
          </rPr>
          <t>案件入力。参照URL/実績/予測根拠は同じ行V列に記載。添付の工数・削減率を自動適用していない。</t>
        </r>
      </text>
    </comment>
    <comment ref="S27" authorId="1" shapeId="0" xr:uid="{00000000-0006-0000-1A00-000028000000}">
      <text>
        <r>
          <rPr>
            <sz val="11"/>
            <color theme="1"/>
            <rFont val="ＭＳ Ｐゴシック"/>
            <family val="2"/>
            <scheme val="minor"/>
          </rPr>
          <t>案件入力。参照URL/実績/予測根拠は同じ行V列に記載。添付の工数・削減率を自動適用していない。</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Revision</author>
  </authors>
  <commentList>
    <comment ref="A2" authorId="0" shapeId="0" xr:uid="{00000000-0006-0000-1D00-000001000000}">
      <text>
        <r>
          <rPr>
            <sz val="11"/>
            <color theme="1"/>
            <rFont val="ＭＳ Ｐゴシック"/>
            <family val="2"/>
            <scheme val="minor"/>
          </rPr>
          <t>v1.1 | AR09・AR18〜20
レビュー指摘に基づく改訂。案件適用・承認は別途。</t>
        </r>
      </text>
    </comment>
    <comment ref="I3" authorId="0" shapeId="0" xr:uid="{00000000-0006-0000-1D00-000002000000}">
      <text>
        <r>
          <rPr>
            <sz val="11"/>
            <color theme="1"/>
            <rFont val="ＭＳ Ｐゴシック"/>
            <family val="2"/>
            <scheme val="minor"/>
          </rPr>
          <t>v1.1 | AR19
レビュー指摘に基づく改訂。案件適用・承認は別途。</t>
        </r>
      </text>
    </comment>
    <comment ref="J3" authorId="0" shapeId="0" xr:uid="{00000000-0006-0000-1D00-000003000000}">
      <text>
        <r>
          <rPr>
            <sz val="11"/>
            <color theme="1"/>
            <rFont val="ＭＳ Ｐゴシック"/>
            <family val="2"/>
            <scheme val="minor"/>
          </rPr>
          <t>v1.1 | AR19
レビュー指摘に基づく改訂。案件適用・承認は別途。</t>
        </r>
      </text>
    </comment>
  </commentList>
</comments>
</file>

<file path=xl/sharedStrings.xml><?xml version="1.0" encoding="utf-8"?>
<sst xmlns="http://schemas.openxmlformats.org/spreadsheetml/2006/main" count="11988" uniqueCount="5536">
  <si>
    <t>AIシステム自社事業PJ 工程管理 v1.1</t>
  </si>
  <si>
    <t>事業仮説 → 投資 → 利用者価値 → 公開 → 実績 → 継続／撤退｜添付改訂提案を実行用に整理</t>
  </si>
  <si>
    <t>項目</t>
  </si>
  <si>
    <t>内容・案件入力</t>
  </si>
  <si>
    <t>運用上の注意</t>
  </si>
  <si>
    <t>版</t>
  </si>
  <si>
    <t>v1.1（敵対的レビュー27件反映）</t>
  </si>
  <si>
    <t>v1.0原本を保持した改訂版。132Task／106Skill／20Roleは継承。修正対応と検証は33。</t>
  </si>
  <si>
    <t>管理基準日</t>
  </si>
  <si>
    <t>期限チェックはこの日付。運用時に更新する。</t>
  </si>
  <si>
    <t>事業・サービス名</t>
  </si>
  <si>
    <t>案件開始時に必須入力</t>
  </si>
  <si>
    <t>提供形態</t>
  </si>
  <si>
    <t>B2B / B2C / 社内事業 / 複合</t>
  </si>
  <si>
    <t>対象業界・用途</t>
  </si>
  <si>
    <t>高影響・規制業務を含めて記入</t>
  </si>
  <si>
    <t>提供国・利用者所在国</t>
  </si>
  <si>
    <t>日本を自動前提にしない。法令判定12へ接続</t>
  </si>
  <si>
    <t>処理・保存・送信国</t>
  </si>
  <si>
    <t>開発AI、評価SaaS、ログ基盤も含む</t>
  </si>
  <si>
    <t>Business Owner（実名）</t>
  </si>
  <si>
    <t>R01。投資・継続・撤退の最終責任</t>
  </si>
  <si>
    <t>Product / Service Owner</t>
  </si>
  <si>
    <t>R02とR18をそれぞれ記入</t>
  </si>
  <si>
    <t>機能・モデル・配置</t>
  </si>
  <si>
    <t>非AI比較、RAG、Agent、学習、API/ローカル</t>
  </si>
  <si>
    <t>主要データ・権利</t>
  </si>
  <si>
    <t>個人情報区分、利用目的、取扱いOwner</t>
  </si>
  <si>
    <t>Risk Tier（確定値）</t>
  </si>
  <si>
    <t>03で判定し人が承認。T0〜T3は社内分類</t>
  </si>
  <si>
    <t>規模・予算・期間</t>
  </si>
  <si>
    <t>小中大、概算予算、探索上限、対象期間</t>
  </si>
  <si>
    <t>既存統合・利用者・SLO</t>
  </si>
  <si>
    <t>容量、重要度、統合件数、サービス時間</t>
  </si>
  <si>
    <t>AI開発ツール利用</t>
  </si>
  <si>
    <t>承認されたcoding agent、送信・権限条件</t>
  </si>
  <si>
    <t>記録の正本</t>
  </si>
  <si>
    <t>仕様・コード・評価・承認の実際の保存先</t>
  </si>
  <si>
    <t>使い始めの順序</t>
  </si>
  <si>
    <t>00 → 03/04 → 05/06/35 → 25/26 → 15/17 → 16/30 → 29/31 → 20</t>
  </si>
  <si>
    <t>最初に前提と意思決定者を埋める。全タスクの機械的実施は不要。</t>
  </si>
  <si>
    <t>資料の責務</t>
  </si>
  <si>
    <t>02=標準定義、17=実行原票、15/16=評価、29=承認、25/26=事業仮説・投資</t>
  </si>
  <si>
    <t>Excelは索引・点検。仕様／コード／評価／決裁は版管理された正本。Run・同期は34。</t>
  </si>
  <si>
    <t>七工程</t>
  </si>
  <si>
    <t>企画→要件→設計→実装↔評価→運用→廃止</t>
  </si>
  <si>
    <t>順番の固定ではなく反復モデル。評価計画は要件で開始する。</t>
  </si>
  <si>
    <t>PoCの扱い</t>
  </si>
  <si>
    <t>最大の不確実性を潰す最小実験</t>
  </si>
  <si>
    <t>独立した必須工程にはしない。失敗・停止も正当な成果。</t>
  </si>
  <si>
    <t>色と入力</t>
  </si>
  <si>
    <t>薄黄＋青字=案件入力、濃色見出し=定義、黒字数式=自動計算</t>
  </si>
  <si>
    <t>値0と未測定の空欄を区別。数式セルは上書きしない。</t>
  </si>
  <si>
    <t>習熟度</t>
  </si>
  <si>
    <t>Lv0=関与なし、Lv1=指導下、Lv2=自律遂行、Lv3=設計・指導・例外判断</t>
  </si>
  <si>
    <t>人の能力は07/28、AgentのSkillパッケージは14/11で別管理。</t>
  </si>
  <si>
    <t>根拠の扱い</t>
  </si>
  <si>
    <t>U01=添付提案、U02=受託版、U03=本資料で具体化、W*=一次資料再確認</t>
  </si>
  <si>
    <t>原文のレンジ・目標は参考。法令・任意指針・実践例を24で区別。</t>
  </si>
  <si>
    <t>案件未確定</t>
  </si>
  <si>
    <t>実名、日時、金額、評価閾値、法適用、承認は未入力</t>
  </si>
  <si>
    <t>テンプレートに完了承認済みの架空データは置いていない。</t>
  </si>
  <si>
    <t>自動チェックの限界</t>
  </si>
  <si>
    <t>記録・参照・日時・定義整合を点検。真正な決裁・法令適合・実行権限・証拠内容は正本側で確認。</t>
  </si>
  <si>
    <t>実質的な品質、法令適合、URIの実在、循環依存、クリティカルパスは人が確認。</t>
  </si>
  <si>
    <t>更新・反復</t>
  </si>
  <si>
    <t>17は初回132行。反復34、計画15・実績16・Gate29は予約行へ追加。上限外は正本管理とテンプレート改訂。</t>
  </si>
  <si>
    <t>検証スクリプトは循環・未知ID・数値・ID重複・同期仕様を補助検査。Excelの直接依存点検とは別。</t>
  </si>
  <si>
    <t>重要な停止原則</t>
  </si>
  <si>
    <t>法的禁止、未承認の実データ送信、重大未対策、独立評価不合格は公開しない</t>
  </si>
  <si>
    <t>事業責任者の予算承認で法務・安全の不合格を上書きしない。</t>
  </si>
  <si>
    <t>記録ダッシュボード（品質・事業成果の合否ではありません）</t>
  </si>
  <si>
    <t>指標</t>
  </si>
  <si>
    <t>自動集計</t>
  </si>
  <si>
    <t>意味</t>
  </si>
  <si>
    <t>標準タスク数</t>
  </si>
  <si>
    <t>初回ライフサイクルの定義数</t>
  </si>
  <si>
    <t>スキル数</t>
  </si>
  <si>
    <t>行動基準を持つ人の能力辞書</t>
  </si>
  <si>
    <t>適用未判定</t>
  </si>
  <si>
    <t>人による適用判定が必要な数</t>
  </si>
  <si>
    <t>適用タスク</t>
  </si>
  <si>
    <t>対象外は別承認が必要</t>
  </si>
  <si>
    <t>完了記録・前提充足</t>
  </si>
  <si>
    <t>証跡の内容まで自動審査しない</t>
  </si>
  <si>
    <t>完了記録率</t>
  </si>
  <si>
    <t>適用タスクに対する記録上の完了率</t>
  </si>
  <si>
    <t>予定人時間</t>
  </si>
  <si>
    <t>未入力を実績0と表示しない</t>
  </si>
  <si>
    <t>シートナビゲーション</t>
  </si>
  <si>
    <t>シート</t>
  </si>
  <si>
    <t>役割</t>
  </si>
  <si>
    <t>推奨利用時点</t>
  </si>
  <si>
    <t>01_事業ライフサイクル・ゲート</t>
  </si>
  <si>
    <t>下記リンクから開く</t>
  </si>
  <si>
    <t>標準定義／案件台帳の区別は各シートの説明を参照</t>
  </si>
  <si>
    <t>02_工程タスク</t>
  </si>
  <si>
    <t>03_AIリスクTier・適用判定</t>
  </si>
  <si>
    <t>04_規模・テーラリング</t>
  </si>
  <si>
    <t>05_意思決定・RACI</t>
  </si>
  <si>
    <t>06_ロール・要員計画</t>
  </si>
  <si>
    <t>07_スキル辞書</t>
  </si>
  <si>
    <t>08_タスク×ロール×スキル</t>
  </si>
  <si>
    <t>09_成果物・正本マップ</t>
  </si>
  <si>
    <t>10_データ台帳</t>
  </si>
  <si>
    <t>11_モデル・外部AI・ベンダー台帳</t>
  </si>
  <si>
    <t>12_プライバシー・法令判定</t>
  </si>
  <si>
    <t>13_アーキテクチャ・ADR台帳</t>
  </si>
  <si>
    <t>14_AI駆動開発・ハーネス標準</t>
  </si>
  <si>
    <t>15_評価計画・品質ゲート</t>
  </si>
  <si>
    <t>16_評価実績インデックス</t>
  </si>
  <si>
    <t>17_ロードマップ・案件実行管理</t>
  </si>
  <si>
    <t>18_見積・AI効果測定</t>
  </si>
  <si>
    <t>19_リスク・セキュリティ・例外</t>
  </si>
  <si>
    <t>20_リリース・変更・ロールバック</t>
  </si>
  <si>
    <t>21_SLO・運用・インシデント</t>
  </si>
  <si>
    <t>22_廃止・移管・削除</t>
  </si>
  <si>
    <t>23_外部契約・調達</t>
  </si>
  <si>
    <t>24_調査ソース・変更履歴</t>
  </si>
  <si>
    <t>25_事業仮説・実験・GTM</t>
  </si>
  <si>
    <t>26_事業KPI・投資収益</t>
  </si>
  <si>
    <t>27_v3差分・適用注意</t>
  </si>
  <si>
    <t>28_スキル評価・育成</t>
  </si>
  <si>
    <t>29_ゲート承認記録</t>
  </si>
  <si>
    <t>30_必須評価セット</t>
  </si>
  <si>
    <t>対象版の必須評価集合</t>
  </si>
  <si>
    <t>標準を参照し、該当する台帳だけ記入</t>
  </si>
  <si>
    <t>31_条件・有効性</t>
  </si>
  <si>
    <t>条件の解消・失効</t>
  </si>
  <si>
    <t>32_定義マスター</t>
  </si>
  <si>
    <t>定義の正本</t>
  </si>
  <si>
    <t>33_改訂対応・検証</t>
  </si>
  <si>
    <t>27件の対応と検証</t>
  </si>
  <si>
    <t>34_Run・同期管理</t>
  </si>
  <si>
    <t>反復・正本同期</t>
  </si>
  <si>
    <t>35_実名・能力割当</t>
  </si>
  <si>
    <t>Role・Person別能力割当</t>
  </si>
  <si>
    <t>v1.1の主要ビュー</t>
  </si>
  <si>
    <t>仮説25 → 実行17/34 → 評価15/16/30 → 決裁29/31 → 公開20/運用21</t>
  </si>
  <si>
    <t>日常入力はこの流れに限定。定義の複製を避ける。</t>
  </si>
  <si>
    <t>管理基準日Owner</t>
  </si>
  <si>
    <t>担当者を記入。基準日B5を更新して期限とFTEを再計算。</t>
  </si>
  <si>
    <t>基準日更新確認日</t>
  </si>
  <si>
    <t>監査スナップショットの日付を使い、現在日との違いを把握。</t>
  </si>
  <si>
    <t>証拠連鎖</t>
  </si>
  <si>
    <t>PlanID@版 → EvalRun → Release+Manifest → GateRun → Condition</t>
  </si>
  <si>
    <t>異なる版の合格・承認の流用を防ぐ。</t>
  </si>
  <si>
    <t>実装上の限界</t>
  </si>
  <si>
    <t>テンプレート点検は本人認証・法令適合・実Agent制御・実行許可の代替ではない。</t>
  </si>
  <si>
    <t>14のAT試験は実サービスで別途実行。</t>
  </si>
  <si>
    <t>事業ライフサイクルと投資・公開ゲート</t>
  </si>
  <si>
    <t>七工程は反復・並行可能。契約は23へ分離。品質・法令の不合格を投資承認で上書きしない。</t>
  </si>
  <si>
    <t>ID</t>
  </si>
  <si>
    <t>工程</t>
  </si>
  <si>
    <t>目的</t>
  </si>
  <si>
    <t>開始・前提</t>
  </si>
  <si>
    <t>Gate</t>
  </si>
  <si>
    <t>最終A</t>
  </si>
  <si>
    <t>必要な証拠</t>
  </si>
  <si>
    <t>判断・戻り先</t>
  </si>
  <si>
    <t>根拠</t>
  </si>
  <si>
    <t>B0</t>
  </si>
  <si>
    <t>企画</t>
  </si>
  <si>
    <t>利用者課題・非AI比較・需要・採算・データ・リスクを検証</t>
  </si>
  <si>
    <t>B0-01で限定探索枠を先に承認</t>
  </si>
  <si>
    <t>G0</t>
  </si>
  <si>
    <t>R01</t>
  </si>
  <si>
    <t>Opportunity Brief、反証、Business Case、体制</t>
  </si>
  <si>
    <t>次の探索・要件投資を限定承認。需要不成立は停止</t>
  </si>
  <si>
    <t>U01,U03</t>
  </si>
  <si>
    <t>B1</t>
  </si>
  <si>
    <t>要件</t>
  </si>
  <si>
    <t>価値・業務・AI境界・評価・データ・SLOを定義</t>
  </si>
  <si>
    <t>G0。ただしデータ利用承認は実取得より前</t>
  </si>
  <si>
    <t>G1</t>
  </si>
  <si>
    <t>Product Spec、Eval Plan、Privacy、予算・体制</t>
  </si>
  <si>
    <t>スコープ・証拠計画承認。必要に応じ企画へ戻す</t>
  </si>
  <si>
    <t>B2</t>
  </si>
  <si>
    <t>設計</t>
  </si>
  <si>
    <t>方式・データ・権限・UX・Harness・復旧・原価を設計</t>
  </si>
  <si>
    <t>G1・必要な利用/外部送信条件</t>
  </si>
  <si>
    <t>G2</t>
  </si>
  <si>
    <t>ADR、Threat Model、権限、運用、費用</t>
  </si>
  <si>
    <t>技術責任者の勧告＋次のBuild投資承認</t>
  </si>
  <si>
    <t>B3</t>
  </si>
  <si>
    <t>実装</t>
  </si>
  <si>
    <t>小さな縦切りで実装・自動検証・レビューを反復</t>
  </si>
  <si>
    <t>G2。小変更は承認済み境界内で継続</t>
  </si>
  <si>
    <t>G3への入力</t>
  </si>
  <si>
    <t>R06</t>
  </si>
  <si>
    <t>コード/構成manifest、CI、評価、PR</t>
  </si>
  <si>
    <t>固定RCへ。評価を後工程へ先送りしない</t>
  </si>
  <si>
    <t>B4</t>
  </si>
  <si>
    <t>評価</t>
  </si>
  <si>
    <t>独立品質・安全・運用評価→段階公開→Launch</t>
  </si>
  <si>
    <t>固定RC。公開前にG3</t>
  </si>
  <si>
    <t>G3</t>
  </si>
  <si>
    <t>R18</t>
  </si>
  <si>
    <t>独立評価、Privacy/Security、運用、採算、停止</t>
  </si>
  <si>
    <t>R19が品質判定。重大リスク受容はR01。公開後も監視</t>
  </si>
  <si>
    <t>B5</t>
  </si>
  <si>
    <t>運用</t>
  </si>
  <si>
    <t>価値・品質・SLO・費用を観測し実験・改善</t>
  </si>
  <si>
    <t>G3・運用引継ぎ</t>
  </si>
  <si>
    <t>G4</t>
  </si>
  <si>
    <t>事業KPI、継続率、原価、事故、変更、投資</t>
  </si>
  <si>
    <t>Scale / Continue / Pivot / Shrink / Stop</t>
  </si>
  <si>
    <t>B6</t>
  </si>
  <si>
    <t>廃止</t>
  </si>
  <si>
    <t>通知・移行・データ・権限・契約・費用を終了</t>
  </si>
  <si>
    <t>任意GateのStop／承認済み廃止判断。G3/G4未到達でも可。</t>
  </si>
  <si>
    <t>G5</t>
  </si>
  <si>
    <t>Deletion/Retention、失効試験、解約、独立確認</t>
  </si>
  <si>
    <t>保全残件は期限付きOwnerへ。画面閉鎖だけで完了しない</t>
  </si>
  <si>
    <t>ゲートに共通する判断ルール</t>
  </si>
  <si>
    <t>観点</t>
  </si>
  <si>
    <t>定義</t>
  </si>
  <si>
    <t>必要な記録</t>
  </si>
  <si>
    <t>禁止事項</t>
  </si>
  <si>
    <t>関連シート</t>
  </si>
  <si>
    <t>Go</t>
  </si>
  <si>
    <t>承認した範囲・版・予算のみ進行</t>
  </si>
  <si>
    <t>承認した範囲・版・予算のみ。条件は31のConditionIDで所有者・期限・解消・失効を追跡。</t>
  </si>
  <si>
    <t>全額投資・用途拡大の白紙委任</t>
  </si>
  <si>
    <t>29</t>
  </si>
  <si>
    <t>条件付き</t>
  </si>
  <si>
    <t>安全・法令の必須条件を満たす範囲に限定</t>
  </si>
  <si>
    <t>条件、Owner、期限、期限切れ時停止</t>
  </si>
  <si>
    <t>重大未対策や違法行為を条件付きで承認</t>
  </si>
  <si>
    <t>19,29</t>
  </si>
  <si>
    <t>再検証 / Pivot</t>
  </si>
  <si>
    <t>仮説と実験計画を改訂</t>
  </si>
  <si>
    <t>反証、追加費用、停止期限</t>
  </si>
  <si>
    <t>成功例だけを残す</t>
  </si>
  <si>
    <t>25,26</t>
  </si>
  <si>
    <t>Stop / Shrink</t>
  </si>
  <si>
    <t>新規公開を制限し縮小・廃止へ</t>
  </si>
  <si>
    <t>利用者保護、移行、残件</t>
  </si>
  <si>
    <t>画面を閉じるだけで終了</t>
  </si>
  <si>
    <t>22</t>
  </si>
  <si>
    <t>緊急変更</t>
  </si>
  <si>
    <t>被害抑止のための限定措置</t>
  </si>
  <si>
    <t>権限者、時刻、実施内容、事後審査期限</t>
  </si>
  <si>
    <t>恒久変更を緊急扱いで放置</t>
  </si>
  <si>
    <t>20,21</t>
  </si>
  <si>
    <t>工程タスク｜標準定義の正本</t>
  </si>
  <si>
    <t>132タスク。S/M/Lで安全工程を自動省略しない。適用・実名・期限・証拠は17に記録。B-IDは自社事業版の独立ID。</t>
  </si>
  <si>
    <t>タスクID</t>
  </si>
  <si>
    <t>作業区分</t>
  </si>
  <si>
    <t>タスク名</t>
  </si>
  <si>
    <t>具体的な実施内容</t>
  </si>
  <si>
    <t>成果物・証拠群</t>
  </si>
  <si>
    <t>実施R</t>
  </si>
  <si>
    <t>承認A</t>
  </si>
  <si>
    <t>完了条件</t>
  </si>
  <si>
    <t>適用条件</t>
  </si>
  <si>
    <t>S</t>
  </si>
  <si>
    <t>M</t>
  </si>
  <si>
    <t>L</t>
  </si>
  <si>
    <t>基本依存ID</t>
  </si>
  <si>
    <t>必要スキルID</t>
  </si>
  <si>
    <t>AI活用と人の境界</t>
  </si>
  <si>
    <t>旧v3 ID</t>
  </si>
  <si>
    <t>記載区分</t>
  </si>
  <si>
    <t>根拠ID</t>
  </si>
  <si>
    <t>確認用URL</t>
  </si>
  <si>
    <t>B0-01</t>
  </si>
  <si>
    <t>探索統制</t>
  </si>
  <si>
    <t>探索責任者・初期枠の設定</t>
  </si>
  <si>
    <t>誰が事業価値と損失に責任を持つかを確定し、G0以前の探索に使える人時間・費用・期間を限定する。公開情報調査を原則とし、未承認の実データ取得を禁止する。</t>
  </si>
  <si>
    <t>探索チャーター・初期予算枠</t>
  </si>
  <si>
    <t>R02, R03</t>
  </si>
  <si>
    <t>責任者、探索上限、意思決定日、停止権限が記録されている。</t>
  </si>
  <si>
    <t>全</t>
  </si>
  <si>
    <t>共通</t>
  </si>
  <si>
    <t>S001,S006,S082</t>
  </si>
  <si>
    <t>AIで調査・仮説・質問を草案化。人が一次情報・実行動・投資判断を確認。</t>
  </si>
  <si>
    <t>P0-06,P1-03</t>
  </si>
  <si>
    <t>添付提案の具体化／旧版再編</t>
  </si>
  <si>
    <t>U01,U02</t>
  </si>
  <si>
    <t>B0-02</t>
  </si>
  <si>
    <t>市場調査</t>
  </si>
  <si>
    <t>市場・競合・規制候補の調査</t>
  </si>
  <si>
    <t>市場、代替サービス、既存業務、対象国と規制業種を一次情報で確認する。AIで草案化しても事実・推定・未確認を分離する。</t>
  </si>
  <si>
    <t>調査メモ・根拠一覧</t>
  </si>
  <si>
    <t>R02, R04, R16</t>
  </si>
  <si>
    <t>R02</t>
  </si>
  <si>
    <t>対象市場、利用者、競合、情報の確認日と不確実性がある。</t>
  </si>
  <si>
    <t>S002,S007,S008</t>
  </si>
  <si>
    <t>P0-01</t>
  </si>
  <si>
    <t>U01,W01</t>
  </si>
  <si>
    <t>https://www.meti.go.jp/shingikai/mono_info_service/ai_shakai_jisso/</t>
  </si>
  <si>
    <t>B0-03</t>
  </si>
  <si>
    <t>課題探索</t>
  </si>
  <si>
    <t>利用者・購買者の仮説分解</t>
  </si>
  <si>
    <t>B2Bは利用者・決裁者・管理者、B2Cは利用者・支払者を区別し、社内利用は受益部門を特定する。調査参加同意と記録の扱いを決める。</t>
  </si>
  <si>
    <t>対象セグメント・調査計画</t>
  </si>
  <si>
    <t>R02, R05</t>
  </si>
  <si>
    <t>対象者、募集条件、質問、個人情報取扱いが明確。</t>
  </si>
  <si>
    <t>S004,S082,S085</t>
  </si>
  <si>
    <t>P0-02</t>
  </si>
  <si>
    <t>U01</t>
  </si>
  <si>
    <t>B0-04</t>
  </si>
  <si>
    <t>インタビュー・現場観察</t>
  </si>
  <si>
    <t>現行行動、困りごとの頻度・損失、回避策を調べる。AIへの期待だけを需要の証拠にせず、発言と実行行動を分ける。</t>
  </si>
  <si>
    <t>JTBD・観察記録</t>
  </si>
  <si>
    <t>R05, R04</t>
  </si>
  <si>
    <t>現行の代替行動と未解決課題を記録し、反証も保存。</t>
  </si>
  <si>
    <t>S004,S019,S082</t>
  </si>
  <si>
    <t>P0-03,P1-01</t>
  </si>
  <si>
    <t>B0-05</t>
  </si>
  <si>
    <t>価値仮説</t>
  </si>
  <si>
    <t>課題・価値・差別化の定義</t>
  </si>
  <si>
    <t>誰のどの業務成果をどれだけ改善するかを定義する。AI搭載自体を価値とせず、解決しない問題と競争優位の仮説を明記する。</t>
  </si>
  <si>
    <t>Opportunity Brief</t>
  </si>
  <si>
    <t>R02, R04</t>
  </si>
  <si>
    <t>価値仮説、非対象、代替手段との違いを説明できる。</t>
  </si>
  <si>
    <t>S008,S009,S082</t>
  </si>
  <si>
    <t>P1-02</t>
  </si>
  <si>
    <t>B0-06</t>
  </si>
  <si>
    <t>方式探索</t>
  </si>
  <si>
    <t>非AI・Build/Buy/Partnerの比較</t>
  </si>
  <si>
    <t>業務変更、ルール、既製SaaS、モデルAPI、RAG、学習、自律Agentを比較する。最も単純に価値を満たす案から試す。</t>
  </si>
  <si>
    <t>方式比較・仮ADR</t>
  </si>
  <si>
    <t>R06, R08, R20</t>
  </si>
  <si>
    <t>品質、運用責任、権利、総費用、切替可能性を比較。</t>
  </si>
  <si>
    <t>S018,S030,S053,S054</t>
  </si>
  <si>
    <t>P0-04,P1-04</t>
  </si>
  <si>
    <t>U01,W04</t>
  </si>
  <si>
    <t>https://www.anthropic.com/engineering/building-effective-agents</t>
  </si>
  <si>
    <t>B0-07</t>
  </si>
  <si>
    <t>データ戦略</t>
  </si>
  <si>
    <t>データ資産・権利の棚卸し</t>
  </si>
  <si>
    <t>所在、Owner、利用権、品質、取得費、更新性をメタデータから把握する。サンプル取得は利用可否承認後に行う。</t>
  </si>
  <si>
    <t>初期Data Asset候補</t>
  </si>
  <si>
    <t>R09, R10, R14</t>
  </si>
  <si>
    <t>R10</t>
  </si>
  <si>
    <t>必要データと不足、権利未確認部分、取得計画がある。</t>
  </si>
  <si>
    <t>S003,S055,S056</t>
  </si>
  <si>
    <t>P1-05,P1-19</t>
  </si>
  <si>
    <t>U01,W02,W03</t>
  </si>
  <si>
    <t>https://www.ppc.go.jp/personalinfo/legal/guidelines_anonymous/
https://www.ppc.go.jp/personalinfo/legal/guidelines_offshore/</t>
  </si>
  <si>
    <t>B0-08</t>
  </si>
  <si>
    <t>リスク</t>
  </si>
  <si>
    <t>製品AI・開発AIの初期リスク分類</t>
  </si>
  <si>
    <t>危害、データ、自律度、書込み、対象者、国を確認する。T0〜T3は社内区分であり法的分類とは分離する。</t>
  </si>
  <si>
    <t>初期Risk Tier・法令スコープ</t>
  </si>
  <si>
    <t>R02, R13, R14, R11</t>
  </si>
  <si>
    <t>製品と開発Agentを別境界で評価し未確定条件を記録。</t>
  </si>
  <si>
    <t>B0-06,B0-07</t>
  </si>
  <si>
    <t>S002,S017,S078</t>
  </si>
  <si>
    <t>P1-07</t>
  </si>
  <si>
    <t>U01,W01,W10</t>
  </si>
  <si>
    <t>https://www.meti.go.jp/shingikai/mono_info_service/ai_shakai_jisso/
https://www.nist.gov/publications/artificial-intelligence-risk-management-framework-generative-artificial-intelligence</t>
  </si>
  <si>
    <t>B0-09</t>
  </si>
  <si>
    <t>収益仮説</t>
  </si>
  <si>
    <t>価格・支払意思・提供形態の仮説</t>
  </si>
  <si>
    <t>課金単位、支払意思、無償範囲、利用上限、B2B導入条件を検討する。社内事業は売上でなく内部価値と費用負担を定める。</t>
  </si>
  <si>
    <t>価格仮説・価値交換モデル</t>
  </si>
  <si>
    <t>R02, R15, R16</t>
  </si>
  <si>
    <t>誰が何に支払うか、代替価格、検証方法がある。</t>
  </si>
  <si>
    <t>S083,S084,S093</t>
  </si>
  <si>
    <t>P1-17</t>
  </si>
  <si>
    <t>B0-10</t>
  </si>
  <si>
    <t>投資計画</t>
  </si>
  <si>
    <t>単位経済性・TCO・感度分析</t>
  </si>
  <si>
    <t>AI費、検索、保存、再試行、人手確認、CS、固定費を分け、成功タスク当たり原価を試算する。利用増・単価変更・低成功率を含むシナリオを置く。</t>
  </si>
  <si>
    <t>Business Case・原価仮説</t>
  </si>
  <si>
    <t>R15, R08, R12</t>
  </si>
  <si>
    <t>費用境界と仮定が明確で、AI一律削減を含まない。</t>
  </si>
  <si>
    <t>B0-06,B0-09</t>
  </si>
  <si>
    <t>S010,S012,S050,S093</t>
  </si>
  <si>
    <t>P1-06,P2-15</t>
  </si>
  <si>
    <t>U01,W08</t>
  </si>
  <si>
    <t>https://dora.dev/ai/roi/calculator/</t>
  </si>
  <si>
    <t>B0-11</t>
  </si>
  <si>
    <t>実験計画</t>
  </si>
  <si>
    <t>最大不確実性と検証順の設定</t>
  </si>
  <si>
    <t>需要・実現性・安全性・採算の仮説ごとに、反証条件、最小実験、予算・期限を決める。PoCは必要な仮説にのみ置く。</t>
  </si>
  <si>
    <t>仮説・実験バックログ</t>
  </si>
  <si>
    <t>R02, R08, R11</t>
  </si>
  <si>
    <t>成功だけでなく再検証・縮小・停止条件が事前定義。</t>
  </si>
  <si>
    <t>B0-08,B0-10</t>
  </si>
  <si>
    <t>S062,S087,S104</t>
  </si>
  <si>
    <t>P1-20</t>
  </si>
  <si>
    <t>B0-12</t>
  </si>
  <si>
    <t>需要検証</t>
  </si>
  <si>
    <t>コンセプト・手動代替による需要検証</t>
  </si>
  <si>
    <t>モックや人手サービスで利用意思と現実の行動を確認する。誤認を招く未実装機能の宣伝や、無承認の高影響用途での試験を避ける。</t>
  </si>
  <si>
    <t>需要検証記録</t>
  </si>
  <si>
    <t>R05, R02, R16</t>
  </si>
  <si>
    <t>募集条件、観察結果、反証、次の判断がある。</t>
  </si>
  <si>
    <t>条件:需要不確実</t>
  </si>
  <si>
    <t>条件</t>
  </si>
  <si>
    <t>S021,S082,S087</t>
  </si>
  <si>
    <t>P2-14</t>
  </si>
  <si>
    <t>B0-13</t>
  </si>
  <si>
    <t>実現性検証</t>
  </si>
  <si>
    <t>限定プロトタイプ・非AIベースライン</t>
  </si>
  <si>
    <t>合成・公開・承認済みデータで核心機能だけを試す。RAGは検索、Agentはread-onlyから試し、本番品質と同一視しない。</t>
  </si>
  <si>
    <t>最小実験・ベースライン</t>
  </si>
  <si>
    <t>R08, R07, R11</t>
  </si>
  <si>
    <t>データ許可、比較条件、限界、再現手順が残る。</t>
  </si>
  <si>
    <t>条件:技術不確実</t>
  </si>
  <si>
    <t>B0-07,B0-08,B0-11</t>
  </si>
  <si>
    <t>S033,S062,S068</t>
  </si>
  <si>
    <t>P2-02,P2-09,P2-10</t>
  </si>
  <si>
    <t>B0-14</t>
  </si>
  <si>
    <t>事業計画</t>
  </si>
  <si>
    <t>提供・販売・サポート経路の仮設計</t>
  </si>
  <si>
    <t>獲得経路、導入負荷、セキュリティ審査、販売リードタイム、問い合わせ窓口を検討し、営業と運用の費用を含める。</t>
  </si>
  <si>
    <t>GTM・導入仮説</t>
  </si>
  <si>
    <t>R16, R17, R02</t>
  </si>
  <si>
    <t>利用開始までの障壁と検証予定を記録。</t>
  </si>
  <si>
    <t>S085,S086,S089</t>
  </si>
  <si>
    <t>P4-21</t>
  </si>
  <si>
    <t>B0-15</t>
  </si>
  <si>
    <t>体制</t>
  </si>
  <si>
    <t>ロール・能力ギャップ・要員計画</t>
  </si>
  <si>
    <t>事業責任、PdM、実装、評価、本番、データ、法務の担当を決める。兼務時も自己承認を避け、必要な外部専門家を確保する。</t>
  </si>
  <si>
    <t>RACI・スキル充足計画</t>
  </si>
  <si>
    <t>R03, R06, R11</t>
  </si>
  <si>
    <t>実名、稼働枠、独立評価、代行、不足対策がある。</t>
  </si>
  <si>
    <t>S006,S016,S088</t>
  </si>
  <si>
    <t>P1-03,P1-15</t>
  </si>
  <si>
    <t>B0-16</t>
  </si>
  <si>
    <t>計画</t>
  </si>
  <si>
    <t>規模・適用・段階投資の設定</t>
  </si>
  <si>
    <t>工程の深さを機能・危害で決め、各実験への投資上限を設定する。工数レンジは添付案の未較正値として参考表示し自動見積に使わない。</t>
  </si>
  <si>
    <t>適用判定・段階予算</t>
  </si>
  <si>
    <t>R03, R15</t>
  </si>
  <si>
    <t>除外理由、代替証拠、再判定条件を承認。</t>
  </si>
  <si>
    <t>B0-11,B0-15</t>
  </si>
  <si>
    <t>S016,S018,S081</t>
  </si>
  <si>
    <t>P1-08,P1-14</t>
  </si>
  <si>
    <t>B0-17</t>
  </si>
  <si>
    <t>実験判断</t>
  </si>
  <si>
    <t>探索証拠と反証の整理</t>
  </si>
  <si>
    <t>需要・技術・採算・安全の未解決を比較し、追加検証の価値を判断する。うまくいかなかった実験結果も削除しない。</t>
  </si>
  <si>
    <t>探索レビュー</t>
  </si>
  <si>
    <t>R02, R08, R15</t>
  </si>
  <si>
    <t>最重要仮説に対する証拠と残存不確実性がある。 25の検証状態・必要行動証拠を確認し、未検証の持越しには理由・次実験・上限・再判断日・停止条件を記録。</t>
  </si>
  <si>
    <t>B0-11,B0-16</t>
  </si>
  <si>
    <t>S009,S062,S087,S005</t>
  </si>
  <si>
    <t>P2-17,P2-19</t>
  </si>
  <si>
    <t>B0-18</t>
  </si>
  <si>
    <t>事業探索・予算枠承認</t>
  </si>
  <si>
    <t>G0で次の探索・要件の範囲、予算、成功・停止条件を承認する。承認は未解決リスクの免責や全額投資の一括許可としない。</t>
  </si>
  <si>
    <t>G0判断記録</t>
  </si>
  <si>
    <t>Go/条件付き/再検証/停止、条件期限、責任者を記録。 25の検証状態・必要行動証拠を確認し、未検証の持越しには理由・次実験・上限・再判断日・停止条件を記録。</t>
  </si>
  <si>
    <t>B0-17,B0-10,B0-15</t>
  </si>
  <si>
    <t>S001,S081,S104</t>
  </si>
  <si>
    <t>P0-06,P2-19,P1-18</t>
  </si>
  <si>
    <t>B1-01</t>
  </si>
  <si>
    <t>価値要件</t>
  </si>
  <si>
    <t>Product Goal・KPIツリー</t>
  </si>
  <si>
    <t>価値仮説から業務成果、利用行動、品質・安全ガードレールを定義し、分母、観測期間、Ownerを定める。</t>
  </si>
  <si>
    <t>Product Goal・KPI定義</t>
  </si>
  <si>
    <t>R02, R15</t>
  </si>
  <si>
    <t>主要指標と悪化させてはいけない指標を承認。</t>
  </si>
  <si>
    <t>S009,S090</t>
  </si>
  <si>
    <t>仕様・異常系・評価を草案化。人が業務正解・禁止事項・閾値・利用許可を承認。</t>
  </si>
  <si>
    <t>P1-16</t>
  </si>
  <si>
    <t>B1-02</t>
  </si>
  <si>
    <t>業務要件</t>
  </si>
  <si>
    <t>As-Is/To-BeとHuman-AI分担</t>
  </si>
  <si>
    <t>通常、例外、承認待ち、誤回答、失敗時を含めて業務を設計する。人間の確認負荷・権限と責任も見積もる。</t>
  </si>
  <si>
    <t>業務フロー・介入設計</t>
  </si>
  <si>
    <t>R04, R05, R02</t>
  </si>
  <si>
    <t>利用者、AI、人の責任と戻り経路が明確。</t>
  </si>
  <si>
    <t>S019,S032,S095</t>
  </si>
  <si>
    <t>P1-09</t>
  </si>
  <si>
    <t>B1-03</t>
  </si>
  <si>
    <t>スコープ</t>
  </si>
  <si>
    <t>User Story・受入条件・禁止事項</t>
  </si>
  <si>
    <t>Issueごとに利用者、価値、操作範囲、禁止操作、受入観点、評価IDを付ける。要望を機能量で優先順位付けしない。</t>
  </si>
  <si>
    <t>Product Spec・Issue</t>
  </si>
  <si>
    <t>R02, R04, R11</t>
  </si>
  <si>
    <t>追跡可能な要件IDと評価ID、非対象がある。</t>
  </si>
  <si>
    <t>S020,S076,S087</t>
  </si>
  <si>
    <t>P1-10,P1-16</t>
  </si>
  <si>
    <t>B1-04</t>
  </si>
  <si>
    <t>データ利用</t>
  </si>
  <si>
    <t>データ取得・目的・法令適用判定</t>
  </si>
  <si>
    <t>目的、取得根拠、仮名/匿名区分、委託/第三者提供、外国提供を別々に確認する。実データ受領・調査記録外部送信の前に条件を確定する。</t>
  </si>
  <si>
    <t>Privacy Gate・Data許可</t>
  </si>
  <si>
    <t>R10, R14, R13</t>
  </si>
  <si>
    <t>R14</t>
  </si>
  <si>
    <t>対象Asset、送信先、用途、保持・削除条件を承認。</t>
  </si>
  <si>
    <t>B0-07,B0-08</t>
  </si>
  <si>
    <t>S003,S015,S094</t>
  </si>
  <si>
    <t>P1-19,P2-03</t>
  </si>
  <si>
    <t>B1-05</t>
  </si>
  <si>
    <t>データ要件</t>
  </si>
  <si>
    <t>品質・鮮度・権限・ラベル要件</t>
  </si>
  <si>
    <t>必要範囲、欠損許容、アクセス制御、更新頻度、ラベル基準、評価との分離をデータ要件にする。</t>
  </si>
  <si>
    <t>Data Requirement</t>
  </si>
  <si>
    <t>R09, R10, R11</t>
  </si>
  <si>
    <t>Owner、出所、権利、品質基準、派生資産が定義済。</t>
  </si>
  <si>
    <t>S031,S055,S056,S058</t>
  </si>
  <si>
    <t>P1-12,P2-04</t>
  </si>
  <si>
    <t>B1-06</t>
  </si>
  <si>
    <t>AI要件</t>
  </si>
  <si>
    <t>AI機能境界・自律性・不確実性</t>
  </si>
  <si>
    <t>AIに任せる判断、ツール、実行時間、許容失敗、人間承認と非AIフォールバックを定義する。モデルの確信表現を確率と同一視しない。</t>
  </si>
  <si>
    <t>AI動作要件</t>
  </si>
  <si>
    <t>R08, R04, R11</t>
  </si>
  <si>
    <t>機能別に期待・禁止・失敗時挙動を記録。</t>
  </si>
  <si>
    <t>S054,S065,S069</t>
  </si>
  <si>
    <t>P1-11</t>
  </si>
  <si>
    <t>B1-07</t>
  </si>
  <si>
    <t>評価要件</t>
  </si>
  <si>
    <t>評価母集団・指標・閾値・失敗定義</t>
  </si>
  <si>
    <t>現実の利用分布、重要slice、反復、判定者、標本の限界を決める。万能な精度閾値を置かず重大失敗を別条件にする。</t>
  </si>
  <si>
    <t>Eval Plan</t>
  </si>
  <si>
    <t>R11, R04, R08</t>
  </si>
  <si>
    <t>R19</t>
  </si>
  <si>
    <t>指標ごとの分母・閾値・重大条件・根拠がある。</t>
  </si>
  <si>
    <t>B1-03,B1-05,B1-06</t>
  </si>
  <si>
    <t>S052,S067,S070,S077</t>
  </si>
  <si>
    <t>P1-11,P2-05</t>
  </si>
  <si>
    <t>U01,W05,W10</t>
  </si>
  <si>
    <t>https://www.anthropic.com/engineering/demystifying-evals-for-ai-agents
https://www.nist.gov/publications/artificial-intelligence-risk-management-framework-generative-artificial-intelligence</t>
  </si>
  <si>
    <t>B1-08</t>
  </si>
  <si>
    <t>非機能</t>
  </si>
  <si>
    <t>SLO・容量・可用性・費用要件</t>
  </si>
  <si>
    <t>利用量、ピーク、遅延、可用性、復旧目標、コスト上限をサービス特性から決める。予算超過時は安全に縮退・停止する。</t>
  </si>
  <si>
    <t>NFR・SLO初版</t>
  </si>
  <si>
    <t>R12, R08, R15</t>
  </si>
  <si>
    <t>測定点、時間窓、費用境界、復旧目標を合意。</t>
  </si>
  <si>
    <t>B1-01,B1-06</t>
  </si>
  <si>
    <t>S023,S029,S050</t>
  </si>
  <si>
    <t>P1-13</t>
  </si>
  <si>
    <t>B1-09</t>
  </si>
  <si>
    <t>UX要件</t>
  </si>
  <si>
    <t>透明性・アクセシビリティ・救済</t>
  </si>
  <si>
    <t>AI利用表示、根拠・限界、取消・訂正、問い合わせ、必要な人への移管を決める。アクセシビリティと誤信頼を検証対象にする。</t>
  </si>
  <si>
    <t>Human-AI UX要件</t>
  </si>
  <si>
    <t>R05, R17, R14</t>
  </si>
  <si>
    <t>重要操作の確認・失敗時案内・救済導線がある。</t>
  </si>
  <si>
    <t>S032,S095,S096</t>
  </si>
  <si>
    <t>P2-14,P3-05</t>
  </si>
  <si>
    <t>B1-10</t>
  </si>
  <si>
    <t>リスク要件</t>
  </si>
  <si>
    <t>Risk Tier確定・独立性の設計</t>
  </si>
  <si>
    <t>用途と影響によりT0〜T3を人が確定する。独立評価者、品質停止権、禁止用途、例外を定め、法的分類は別台帳に置く。</t>
  </si>
  <si>
    <t>Risk Tier・評価独立性</t>
  </si>
  <si>
    <t>R11, R13, R14</t>
  </si>
  <si>
    <t>実装・評価・公開承認の利益相反が解消。</t>
  </si>
  <si>
    <t>B1-04,B1-06,B1-07</t>
  </si>
  <si>
    <t>S017,S071,S077,S081</t>
  </si>
  <si>
    <t>P1-07,P2-16</t>
  </si>
  <si>
    <t>B1-11</t>
  </si>
  <si>
    <t>GTM要件</t>
  </si>
  <si>
    <t>オンボーディング・提供条件</t>
  </si>
  <si>
    <t>利用開始、権限設定、初回価値到達、教育、サポート、契約・表示条件を定義する。企業向けの管理者・購買要件も扱う。</t>
  </si>
  <si>
    <t>提供・導入要件</t>
  </si>
  <si>
    <t>R16, R17, R05</t>
  </si>
  <si>
    <t>利用開始と継続の障壁、責任範囲が定義済。</t>
  </si>
  <si>
    <t>B0-14,B1-09</t>
  </si>
  <si>
    <t>S022,S085,S089</t>
  </si>
  <si>
    <t>P3-23</t>
  </si>
  <si>
    <t>B1-12</t>
  </si>
  <si>
    <t>収益要件</t>
  </si>
  <si>
    <t>価格・課金・利用制限の設計</t>
  </si>
  <si>
    <t>課金メーター、無料枠、上限、返金、過大請求防止を定義する。商用提供しない場合は内部配賦と予算制御で代替する。</t>
  </si>
  <si>
    <t>価格・課金仕様</t>
  </si>
  <si>
    <t>課金イベントと原価、説明、返金・取消条件を承認。</t>
  </si>
  <si>
    <t>条件:外販・課金</t>
  </si>
  <si>
    <t>B0-09,B0-10</t>
  </si>
  <si>
    <t>S083,S091,S093</t>
  </si>
  <si>
    <t>B1-13</t>
  </si>
  <si>
    <t>調達要件</t>
  </si>
  <si>
    <t>モデル・クラウド・委託先の条件</t>
  </si>
  <si>
    <t>外部サービスのデータ利用、保存、地域、再委託、EOL、監査、障害通知、SLA、退出条件を調達要件にする。</t>
  </si>
  <si>
    <t>調達・依存条件</t>
  </si>
  <si>
    <t>R20, R14, R08</t>
  </si>
  <si>
    <t>R20</t>
  </si>
  <si>
    <t>許容できない条件と代替案を記録。</t>
  </si>
  <si>
    <t>条件:外部依存</t>
  </si>
  <si>
    <t>B1-04,B1-08</t>
  </si>
  <si>
    <t>S014,S015,S094,S092</t>
  </si>
  <si>
    <t>P0-05,P2-20</t>
  </si>
  <si>
    <t>B1-14</t>
  </si>
  <si>
    <t>AI開発統制</t>
  </si>
  <si>
    <t>開発Agent利用・送信・権限の承認</t>
  </si>
  <si>
    <t>投入可能情報、コード・ログ送信、MCP、実行コマンド、ネットワーク、秘密情報、承認境界を定義する。</t>
  </si>
  <si>
    <t>開発AI利用ポリシー</t>
  </si>
  <si>
    <t>R06, R13, R14</t>
  </si>
  <si>
    <t>承認済みツールと送信先、停止・監査の担当が明確。</t>
  </si>
  <si>
    <t>条件:開発AI</t>
  </si>
  <si>
    <t>B1-04,B1-10</t>
  </si>
  <si>
    <t>S028,S078,S099</t>
  </si>
  <si>
    <t>P1-23</t>
  </si>
  <si>
    <t>U01,W06,W12</t>
  </si>
  <si>
    <t>https://openai.com/index/harness-engineering/
https://genai.owasp.org/resource/a-practical-guide-for-secure-mcp-server-development/</t>
  </si>
  <si>
    <t>B1-15</t>
  </si>
  <si>
    <t>実験運営</t>
  </si>
  <si>
    <t>Evidence Plan・学習ループ設計</t>
  </si>
  <si>
    <t>PoCを別契約フェーズにせず、各仮説の最小実験・予算・打切りをIssueにする。必要データと独立評価を先行準備する。</t>
  </si>
  <si>
    <t>実験計画・判定条件</t>
  </si>
  <si>
    <t>仮説から実験・評価・判断までID連結済。</t>
  </si>
  <si>
    <t>B1-07,B1-10</t>
  </si>
  <si>
    <t>P1-20,P1-22,P2-01</t>
  </si>
  <si>
    <t>B1-16</t>
  </si>
  <si>
    <t>ロードマップ・依存・スキル充足</t>
  </si>
  <si>
    <t>価値とリスク低減で優先順位を決め、薄い縦切り実装単位に分割する。工数と経過時間を分け、レビュー容量を制約に含める。</t>
  </si>
  <si>
    <t>ロードマップ・要員計画</t>
  </si>
  <si>
    <t>R03, R02, R06</t>
  </si>
  <si>
    <t>担当、依存、予算枠、能力不足、意思決定日がある。</t>
  </si>
  <si>
    <t>B1-15,B0-15</t>
  </si>
  <si>
    <t>S016,S088,S106</t>
  </si>
  <si>
    <t>P3-02</t>
  </si>
  <si>
    <t>B1-17</t>
  </si>
  <si>
    <t>継続改善</t>
  </si>
  <si>
    <t>変更・廃止・データ権利の要件</t>
  </si>
  <si>
    <t>用途拡大、Provider変更、データ更新、書込み追加を再審査トリガーにする。終了時の移管、保持・削除、通知も要件化する。</t>
  </si>
  <si>
    <t>変更・退出要件</t>
  </si>
  <si>
    <t>R18, R10, R14</t>
  </si>
  <si>
    <t>重大変更と廃止の責任者、条件、再ゲートがある。</t>
  </si>
  <si>
    <t>B1-10,B1-13</t>
  </si>
  <si>
    <t>S080,S081,S103</t>
  </si>
  <si>
    <t>P4-15,P4-22</t>
  </si>
  <si>
    <t>B1-18</t>
  </si>
  <si>
    <t>計測</t>
  </si>
  <si>
    <t>事業・開発・AIコスト計測の仕様</t>
  </si>
  <si>
    <t>利用者価値と品質、AI人時間、レビュー・手戻り、elapsed time、費用の観測方法を定義する。個人監視を目的にしない。</t>
  </si>
  <si>
    <t>計測計画・同等比較ルール</t>
  </si>
  <si>
    <t>R15, R03, R11</t>
  </si>
  <si>
    <t>比較範囲、分母、期間、取得権利、欠測扱いを合意。</t>
  </si>
  <si>
    <t>B1-01,B1-14</t>
  </si>
  <si>
    <t>S079,S090,S093</t>
  </si>
  <si>
    <t>P1-17,P4-19</t>
  </si>
  <si>
    <t>U01,W07,W08</t>
  </si>
  <si>
    <t>https://metr.org/blog/2026-02-24-uplift-update/
https://dora.dev/ai/roi/calculator/</t>
  </si>
  <si>
    <t>B1-19</t>
  </si>
  <si>
    <t>スコープ・Evidence Plan承認</t>
  </si>
  <si>
    <t>価値、要件、禁止事項、データ利用、評価、予算、体制を承認する。未確定項目は責任者・期限・公開制限を付ける。</t>
  </si>
  <si>
    <t>G1判断記録</t>
  </si>
  <si>
    <t>受入条件と投資条件が承認され、必要な法令判定済。</t>
  </si>
  <si>
    <t>B1-07,B1-10,B1-16,B1-17</t>
  </si>
  <si>
    <t>S001,S081</t>
  </si>
  <si>
    <t>P1-21,P2-18</t>
  </si>
  <si>
    <t>B2-01</t>
  </si>
  <si>
    <t>構成設計</t>
  </si>
  <si>
    <t>最小構成・方式のADR</t>
  </si>
  <si>
    <t>非AI、単一モデル、RAG、ワークフロー、Agentを比較し不要な複雑性を排除する。方式の変更条件も定義する。</t>
  </si>
  <si>
    <t>方式ADR</t>
  </si>
  <si>
    <t>R06, R08</t>
  </si>
  <si>
    <t>品質・費用・運用・安全を比較し選定根拠がある。</t>
  </si>
  <si>
    <t>S030,S039,S054,S026</t>
  </si>
  <si>
    <t>ADR・脅威・テストの骨子を生成。人が権限・送信・方式・復旧を設計承認。</t>
  </si>
  <si>
    <t>P3-03</t>
  </si>
  <si>
    <t>B2-02</t>
  </si>
  <si>
    <t>モデル選定</t>
  </si>
  <si>
    <t>モデル・Provider比較と退出設計</t>
  </si>
  <si>
    <t>同一評価条件で候補を比較し、版固定可否、EOL、料金変更、データ取扱い、代替Providerを確認する。</t>
  </si>
  <si>
    <t>モデル台帳・選定評価</t>
  </si>
  <si>
    <t>R08, R20, R11</t>
  </si>
  <si>
    <t>評価結果と規約・地域・変更監視を記録。</t>
  </si>
  <si>
    <t>条件:外部モデル</t>
  </si>
  <si>
    <t>B2-01,B1-13</t>
  </si>
  <si>
    <t>S054,S062,S094</t>
  </si>
  <si>
    <t>P1-04,P2-10</t>
  </si>
  <si>
    <t>B2-03</t>
  </si>
  <si>
    <t>データ設計</t>
  </si>
  <si>
    <t>Data Flow・権限・保存・派生設計</t>
  </si>
  <si>
    <t>データ、Vector DB、索引、キャッシュ、ログ、バックアップ、評価データの流れを描き、Ownerと削除経路を定める。</t>
  </si>
  <si>
    <t>Data Flow・資産設計</t>
  </si>
  <si>
    <t>R09, R10, R13</t>
  </si>
  <si>
    <t>全送信先と派生物に利用目的・保持・削除が対応。</t>
  </si>
  <si>
    <t>B1-05,B1-17</t>
  </si>
  <si>
    <t>S003,S025,S031,S036</t>
  </si>
  <si>
    <t>P3-04</t>
  </si>
  <si>
    <t>B2-04</t>
  </si>
  <si>
    <t>RAG設計</t>
  </si>
  <si>
    <t>検索・文書更新・ACLの設計</t>
  </si>
  <si>
    <t>分割、検索、rerank、引用、版、有効日、削除反映を設計する。GraphRAGは関係探索の必要性が実験で示された部分だけ採用する。</t>
  </si>
  <si>
    <t>RAG ADR・検索評価仕様</t>
  </si>
  <si>
    <t>R08, R09, R11</t>
  </si>
  <si>
    <t>検索品質、権限漏洩、更新・削除の試験が定義済。</t>
  </si>
  <si>
    <t>条件:RAG</t>
  </si>
  <si>
    <t>B2-03,B2-02</t>
  </si>
  <si>
    <t>S061,S056,S070</t>
  </si>
  <si>
    <t>P2-08</t>
  </si>
  <si>
    <t>B2-05</t>
  </si>
  <si>
    <t>学習設計</t>
  </si>
  <si>
    <t>学習・特徴量・データ分割の設計</t>
  </si>
  <si>
    <t>追加学習が必要な根拠、権利、時系列/群分割、学習予算、再現性、停止条件を設計する。基盤モデルの大規模事前学習は別計画とする。</t>
  </si>
  <si>
    <t>学習・分割プロトコル</t>
  </si>
  <si>
    <t>リーク防止、独立評価、比較モデル、予算がある。</t>
  </si>
  <si>
    <t>条件:学習</t>
  </si>
  <si>
    <t>B2-03,B1-07</t>
  </si>
  <si>
    <t>S053,S057,S060,S063</t>
  </si>
  <si>
    <t>P2-05,P2-07,P2-08</t>
  </si>
  <si>
    <t>B2-06</t>
  </si>
  <si>
    <t>Agent設計</t>
  </si>
  <si>
    <t>ツール・状態・行動権限の設計</t>
  </si>
  <si>
    <t>read-onlyから開始し、書込みは最小権限で分離する。状態遷移、承認、再実行、副作用、取消、委譲先を設計する。</t>
  </si>
  <si>
    <t>Agent状態図・Tool契約</t>
  </si>
  <si>
    <t>R08, R07, R13</t>
  </si>
  <si>
    <t>金銭・権限・削除・外部送信の安全境界がある。</t>
  </si>
  <si>
    <t>条件:Agent</t>
  </si>
  <si>
    <t>B1-06,B2-01</t>
  </si>
  <si>
    <t>S065,S037,S099</t>
  </si>
  <si>
    <t>P3-10</t>
  </si>
  <si>
    <t>U01,W04,W12</t>
  </si>
  <si>
    <t>https://www.anthropic.com/engineering/building-effective-agents
https://genai.owasp.org/resource/a-practical-guide-for-secure-mcp-server-development/</t>
  </si>
  <si>
    <t>B2-07</t>
  </si>
  <si>
    <t>脅威設計</t>
  </si>
  <si>
    <t>製品AI・開発Agentの別脅威モデル</t>
  </si>
  <si>
    <t>外部文書、Issue、依存パッケージ、Tool結果を非信頼入力として扱う。注入・権限逸脱・漏洩・供給網を分けて対策する。</t>
  </si>
  <si>
    <t>二境界Threat Model</t>
  </si>
  <si>
    <t>R13, R08, R06</t>
  </si>
  <si>
    <t>R13</t>
  </si>
  <si>
    <t>攻撃経路、制御、テスト、残存リスクを対応付け。</t>
  </si>
  <si>
    <t>B1-10,B1-14,B2-03</t>
  </si>
  <si>
    <t>S043,S044,S078,S099</t>
  </si>
  <si>
    <t>P2-13,P3-06</t>
  </si>
  <si>
    <t>U01,W11,W12,W13</t>
  </si>
  <si>
    <t>https://csrc.nist.gov/pubs/sp/800/218/a/final
https://genai.owasp.org/resource/a-practical-guide-for-secure-mcp-server-development/
https://genai.owasp.org/resource/agent-control-standard-acs/</t>
  </si>
  <si>
    <t>B2-08</t>
  </si>
  <si>
    <t>UX設計</t>
  </si>
  <si>
    <t>安全な対話・根拠提示・人への移管</t>
  </si>
  <si>
    <t>根拠、更新日、不明・保留、取消、承認対象の見やすさ、誤操作防止を設計する。利用者の監督責任を過大にしない。</t>
  </si>
  <si>
    <t>UXプロトタイプ</t>
  </si>
  <si>
    <t>R05, R04, R17</t>
  </si>
  <si>
    <t>通常・失敗・拒否・人手対応を利用者確認済。</t>
  </si>
  <si>
    <t>B1-09,B2-06</t>
  </si>
  <si>
    <t>P3-05</t>
  </si>
  <si>
    <t>B2-09</t>
  </si>
  <si>
    <t>サービス設計</t>
  </si>
  <si>
    <t>API・認証・テナント分離</t>
  </si>
  <si>
    <t>認証認可、スキーマ、レート制限、冪等性、課金ID、テナント境界を設計する。LLMの指示に権限判定を任せない。</t>
  </si>
  <si>
    <t>API仕様・権限設計</t>
  </si>
  <si>
    <t>R07, R06, R13</t>
  </si>
  <si>
    <t>境界と不正アクセス・再試行時の期待挙動が明確。</t>
  </si>
  <si>
    <t>B2-01,B2-07</t>
  </si>
  <si>
    <t>S037,S039,S091</t>
  </si>
  <si>
    <t>P3-09,P3-12</t>
  </si>
  <si>
    <t>B2-10</t>
  </si>
  <si>
    <t>評価設計</t>
  </si>
  <si>
    <t>Eval Harness・凍結セットの設計</t>
  </si>
  <si>
    <t>要件ID、母集団、slice、判定器、人手較正を結び、開発用と非公開の最終評価を分離する。Agentが最終評価を編集・閲覧できないようにする。</t>
  </si>
  <si>
    <t>評価基盤設計・権限</t>
  </si>
  <si>
    <t>R11, R08, R13</t>
  </si>
  <si>
    <t>対象版、反復、採点規則、独立権限が定義済。</t>
  </si>
  <si>
    <t>B1-07,B2-07</t>
  </si>
  <si>
    <t>S059,S070,S077</t>
  </si>
  <si>
    <t>P2-21,P2-12</t>
  </si>
  <si>
    <t>U01,W05</t>
  </si>
  <si>
    <t>https://www.anthropic.com/engineering/demystifying-evals-for-ai-agents</t>
  </si>
  <si>
    <t>B2-11</t>
  </si>
  <si>
    <t>開発ハーネス</t>
  </si>
  <si>
    <t>Repo正本・仕様・機械的制約</t>
  </si>
  <si>
    <t>短い指示ファイルから仕様、ADR、テストへ到達できる構造を設計する。禁止依存や構造ルールはlint/CIで検査する。</t>
  </si>
  <si>
    <t>Repo標準・構造テスト</t>
  </si>
  <si>
    <t>R06, R07, R11</t>
  </si>
  <si>
    <t>正本、鮮度責任者、テストコマンドが一意。</t>
  </si>
  <si>
    <t>B1-14,B2-10</t>
  </si>
  <si>
    <t>S076,S098,S100</t>
  </si>
  <si>
    <t>P1-23,P2-21</t>
  </si>
  <si>
    <t>U01,W06,W09</t>
  </si>
  <si>
    <t>https://openai.com/index/harness-engineering/
https://www.anthropic.com/engineering/effective-harnesses-for-long-running-agents</t>
  </si>
  <si>
    <t>B2-12</t>
  </si>
  <si>
    <t>Agent Skills</t>
  </si>
  <si>
    <t>再利用Skillの仕様・審査設計</t>
  </si>
  <si>
    <t>人の習熟度辞書と、Agentの手順パッケージを区別する。Skillのトリガー、入出力、依存、Owner、版、回帰試験、廃止を定義する。</t>
  </si>
  <si>
    <t>Skill台帳・審査基準</t>
  </si>
  <si>
    <t>R06, R08, R13</t>
  </si>
  <si>
    <t>第三者Skillのコード・権限・ライセンス審査がある。</t>
  </si>
  <si>
    <t>条件:開発AI・Skill</t>
  </si>
  <si>
    <t>B2-11,B2-07</t>
  </si>
  <si>
    <t>S015,S097,S078</t>
  </si>
  <si>
    <t>U01,W14</t>
  </si>
  <si>
    <t>https://agentskills.io/specification</t>
  </si>
  <si>
    <t>B2-13</t>
  </si>
  <si>
    <t>実行環境</t>
  </si>
  <si>
    <t>Sandbox・worktree・秘密情報境界</t>
  </si>
  <si>
    <t>タスク単位に作業領域とIDを分離し、通信・ツール・コマンド・リソースを制限する。実行環境の制御を自然言語指示で代替しない。</t>
  </si>
  <si>
    <t>隔離環境・権限Policy</t>
  </si>
  <si>
    <t>R12, R13, R07</t>
  </si>
  <si>
    <t>許可/拒否、資格情報失効、エグレス制御を試験可能。</t>
  </si>
  <si>
    <t>条件:開発AI・Agent</t>
  </si>
  <si>
    <t>B2-07,B2-11</t>
  </si>
  <si>
    <t>S033,S078,S099</t>
  </si>
  <si>
    <t>P2-02</t>
  </si>
  <si>
    <t>B2-14</t>
  </si>
  <si>
    <t>開発ループ</t>
  </si>
  <si>
    <t>有界ループ・再開・並列の設計</t>
  </si>
  <si>
    <t>仕様→計画→実装→機械検証→レビューを時間・回数・費用上限内で反復する。状態保存、再開検証、作業所有権、統合責任を定める。</t>
  </si>
  <si>
    <t>Loop契約・handoff仕様</t>
  </si>
  <si>
    <t>R06, R07, R08</t>
  </si>
  <si>
    <t>停止・承認・チェックポイント・競合処理がある。</t>
  </si>
  <si>
    <t>B2-11,B2-13</t>
  </si>
  <si>
    <t>S028,S100,S101</t>
  </si>
  <si>
    <t>U01,W04,W09</t>
  </si>
  <si>
    <t>https://www.anthropic.com/engineering/building-effective-agents
https://www.anthropic.com/engineering/effective-harnesses-for-long-running-agents</t>
  </si>
  <si>
    <t>B2-15</t>
  </si>
  <si>
    <t>運用設計</t>
  </si>
  <si>
    <t>観測・監査・プライバシー</t>
  </si>
  <si>
    <t>モデル、prompt、tool、data、権限、結果を追跡し、機密や不要な思考過程を収集しない。ログの保存、マスキング、アクセス制御を設計する。</t>
  </si>
  <si>
    <t>Observability・監査設計</t>
  </si>
  <si>
    <t>R12, R13, R10</t>
  </si>
  <si>
    <t>原因追跡可能性とログ最小化を両立。</t>
  </si>
  <si>
    <t>B2-03,B2-09</t>
  </si>
  <si>
    <t>S041,S045,S050</t>
  </si>
  <si>
    <t>P3-14,P3-21</t>
  </si>
  <si>
    <t>U01,W13</t>
  </si>
  <si>
    <t>https://genai.owasp.org/resource/agent-control-standard-acs/</t>
  </si>
  <si>
    <t>B2-16</t>
  </si>
  <si>
    <t>復旧設計</t>
  </si>
  <si>
    <t>構成一式のrollback・縮退</t>
  </si>
  <si>
    <t>モデルだけでなくprompt、索引、ツール、権限、スキーマの互換を含め復旧する。外部副作用は補償手順と再実行制御を持つ。</t>
  </si>
  <si>
    <t>復旧・縮退Runbook設計</t>
  </si>
  <si>
    <t>R12, R08, R07</t>
  </si>
  <si>
    <t>停止・手動移管・復旧の安全条件がある。</t>
  </si>
  <si>
    <t>B2-06,B2-09,B2-15</t>
  </si>
  <si>
    <t>S039,S048,S080</t>
  </si>
  <si>
    <t>P3-25</t>
  </si>
  <si>
    <t>B2-17</t>
  </si>
  <si>
    <t>費用設計</t>
  </si>
  <si>
    <t>予算制御・メータリング・成功原価</t>
  </si>
  <si>
    <t>retry、検索、保存、評価、人の介入を含むcost/successを計測する。上限超過時の経路、顧客別制限、課金照合を定義する。</t>
  </si>
  <si>
    <t>FinOps・利用量設計</t>
  </si>
  <si>
    <t>AI成功率低下・過剰利用・価格変更を評価可能。</t>
  </si>
  <si>
    <t>B1-12,B1-18,B2-02</t>
  </si>
  <si>
    <t>S050,S091,S093</t>
  </si>
  <si>
    <t>P4-09</t>
  </si>
  <si>
    <t>B2-18</t>
  </si>
  <si>
    <t>供給・公開設計</t>
  </si>
  <si>
    <t>依存契約・公開・切替計画</t>
  </si>
  <si>
    <t>ベンダー受入と製品公開を分離し、モデルEOL、DPA、SLA、署名・部品表、段階公開、顧客通知を計画する。</t>
  </si>
  <si>
    <t>依存・リリース計画</t>
  </si>
  <si>
    <t>R20, R14, R18</t>
  </si>
  <si>
    <t>必要な契約と移行、公開条件、通知対象がある。</t>
  </si>
  <si>
    <t>B1-13,B2-16</t>
  </si>
  <si>
    <t>S014,S048,S094,S105</t>
  </si>
  <si>
    <t>P2-20,P3-26</t>
  </si>
  <si>
    <t>B2-19</t>
  </si>
  <si>
    <t>設計レビュー</t>
  </si>
  <si>
    <t>非機能・安全・採算・実現性レビュー</t>
  </si>
  <si>
    <t>代表的な縦切りケースと失敗ケースを設計で追跡し、評価可能性と運用負荷を確認する。残存不確実性は実験へ戻す。</t>
  </si>
  <si>
    <t>設計レビュー・残件</t>
  </si>
  <si>
    <t>R06, R11, R13, R15</t>
  </si>
  <si>
    <t>重大未対策がなく、残件にOwner・期限がある。</t>
  </si>
  <si>
    <t>B2-10,B2-15,B2-16,B2-17</t>
  </si>
  <si>
    <t>S030,S043,S081</t>
  </si>
  <si>
    <t>P3-01</t>
  </si>
  <si>
    <t>B2-20</t>
  </si>
  <si>
    <t>Architecture/Build承認</t>
  </si>
  <si>
    <t>構成、データ・外部送信、評価、実行権限、運用、次の投資枠を承認する。契約と法的許可の未完了を投資承認で代替しない。</t>
  </si>
  <si>
    <t>G2判断記録</t>
  </si>
  <si>
    <t>R03, R06</t>
  </si>
  <si>
    <t>実装範囲、品質条件、権限、予算が承認済。</t>
  </si>
  <si>
    <t>B2-19,B2-18</t>
  </si>
  <si>
    <t>P3-01,P2-20</t>
  </si>
  <si>
    <t>B3-01</t>
  </si>
  <si>
    <t>基盤</t>
  </si>
  <si>
    <t>Repo・CI・IaCの最小実装</t>
  </si>
  <si>
    <t>コード、仕様、評価定義、構造制約を同じ変更フローで管理し、小さな縦切り変更からCIを動かす。</t>
  </si>
  <si>
    <t>Repo・CI・IaC</t>
  </si>
  <si>
    <t>R07, R12</t>
  </si>
  <si>
    <t>再構築とテストを新規環境で実行できる。</t>
  </si>
  <si>
    <t>B2-20,B2-11</t>
  </si>
  <si>
    <t>S027,S033,S034,S076</t>
  </si>
  <si>
    <t>承認済みsandboxで計画→実装→テスト→修復。重要な実行・マージは権限者が確認。</t>
  </si>
  <si>
    <t>P3-07,P3-20</t>
  </si>
  <si>
    <t>U01,W06</t>
  </si>
  <si>
    <t>https://openai.com/index/harness-engineering/</t>
  </si>
  <si>
    <t>B3-02</t>
  </si>
  <si>
    <t>権限実装</t>
  </si>
  <si>
    <t>開発AgentのID・Sandbox・通信制御</t>
  </si>
  <si>
    <t>短命・最小権限の資格情報、独立workspace、コマンド・ネットワークallowlist、資源上限と停止を実装する。</t>
  </si>
  <si>
    <t>開発Agent実行基盤</t>
  </si>
  <si>
    <t>R12, R13</t>
  </si>
  <si>
    <t>禁止操作と秘密情報アクセスを拒否する試験が通る。</t>
  </si>
  <si>
    <t>B3-01,B2-13</t>
  </si>
  <si>
    <t>S078,S099,S100</t>
  </si>
  <si>
    <t>U01,W12</t>
  </si>
  <si>
    <t>https://genai.owasp.org/resource/a-practical-guide-for-secure-mcp-server-development/</t>
  </si>
  <si>
    <t>B3-03</t>
  </si>
  <si>
    <t>Skill実装</t>
  </si>
  <si>
    <t>Agent Skillの作成・検証・登録</t>
  </si>
  <si>
    <t>SKILL.mdと必要なscripts/references/assetsを版管理し、呼出し条件、正常・異常、非呼出しを試験する。Skill宣言のみをセキュリティ境界にしない。</t>
  </si>
  <si>
    <t>審査済みSkill package</t>
  </si>
  <si>
    <t>R07, R08, R13</t>
  </si>
  <si>
    <t>Owner、版、依存、権限、実行結果、rollbackがある。</t>
  </si>
  <si>
    <t>条件:Skill</t>
  </si>
  <si>
    <t>B3-02,B2-12</t>
  </si>
  <si>
    <t>S097,S042,S078</t>
  </si>
  <si>
    <t>B3-04</t>
  </si>
  <si>
    <t>ループ実装</t>
  </si>
  <si>
    <t>計画・実装・検証・修復ループ</t>
  </si>
  <si>
    <t>タスクを限定して計画を承認し、コード変更後に機械テストと自己レビューを実行する。回数・時間・費用・同一失敗で停止し人に戻す。</t>
  </si>
  <si>
    <t>Loop設定・実行証跡</t>
  </si>
  <si>
    <t>R07, R08</t>
  </si>
  <si>
    <t>成功申告ではなくテスト結果で完了を判定。</t>
  </si>
  <si>
    <t>B3-02,B2-14</t>
  </si>
  <si>
    <t>P2-10</t>
  </si>
  <si>
    <t>B3-05</t>
  </si>
  <si>
    <t>並列開発</t>
  </si>
  <si>
    <t>分割・worktree・handoff・統合</t>
  </si>
  <si>
    <t>並列化は独立タスクに限り、ファイル所有、契約テスト、共有資源制限、統合責任を定める。並列数と人のactive timeを記録する。</t>
  </si>
  <si>
    <t>分割計画・統合ログ</t>
  </si>
  <si>
    <t>R03, R07</t>
  </si>
  <si>
    <t>競合・重複実行・取りこぼしを統合テストで確認。</t>
  </si>
  <si>
    <t>条件:並列Agent</t>
  </si>
  <si>
    <t>S016,S101,S079</t>
  </si>
  <si>
    <t>U01,W09</t>
  </si>
  <si>
    <t>https://www.anthropic.com/engineering/effective-harnesses-for-long-running-agents</t>
  </si>
  <si>
    <t>B3-06</t>
  </si>
  <si>
    <t>データ</t>
  </si>
  <si>
    <t>承認済みデータの取得・品質処理</t>
  </si>
  <si>
    <t>利用承認後に最小データを取得し、品質、出所、加工、schema、削除条件を検査する。例外は隔離し、本番へ流さない。</t>
  </si>
  <si>
    <t>データ取込・品質Pipeline</t>
  </si>
  <si>
    <t>R09, R10</t>
  </si>
  <si>
    <t>権利・品質検査・lineage・取込記録がある。</t>
  </si>
  <si>
    <t>B3-01,B1-04,B2-03</t>
  </si>
  <si>
    <t>S024,S025,S055,S056</t>
  </si>
  <si>
    <t>P2-03,P2-04,P2-06</t>
  </si>
  <si>
    <t>B3-07</t>
  </si>
  <si>
    <t>評価データ</t>
  </si>
  <si>
    <t>開発・回帰・凍結評価セットの実装</t>
  </si>
  <si>
    <t>分割プロトコルを適用し、ラベルと判定基準を較正する。最終評価は実装Agentと開発者の調整用データから隔離する。</t>
  </si>
  <si>
    <t>版付き評価セット</t>
  </si>
  <si>
    <t>R11, R04, R09</t>
  </si>
  <si>
    <t>重複・リーク確認、版、権限、ラベル一致度がある。</t>
  </si>
  <si>
    <t>B3-06,B2-10</t>
  </si>
  <si>
    <t>S057,S058,S059,S077</t>
  </si>
  <si>
    <t>P2-05,P2-07</t>
  </si>
  <si>
    <t>B3-08</t>
  </si>
  <si>
    <t>RAG</t>
  </si>
  <si>
    <t>検索・引用・ACL・更新の実装</t>
  </si>
  <si>
    <t>データ権限を検索前後で保証し、引用、鮮度、欠落時の保留、文書更新・削除の反映を実装する。</t>
  </si>
  <si>
    <t>RAG機能・更新テスト</t>
  </si>
  <si>
    <t>R08, R09, R07</t>
  </si>
  <si>
    <t>権限外参照と削除済み情報の再出現を試験。</t>
  </si>
  <si>
    <t>B3-06,B2-04</t>
  </si>
  <si>
    <t>S061,S037,S056</t>
  </si>
  <si>
    <t>P2-08,P3-10</t>
  </si>
  <si>
    <t>B3-09</t>
  </si>
  <si>
    <t>学習</t>
  </si>
  <si>
    <t>特徴量・学習・比較実験</t>
  </si>
  <si>
    <t>権利確認済みデータで再現可能な学習を実行する。学習・推論費用、seed/環境、バイアス、比較結果を記録する。</t>
  </si>
  <si>
    <t>学習実験・モデル候補</t>
  </si>
  <si>
    <t>R08, R09</t>
  </si>
  <si>
    <t>独立セット未使用、比較・停止条件を満たす。</t>
  </si>
  <si>
    <t>B3-06,B3-07,B2-05</t>
  </si>
  <si>
    <t>S060,S063,S066</t>
  </si>
  <si>
    <t>P2-08,P2-10,P3-10</t>
  </si>
  <si>
    <t>B3-10</t>
  </si>
  <si>
    <t>AI統合</t>
  </si>
  <si>
    <t>prompt・構造化出力・モデル統合</t>
  </si>
  <si>
    <t>prompt、schema、モデル版、温度等の設定を管理し、タイムアウト・異常出力・根拠不足を処理する。</t>
  </si>
  <si>
    <t>AI機能・構成manifest</t>
  </si>
  <si>
    <t>R08, R07</t>
  </si>
  <si>
    <t>正常・拒否・不正形式・障害の挙動が試験済。</t>
  </si>
  <si>
    <t>B3-01,B2-02</t>
  </si>
  <si>
    <t>S035,S038,S064</t>
  </si>
  <si>
    <t>P3-10,P3-11</t>
  </si>
  <si>
    <t>B3-11</t>
  </si>
  <si>
    <t>Agent</t>
  </si>
  <si>
    <t>Tool/MCP・権限・副作用制御</t>
  </si>
  <si>
    <t>ツールごとの認可とパラメータ検証、承認、冪等性、期限、取り消し、回数制限を実装する。LLMが直接権限を付与しない。</t>
  </si>
  <si>
    <t>Agent runtime・Tool実装</t>
  </si>
  <si>
    <t>権限逸脱・二重実行・承認回避を阻止する。</t>
  </si>
  <si>
    <t>B3-10,B2-06,B2-07</t>
  </si>
  <si>
    <t>P3-10,P3-12</t>
  </si>
  <si>
    <t>U01,W12,W13</t>
  </si>
  <si>
    <t>https://genai.owasp.org/resource/a-practical-guide-for-secure-mcp-server-development/
https://genai.owasp.org/resource/agent-control-standard-acs/</t>
  </si>
  <si>
    <t>B3-12</t>
  </si>
  <si>
    <t>アプリ</t>
  </si>
  <si>
    <t>API・業務ロジック・認証の実装</t>
  </si>
  <si>
    <t>DB・API・業務ロジックを実装し、AI結果を未検証入力として扱う。認可、出力検証、監査ID、エラー処理を実装する。</t>
  </si>
  <si>
    <t>Backend・統合API</t>
  </si>
  <si>
    <t>R07</t>
  </si>
  <si>
    <t>重要業務操作とテナント境界の試験が通る。</t>
  </si>
  <si>
    <t>B3-10,B2-09</t>
  </si>
  <si>
    <t>S037,S039,S042</t>
  </si>
  <si>
    <t>P3-09,P3-12,P3-08</t>
  </si>
  <si>
    <t>B3-13</t>
  </si>
  <si>
    <t>UX</t>
  </si>
  <si>
    <t>UI・承認・説明・アクセシビリティ</t>
  </si>
  <si>
    <t>根拠、AI利用表示、不確実性、取消、人への移管を実装し、支援技術を含む主要ユーザーフローを確認する。</t>
  </si>
  <si>
    <t>Frontend・UX証拠</t>
  </si>
  <si>
    <t>R07, R05</t>
  </si>
  <si>
    <t>誤操作防止と利用者理解を確認できる。</t>
  </si>
  <si>
    <t>B3-12,B2-08</t>
  </si>
  <si>
    <t>S040,S032,S096</t>
  </si>
  <si>
    <t>P3-13</t>
  </si>
  <si>
    <t>B3-14</t>
  </si>
  <si>
    <t>収益</t>
  </si>
  <si>
    <t>課金・利用制限・返金の実装</t>
  </si>
  <si>
    <t>成功/失敗課金条件、利用メーター、二重請求防止、予算上限、返金・取消、料金表示を実装する。</t>
  </si>
  <si>
    <t>課金・メータリング</t>
  </si>
  <si>
    <t>R07, R15</t>
  </si>
  <si>
    <t>請求と実利用が照合され過大請求が検出可能。</t>
  </si>
  <si>
    <t>B3-12,B2-17</t>
  </si>
  <si>
    <t>S091,S093,S037</t>
  </si>
  <si>
    <t>B3-15</t>
  </si>
  <si>
    <t>観測</t>
  </si>
  <si>
    <t>trace・監査・品質・原価の計測実装</t>
  </si>
  <si>
    <t>実行IDからモデル/prompt/data/tool/権限へ追跡する。秘匿化、アクセス、保持・削除を適用し品質と費用を観測する。</t>
  </si>
  <si>
    <t>Dashboard・監査ログ</t>
  </si>
  <si>
    <t>R12, R07, R08</t>
  </si>
  <si>
    <t>必要な版と判断経路を再構成でき、秘密を漏らさない。</t>
  </si>
  <si>
    <t>B3-12,B2-15</t>
  </si>
  <si>
    <t>B3-16</t>
  </si>
  <si>
    <t>自動品質</t>
  </si>
  <si>
    <t>単体・結合・契約・構造テスト</t>
  </si>
  <si>
    <t>生成テストだけを正解とせず、要件と失敗パターンに基づくテストを人が確認する。依存・型・schema違反をCIで止める。</t>
  </si>
  <si>
    <t>CI Test Suite</t>
  </si>
  <si>
    <t>R07, R11</t>
  </si>
  <si>
    <t>主要要件のテスト対応と失敗検知を確認。</t>
  </si>
  <si>
    <t>B3-12,B3-13</t>
  </si>
  <si>
    <t>S042,S072,S076</t>
  </si>
  <si>
    <t>P3-15</t>
  </si>
  <si>
    <t>B3-17</t>
  </si>
  <si>
    <t>継続評価</t>
  </si>
  <si>
    <t>回帰・adversarial・grader較正</t>
  </si>
  <si>
    <t>変更ごとに業務・安全・コストの回帰を実行し、採点AIを人手判定と較正する。失敗ケースの追加は評価セットの用途を区別する。</t>
  </si>
  <si>
    <t>Continuous Eval結果</t>
  </si>
  <si>
    <t>R11, R08</t>
  </si>
  <si>
    <t>評価対象版、採点版、回帰差分と限界を記録。</t>
  </si>
  <si>
    <t>B3-07,B3-10,B3-16</t>
  </si>
  <si>
    <t>S068,S070,S072,S077</t>
  </si>
  <si>
    <t>P2-11,P2-21,P3-16</t>
  </si>
  <si>
    <t>B3-18</t>
  </si>
  <si>
    <t>レビュー</t>
  </si>
  <si>
    <t>独立レビュー・供給網・機密検査</t>
  </si>
  <si>
    <t>別Agentレビューだけを独立品質承認としない。秘密・脆弱性・ライセンス・設計逸脱を機械と人で検査。外注成果物はR20が契約受入を別記録し、G3と混同しない。</t>
  </si>
  <si>
    <t>PR承認・部品表・診断・外注受入証拠</t>
  </si>
  <si>
    <t>R07, R11, R13, R20</t>
  </si>
  <si>
    <t>生成者以外の確認と高影響差分の人の承認がある。</t>
  </si>
  <si>
    <t>B3-16,B3-17</t>
  </si>
  <si>
    <t>S015,S042,S078,S014,S105</t>
  </si>
  <si>
    <t>P3-18</t>
  </si>
  <si>
    <t>U01,W11</t>
  </si>
  <si>
    <t>https://csrc.nist.gov/pubs/sp/800/218/a/final</t>
  </si>
  <si>
    <t>B3-19</t>
  </si>
  <si>
    <t>復旧実装</t>
  </si>
  <si>
    <t>rollback・停止・削除の実装</t>
  </si>
  <si>
    <t>構成manifest、feature flag、バックアップ、restore、資格情報失効、データ削除を実装し試験する。</t>
  </si>
  <si>
    <t>復旧・停止・削除機能</t>
  </si>
  <si>
    <t>R12, R09, R13</t>
  </si>
  <si>
    <t>実環境相当で復旧と停止を実証。</t>
  </si>
  <si>
    <t>B3-15,B2-16</t>
  </si>
  <si>
    <t>S036,S048,S080,S103</t>
  </si>
  <si>
    <t>B3-20</t>
  </si>
  <si>
    <t>提供準備</t>
  </si>
  <si>
    <t>利用者資料・CS・GTM実装</t>
  </si>
  <si>
    <t>機能・限界、オンボーディング、価格・利用条件、ヘルプ、問い合わせ・事故窓口を用意する。営業資料の未実証主張を排除する。</t>
  </si>
  <si>
    <t>公開・導入・支援資料</t>
  </si>
  <si>
    <t>製品挙動と表示、サポート回答が一致。</t>
  </si>
  <si>
    <t>B3-13,B1-11</t>
  </si>
  <si>
    <t>S022,S051,S085,S089</t>
  </si>
  <si>
    <t>P3-23,P3-24</t>
  </si>
  <si>
    <t>B3-21</t>
  </si>
  <si>
    <t>資産化</t>
  </si>
  <si>
    <t>実行知見を仕様・Skillへ還流</t>
  </si>
  <si>
    <t>再発した失敗の原因を制約、テスト、Runbook、Skillへ反映する。各資産の所有者・期限・版を付け、陳腐化を検知する。</t>
  </si>
  <si>
    <t>更新済み正本・Skill</t>
  </si>
  <si>
    <t>R06, R08, R11</t>
  </si>
  <si>
    <t>改善の根拠と回帰試験が紐付き、重複指示を整理。</t>
  </si>
  <si>
    <t>B3-17,B3-18</t>
  </si>
  <si>
    <t>S051,S076,S097,S098</t>
  </si>
  <si>
    <t>B3-22</t>
  </si>
  <si>
    <t>効果測定</t>
  </si>
  <si>
    <t>人時間・レビュー・手戻り・費用測定</t>
  </si>
  <si>
    <t>同等品質・スコープの作業を比較し、Harness準備、レビュー、検証、手戻り、事故、並列の経過時間を分ける。</t>
  </si>
  <si>
    <t>AI効果測定記録</t>
  </si>
  <si>
    <t>R03, R15, R11</t>
  </si>
  <si>
    <t>品質条件と比較妥当性を明示し、未測定を0にしない。</t>
  </si>
  <si>
    <t>B3-04,B1-18</t>
  </si>
  <si>
    <t>S079,S052,S093</t>
  </si>
  <si>
    <t>B3-23</t>
  </si>
  <si>
    <t>RC作成</t>
  </si>
  <si>
    <t>変更固定・RC manifestの作成</t>
  </si>
  <si>
    <t>コード、model、prompt、data/index、tool、権限、評価設定を固定し、独立評価に渡す。以降の変更は影響評価と再評価を行う。</t>
  </si>
  <si>
    <t>Release Candidate manifest</t>
  </si>
  <si>
    <t>R06, R12</t>
  </si>
  <si>
    <t>評価対象を特定でき、未解決事項と再評価条件がある。</t>
  </si>
  <si>
    <t>B3-18,B3-19,B3-20</t>
  </si>
  <si>
    <t>S027,S048,S080,S075</t>
  </si>
  <si>
    <t>P3-24</t>
  </si>
  <si>
    <t>B4-01</t>
  </si>
  <si>
    <t>独立評価</t>
  </si>
  <si>
    <t>評価環境・対象版・アクセスの確認</t>
  </si>
  <si>
    <t>RCと凍結評価を独立担当が確認し、事前に合意した判定方法で実行する。最終評価の結果を見た調整は新しい評価として管理する。</t>
  </si>
  <si>
    <t>独立評価開始記録</t>
  </si>
  <si>
    <t>R11</t>
  </si>
  <si>
    <t>対象hash、データ・grader版、閲覧権限が一致。</t>
  </si>
  <si>
    <t>B3-23,B3-07</t>
  </si>
  <si>
    <t>S057,S070,S077</t>
  </si>
  <si>
    <t>回帰・攻撃ケース・集計を支援。凍結評価隔離と人の独立合否を維持。</t>
  </si>
  <si>
    <t>P2-12</t>
  </si>
  <si>
    <t>B4-02</t>
  </si>
  <si>
    <t>性能</t>
  </si>
  <si>
    <t>業務・AI性能・重要slice評価</t>
  </si>
  <si>
    <t>非AIベースラインと比較し、成功率、誤りコスト、重要slice、信頼区間・反復変動を記録する。平均点だけで公開しない。</t>
  </si>
  <si>
    <t>業務・AI性能評価</t>
  </si>
  <si>
    <t>事前閾値、分母、失敗事例、限界を明記。</t>
  </si>
  <si>
    <t>S052,S067,S068,S069</t>
  </si>
  <si>
    <t>P2-11,P2-12</t>
  </si>
  <si>
    <t>B4-03</t>
  </si>
  <si>
    <t>検索品質</t>
  </si>
  <si>
    <t>RAG検索・引用・鮮度・削除評価</t>
  </si>
  <si>
    <t>検索と回答を分けて測定し、根拠整合、誤引用、権限外文書、文書更新、削除反映を評価する。</t>
  </si>
  <si>
    <t>RAG評価結果</t>
  </si>
  <si>
    <t>R11, R09</t>
  </si>
  <si>
    <t>主要sliceとACL・鮮度・削除試験が合格。</t>
  </si>
  <si>
    <t>B4-01,B3-08</t>
  </si>
  <si>
    <t>S061,S070,S072</t>
  </si>
  <si>
    <t>P3-16</t>
  </si>
  <si>
    <t>B4-04</t>
  </si>
  <si>
    <t>行動品質</t>
  </si>
  <si>
    <t>Agent完了・副作用・停止の評価</t>
  </si>
  <si>
    <t>最終成果と状態変化を検証し、権限、承認、二重実行、再開、予算超過、ツール障害を評価する。</t>
  </si>
  <si>
    <t>Agent trajectory評価</t>
  </si>
  <si>
    <t>R11, R13, R04</t>
  </si>
  <si>
    <t>成果物の実状態と危険行動・停止を検証。</t>
  </si>
  <si>
    <t>B4-01,B3-11</t>
  </si>
  <si>
    <t>S065,S070,S099</t>
  </si>
  <si>
    <t>U01,W05,W12</t>
  </si>
  <si>
    <t>https://www.anthropic.com/engineering/demystifying-evals-for-ai-agents
https://genai.owasp.org/resource/a-practical-guide-for-secure-mcp-server-development/</t>
  </si>
  <si>
    <t>B4-05</t>
  </si>
  <si>
    <t>安全性</t>
  </si>
  <si>
    <t>安全・公平性・誤信頼・透明性</t>
  </si>
  <si>
    <t>用途の危害を基に重大失敗、属性/言語等の重要slice、根拠・限界表示を確認する。0件観測をリスク0とは扱わない。</t>
  </si>
  <si>
    <t>Responsible AI評価</t>
  </si>
  <si>
    <t>R11, R04, R05</t>
  </si>
  <si>
    <t>危害とサンプル限界、未解決リスクが明記。</t>
  </si>
  <si>
    <t>S071,S072,S095</t>
  </si>
  <si>
    <t>P2-16,P3-17</t>
  </si>
  <si>
    <t>U01,W10</t>
  </si>
  <si>
    <t>https://www.nist.gov/publications/artificial-intelligence-risk-management-framework-generative-artificial-intelligence</t>
  </si>
  <si>
    <t>B4-06</t>
  </si>
  <si>
    <t>Security</t>
  </si>
  <si>
    <t>二境界の攻撃・漏洩・供給網試験</t>
  </si>
  <si>
    <t>製品AIと開発Agent双方に対し、注入、Tool改ざん、機密取得、権限回避、外部送信を許可された試験環境で確認する。</t>
  </si>
  <si>
    <t>Security・Red Team報告</t>
  </si>
  <si>
    <t>R13, R11</t>
  </si>
  <si>
    <t>重大権限逸脱・秘密漏洩が未解決なら公開停止。</t>
  </si>
  <si>
    <t>B4-01,B2-07,B3-18</t>
  </si>
  <si>
    <t>S043,S044,S078</t>
  </si>
  <si>
    <t>B4-07</t>
  </si>
  <si>
    <t>Privacy</t>
  </si>
  <si>
    <t>実データフロー・削除・規約整合確認</t>
  </si>
  <si>
    <t>設定と契約・表示が一致するか、ログ、評価、サブプロセサ、国外処理、削除・保持、利用者権利を実際の経路で確認する。</t>
  </si>
  <si>
    <t>Privacy Gate最終確認</t>
  </si>
  <si>
    <t>R14, R10, R13</t>
  </si>
  <si>
    <t>未承認送信・用途外利用がなく証拠がある。</t>
  </si>
  <si>
    <t>B4-01,B1-04,B3-19</t>
  </si>
  <si>
    <t>P3-14,P3-18</t>
  </si>
  <si>
    <t>B4-08</t>
  </si>
  <si>
    <t>信頼性</t>
  </si>
  <si>
    <t>負荷・障害・再試行・費用評価</t>
  </si>
  <si>
    <t>ピーク、遅延、Provider障害、レート制限、繰り返し呼出し、容量枯渇を検証し、SLOと原価上限を確認する。</t>
  </si>
  <si>
    <t>負荷・障害・費用報告</t>
  </si>
  <si>
    <t>R12, R11, R15</t>
  </si>
  <si>
    <t>SLO、cost/success、縮退の合否と観測条件がある。</t>
  </si>
  <si>
    <t>B4-01,B3-15</t>
  </si>
  <si>
    <t>S023,S029,S045,S050</t>
  </si>
  <si>
    <t>P3-19</t>
  </si>
  <si>
    <t>B4-09</t>
  </si>
  <si>
    <t>利用者タスク・アクセシビリティ評価</t>
  </si>
  <si>
    <t>代表ユーザーで完了率、理解、過信、承認負担、手動移管を検証する。社内デモの好評だけを成功としない。</t>
  </si>
  <si>
    <t>ユーザー受入・UX評価</t>
  </si>
  <si>
    <t>R05, R11, R04</t>
  </si>
  <si>
    <t>重要な業務フローと例外を利用者が遂行できる。</t>
  </si>
  <si>
    <t>B4-01,B3-13</t>
  </si>
  <si>
    <t>S021,S095,S096</t>
  </si>
  <si>
    <t>P2-14,P3-19</t>
  </si>
  <si>
    <t>B4-10</t>
  </si>
  <si>
    <t>採算</t>
  </si>
  <si>
    <t>価格・課金・単位経済性の検証</t>
  </si>
  <si>
    <t>請求照合、成功単位原価、CS負荷、無料枠の悪用、粗利のシナリオを評価する。利益とキャッシュ、余力を分離する。</t>
  </si>
  <si>
    <t>採算・課金評価</t>
  </si>
  <si>
    <t>R15, R11, R16</t>
  </si>
  <si>
    <t>決済・返金・原価計算と継続投資条件を確認。</t>
  </si>
  <si>
    <t>B4-08,B3-14</t>
  </si>
  <si>
    <t>S010,S083,S091,S093</t>
  </si>
  <si>
    <t>P2-15</t>
  </si>
  <si>
    <t>B4-11</t>
  </si>
  <si>
    <t>復旧</t>
  </si>
  <si>
    <t>停止・復旧・移管のリハーサル</t>
  </si>
  <si>
    <t>モデル・索引・Tool・スキーマの整合を含め、停止・復旧・手動代替を演習する。不可逆な外部副作用は補償手順で扱う。</t>
  </si>
  <si>
    <t>復旧演習・RTO/RPO実績</t>
  </si>
  <si>
    <t>R12, R13, R17</t>
  </si>
  <si>
    <t>権限者が手順で復旧でき、再実行事故を防ぐ。</t>
  </si>
  <si>
    <t>B4-01,B3-19</t>
  </si>
  <si>
    <t>S048,S049,S080</t>
  </si>
  <si>
    <t>B4-12</t>
  </si>
  <si>
    <t>運用準備</t>
  </si>
  <si>
    <t>Service Owner・当番・CS・通知確認</t>
  </si>
  <si>
    <t>運用権限、当番、アラート、エスカレーション、顧客通知、サポート時間、費用負担を確定する。</t>
  </si>
  <si>
    <t>運用Ready Check</t>
  </si>
  <si>
    <t>R18, R12, R17</t>
  </si>
  <si>
    <t>稼働後の責任・連絡・予算・停止条件が成立。</t>
  </si>
  <si>
    <t>B3-20,B4-11</t>
  </si>
  <si>
    <t>S046,S051,S089,S102</t>
  </si>
  <si>
    <t>P3-25,P3-26</t>
  </si>
  <si>
    <t>B4-13</t>
  </si>
  <si>
    <t>独立合否</t>
  </si>
  <si>
    <t>評価報告・残存リスク・公開勧告</t>
  </si>
  <si>
    <t>各指標、重大失敗、法務、安全、未解決事項を統合する。採点AIや実装担当だけで最終合否を確定しない。</t>
  </si>
  <si>
    <t>独立品質判定</t>
  </si>
  <si>
    <t>適用機能の必須評価を30へ列挙し、評価Run・Manifest・独立判定を照合。RAG/Agent未使用は承認済み対象外だけを許容。</t>
  </si>
  <si>
    <t>B4-02,B4-03,B4-04,B4-05,B4-06,B4-07,B4-08,B4-09</t>
  </si>
  <si>
    <t>S070,S077,S081</t>
  </si>
  <si>
    <t>P2-12,P3-19</t>
  </si>
  <si>
    <t>B4-14</t>
  </si>
  <si>
    <t>Release Candidate・本番公開承認</t>
  </si>
  <si>
    <t>品質・安全・法務・運用・採算・公開範囲を確認し、Service Ownerが公開可否を承認する。重大度に応じ事業責任者のリスク受容を添付する。</t>
  </si>
  <si>
    <t>G3 Release判断記録</t>
  </si>
  <si>
    <t>R03, R18</t>
  </si>
  <si>
    <t>対象RC、独立合否、監視・停止・復旧条件を承認。</t>
  </si>
  <si>
    <t>B4-13,B4-10,B4-12</t>
  </si>
  <si>
    <t>S048,S077,S081</t>
  </si>
  <si>
    <t>P3-26</t>
  </si>
  <si>
    <t>B4-15</t>
  </si>
  <si>
    <t>段階公開</t>
  </si>
  <si>
    <t>限定公開・canary・実利用確認</t>
  </si>
  <si>
    <t>承認済み範囲にのみ展開し、露出、停止条件、比較対象、データ利用を守る。実利用で危害が見えたら速度より停止を優先する。</t>
  </si>
  <si>
    <t>限定公開・計測記録</t>
  </si>
  <si>
    <t>R12, R02, R11</t>
  </si>
  <si>
    <t>展開量、期間、品質・事故・原価と判断が残る。</t>
  </si>
  <si>
    <t>S048,S074,S087</t>
  </si>
  <si>
    <t>P3-22,P4-18</t>
  </si>
  <si>
    <t>B4-16</t>
  </si>
  <si>
    <t>市場投入</t>
  </si>
  <si>
    <t>ローンチ・価格・営業・導入開始</t>
  </si>
  <si>
    <t>技術公開と営業公開を分け、利用条件、課金、導入、サポート、告知の準備を確認して販売・利用を開始する。</t>
  </si>
  <si>
    <t>Launch記録</t>
  </si>
  <si>
    <t>承認された機能・価格・限界と提供実態が一致。</t>
  </si>
  <si>
    <t>B4-15,B4-10,B4-12</t>
  </si>
  <si>
    <t>S083,S085,S089,S013</t>
  </si>
  <si>
    <t>B4-17</t>
  </si>
  <si>
    <t>移行</t>
  </si>
  <si>
    <t>初期実績・運用移管・残件の引継ぎ</t>
  </si>
  <si>
    <t>初期利用、障害、継続率、手動負荷、費用を確認し、残件と変更候補を運用バックログに移す。納品検収で責任を終了しない。</t>
  </si>
  <si>
    <t>初期レビュー・運用引継ぎ</t>
  </si>
  <si>
    <t>R18, R02, R03</t>
  </si>
  <si>
    <t>本番Ownerと次のG4日、残件責任者が決定。</t>
  </si>
  <si>
    <t>B4-15,B4-16</t>
  </si>
  <si>
    <t>S011,S046,S089</t>
  </si>
  <si>
    <t>P3-27,P4-01</t>
  </si>
  <si>
    <t>B5-01</t>
  </si>
  <si>
    <t>継続運営</t>
  </si>
  <si>
    <t>サービス責任・予算・運用体制維持</t>
  </si>
  <si>
    <t>運用、品質、法務、当番、問い合わせ、予算の責任を更新する。変更・休暇・退職時にも承認と停止権限を維持する。</t>
  </si>
  <si>
    <t>運用RACI・予算</t>
  </si>
  <si>
    <t>R18, R03</t>
  </si>
  <si>
    <t>実名と代行、契約、SLO、運営費が最新。</t>
  </si>
  <si>
    <t>S006,S023,S046</t>
  </si>
  <si>
    <t>観測・triage・修正PRを支援。read-onlyを基本に事故・変更・投資は人が判断。</t>
  </si>
  <si>
    <t>P4-01,P4-02</t>
  </si>
  <si>
    <t>B5-02</t>
  </si>
  <si>
    <t>価値監視</t>
  </si>
  <si>
    <t>業務成果・ファネル・継続率</t>
  </si>
  <si>
    <t>顧客セグメントとコホートごとに価値到達、完了、継続、転換、解約理由を観測する。登録数や生成量だけを成果としない。</t>
  </si>
  <si>
    <t>事業KPI Dashboard</t>
  </si>
  <si>
    <t>R15, R02</t>
  </si>
  <si>
    <t>定義と分母が一定で、品質・安全指標と併読。</t>
  </si>
  <si>
    <t>S009,S086,S090</t>
  </si>
  <si>
    <t>P4-19</t>
  </si>
  <si>
    <t>B5-03</t>
  </si>
  <si>
    <t>SLO・error budget・負荷監視</t>
  </si>
  <si>
    <t>可用性、遅延、エラー、容量、Provider状態を監視し、error budget悪化時には変更速度を調整する。</t>
  </si>
  <si>
    <t>SLO運営記録</t>
  </si>
  <si>
    <t>R12</t>
  </si>
  <si>
    <t>検知・応答・停止・復旧の実績を記録。</t>
  </si>
  <si>
    <t>S023,S045,S049</t>
  </si>
  <si>
    <t>P4-06,P4-11</t>
  </si>
  <si>
    <t>B5-04</t>
  </si>
  <si>
    <t>品質監視</t>
  </si>
  <si>
    <t>実利用AI性能・危害・介入率</t>
  </si>
  <si>
    <t>新しい利用分布の失敗と重大事象、手動介入、tool failureを観測する。利用ログの評価転用は権利・目的を確認する。</t>
  </si>
  <si>
    <t>Online Eval・失敗分類</t>
  </si>
  <si>
    <t>R11, R08, R17</t>
  </si>
  <si>
    <t>閾値違反と重要slice、ラベル遅延を記録。</t>
  </si>
  <si>
    <t>S068,S070,S073</t>
  </si>
  <si>
    <t>P4-08</t>
  </si>
  <si>
    <t>B5-05</t>
  </si>
  <si>
    <t>データ運用</t>
  </si>
  <si>
    <t>鮮度・lineage・品質・削除伝播</t>
  </si>
  <si>
    <t>schema、欠損、drift、文書更新、権限変更、保持期限を監視する。索引・キャッシュ・評価データまで修正・削除を伝播する。</t>
  </si>
  <si>
    <t>Data運用・削除証跡</t>
  </si>
  <si>
    <t>品質違反と派生物処理の証拠がある。</t>
  </si>
  <si>
    <t>S056,S073,S080</t>
  </si>
  <si>
    <t>P4-07,P4-16</t>
  </si>
  <si>
    <t>B5-06</t>
  </si>
  <si>
    <t>費用運用</t>
  </si>
  <si>
    <t>原価・課金・粗利・異常利用監視</t>
  </si>
  <si>
    <t>顧客・機能別のAI費、成功率、再試行、人手処理、CSを含め原価を追う。費用急増時はレート制御・縮退し課金を照合する。</t>
  </si>
  <si>
    <t>Unit Economics・費用Alert</t>
  </si>
  <si>
    <t>R15, R12</t>
  </si>
  <si>
    <t>成功単位原価と価格、請求、予算差を説明可能。</t>
  </si>
  <si>
    <t>B5-07</t>
  </si>
  <si>
    <t>CS</t>
  </si>
  <si>
    <t>サポート・苦情・救済・導入改善</t>
  </si>
  <si>
    <t>誤回答、取引影響、情報漏洩疑いを通常質問と区別し、エスカレーション・返金・訂正・人への移管を行う。</t>
  </si>
  <si>
    <t>CSケース・救済記録</t>
  </si>
  <si>
    <t>R17, R02</t>
  </si>
  <si>
    <t>SLAと重大度、再発防止、顧客通知が記録。</t>
  </si>
  <si>
    <t>S089,S102,S095</t>
  </si>
  <si>
    <t>B5-08</t>
  </si>
  <si>
    <t>事故</t>
  </si>
  <si>
    <t>検知・封じ込め・安全停止</t>
  </si>
  <si>
    <t>危害・漏洩・誤操作・Provider障害を判定し、停止、権限失効、手動対応、関係者通知を行う。運用Agentは事前承認された範囲だけ動作させる。</t>
  </si>
  <si>
    <t>Incident・封じ込め記録</t>
  </si>
  <si>
    <t>影響・対象版・措置・時刻・通知判断を保全。</t>
  </si>
  <si>
    <t>S046,S048,S078,S102</t>
  </si>
  <si>
    <t>P4-11,P4-13</t>
  </si>
  <si>
    <t>B5-09</t>
  </si>
  <si>
    <t>RCA・再発防止・評価還流</t>
  </si>
  <si>
    <t>責任追及でなく構造要因を調査し、再現ケースを回帰・制約・Skill・Runbookへ戻す。個人情報の取扱いを守る。</t>
  </si>
  <si>
    <t>Postmortem・修正Issue</t>
  </si>
  <si>
    <t>R12, R11, R08</t>
  </si>
  <si>
    <t>根本原因、対策Owner、期限、再発検知がある。</t>
  </si>
  <si>
    <t>条件:事故・重大失敗</t>
  </si>
  <si>
    <t>S047,S051,S072,S097</t>
  </si>
  <si>
    <t>P4-12,P4-14</t>
  </si>
  <si>
    <t>B5-10</t>
  </si>
  <si>
    <t>外部依存</t>
  </si>
  <si>
    <t>モデルEOL・規約・料金・地域の監視</t>
  </si>
  <si>
    <t>Providerの版・廃止・規約・処理先・料金変更を追い、代替手段、再契約、再評価を計画する。</t>
  </si>
  <si>
    <t>依存台帳更新・変更Issue</t>
  </si>
  <si>
    <t>R20, R08, R14</t>
  </si>
  <si>
    <t>変更通知、影響、期限、対応責任者がある。</t>
  </si>
  <si>
    <t>S014,S094,S081</t>
  </si>
  <si>
    <t>P4-10</t>
  </si>
  <si>
    <t>B5-11</t>
  </si>
  <si>
    <t>保守</t>
  </si>
  <si>
    <t>脆弱性・パッチ・容量・復旧維持</t>
  </si>
  <si>
    <t>コード、依存、基盤、秘密情報、バックアップを継続保守する。AI更新だけを運用保守とみなさない。</t>
  </si>
  <si>
    <t>保守・復旧テスト</t>
  </si>
  <si>
    <t>脆弱性、復旧訓練、失効と監査が維持。</t>
  </si>
  <si>
    <t>S049,S033,S036</t>
  </si>
  <si>
    <t>P4-05,P4-10</t>
  </si>
  <si>
    <t>B5-12</t>
  </si>
  <si>
    <t>変更</t>
  </si>
  <si>
    <t>Major Change判定・再ゲート</t>
  </si>
  <si>
    <t>モデル、prompt、学習、corpus、tool、権限、用途、国、データ、送信先、SLO、評価閾値の変更を影響評価する。</t>
  </si>
  <si>
    <t>変更判定・再審査範囲</t>
  </si>
  <si>
    <t>R03, R11, R13, R14</t>
  </si>
  <si>
    <t>通常/重大/緊急を分類し戻るGateを承認。</t>
  </si>
  <si>
    <t>S027,S080,S081</t>
  </si>
  <si>
    <t>P4-04,P4-15</t>
  </si>
  <si>
    <t>B5-13</t>
  </si>
  <si>
    <t>継続探索</t>
  </si>
  <si>
    <t>フィードバック・機会・実験の更新</t>
  </si>
  <si>
    <t>顧客の未解決課題と悪化指標から次の仮説を作り、機能追加だけでなく停止・統合・非AI化を候補にする。</t>
  </si>
  <si>
    <t>Discovery backlog</t>
  </si>
  <si>
    <t>R02, R05, R17</t>
  </si>
  <si>
    <t>仮説・反証・検証費用で優先順位付け。</t>
  </si>
  <si>
    <t>B5-02,B5-04,B5-07</t>
  </si>
  <si>
    <t>S082,S087,S104</t>
  </si>
  <si>
    <t>P4-19,P4-20</t>
  </si>
  <si>
    <t>B5-14</t>
  </si>
  <si>
    <t>Growth</t>
  </si>
  <si>
    <t>価格・導入・継続の実験</t>
  </si>
  <si>
    <t>適法で安全な範囲で価格、導線、教育、機能を比較する。品質・差別的影響・過大請求のguardrailと中止条件を設ける。</t>
  </si>
  <si>
    <t>Growth実験・判断</t>
  </si>
  <si>
    <t>R16, R15, R02</t>
  </si>
  <si>
    <t>対象コホートと期間、悪化条件、効果限界を記録。</t>
  </si>
  <si>
    <t>条件:成長実験</t>
  </si>
  <si>
    <t>B5-13,B5-06</t>
  </si>
  <si>
    <t>S083,S086,S087,S090</t>
  </si>
  <si>
    <t>B5-15</t>
  </si>
  <si>
    <t>更新</t>
  </si>
  <si>
    <t>再学習・RAG更新の採否とデータ準備</t>
  </si>
  <si>
    <t>driftや新規需要の原因を調べ、データ修正・検索改善・学習等を比較する。自動再学習を常に正解としない。</t>
  </si>
  <si>
    <t>更新仮説・データ許可</t>
  </si>
  <si>
    <t>R08, R09, R10</t>
  </si>
  <si>
    <t>更新根拠、権利、分割、費用、停止条件がある。</t>
  </si>
  <si>
    <t>条件:学習・RAG更新</t>
  </si>
  <si>
    <t>B5-04,B5-05,B5-12</t>
  </si>
  <si>
    <t>S056,S066,S073</t>
  </si>
  <si>
    <t>P4-16</t>
  </si>
  <si>
    <t>B5-16</t>
  </si>
  <si>
    <t>更新評価</t>
  </si>
  <si>
    <t>Champion/Challenger・回帰・独立評価</t>
  </si>
  <si>
    <t>新旧を同条件で比較し、品質・安全・費用・互換を再評価する。必要に応じ要件・設計Gateへ戻る。</t>
  </si>
  <si>
    <t>変更評価・RC</t>
  </si>
  <si>
    <t>対象版、重大失敗、slice、費用の差分を確認。</t>
  </si>
  <si>
    <t>条件:変更</t>
  </si>
  <si>
    <t>S068,S074,S077</t>
  </si>
  <si>
    <t>P4-17</t>
  </si>
  <si>
    <t>B5-17</t>
  </si>
  <si>
    <t>更新公開</t>
  </si>
  <si>
    <t>承認済み段階配備・rollback</t>
  </si>
  <si>
    <t>変更の大きさに応じ承認し、監視付きで段階展開する。promptや権限変更も構成変更として扱う。</t>
  </si>
  <si>
    <t>変更Release記録</t>
  </si>
  <si>
    <t>R12, R18</t>
  </si>
  <si>
    <t>再評価、承認、展開、停止条件、復旧先が連結。</t>
  </si>
  <si>
    <t>S048,S080,S081</t>
  </si>
  <si>
    <t>P4-18</t>
  </si>
  <si>
    <t>B5-18</t>
  </si>
  <si>
    <t>開発改善</t>
  </si>
  <si>
    <t>Harness・Skill・標準の保守</t>
  </si>
  <si>
    <t>定期・依存変更・評価劣化・事故を区別して34でRunを起票。事故起因はインシデントとB5-09のレビューを関連付け、通常保守は事故発生を待たない。版・次回期限・回帰を記録。</t>
  </si>
  <si>
    <t>更新済み開発標準</t>
  </si>
  <si>
    <t>R06, R11, R13</t>
  </si>
  <si>
    <t>互換・回帰・Owner・廃止期限が管理済。</t>
  </si>
  <si>
    <t>S076,S097,S098,S100</t>
  </si>
  <si>
    <t>P4-03,P4-21</t>
  </si>
  <si>
    <t>U01,W06,W14</t>
  </si>
  <si>
    <t>https://openai.com/index/harness-engineering/
https://agentskills.io/specification</t>
  </si>
  <si>
    <t>B5-19</t>
  </si>
  <si>
    <t>能力・生産性</t>
  </si>
  <si>
    <t>スキル育成・同等品質の効果再計測</t>
  </si>
  <si>
    <t>タスク種別・リスク・コード基盤ごとに効果を測り、レビュー待ちや手戻りを含めて体制を調整する。生成コード率を人事評価に使わない。</t>
  </si>
  <si>
    <t>能力・AI効果レビュー</t>
  </si>
  <si>
    <t>R03, R06, R15</t>
  </si>
  <si>
    <t>証拠に基づく能力差分と投資・教育計画がある。</t>
  </si>
  <si>
    <t>S079,S088,S106</t>
  </si>
  <si>
    <t>P4-03,P4-19</t>
  </si>
  <si>
    <t>B5-20</t>
  </si>
  <si>
    <t>保証</t>
  </si>
  <si>
    <t>法令・Security・Privacy定期再判定</t>
  </si>
  <si>
    <t>法域、役割、利用用途、データ経路、規約、権限を定期・変更時に再確認し、例外期限と残存リスクを更新する。</t>
  </si>
  <si>
    <t>適用・例外レビュー</t>
  </si>
  <si>
    <t>R13, R14, R10</t>
  </si>
  <si>
    <t>期限切れ例外を検知し、再承認又は是正。</t>
  </si>
  <si>
    <t>B5-10,B5-12</t>
  </si>
  <si>
    <t>S002,S003,S017,S081</t>
  </si>
  <si>
    <t>P4-02,P4-10</t>
  </si>
  <si>
    <t>U01,W01,W02,W03,W15</t>
  </si>
  <si>
    <t>https://www.meti.go.jp/shingikai/mono_info_service/ai_shakai_jisso/
https://www.ppc.go.jp/personalinfo/legal/guidelines_anonymous/
https://www.ppc.go.jp/personalinfo/legal/guidelines_offshore/
https://digital-strategy.ec.europa.eu/en/news/ai-omnibus-enters-force</t>
  </si>
  <si>
    <t>B5-21</t>
  </si>
  <si>
    <t>Scale/Continue/Pivot/Stop判断</t>
  </si>
  <si>
    <t>需要、価値、継続、安全、採算、資金、残存不確実性で拡大・継続・転換・縮小・停止を決める。未検証を成功扱いしない。</t>
  </si>
  <si>
    <t>G4投資判断</t>
  </si>
  <si>
    <t>R02, R15, R18</t>
  </si>
  <si>
    <t>判断根拠、予算、期間、再評価条件、責任者がある。</t>
  </si>
  <si>
    <t>B5-02,B5-04,B5-06,B5-20</t>
  </si>
  <si>
    <t>S011,S081,S104</t>
  </si>
  <si>
    <t>P4-20</t>
  </si>
  <si>
    <t>B5-22</t>
  </si>
  <si>
    <t>拡張</t>
  </si>
  <si>
    <t>新市場・用途・自律度拡大の再計画</t>
  </si>
  <si>
    <t>利用者・地域・新しい個人情報・Agent権限の拡大は重大変更として企画・要件へ戻す。売上圧力で既存承認を流用しない。</t>
  </si>
  <si>
    <t>新Initiative・再Gate計画</t>
  </si>
  <si>
    <t>R02, R14, R13</t>
  </si>
  <si>
    <t>新たな危害、法令、評価母集団、投資を判定。</t>
  </si>
  <si>
    <t>条件:拡大・Pivot</t>
  </si>
  <si>
    <t>S002,S081,S085</t>
  </si>
  <si>
    <t>U01,W15</t>
  </si>
  <si>
    <t>https://digital-strategy.ec.europa.eu/en/news/ai-omnibus-enters-force</t>
  </si>
  <si>
    <t>B5-23</t>
  </si>
  <si>
    <t>出口</t>
  </si>
  <si>
    <t>縮小・廃止・移管計画の起動</t>
  </si>
  <si>
    <t>継続条件未達、許容できないリスク、代替移行、Provider終了時には終了計画を開始する。利用者保護と保存義務を優先する。</t>
  </si>
  <si>
    <t>廃止Initiative</t>
  </si>
  <si>
    <t>R18, R02, R14</t>
  </si>
  <si>
    <t>停止理由、対象、移行・通知・保存責任がある。</t>
  </si>
  <si>
    <t>条件:停止・廃止</t>
  </si>
  <si>
    <t>S080,S103,S104</t>
  </si>
  <si>
    <t>P4-22</t>
  </si>
  <si>
    <t>B5-24</t>
  </si>
  <si>
    <t>事業資産</t>
  </si>
  <si>
    <t>知見・原則・再利用資産の蓄積</t>
  </si>
  <si>
    <t>成功・失敗の仮説、解決、結果、適用限界を記録し、再利用可能な評価・Skill・設計原則として整理する。</t>
  </si>
  <si>
    <t>Learning log・再利用台帳</t>
  </si>
  <si>
    <t>R02, R06, R11</t>
  </si>
  <si>
    <t>転用可能条件と反証が残り、機密権利を維持。</t>
  </si>
  <si>
    <t>B5-13,B5-19</t>
  </si>
  <si>
    <t>S051,S097,S104</t>
  </si>
  <si>
    <t>B6-01</t>
  </si>
  <si>
    <t>終了統制</t>
  </si>
  <si>
    <t>廃止範囲・日程・責任の承認</t>
  </si>
  <si>
    <t>任意のGateのStop又は承認済み終了判断を開始イベントとし、終了対象を確定する。G0/G1/G2で中止した検証もデータ・APIキー・環境・契約・請求を閉じる。運用開始を前提にしない。</t>
  </si>
  <si>
    <t>廃止計画</t>
  </si>
  <si>
    <t>17/34の開始根拠にStopのGateRunを記録。実在する利用者・資産・契約だけを22へ列挙し、通知・移行の非適用は理由承認。</t>
  </si>
  <si>
    <t>条件:廃止</t>
  </si>
  <si>
    <t>S080,S103</t>
  </si>
  <si>
    <t>資産列挙・照合を支援。実削除・失効・請求停止を人と機械で検証。</t>
  </si>
  <si>
    <t>B6-02</t>
  </si>
  <si>
    <t>利用者保護</t>
  </si>
  <si>
    <t>顧客・社内利用者への通知と移行</t>
  </si>
  <si>
    <t>通知期間、代替、データ出力、未完取引、返金、問い合わせを処理する。契約・法令上の条件を法務が確認する。</t>
  </si>
  <si>
    <t>通知・移行記録</t>
  </si>
  <si>
    <t>R17, R16, R14</t>
  </si>
  <si>
    <t>対象利用者への通知と未完案件の扱いが記録。</t>
  </si>
  <si>
    <t>S089,S102,S103</t>
  </si>
  <si>
    <t>B6-03</t>
  </si>
  <si>
    <t>資産棚卸し</t>
  </si>
  <si>
    <t>データ・モデル・Tool・アカウント一覧</t>
  </si>
  <si>
    <t>DB、索引、vector、cache、log、評価、backup、学習済み資産、API、MCP、OAuth、課金を棚卸しする。</t>
  </si>
  <si>
    <t>終了対象資産台帳</t>
  </si>
  <si>
    <t>R09, R12, R20</t>
  </si>
  <si>
    <t>所有者、処理方法、検証責任者が揃う。</t>
  </si>
  <si>
    <t>S031,S080,S094,S103</t>
  </si>
  <si>
    <t>B6-04</t>
  </si>
  <si>
    <t>保存・削除</t>
  </si>
  <si>
    <t>保持義務・保全・削除・学習資産判断</t>
  </si>
  <si>
    <t>保持すべき記録を隔離し、不要データと派生物を削除する。学習済み重みは原データ削除で自動消去されないため、廃棄・再学習等を個別判断する。</t>
  </si>
  <si>
    <t>Retention/Deletion記録</t>
  </si>
  <si>
    <t>R10, R09, R14</t>
  </si>
  <si>
    <t>保存理由・期限・権限と削除証跡がある。</t>
  </si>
  <si>
    <t>S003,S036,S066,S103</t>
  </si>
  <si>
    <t>B6-05</t>
  </si>
  <si>
    <t>権限終了</t>
  </si>
  <si>
    <t>APIキー・MCP・OAuth・IDの失効</t>
  </si>
  <si>
    <t>画面閉鎖だけで終えず、Service Account、接続、token、webhook、ネットワーク経路を失効する。</t>
  </si>
  <si>
    <t>権限・接続終了証拠</t>
  </si>
  <si>
    <t>R13, R12</t>
  </si>
  <si>
    <t>失効後の拒否試験と所有者確認が完了。</t>
  </si>
  <si>
    <t>S037,S078,S080</t>
  </si>
  <si>
    <t>B6-06</t>
  </si>
  <si>
    <t>実行停止</t>
  </si>
  <si>
    <t>推論・学習・バッチ・監視の停止</t>
  </si>
  <si>
    <t>定期ジョブ、Agent、データ取込、実験環境、キューを停止する。未完の副作用と安全な縮退先を確認する。</t>
  </si>
  <si>
    <t>サービス・ジョブ停止</t>
  </si>
  <si>
    <t>R12, R08, R09</t>
  </si>
  <si>
    <t>残存呼出し・計算資源・処理待ちが確認済。</t>
  </si>
  <si>
    <t>B6-02,B6-05</t>
  </si>
  <si>
    <t>S035,S048,S080</t>
  </si>
  <si>
    <t>B6-07</t>
  </si>
  <si>
    <t>契約・費用</t>
  </si>
  <si>
    <t>ベンダー解約・削除確認・請求停止</t>
  </si>
  <si>
    <t>通知、解約、再委託データ、削除証明、ライセンス、請求最終照合を行う。保全対象の保存費用も管理する。</t>
  </si>
  <si>
    <t>解約・精算・外部削除</t>
  </si>
  <si>
    <t>R20, R15, R14</t>
  </si>
  <si>
    <t>契約終了と請求停止、外部データ処理を確認。</t>
  </si>
  <si>
    <t>B6-03,B6-04</t>
  </si>
  <si>
    <t>S014,S094,S103</t>
  </si>
  <si>
    <t>B6-08</t>
  </si>
  <si>
    <t>独立検証</t>
  </si>
  <si>
    <t>削除・失効・移行の完了確認</t>
  </si>
  <si>
    <t>実行者の完了申告だけでなく、残存アクセス、データ、ジョブ、請求を別担当が確認する。backupは期限・復元時再削除を記録する。</t>
  </si>
  <si>
    <t>終了独立検証</t>
  </si>
  <si>
    <t>R11, R13, R10</t>
  </si>
  <si>
    <t>未処理資産のOwner・期限と完了証拠がある。</t>
  </si>
  <si>
    <t>B6-04,B6-05,B6-06,B6-07</t>
  </si>
  <si>
    <t>S077,S080,S103</t>
  </si>
  <si>
    <t>B6-09</t>
  </si>
  <si>
    <t>事業結果・投資・知見の振り返り</t>
  </si>
  <si>
    <t>当初仮説、実投資、実績、停止理由と学びを整理する。失敗を隠さず、再利用資産の権利・情報分類を確認する。</t>
  </si>
  <si>
    <t>事業終了レビュー</t>
  </si>
  <si>
    <t>R02, R15, R06</t>
  </si>
  <si>
    <t>価値・費用・機会損失と次への適用条件を記録。</t>
  </si>
  <si>
    <t>S010,S011,S104</t>
  </si>
  <si>
    <t>P4-20,P4-21</t>
  </si>
  <si>
    <t>B6-10</t>
  </si>
  <si>
    <t>廃止完了承認</t>
  </si>
  <si>
    <t>通知・移管、データ、権限、実行経路、契約・請求の証拠を確認する。保存義務で残る資産は期限付きOwnerを設ける。</t>
  </si>
  <si>
    <t>G5廃止判断記録</t>
  </si>
  <si>
    <t>廃止完了又は残条件が明確に承認される。</t>
  </si>
  <si>
    <t>B6-08,B6-09</t>
  </si>
  <si>
    <t>S001,S081,S103</t>
  </si>
  <si>
    <t>B6-11</t>
  </si>
  <si>
    <t>廃止後</t>
  </si>
  <si>
    <t>保持期限到来・残存請求の追跡</t>
  </si>
  <si>
    <t>保全データ、backup、遅延請求、外部削除証明の残件を期限まで追跡する。廃止後も最終責任者を置く。</t>
  </si>
  <si>
    <t>廃止後残件・最終閉鎖</t>
  </si>
  <si>
    <t>R18, R10, R15</t>
  </si>
  <si>
    <t>全残件の処理又は正当な継続保存を確認。</t>
  </si>
  <si>
    <t>条件:廃止後残件</t>
  </si>
  <si>
    <t>S003,S080,S103</t>
  </si>
  <si>
    <t>AIリスクTier・機能・適用判定</t>
  </si>
  <si>
    <t>T0〜T3は添付案の社内管理区分。製品AIと開発Agentを別々に判断し、法令上の分類は12で管理。</t>
  </si>
  <si>
    <t>Tier</t>
  </si>
  <si>
    <t>名称</t>
  </si>
  <si>
    <t>典型的な影響・用途</t>
  </si>
  <si>
    <t>評価・承認強度</t>
  </si>
  <si>
    <t>注意</t>
  </si>
  <si>
    <t>T0</t>
  </si>
  <si>
    <t>最小</t>
  </si>
  <si>
    <t>公開情報中心・限定された社内補助・重要判断/書込みなし</t>
  </si>
  <si>
    <t>実装者以外のpeer review＋回帰</t>
  </si>
  <si>
    <t>公開情報でも危害・権限によって上位へ</t>
  </si>
  <si>
    <t>T1</t>
  </si>
  <si>
    <t>通常</t>
  </si>
  <si>
    <t>顧客FAQ/RAG等。重要な判断や自律書込みなし</t>
  </si>
  <si>
    <t>実装から分離したEvaluator＋Frozen Set</t>
  </si>
  <si>
    <t>社内/小規模だからT0とはしない</t>
  </si>
  <si>
    <t>T2</t>
  </si>
  <si>
    <t>高</t>
  </si>
  <si>
    <t>個人情報・取引・外部書込み・金銭/契約等の影響</t>
  </si>
  <si>
    <t>独立QA/Safety、Security、Red Team、停止権</t>
  </si>
  <si>
    <t>個人情報の有無だけで法的分類と同一視しない</t>
  </si>
  <si>
    <t>T3</t>
  </si>
  <si>
    <t>重大</t>
  </si>
  <si>
    <t>生命・身体・権利の重大影響・規制業務・高度自律</t>
  </si>
  <si>
    <t>組織的独立性＋必要に応じ外部専門評価＋経営受容</t>
  </si>
  <si>
    <t>禁止用途はTierにかかわらず実施しない</t>
  </si>
  <si>
    <t>案件判定（両境界を記入）</t>
  </si>
  <si>
    <t>判定軸</t>
  </si>
  <si>
    <t>確認事項</t>
  </si>
  <si>
    <t>製品AI（入力）</t>
  </si>
  <si>
    <t>開発Agent（入力）</t>
  </si>
  <si>
    <t>根拠・承認URI（入力）</t>
  </si>
  <si>
    <t>確認状態</t>
  </si>
  <si>
    <t>対象と境界</t>
  </si>
  <si>
    <t>製品AI / 開発Agent / 評価AI / 運用Agentを区別</t>
  </si>
  <si>
    <t>未判定</t>
  </si>
  <si>
    <t>危害と対象者</t>
  </si>
  <si>
    <t>生命・権利・金銭・未成年・脆弱な利用者</t>
  </si>
  <si>
    <t>個人情報、機密、仮名/匿名、権利、外部送信</t>
  </si>
  <si>
    <t>自律度・副作用</t>
  </si>
  <si>
    <t>read-only、承認付き書込み、自律書込み、取り消し可能性</t>
  </si>
  <si>
    <t>Tool/MCP・委譲</t>
  </si>
  <si>
    <t>認可範囲、chain、ID、ネットワーク、秘密</t>
  </si>
  <si>
    <t>取得・配置</t>
  </si>
  <si>
    <t>外部API、ローカルモデル、クラウド、閉域</t>
  </si>
  <si>
    <t>RAG・学習</t>
  </si>
  <si>
    <t>RAG、GraphRAG、追加学習、自前学習、不要な複雑性</t>
  </si>
  <si>
    <t>地域・法的役割</t>
  </si>
  <si>
    <t>提供国、利用者、処理国、AI Act等のactor role</t>
  </si>
  <si>
    <t>残存リスク</t>
  </si>
  <si>
    <t>重大未対策、利用禁止、例外期限、停止方法</t>
  </si>
  <si>
    <t>確定Tier・承認</t>
  </si>
  <si>
    <t>根拠、A実名、日付、見直しトリガー</t>
  </si>
  <si>
    <t>機能判定：方式・配置・学習を独立に判定する（AR02/04）</t>
  </si>
  <si>
    <t>機能／境界</t>
  </si>
  <si>
    <t>採用判定</t>
  </si>
  <si>
    <t>具体的な実施形態</t>
  </si>
  <si>
    <t>必須評価・能力</t>
  </si>
  <si>
    <t>判断者</t>
  </si>
  <si>
    <t>承認URI</t>
  </si>
  <si>
    <t>検索拡張。API／ローカルを問わない</t>
  </si>
  <si>
    <t>B4-03、E03/E04、S061</t>
  </si>
  <si>
    <t>外部ツール操作。read-onlyも成否を評価</t>
  </si>
  <si>
    <t>B4-04、E05、S065</t>
  </si>
  <si>
    <t>子Agent</t>
  </si>
  <si>
    <t>親子委譲・共有状態がある場合</t>
  </si>
  <si>
    <t>14の親子試験。単独Agentには強制しない</t>
  </si>
  <si>
    <t>追加学習</t>
  </si>
  <si>
    <t>微調整／独自学習を行う場合</t>
  </si>
  <si>
    <t>データ来歴・学習／評価分離・重み処理</t>
  </si>
  <si>
    <t>外部API</t>
  </si>
  <si>
    <t>API型のモデル／評価／ログ送信</t>
  </si>
  <si>
    <t>認証・送信・レート・費用・切替</t>
  </si>
  <si>
    <t>自己ホスト</t>
  </si>
  <si>
    <t>モデルを自社管理の実行基盤で提供</t>
  </si>
  <si>
    <t>配備・容量・モデル権利・復元</t>
  </si>
  <si>
    <t>外部APIのみ</t>
  </si>
  <si>
    <t>RAG/Agentを自動適用しない</t>
  </si>
  <si>
    <t>S034/S035・送信判定。機能は別途判定</t>
  </si>
  <si>
    <t>ローカルRAG</t>
  </si>
  <si>
    <t>RAG=使用、自己ホスト=使用</t>
  </si>
  <si>
    <t>S061、B4-03、E03/E04は必要</t>
  </si>
  <si>
    <t>追加学習=使用</t>
  </si>
  <si>
    <t>S066等。RAGとは別の軸</t>
  </si>
  <si>
    <t>書込みAgent</t>
  </si>
  <si>
    <t>Agent=使用、書込みを03で高影響判定</t>
  </si>
  <si>
    <t>S065、B4-04/E05。小規模でも権限・復旧を省略しない</t>
  </si>
  <si>
    <t>規模とテーラリング｜人数・工数は案件で較正</t>
  </si>
  <si>
    <t>原稿の参考値を保存しつつ、実行予算・人数には自動転記しない。AI効果は実測後に反映する。</t>
  </si>
  <si>
    <t>区分</t>
  </si>
  <si>
    <t>適用の考え方</t>
  </si>
  <si>
    <t>具体的な運用</t>
  </si>
  <si>
    <t>留保・禁止する短絡</t>
  </si>
  <si>
    <t>参考構成</t>
  </si>
  <si>
    <t>機能1〜2、統合2〜4、外部基盤モデル中心</t>
  </si>
  <si>
    <t>文書を統合・兼務可。必要な評価独立性は残す</t>
  </si>
  <si>
    <t>添付のコア4〜6FTEとロール別合計は一致しないため自動人数採用しない</t>
  </si>
  <si>
    <t>複数機能、統合5〜10、RAG/限定Agent</t>
  </si>
  <si>
    <t>依存と共有基盤、QA/支援容量を明示</t>
  </si>
  <si>
    <t>個人情報や書込みは人数でなく危害により審査</t>
  </si>
  <si>
    <t>多事業・多地域・高影響・多数統合</t>
  </si>
  <si>
    <t>ポートフォリオ、チーム間依存、独立評価の仕組み</t>
  </si>
  <si>
    <t>大規模事前学習の研究/GPU費は別計画</t>
  </si>
  <si>
    <t>省略不可の原則</t>
  </si>
  <si>
    <t>責任・利用許可・安全境界・受入評価・公開判断</t>
  </si>
  <si>
    <t>不要な機能は除外可、必要な統制は代替証拠で維持</t>
  </si>
  <si>
    <t>法令や重大な品質停止条件を例外承認で無効化しない</t>
  </si>
  <si>
    <t>工程テーラリング</t>
  </si>
  <si>
    <t>適用 / 対象外 / 未判定を17で記録</t>
  </si>
  <si>
    <t>理由、代替、A、日付、変更トリガーが必要</t>
  </si>
  <si>
    <t>物理構成数の合理化と安全な境界の省略は別。本番秘密・データ・権限を開発Agentから分離し、必要な独立検証・復旧試験を確保。</t>
  </si>
  <si>
    <t>管理単位</t>
  </si>
  <si>
    <t>標準タスクは工程の枠、実行単位はIssue/Run</t>
  </si>
  <si>
    <t>反復は新しいIssue・評価Run・Release版を残す</t>
  </si>
  <si>
    <t>同じ評価記録を上書きして成功扱いしない</t>
  </si>
  <si>
    <t>添付原稿の参考工数（未較正・AI削減控除なし）</t>
  </si>
  <si>
    <t>S下限</t>
  </si>
  <si>
    <t>S上限</t>
  </si>
  <si>
    <t>M下限</t>
  </si>
  <si>
    <t>M上限</t>
  </si>
  <si>
    <t>L下限</t>
  </si>
  <si>
    <t>L上限</t>
  </si>
  <si>
    <t>単位・範囲</t>
  </si>
  <si>
    <t>人日／初期計画レンジ</t>
  </si>
  <si>
    <t>同上</t>
  </si>
  <si>
    <t>運用立上げ</t>
  </si>
  <si>
    <t>継続運用は含めない</t>
  </si>
  <si>
    <t>将来の一時作業。初期Buildと同一時期ではない</t>
  </si>
  <si>
    <t>継続運用/月</t>
  </si>
  <si>
    <t>L上限は原稿100+。100は上限保証ではない</t>
  </si>
  <si>
    <t>意思決定・RACI｜承認Aを一意にする</t>
  </si>
  <si>
    <t>R=実施責任、A=最終承認、C=必須相談、I=共有。実名と代行は06、承認の実記録は29へ。</t>
  </si>
  <si>
    <t>判断ID</t>
  </si>
  <si>
    <t>判断対象</t>
  </si>
  <si>
    <t>R</t>
  </si>
  <si>
    <t>A（原則1）</t>
  </si>
  <si>
    <t>C</t>
  </si>
  <si>
    <t>I</t>
  </si>
  <si>
    <t>判断時点</t>
  </si>
  <si>
    <t>必要な証拠・独立性</t>
  </si>
  <si>
    <t>D01</t>
  </si>
  <si>
    <t>探索・事業開始/投資</t>
  </si>
  <si>
    <t>R02,R03</t>
  </si>
  <si>
    <t>R15,R06,R14</t>
  </si>
  <si>
    <t>R18,R16</t>
  </si>
  <si>
    <t>G0/G1/G2</t>
  </si>
  <si>
    <t>仮説・予算・停止条件</t>
  </si>
  <si>
    <t>D02</t>
  </si>
  <si>
    <t>AI利用・Tier</t>
  </si>
  <si>
    <t>R02,R08</t>
  </si>
  <si>
    <t>R13,R14,R11</t>
  </si>
  <si>
    <t>R18,R20</t>
  </si>
  <si>
    <t>G0/G1・重大変更</t>
  </si>
  <si>
    <t>用途・危害・残存リスク</t>
  </si>
  <si>
    <t>D03</t>
  </si>
  <si>
    <t>個人データ・外国送信</t>
  </si>
  <si>
    <t>R13,R02</t>
  </si>
  <si>
    <t>R09,R08,R20</t>
  </si>
  <si>
    <t>取得・送信より前</t>
  </si>
  <si>
    <t>Data Flow・根拠・目的・条件</t>
  </si>
  <si>
    <t>D04</t>
  </si>
  <si>
    <t>Architecture/Harness</t>
  </si>
  <si>
    <t>R08,R09,R12,R13,R11</t>
  </si>
  <si>
    <t>R03,R18</t>
  </si>
  <si>
    <t>G2技術勧告</t>
  </si>
  <si>
    <t>独立レビュー証跡を添付</t>
  </si>
  <si>
    <t>D05</t>
  </si>
  <si>
    <t>評価合否</t>
  </si>
  <si>
    <t>R04,R13,R14</t>
  </si>
  <si>
    <t>R02,R18</t>
  </si>
  <si>
    <t>G3・重大変更</t>
  </si>
  <si>
    <t>Frozen Eval・grader・限界</t>
  </si>
  <si>
    <t>D06</t>
  </si>
  <si>
    <t>本番公開・停止/復旧</t>
  </si>
  <si>
    <t>R19,R13,R14,R02</t>
  </si>
  <si>
    <t>R01,R17,R16</t>
  </si>
  <si>
    <t>G3・変更公開</t>
  </si>
  <si>
    <t>品質合否・Runbook・対象版</t>
  </si>
  <si>
    <t>D07</t>
  </si>
  <si>
    <t>重大リスクの受容</t>
  </si>
  <si>
    <t>R19,R13,R14</t>
  </si>
  <si>
    <t>G3等</t>
  </si>
  <si>
    <t>不合格の上書きではない</t>
  </si>
  <si>
    <t>D08</t>
  </si>
  <si>
    <t>外部成果物受入</t>
  </si>
  <si>
    <t>R06,R11,R14</t>
  </si>
  <si>
    <t>契約別</t>
  </si>
  <si>
    <t>ここにだけ契約検収を置く</t>
  </si>
  <si>
    <t>D09</t>
  </si>
  <si>
    <t>Scale/Continue/Pivot/Stop</t>
  </si>
  <si>
    <t>R02,R15</t>
  </si>
  <si>
    <t>R18,R19,R16</t>
  </si>
  <si>
    <t>R03,R17</t>
  </si>
  <si>
    <t>価値・安全・継続・採算</t>
  </si>
  <si>
    <t>D10</t>
  </si>
  <si>
    <t>廃止完了</t>
  </si>
  <si>
    <t>R10,R13,R14,R19</t>
  </si>
  <si>
    <t>R17,R20</t>
  </si>
  <si>
    <t>削除・保全・失効・請求</t>
  </si>
  <si>
    <t>D11</t>
  </si>
  <si>
    <t>Skill公開・権限変更</t>
  </si>
  <si>
    <t>R07,R08</t>
  </si>
  <si>
    <t>R13,R11</t>
  </si>
  <si>
    <t>R03,R12</t>
  </si>
  <si>
    <t>Skill変更時</t>
  </si>
  <si>
    <t>供給網・回帰・実行Policy</t>
  </si>
  <si>
    <t>ロール・要員計画｜必要能力と実名・稼働を分離</t>
  </si>
  <si>
    <t>Roleは専任人数ではない。PersonIDで兼務を束ね、管理基準日時点の合計FTEを点検。期間全体の最大負荷は別途計画。</t>
  </si>
  <si>
    <t>Role ID</t>
  </si>
  <si>
    <t>ロール</t>
  </si>
  <si>
    <t>主要責任</t>
  </si>
  <si>
    <t>関与・判断</t>
  </si>
  <si>
    <t>兼務・独立性の注意</t>
  </si>
  <si>
    <t>中核Skill</t>
  </si>
  <si>
    <t>担当実名（入力）</t>
  </si>
  <si>
    <t>所属（入力）</t>
  </si>
  <si>
    <t>対象期間（入力）</t>
  </si>
  <si>
    <t>必要FTE（入力）</t>
  </si>
  <si>
    <t>割当FTE（入力）</t>
  </si>
  <si>
    <t>不足FTE</t>
  </si>
  <si>
    <t>代行（入力）</t>
  </si>
  <si>
    <t>補充/外部活用（入力）</t>
  </si>
  <si>
    <t>証拠URI（入力）</t>
  </si>
  <si>
    <t>PersonID</t>
  </si>
  <si>
    <t>配置開始</t>
  </si>
  <si>
    <t>配置終了</t>
  </si>
  <si>
    <t>当日合計FTE</t>
  </si>
  <si>
    <t>当人の当日上限FTE</t>
  </si>
  <si>
    <t>稼働点検</t>
  </si>
  <si>
    <t>Business Owner / Executive Sponsor</t>
  </si>
  <si>
    <t>事業P/L、段階投資、リスク受容、拡大・撤退</t>
  </si>
  <si>
    <t>G0/G1/G2/G4/G5。G3は重大リスク受容を支援</t>
  </si>
  <si>
    <t>評価の不合格や法的禁止を事業判断で上書きしない</t>
  </si>
  <si>
    <t>S008,S009,S010,S081,S104</t>
  </si>
  <si>
    <t>Product Manager / Product Owner</t>
  </si>
  <si>
    <t>顧客課題、価値、Product Goal、優先順位、UX受入</t>
  </si>
  <si>
    <t>企画〜運用の価値と要件の責任</t>
  </si>
  <si>
    <t>納期管理のPMと区別。事業・品質の自己承認を避ける</t>
  </si>
  <si>
    <t>S004,S009,S020,S082,S087</t>
  </si>
  <si>
    <t>R03</t>
  </si>
  <si>
    <t>Delivery PM / Project Manager</t>
  </si>
  <si>
    <t>計画、依存、予算枠、進捗、変更、承認証跡</t>
  </si>
  <si>
    <t>全工程の実行調整</t>
  </si>
  <si>
    <t>PdM兼務可。ただし事業仮説と実行進捗を混同しない</t>
  </si>
  <si>
    <t>S006,S016,S079,S106</t>
  </si>
  <si>
    <t>R04</t>
  </si>
  <si>
    <t>Domain SME</t>
  </si>
  <si>
    <t>業務正解、例外、誤りの被害、ラベル判断</t>
  </si>
  <si>
    <t>要件・評価・顧客業務</t>
  </si>
  <si>
    <t>実装者の期待に合わせて正解を変更しない</t>
  </si>
  <si>
    <t>S007,S019,S058,S071</t>
  </si>
  <si>
    <t>R05</t>
  </si>
  <si>
    <t>UX Research / Product Designer</t>
  </si>
  <si>
    <t>調査、Human-AI UX、利用者理解、アクセシビリティ</t>
  </si>
  <si>
    <t>探索〜利用定着</t>
  </si>
  <si>
    <t>ユーザー研究と営業の希望的解釈を分離</t>
  </si>
  <si>
    <t>S021,S032,S082,S095,S096</t>
  </si>
  <si>
    <t>Engineering Owner / Tech Lead</t>
  </si>
  <si>
    <t>技術設計、実装品質、Harness、技術投資</t>
  </si>
  <si>
    <t>G2技術勧告、実装と保守</t>
  </si>
  <si>
    <t>独立品質の最終判定はR19。少人数時は外部レビューを手配</t>
  </si>
  <si>
    <t>S030,S034,S076,S097,S100</t>
  </si>
  <si>
    <t>Application Engineer</t>
  </si>
  <si>
    <t>API、UI、業務ロジック、テスト、Tool実装</t>
  </si>
  <si>
    <t>設計・実装・保守</t>
  </si>
  <si>
    <t>AI生成物にも通常と同じ実装責任を負う</t>
  </si>
  <si>
    <t>S024,S037,S039,S040,S042</t>
  </si>
  <si>
    <t>R08</t>
  </si>
  <si>
    <t>AI / ML Engineer</t>
  </si>
  <si>
    <t>モデル選定、RAG、Agent、学習、AI評価・改善</t>
  </si>
  <si>
    <t>要件〜運用</t>
  </si>
  <si>
    <t>凍結評価セットをモデル調整に流用しない</t>
  </si>
  <si>
    <t>S054,S061,S064,S065,S068</t>
  </si>
  <si>
    <t>R09</t>
  </si>
  <si>
    <t>Data Engineer / Steward</t>
  </si>
  <si>
    <t>取得、品質、パイプライン、権限・削除伝播</t>
  </si>
  <si>
    <t>全データライフサイクル</t>
  </si>
  <si>
    <t>Data Ownerの利用許可を技術者判断で代替しない</t>
  </si>
  <si>
    <t>S025,S031,S055,S056,S080</t>
  </si>
  <si>
    <t>Data Owner</t>
  </si>
  <si>
    <t>データ利用目的、権利、品質、保存削除責任</t>
  </si>
  <si>
    <t>取得前から廃止後保全まで</t>
  </si>
  <si>
    <t>法的判断はR14。個人データ処理の根拠を残す</t>
  </si>
  <si>
    <t>S003,S055,S056,S103</t>
  </si>
  <si>
    <t>QA / AI Evaluation Engineer</t>
  </si>
  <si>
    <t>評価計画、独立セット、統計、回帰、敵対的評価</t>
  </si>
  <si>
    <t>要件から継続評価</t>
  </si>
  <si>
    <t>実装とは別に評価データを管理し、品質停止を勧告</t>
  </si>
  <si>
    <t>S052,S059,S067,S070,S077</t>
  </si>
  <si>
    <t>SRE / Platform Engineer</t>
  </si>
  <si>
    <t>基盤、監視、SLO、配備、復旧、費用計測</t>
  </si>
  <si>
    <t>設計〜廃止</t>
  </si>
  <si>
    <t>運用Agentも最小権限。重大な実行は承認対象</t>
  </si>
  <si>
    <t>S023,S033,S045,S048,S049</t>
  </si>
  <si>
    <t>Security Engineer / Authority</t>
  </si>
  <si>
    <t>脅威分析、権限、供給網、攻撃試験、事故</t>
  </si>
  <si>
    <t>全工程の技術セキュリティ</t>
  </si>
  <si>
    <t>セキュリティ停止条件を納期都合で解除しない</t>
  </si>
  <si>
    <t>S043,S044,S078,S099,S105</t>
  </si>
  <si>
    <t>Privacy / Legal Authority</t>
  </si>
  <si>
    <t>適用法、個人情報、知財、規約、越境、救済</t>
  </si>
  <si>
    <t>取得・外部送信前と公開・変更時</t>
  </si>
  <si>
    <t>法律解釈と社内推奨を区別。業法は専門家と判断</t>
  </si>
  <si>
    <t>S002,S003,S014,S015,S094</t>
  </si>
  <si>
    <t>R15</t>
  </si>
  <si>
    <t>Finance / Product Analyst / FinOps</t>
  </si>
  <si>
    <t>投資、KPI、分析、原価、価格検証、キャッシュ</t>
  </si>
  <si>
    <t>企画〜事業終了</t>
  </si>
  <si>
    <t>能力余力を現金削減に足さない。費用の二重計上を防ぐ</t>
  </si>
  <si>
    <t>S010,S012,S050,S090,S093</t>
  </si>
  <si>
    <t>R16</t>
  </si>
  <si>
    <t>GTM / Marketing / Sales</t>
  </si>
  <si>
    <t>市場投入、獲得、価格、販売、導入パートナー</t>
  </si>
  <si>
    <t>企画・Launch・Growth</t>
  </si>
  <si>
    <t>公開機能と実証結果以上の効能を宣伝しない</t>
  </si>
  <si>
    <t>S083,S084,S085,S086</t>
  </si>
  <si>
    <t>R17</t>
  </si>
  <si>
    <t>Customer Success / Support</t>
  </si>
  <si>
    <t>導入、定着、苦情、返金・救済、顧客通知</t>
  </si>
  <si>
    <t>要件〜廃止</t>
  </si>
  <si>
    <t>重大AI事故を通常問い合わせとして閉じない</t>
  </si>
  <si>
    <t>S022,S089,S095,S102</t>
  </si>
  <si>
    <t>Service Owner / Release Authority</t>
  </si>
  <si>
    <t>本番公開、運営責任、停止、復旧、移管</t>
  </si>
  <si>
    <t>G3・本番変更・廃止運営</t>
  </si>
  <si>
    <t>G3最終承認者を一意化。R19の不合格を上書きしない</t>
  </si>
  <si>
    <t>S023,S046,S048,S080,S081</t>
  </si>
  <si>
    <t>Independent Quality / Safety Authority</t>
  </si>
  <si>
    <t>独立評価の合否、品質停止権、例外の審査</t>
  </si>
  <si>
    <t>G3と重大変更の品質判定</t>
  </si>
  <si>
    <t>実装責任者と分離。T3等では組織的独立性を確保</t>
  </si>
  <si>
    <t>S071,S077,S081</t>
  </si>
  <si>
    <t>Procurement / Vendor Owner</t>
  </si>
  <si>
    <t>調達、DPA・SOW・SLA、外注受入、解約</t>
  </si>
  <si>
    <t>外部依存を横断管理</t>
  </si>
  <si>
    <t>外注受入と自社製品の公開判断は別</t>
  </si>
  <si>
    <t>S014,S092,S094</t>
  </si>
  <si>
    <t>人数・FTEの読み方</t>
  </si>
  <si>
    <t>説明</t>
  </si>
  <si>
    <t>専任人数とは別</t>
  </si>
  <si>
    <t>1人が複数ロールを兼務可能。ただし稼働は重複計上しない</t>
  </si>
  <si>
    <t>全ロールのFTE足し算を採用人数に変換しない</t>
  </si>
  <si>
    <t>元資料のレンジ</t>
  </si>
  <si>
    <t>添付にはコアFTEとロール別必要FTEの両方がある</t>
  </si>
  <si>
    <t>総量の整合が未確定のため本表は入力から開始</t>
  </si>
  <si>
    <t>独立性</t>
  </si>
  <si>
    <t>R19の最終品質承認と実装担当は分離</t>
  </si>
  <si>
    <t>不足時は横断組織や外部レビューを明示</t>
  </si>
  <si>
    <t>スキル辞書｜Lv1〜3の行動と証拠</t>
  </si>
  <si>
    <t>106スキル。Lv0=当該業務に関与なし、Lv1=指導下、Lv2=自律遂行、Lv3=設計・指導・例外判断。人の習熟度を評価する。</t>
  </si>
  <si>
    <t>Skill ID</t>
  </si>
  <si>
    <t>軸</t>
  </si>
  <si>
    <t>分類</t>
  </si>
  <si>
    <t>スキル名</t>
  </si>
  <si>
    <t>Lv1</t>
  </si>
  <si>
    <t>Lv2</t>
  </si>
  <si>
    <t>Lv3</t>
  </si>
  <si>
    <t>判定エビデンス</t>
  </si>
  <si>
    <t>関連B-ID</t>
  </si>
  <si>
    <t>旧v3 Skill</t>
  </si>
  <si>
    <t>再編・適用メモ</t>
  </si>
  <si>
    <t>S001</t>
  </si>
  <si>
    <t>ビジネス</t>
  </si>
  <si>
    <t>共通基礎</t>
  </si>
  <si>
    <t>七工程と事業投資・公開ゲートの運用</t>
  </si>
  <si>
    <t>企画〜廃止とG0〜G5で価値・投資・公開・継続判断を運営し、外注品質受入を分離する。</t>
  </si>
  <si>
    <t>各Gateの判断者と必要証拠を説明できる。</t>
  </si>
  <si>
    <t>Evidenceと予算枠を確認し、未承認の本番公開や投資を止められる。</t>
  </si>
  <si>
    <t>事業段階とリスクに応じてGateを設計し、重大変更の再審査を主導できる。</t>
  </si>
  <si>
    <t>G0〜G5判断記録・再Gate計画</t>
  </si>
  <si>
    <t>B0-01,B0-18,B1-19,B2-20,B6-10</t>
  </si>
  <si>
    <t>SK01</t>
  </si>
  <si>
    <t>受託契約中心の定義を事業投資・プロダクト責任へ明示的に変更。</t>
  </si>
  <si>
    <t>S002</t>
  </si>
  <si>
    <t>法務・ガバナンス</t>
  </si>
  <si>
    <t>AIガバナンスと関連法規の適用</t>
  </si>
  <si>
    <t>法令と非拘束的な指針を区別し、業種・用途・提供地域・処理地域から適用法を確認する。AI事業者ガイドライン1.2を参照し、根拠版・確認日・再審査条件を管理する。</t>
  </si>
  <si>
    <t>AI事業者ガイドラインの共通の指針（人間中心／安全性／公平性／プライバシー保護／セキュリティ確保／透明性／アカウンタビリティ／教育・リテラシー／公正競争確保／イノベーション）を列挙し、指示のもとで担当タスクとの対応表に記入できる。</t>
  </si>
  <si>
    <t>案件のリスク特性から適用枠組み（AI事業者ガイドライン／ISO/IEC 42001／NIST AI RMF／EU AI Actの適用有無）を選定し、リスク管理台帳と責任あるAI評価レポートにガバナンス観点を反映できる。技術障害と区別したAIインシデントの定義を作成できる。</t>
  </si>
  <si>
    <t>対象事業の業種・利用形態に応じたガバナンス方針を設計し、EU AI Actの高リスク該当性や海外案件の枠組み選択の判断根拠を文書化できる。AIインシデント発生時の本人通知・当局報告・対外説明の手順を策定し、判断を主導できる。</t>
  </si>
  <si>
    <t>リサーチ資料、リスク管理台帳 v1、責任あるAI評価レポート、モデルカード、AIインシデント対応手順書</t>
  </si>
  <si>
    <t>B0-02,B0-08,B5-20,B5-22</t>
  </si>
  <si>
    <t>SK02</t>
  </si>
  <si>
    <t>U02</t>
  </si>
  <si>
    <t>受託版の行動基準を自社事業向けに再編。関連タスクは本版B-IDで再定義。</t>
  </si>
  <si>
    <t>S003</t>
  </si>
  <si>
    <t>個人情報保護法の適用判定とデータガバナンス</t>
  </si>
  <si>
    <t>取得・保有する個人データについて委託か第三者提供かを判定フローで確定し、法的区分と取扱い条件（保管・マスキング・保持期間・越境・外部API送信可否）を決める。</t>
  </si>
  <si>
    <t>個人情報・個人データ・仮名加工情報・匿名加工情報の区別を説明できる。ハッシュ化だけで法定の仮名加工情報/匿名加工情報になるとは判断しない。</t>
  </si>
  <si>
    <t>利用目的・委託/第三者提供・外国提供・外部AI利用を分けて判定し、法務とデータ利用条件を合意できる。仮名加工情報の第三者提供禁止と法定例外を区別し、同意だけで一般に提供可能としない。</t>
  </si>
  <si>
    <t>越境移転・再委託・仮名加工情報の内部利用など非定型の論点を法務と協議して方針化し、データ提供・利用契約の条項に落とせる。「匿名化」の誤用や目的外利用のリスクを他メンバーの成果物からレビューで検出し指導できる。</t>
  </si>
  <si>
    <t>個人情報取扱い判定書、データ提供・利用契約、データ要件定義書、データ受領記録、アクセス制御設定</t>
  </si>
  <si>
    <t>B0-07,B1-04,B2-03,B4-07,B5-20,B6-04,B6-11</t>
  </si>
  <si>
    <t>SK03</t>
  </si>
  <si>
    <t>S004</t>
  </si>
  <si>
    <t>顧客折衝</t>
  </si>
  <si>
    <t>ヒアリングと課題定義</t>
  </si>
  <si>
    <t>対象事業の表面的な要望の奥にある業務課題を対話で引き出し、課題・目標・制約・リソースに分類して優先順位を付ける。</t>
  </si>
  <si>
    <t>標準ヒアリングリストの8カテゴリで質問を用意し、同席したヒアリングの記録を作成して課題候補を抽出できる。</t>
  </si>
  <si>
    <t>60〜120分のヒアリングを単独で実施し、解決策の要望（「チャットボットが欲しい」）を業務課題に翻訳して、重要度・緊急度・実現可能性で優先順位を付けた課題リストを完成させられる。</t>
  </si>
  <si>
    <t>経営層を含む複数階層へのヒアリングを設計し、「なぜそれが必要か」まで掘り下げて課題定義書と価値仮説ステートメントに結実させられる。ヒアリング設計を指導し、質問リストの社内標準を改訂できる。</t>
  </si>
  <si>
    <t>ヒアリングリスト、ヒアリング記録、課題リスト（優先順位付き）、ヒアリング議事録、課題定義書</t>
  </si>
  <si>
    <t>B0-03,B0-04</t>
  </si>
  <si>
    <t>SK04</t>
  </si>
  <si>
    <t>S005</t>
  </si>
  <si>
    <t>ファシリテーション・交渉・合意形成</t>
  </si>
  <si>
    <t>ワークショップ・会議体で意見を引き出し時間内に結論へ導く。利害が対立する場面で合意点を作り、決定を議事録として残す。</t>
  </si>
  <si>
    <t>アジェンダとタイムラインを準備し、議事録を決定事項・保留事項・宿題に分けて作成できる。</t>
  </si>
  <si>
    <t>業務フローワークショップやキックオフを単独で進行し、発散と収束を制御して合意事項を議事録に確定できる。反対意見が出た場合に論点を整理して次アクションに変換できる。</t>
  </si>
  <si>
    <t>ステアリングコミッティやQBRなど経営層を含む会議を設計・進行し、Go/No-Goのような重い判断を根拠付きで合意に導ける。会議設計を指導し、難航する交渉を引き取れる。</t>
  </si>
  <si>
    <t>キックオフ議事録、意思決定議事録（判断根拠を明記）、QBR資料、UATフィードバックリストと対応計画</t>
  </si>
  <si>
    <t>SK05</t>
  </si>
  <si>
    <t>S006</t>
  </si>
  <si>
    <t>ステークホルダー分析とRACI運用</t>
  </si>
  <si>
    <t>意思決定者・業務部門・情報システム部門・エンドユーザー・法務を特定し、期待・関心・影響力・懸念をマッピングしてRACIで役割の曖昧さを排除する。</t>
  </si>
  <si>
    <t>組織図からステークホルダーを列挙し、関心度と影響力の2軸マップに配置できる。R/A/C/Iの定義を区別して既存チャートを読める。</t>
  </si>
  <si>
    <t>利用部門側関与者（事業責任者／業務責任者／SME／IT担当／法務／データ管理者）と自社ロール（R1〜R5）を分けてRACIチャート v1を完成させ、利用部門側責任一覧に担当者・期限・数値を落とし込める。</t>
  </si>
  <si>
    <t>少人数体制の兼務マップを設計し、兼務時の分離ルール（本番デプロイ承認は実装者以外、モデル評価は学習実施者以外がレビュー）を定めてRACI v2に反映できる。キーパーソンの抵抗を早期に検知して対処方針を決められる。</t>
  </si>
  <si>
    <t>ステークホルダーマップ、RACIチャート v1、RACIチャート v2、利用部門の責任・権限一覧、運用体制図</t>
  </si>
  <si>
    <t>B0-01,B0-15,B5-01</t>
  </si>
  <si>
    <t>SK06</t>
  </si>
  <si>
    <t>S007</t>
  </si>
  <si>
    <t>ドメイン知識の獲得と活用</t>
  </si>
  <si>
    <t>対象業界・業務の構造、専門用語、規制、KPIを短期間で把握し、現実的で価値のあるAIソリューションを構想する。</t>
  </si>
  <si>
    <t>業界レポートと顧客公開資料から事業構造・主要業務プロセス・関連規制をA4 1〜2枚に整理できる。業務担当者の用語を用語集にまとめられる。</t>
  </si>
  <si>
    <t>業務担当者と対等に議論できる水準で業務を理解し、As-Is業務フロー図を自力で作成して例外処理まで記述できる。データの業務的意味（外れ値が実在の事象か）をSMEに確認して判断できる。</t>
  </si>
  <si>
    <t>複数案件で蓄積した業界知見から顧客が気づいていない課題や適用領域を提案できる。新規業界への参入時に調査観点を設計し、チームの学習を主導できる。</t>
  </si>
  <si>
    <t>リサーチ資料、As-Is業務フロー図、業務適合性評価レポート、ヒアリング議事録</t>
  </si>
  <si>
    <t>SK07</t>
  </si>
  <si>
    <t>S008</t>
  </si>
  <si>
    <t>事業価値</t>
  </si>
  <si>
    <t>事業戦略理解とビジネス分析フレームワークの活用</t>
  </si>
  <si>
    <t>対象事業の経営戦略・市場環境を3C・SWOT等で構造化し、AIプロジェクトの位置づけと投資判断の文脈を説明する。</t>
  </si>
  <si>
    <t>3C・SWOTの枠組みに顧客情報を当てはめ、指示のもとで分析シートの下書きを作成できる。</t>
  </si>
  <si>
    <t>分析結果から「このAI投資が対象事業のどの戦略目標に貢献するか」を説明し、実現可能性評価レポートの財務・運用観点に接続できる。市場性を評価すべき案件（対外サービス提供型）とそうでない案件を区別できる。</t>
  </si>
  <si>
    <t>複数のAI施策候補を経営戦略への貢献度で比較評価し、優先順位と投資配分を提言できる。QBRで次期の戦略提案を主導できる。</t>
  </si>
  <si>
    <t>リサーチ資料、実現可能性評価レポート、QBR資料、次期提案、提案書</t>
  </si>
  <si>
    <t>B0-02,B0-05</t>
  </si>
  <si>
    <t>SK08</t>
  </si>
  <si>
    <t>S009</t>
  </si>
  <si>
    <t>価値仮説の定義とKPI設計</t>
  </si>
  <si>
    <t>「誰の・どんな課題を・どのように解決し・どのような価値を提供するか」を言語化し、SMART原則に沿った目標とPoCのKPI・アクション基準を設計する。</t>
  </si>
  <si>
    <t>価値仮説のテンプレートに顧客情報を当てはめて下書きし、既存KPIがSMARTの5要素を満たすかをチェックリストで判定できる。</t>
  </si>
  <si>
    <t>定量的な期待効果を含む価値仮説ステートメントとSMART目標を作成し、In-Scope/Out-of-Scopeを具体的に列挙したスコープ定義書を完成させられる。PoC計画書に技術KPIとビジネスKPIを両方定義できる。</t>
  </si>
  <si>
    <t>KPI達成度別のネクストアクション（移行／追加PoC／中止）をルール化して事前に関係責任者と合意できる。AI導入自体が目的化した案件を検知し、価値仮説から再定義するよう顧客を導ける。</t>
  </si>
  <si>
    <t>価値仮説ステートメント、課題定義書、SMART目標、スコープ定義書、PoC計画書（実験計画・承認の別紙）</t>
  </si>
  <si>
    <t>B0-05,B0-17,B1-01,B5-02</t>
  </si>
  <si>
    <t>SK09</t>
  </si>
  <si>
    <t>S010</t>
  </si>
  <si>
    <t>ROI・TCO試算と感度分析</t>
  </si>
  <si>
    <t>開発・評価・レビュー・手戻り・運用・外部依存を含むTCOと便益を、案件に合う期間で比較する。現金支出削減と余力創出・収益仮説を区別し、対照・前提・感度・不確実性を示す。</t>
  </si>
  <si>
    <t>与えられた前提（人件費単価、現行コスト、想定削減時間）を試算シートに入力し、指示のもとで回収期間を計算できる。</t>
  </si>
  <si>
    <t>便益を3区分に分けて稼働開始月で按分し（初年度は立ち上げ係数）、収益仮説を悲観・標準・楽観の3シナリオで示し、回収期間を定義式（累積純キャッシュフローが0を超える時点）で再計算できるROI試算シートを完成させられる。</t>
  </si>
  <si>
    <t>感度分析の変数選定と前提の妥当性を関係責任者と交渉して合意させ、運用の変動費（トークン消費等）を織り込んだTCOを設計できる。ROI前提と実測値の乖離を分析して次期投資判断に接続できる。</t>
  </si>
  <si>
    <t>ROI試算シート（感度分析付き）、実現可能性評価レポート、コストダッシュボード</t>
  </si>
  <si>
    <t>B0-10,B4-10,B6-09</t>
  </si>
  <si>
    <t>SK10</t>
  </si>
  <si>
    <t>S011</t>
  </si>
  <si>
    <t>ビジネス価値の可視化と定例レポーティング・QBR運営</t>
  </si>
  <si>
    <t>事業価値・品質・費用・継続利用の実測を仮説と比較し、継続・拡大・ピボット・縮小・停止の判断につなげる。</t>
  </si>
  <si>
    <t>監視ダッシュボードとインシデント記録から、指示された項目を月次レポートのフォーマットに転記して作成できる。</t>
  </si>
  <si>
    <t>SLA遵守状況・モデル性能推移・検知したドリフト・実施した改善を月次／四半期レポートにまとめ、技術指標を金額換算のビジネス価値に翻訳して示せる（「適合率99.2%」ではなく「不正取引をX円分防止した」）。効果測定レポートをROI前提と比較できる。</t>
  </si>
  <si>
    <t>事業レビューを設計・主導し、反証と不確実性を含めて次期投資・継続／停止を判断できる。B2B販売契約の更新は該当時だけ外部契約台帳で別に扱う。</t>
  </si>
  <si>
    <t>効果測定レポート、月次／四半期パフォーマンスレポート、ビジネス価値貢献レポート、QBR資料、次期提案</t>
  </si>
  <si>
    <t>B4-17,B5-21,B6-09</t>
  </si>
  <si>
    <t>SK11</t>
  </si>
  <si>
    <t>S012</t>
  </si>
  <si>
    <t>提案・契約</t>
  </si>
  <si>
    <t>事業投資・原価・価格の計画管理</t>
  </si>
  <si>
    <t>受託見積の粗利ではなく、段階投資、実行費用、販売価格、継続原価を管理する。</t>
  </si>
  <si>
    <t>固定費、変動費、工数、経過時間を区別できる。</t>
  </si>
  <si>
    <t>API・介入・CSを含む費用と需要のシナリオを作り予算差を説明できる。</t>
  </si>
  <si>
    <t>投資枠と学習価値、利用増時の採算を統合し経営判断を支援できる。</t>
  </si>
  <si>
    <t>予算・原価・価格仮説・費用差分</t>
  </si>
  <si>
    <t>SK12</t>
  </si>
  <si>
    <t>S013</t>
  </si>
  <si>
    <t>事業提案・投資ストーリーの構成</t>
  </si>
  <si>
    <t>顧客向け受託提案ではなく、事業仮説、反証、投資、公開範囲を経営と共有する。</t>
  </si>
  <si>
    <t>調査事実と仮説を分けて資料化できる。</t>
  </si>
  <si>
    <t>需要・採算・リスクと次の意思決定を一つの提案にまとめられる。</t>
  </si>
  <si>
    <t>相反する証拠を統合し、投資・転換・撤退の選択肢を経営に提示できる。</t>
  </si>
  <si>
    <t>Opportunity Brief・Business Case・投資審査</t>
  </si>
  <si>
    <t>SK13</t>
  </si>
  <si>
    <t>S014</t>
  </si>
  <si>
    <t>外部契約・調達・ベンダー受入</t>
  </si>
  <si>
    <t>API・クラウド・データ・開発委託の条件を横断管理し、受入を自社製品の公開判断と分ける。</t>
  </si>
  <si>
    <t>NDA、DPA、SOW、SLA、規約の役割を説明できる。</t>
  </si>
  <si>
    <t>利用目的、再委託、知財、EOL、通知、削除、退出を関係者と確認できる。</t>
  </si>
  <si>
    <t>外部依存の集中・移行リスクを契約と代替設計で管理し、受入条件を設計できる。</t>
  </si>
  <si>
    <t>外部契約台帳・Supplier Acceptance・退出計画</t>
  </si>
  <si>
    <t>B1-13,B2-18,B3-18,B5-10,B6-07</t>
  </si>
  <si>
    <t>SK14</t>
  </si>
  <si>
    <t>S015</t>
  </si>
  <si>
    <t>知的財産・ライセンスと生成物の権利処理</t>
  </si>
  <si>
    <t>自社保有IP、第三者権利、利用許諾、外注成果物を区別し、モデル・コード・評価データ・生成物の利用範囲と出所を管理する。外注の権利移転やB2B顧客への許諾は該当時に契約で確認する。</t>
  </si>
  <si>
    <t>資産を自社保有／第三者権利／利用許諾／外注成果物に分類し、出所・OSS／モデル／データのライセンスを台帳へ記録できる。</t>
  </si>
  <si>
    <t>実験成果を自社の製品へ採用する条件を整理し、利用範囲・派生物・配布・再学習・公開可否を関係者と確認できる。外注時は納入物と権利条件を別途合意できる。</t>
  </si>
  <si>
    <t>自社と第三者の権利・秘密・生成物の扱いの判断基準を策定し、権利未確認資産の採用を停止できる。販売・調達の非定型契約は法務と共同で判断できる。</t>
  </si>
  <si>
    <t>IP／ライセンス台帳、出所・利用許諾、製品採用判断。外注／販売時は23の契約と権利受入記録。</t>
  </si>
  <si>
    <t>B1-04,B1-13,B2-12,B3-18,B4-07</t>
  </si>
  <si>
    <t>SK15</t>
  </si>
  <si>
    <t>S016</t>
  </si>
  <si>
    <t>プロジェクト管理</t>
  </si>
  <si>
    <t>プロジェクト計画・進捗・変更管理</t>
  </si>
  <si>
    <t>担当者・期限・依存・適用・工数・阻害事項・証拠を管理し、要件→評価→実装→リリース→承認を追跡する。軽微な実験変更と契約・権限・費用・品質受入に影響する変更を区別する。</t>
  </si>
  <si>
    <t>与えられたタスク一覧からWBSの下書きを作り、進捗を週次で更新して報告できる。変更要求票のフォーマットに変更内容を記入できる。</t>
  </si>
  <si>
    <t>段階投資枠・検証予算の範囲でIssueとスプリントを計画し、完了証拠・品質・学習した事実・消化工数を追跡できる。変更の影響と再判断条件を記録できる。</t>
  </si>
  <si>
    <t>事業成果と不確実性に基づき優先順位、追加投資、ピボット、縮小・停止を判断できる。外注費・顧客販売条件に影響する変更は23で別承認する。</t>
  </si>
  <si>
    <t>Issue／ロードマップ、投資枠・検証予算、変更影響評価、事業・品質レビュー、継続／停止判断。</t>
  </si>
  <si>
    <t>B0-15,B0-16,B1-16,B3-05</t>
  </si>
  <si>
    <t>SK16</t>
  </si>
  <si>
    <t>S017</t>
  </si>
  <si>
    <t>リスク管理（AI固有リスクを含む）</t>
  </si>
  <si>
    <t>技術・データ・運用・財務・法的倫理の5分類でAI固有リスクを洗い出し、影響度と発生確率で整理して緩和策と前提条件を文書化する。</t>
  </si>
  <si>
    <t>リスク管理台帳のフォーマットに指示された観点でリスクを記入し、影響度・発生確率を付与できる。前提条件・制約条件リストの下書きを作成できる。</t>
  </si>
  <si>
    <t>5分類すべてでAI固有リスク（精度未達、バイアス、現場で使われない、過信、運用コスト超過、説明責任、第三者知財、外部モデル依存）を洗い出し、初期の緩和策を付けた台帳v1を完成させられる。「データ品質依存」「PoCは目標未達の可能性を含む」を顧客に説明して合意を得られる。</t>
  </si>
  <si>
    <t>リスクの受容・回避・移転・軽減の判断基準を案件特性から設計し、PoC結果報告書で未達を「失敗」ではなく「学習」として位置づけて次の意思決定に接続できる。リスク顕在化時の対応を主導できる。</t>
  </si>
  <si>
    <t>リスク管理台帳 v1、前提条件・制約条件リスト、PoC結果報告書</t>
  </si>
  <si>
    <t>B0-08,B1-10,B5-20</t>
  </si>
  <si>
    <t>SK17</t>
  </si>
  <si>
    <t>S018</t>
  </si>
  <si>
    <t>方式・機能・配置・学習とRisk Tierの適用</t>
  </si>
  <si>
    <t>規模と危害を分離し、RAG、Agent、学習、外部送信等の機能条件で工程を選ぶ。</t>
  </si>
  <si>
    <t>用途・機能・データ・自律性の区分を説明できる。</t>
  </si>
  <si>
    <t>必須・条件付き・除外理由と代替証拠を記録し再判定できる。</t>
  </si>
  <si>
    <t>複数事業の適用体系と独立評価の深度を設計し、不当な省略を検出できる。</t>
  </si>
  <si>
    <t>適用判定・Risk Tier・例外承認</t>
  </si>
  <si>
    <t>B0-06,B0-16</t>
  </si>
  <si>
    <t>SK18</t>
  </si>
  <si>
    <t>S019</t>
  </si>
  <si>
    <t>業務・ユーザー</t>
  </si>
  <si>
    <t>業務フロー分析とHITL設計</t>
  </si>
  <si>
    <t>As-Is/To-Beの業務プロセスを標準記法で可視化し、AIが自動化・支援する範囲と人が判断する範囲（HITL）、例外処理を明確にする。</t>
  </si>
  <si>
    <t>ヒアリング結果からAs-Is業務フロー図の下書きをBPMN等の記法で作成し、ボトルネック候補を指摘できる。</t>
  </si>
  <si>
    <t>ワークショップを通じてTo-Be業務フロー図を完成させ、人の介在点（確認・修正・却下）と例外処理を図中に明示できる。AI導入で変わる業務手順を洗い出せる。</t>
  </si>
  <si>
    <t>誤判定の業務影響から人の介在点の粒度を設計し、HITLの負荷と精度のトレードオフを関係責任者と合意できる。段階展開に応じたTo-Beの複数案を設計できる。</t>
  </si>
  <si>
    <t>As-Is業務フロー図、To-Be業務フロー図、段階展開計画</t>
  </si>
  <si>
    <t>B0-04,B1-02</t>
  </si>
  <si>
    <t>SK19</t>
  </si>
  <si>
    <t>S020</t>
  </si>
  <si>
    <t>ユーザーストーリーと受け入れ観点の定義</t>
  </si>
  <si>
    <t>「＜役割＞として、＜目的＞のために、＜機能＞がしたい」形式で要求を記述し、客観的に確認できる受け入れ観点を定義する。</t>
  </si>
  <si>
    <t>業務フローと課題リストからユーザーストーリーを起票し、指示のもとで優先順位付けの候補を作成できる。</t>
  </si>
  <si>
    <t>各ストーリーに測定可能な受け入れ観点を付与し、精度に関する観点を運用点を固定した形（上位k%抽出時の適合率と再現率）で記述できる。単独指標による退化解を排除できる。</t>
  </si>
  <si>
    <t>ストーリーの粒度と優先順位付けの基準を設計し、要件定義書v2のサインオフに向けて業務・IT両部門の合意を取りまとめられる。UAT設計に受け入れ観点を接続できる。</t>
  </si>
  <si>
    <t>ユーザーストーリー一覧（優先順位付き）、受け入れ観点、要件定義書 v2（サインオフ済み）、機能一覧</t>
  </si>
  <si>
    <t>SK20</t>
  </si>
  <si>
    <t>S021</t>
  </si>
  <si>
    <t>ユーザビリティ・業務適合性評価</t>
  </si>
  <si>
    <t>業務シナリオのタスク成功、所要時間、観察/インタビュー、必要に応じSUS等の定量尺度で業務適合性を評価する。SUSは0〜100の尺度得点であり、定性評価でも単純な満足率でもない。</t>
  </si>
  <si>
    <t>用意されたテストシナリオに沿って観察記録を取り、気づいた事象を分類してリストにできる。</t>
  </si>
  <si>
    <t>テスト設計（対象者選定、シナリオ、測定指標）を行い、3〜5名規模のユーザビリティテストを実施して結果報告書と業務適合性評価レポートを完成させられる。UAT指摘の分類と対応方針案を作成できる。</t>
  </si>
  <si>
    <t>定量・定性の結果から業務変更提案とUI改善提案の優先順位を決め、対象事業の業務責任者と合意できる。テスト設計の標準を整備し他メンバーを指導できる。</t>
  </si>
  <si>
    <t>ユーザビリティテスト結果報告書、業務適合性評価レポート、UATフィードバックリストと対応計画</t>
  </si>
  <si>
    <t>B0-12,B4-09</t>
  </si>
  <si>
    <t>SK21</t>
  </si>
  <si>
    <t>S022</t>
  </si>
  <si>
    <t>業務定着支援とチェンジマネジメント</t>
  </si>
  <si>
    <t>利用者教育・段階展開・定着モニタリングを通じて、動くシステムを実際に使われる状態にし、運用保守チームへ引き継ぐ。</t>
  </si>
  <si>
    <t>トレーニング資料の下書きを作成し、教育セッションの運営を補助できる。利用率などの定着指標を集計して報告できる。</t>
  </si>
  <si>
    <t>AIの能力と限界・誤りへの対処・フィードバック方法を含むトレーニング資料を作成して教育を実施し、段階展開計画を立てて定着状況（利用率・入力品質）をモニタリングできる。</t>
  </si>
  <si>
    <t>現場の抵抗要因を分析して業務手順の改訂まで踏み込んだ定着施策を設計し、三者（開発・運用・顧客）の引継ぎサインオフを取りまとめられる。</t>
  </si>
  <si>
    <t>利用者向けトレーニング資料、段階展開計画、効果測定レポート、運用引継ぎ完了報告書</t>
  </si>
  <si>
    <t>B1-11,B3-20</t>
  </si>
  <si>
    <t>SK22</t>
  </si>
  <si>
    <t>S023</t>
  </si>
  <si>
    <t>運用サービス</t>
  </si>
  <si>
    <t>SLO/SLA設計とサービスレベル管理</t>
  </si>
  <si>
    <t>SLI（測定指標）、SLO（目標）、SLA（未達時対応等を含む合意）を区別し、測定期間・範囲・除外・責任・通知/是正/対価への影響を整合させる。</t>
  </si>
  <si>
    <t>同じ可用性や品質指標でも、測定値・内部目標・契約合意の役割が異なることを説明できる。</t>
  </si>
  <si>
    <t>業務重要性と観測可能性からSLI/SLOを設定し、外部依存・責任境界を考慮してSLAと連絡/復旧条件を合意できる。</t>
  </si>
  <si>
    <t>SLAと損害賠償・救済・除外等の条項を法務と設計し、実測・契約・運用の不一致を是正できる。</t>
  </si>
  <si>
    <t>SLO定義書、SLA（別紙）、運用保守個別契約、監視項目一覧、月次／四半期パフォーマンスレポート</t>
  </si>
  <si>
    <t>B1-08,B4-08,B5-01,B5-03</t>
  </si>
  <si>
    <t>SK23</t>
  </si>
  <si>
    <t>S024</t>
  </si>
  <si>
    <t>エンジニア</t>
  </si>
  <si>
    <t>Pythonとデータ処理プログラミング</t>
  </si>
  <si>
    <t>Pythonとpandas等でデータの読み込み・変換・集計・可視化を実装し、再現可能なスクリプトとして残す。</t>
  </si>
  <si>
    <t>提供された処理仕様に沿って欠損処理・型変換・集計を実装し、レビューを受けて動作するスクリプトを提出できる。</t>
  </si>
  <si>
    <t>クレンジング・特徴量生成・評価の一連の処理を関数分割して実装し、引数・設定ファイル・ログを備えた再実行可能なスクリプトを単独で完成させられる。処理の判断（削除か補完か）を根拠付きで記録できる。</t>
  </si>
  <si>
    <t>データ処理コードの構造（設定管理、テスト、パッケージング）の標準を設計し、レビュー基準を定めて指導できる。大規模データでの性能ボトルネックを特定して改善できる。</t>
  </si>
  <si>
    <t>クレンジングスクリプト、特徴量セット、学習・改善ログ、品質レビュー済みデータセット</t>
  </si>
  <si>
    <t>SK24</t>
  </si>
  <si>
    <t>S025</t>
  </si>
  <si>
    <t>SQLとデータモデリング</t>
  </si>
  <si>
    <t>SQLでデータを抽出・結合・集計し、業務要件からER図とスキーマを設計する。</t>
  </si>
  <si>
    <t>単一テーブルの抽出・集計・結合を含むSQLを書き、既存ER図からテーブル間の関係を読み取れる。</t>
  </si>
  <si>
    <t>複数テーブルの結合・ウィンドウ関数・時点整合性を意識した抽出を単独で書け、業務要件からER図とスキーマ定義書を作成できる。実行計画を見てインデックスの要否を判断できる。</t>
  </si>
  <si>
    <t>正規化と非正規化のトレードオフ、パーティション戦略、履歴管理（as-of結合）の方針を設計し、データモデル定義書のレビュー基準を策定して指導できる。</t>
  </si>
  <si>
    <t>データモデル定義書、スキーマ定義書、データ品質評価レポート（クラス分布を含む）、要件定義書 v2（サインオフ済み）</t>
  </si>
  <si>
    <t>B2-03,B3-06</t>
  </si>
  <si>
    <t>SK25</t>
  </si>
  <si>
    <t>S026</t>
  </si>
  <si>
    <t>クラウド基盤の基礎と技術スタック選定</t>
  </si>
  <si>
    <t>主要クラウドの計算・ストレージ・ネットワーク・マネージドAIサービスを理解し、要件とコストから技術スタックを選定する。</t>
  </si>
  <si>
    <t>クラウドの主要サービス区分を説明し、指示のもとでコンソールまたはCLIから検証環境のリソースを作成できる。料金表から概算費用を計算できる。</t>
  </si>
  <si>
    <t>非機能要件（同時実行数、レイテンシ、GPU要否、データ所在地）から候補サービスを比較し、選定理由を技術スタック一覧に記述できる。マネージドノートブック環境を構築できる。</t>
  </si>
  <si>
    <t>構成数は規模・リスク・運用負荷から決める。本番と開発Agentの資格情報・権限・データ境界、必要な独立検証・復旧試験は規模にかかわらず確保する。物理三環境やマイクロサービスは一律には必須としない。</t>
  </si>
  <si>
    <t>技術スタック一覧、システムアーキテクチャ設計書、検証環境、環境構築手順書、実現可能性評価レポート</t>
  </si>
  <si>
    <t>SK26</t>
  </si>
  <si>
    <t>S027</t>
  </si>
  <si>
    <t>コード・データ・モデルのバージョン管理と再現性確保</t>
  </si>
  <si>
    <t>実験・コード・データ参照・モデル/プロンプト・検索/ツール・依存・承認を版で関連付け、再評価・追跡・復旧できる構成manifestを管理する。外部APIの完全再現可能性は保証しない。</t>
  </si>
  <si>
    <t>ブランチ運用とプルリクエストの手順に従って作業でき、依存関係定義ファイルで他メンバーと同一環境を再現できる。</t>
  </si>
  <si>
    <t>実験ごとにコード・データ・パラメータ・評価結果を紐づけて記録し、モデルレジストリへの登録と来歴記録を単独で運用できる。生成・検索機能を使う場合はプロンプトと検索設定を同じ規約で版管理できる。</t>
  </si>
  <si>
    <t>バージョン管理規約（ブランチ戦略、データ版の粒度、モデル昇格の基準）を設計し、本番稼働中モデルの来歴が完全に追跡できることを監査観点で検証・指導できる。</t>
  </si>
  <si>
    <t>依存関係定義ファイル、バージョン管理規約、モデルレジストリ、来歴記録、学習・改善ログ、プロンプト仕様書（版管理）</t>
  </si>
  <si>
    <t>B3-01,B3-23,B5-12</t>
  </si>
  <si>
    <t>SK27</t>
  </si>
  <si>
    <t>S028</t>
  </si>
  <si>
    <t>コーディングエージェントの活用</t>
  </si>
  <si>
    <t>承認済み開発AIを仕様作成・実装・テスト・レビュー・運用調査で使い、独立した期待結果と証拠で検証する。AIへの権限・データ送信・費用を限定し、レビューと手戻りを含む効果を測る。</t>
  </si>
  <si>
    <t>エージェントに与える指示を具体化し、生成されたコードを実行・テストして動作を確認できる。顧客コードや個人データを外部に送信してよいかを社内ポリシーで確認できる。</t>
  </si>
  <si>
    <t>仕様・既存コード・テストをコンテキストとして与えて実装やテスト生成に活用し、生成物をレビューして誤り（存在しないAPI、境界条件の抜け、ライセンス上問題のある転用）を検出・修正できる。</t>
  </si>
  <si>
    <t>正本リポジトリ、評価ハーネス、sandbox、承認、記録の開発標準を設計し、案件リスクと閉域制約に応じて自律範囲を選べる。</t>
  </si>
  <si>
    <t>サーバーサイドのソースコード、単体・結合テストコード、クレンジングスクリプト、フロントエンドのソースコード</t>
  </si>
  <si>
    <t>B1-14,B2-14,B3-04</t>
  </si>
  <si>
    <t>SK28</t>
  </si>
  <si>
    <t>S029</t>
  </si>
  <si>
    <t>要件・設計</t>
  </si>
  <si>
    <t>非機能要件の定義と性能設計</t>
  </si>
  <si>
    <t>性能・可用性・セキュリティ・運用保守性・拡張性を測定方法と測定環境の対で定義し、設計と性能テストで達成を確認する。</t>
  </si>
  <si>
    <t>非機能要件のカテゴリを列挙し、既存定義書の各項目に測定方法が書かれているかをチェックできる。負荷テストの実行と結果集計ができる。</t>
  </si>
  <si>
    <t>可用性・E2E応答時間・スループット・費用を測定する。TTFTはストリーミングを採用する対話機能など必要な場合のみ追加し、処理完了時間と分けて評価できる。</t>
  </si>
  <si>
    <t>IPA「非機能要求グレード」等を参照して案件規模に応じた要求レベルを設定し、達成困難な要求を関係責任者と再交渉できる。性能ボトルネックの改善方針をアーキテクチャ観点で決められる。</t>
  </si>
  <si>
    <t>非機能要件定義書 v1（要件定義書v1の一部）、性能テスト報告書、システムアーキテクチャ設計書</t>
  </si>
  <si>
    <t>B1-08,B4-08</t>
  </si>
  <si>
    <t>SK29</t>
  </si>
  <si>
    <t>S030</t>
  </si>
  <si>
    <t>システムアーキテクチャ設計</t>
  </si>
  <si>
    <t>フロントエンド・バックエンド・データベース・AI推論・外部連携の構成と、認証認可・暗号化・アクセス制御を含む全体構成を、非機能要件と規模から選定する。</t>
  </si>
  <si>
    <t>既存のアーキテクチャ設計書を読み、コンポーネント間の依存とデータの流れを図で説明できる。指示された構成要素の設計書節を執筆できる。</t>
  </si>
  <si>
    <t>非機能要件を満たす構成を候補比較のうえ選定し、根拠付きでシステムアーキテクチャ設計書と技術スタック一覧を完成させられる。AI推論の呼び出し経路とフォールバック位置を設計に含められる。</t>
  </si>
  <si>
    <t>規模（S/M/L）に応じた構成選択の判断基準を策定し、S案件に過剰な構成を要求しない設計を主導できる。既存システムとの接続制約や移行方式を含む非定型の判断ができる。</t>
  </si>
  <si>
    <t>システムアーキテクチャ設計書、技術スタック一覧、インフラ構成図、AI機能が統合されたバックエンドのソースコード</t>
  </si>
  <si>
    <t>B0-06,B2-01,B2-19</t>
  </si>
  <si>
    <t>SK30</t>
  </si>
  <si>
    <t>S031</t>
  </si>
  <si>
    <t>データアーキテクチャとパイプライン設計</t>
  </si>
  <si>
    <t>学習用・推論用データの収集・保存・前処理・特徴量生成のパイプラインと、バージョン管理・時点整合性を設計する。</t>
  </si>
  <si>
    <t>既存のデータパイプライン図を読んで処理順序と依存を説明でき、指示のもとでETLジョブの一部を実装できる。</t>
  </si>
  <si>
    <t>リアルタイム要件とバッチ要件を切り分けたデータアーキテクチャ図とパイプライン設計書を作成し、P2の分割仕様書と整合（学習/検証/テストの扱い、時点整合性）を取れる。上流のスキーマ変更を検知する仕組みを組み込める。</t>
  </si>
  <si>
    <t>データの鮮度・再処理・バックフィル・障害時リカバリを含むパイプライン方針を設計し、コストと運用負荷のトレードオフを判断できる。データ品質チェックをパイプラインに組み込む標準を策定できる。</t>
  </si>
  <si>
    <t>データアーキテクチャ図、データパイプライン設計書、コーパス整備仕様書、データ品質レポート</t>
  </si>
  <si>
    <t>B1-05,B2-03,B6-03</t>
  </si>
  <si>
    <t>SK31</t>
  </si>
  <si>
    <t>S032</t>
  </si>
  <si>
    <t>UI/UX設計（AI出力の提示とHITL）</t>
  </si>
  <si>
    <t>ペルソナとユーザーストーリーからワイヤーフレーム・プロトタイプを作り、AI出力の不確実性の提示と人の確認・修正・却下の導線を設計する。</t>
  </si>
  <si>
    <t>指示された画面のワイヤーフレームを作成し、既存デザインガイドラインに沿ってモックアップを作れる。</t>
  </si>
  <si>
    <t>UIの表示根拠・誤りの訂正・人への引継ぎ・アクセシビリティを実装できる。自己申告の確信度を較正済み確率として表示せず、ストリーミングは採用条件に応じて実装する。</t>
  </si>
  <si>
    <t>誤りが起きたときにユーザーが気づき修正できる導線を設計原則として定め、UI/UXデザインガイドラインを策定して指導できる。アクセシビリティと業務効率のトレードオフを判断できる。</t>
  </si>
  <si>
    <t>UI/UXデザインガイドライン、ワイヤーフレーム、モックアップ、プロトタイプ、フロントエンドのソースコード</t>
  </si>
  <si>
    <t>B1-02,B1-09,B2-08,B3-13</t>
  </si>
  <si>
    <t>SK32</t>
  </si>
  <si>
    <t>S033</t>
  </si>
  <si>
    <t>基盤・MLOps</t>
  </si>
  <si>
    <t>検証環境構築とIaC</t>
  </si>
  <si>
    <t>PoCの軽量検証環境と本番環境を、手順書とIaCコードで再現構築できる状態にする。</t>
  </si>
  <si>
    <t>手順書に従って検証環境を構築し、全メンバーが同一環境で再現実行できることを確認できる。既存IaCコードの変更を指示のもとで適用できる。</t>
  </si>
  <si>
    <t>必要な隔離・秘密管理・再実行条件を満たす検証環境を選び、管理Notebook・通常リポジトリ・CI等を案件条件に応じて使い分けられる。</t>
  </si>
  <si>
    <t>初期から最小CI・評価・依存検査を設け、本番と開発AIの資格情報・通信・データを分離する設計を主導できる。</t>
  </si>
  <si>
    <t>検証環境、環境構築手順書、依存関係定義ファイル、IaCコード、インフラ構成図</t>
  </si>
  <si>
    <t>B0-13,B2-13,B3-01,B5-11</t>
  </si>
  <si>
    <t>SK33</t>
  </si>
  <si>
    <t>S034</t>
  </si>
  <si>
    <t>CI/CD・MLOps/LLMOpsパイプライン構築</t>
  </si>
  <si>
    <t>ビルド・テストとデプロイの自動化、再学習パイプライン、評価ハーネスを通した変更のデプロイ経路を構築し、成熟度に応じた自動化水準を選ぶ。</t>
  </si>
  <si>
    <t>既存CI/CD定義ファイルを読んでジョブの流れを説明でき、lintと単体テストのジョブを追加できる。</t>
  </si>
  <si>
    <t>ステージング・本番への自動デプロイを含むCI/CDを構築し、手動トリガーで動く再学習パイプライン v1を実装できる。生成・検索機能を使う場合はプロンプト・検索設定の変更を評価ハーネスにかけてからデプロイする流れを作れる。</t>
  </si>
  <si>
    <t>版管理・監視・継続評価・承認・復旧の必要能力をリスクから設計し、自動再学習の必要性と安全性を審査できる。特定成熟度モデルのレベルを全案件の必達目標にしない。</t>
  </si>
  <si>
    <t>CI/CDパイプライン定義ファイル、再学習パイプライン v1、自動化された学習・評価パイプライン、MLOps成熟度アセスメントレポート、改善ロードマップ</t>
  </si>
  <si>
    <t>SK34</t>
  </si>
  <si>
    <t>S035</t>
  </si>
  <si>
    <t>モデルサービングとコンテナ化</t>
  </si>
  <si>
    <t>セルフホストではコンテナ等による配備・容量・権利・復元を管理する。外部APIでは接続・認証・レート/費用上限・障害対応を管理し、不要な自前推論基盤を構築しない。</t>
  </si>
  <si>
    <t>提供されたDockerfileでイメージをビルド・実行し、推論エンドポイントの動作確認とログ取得ができる。</t>
  </si>
  <si>
    <t>サービング方式を要件（同時実行数、レイテンシ、GPU要否）から選定して実装し、コンテナイメージとAPI仕様書を含めて負荷条件下でレイテンシ要件を満たすことを確認できる。外部API利用時は外部APIのレート制限・リトライ・コスト上限の制御を実装できる。</t>
  </si>
  <si>
    <t>サービング構成（バッチ／オンライン／非同期、スケーリング方針）の選定基準を設計し、コストと性能のトレードオフを判断できる。イメージの軽量化・脆弱性管理・更新運用の標準を策定できる。</t>
  </si>
  <si>
    <t>モデル推論APIのエンドポイント、コンテナイメージ、API仕様書、Dockerfile、コンテナイメージリポジトリ</t>
  </si>
  <si>
    <t>B3-10,B6-06</t>
  </si>
  <si>
    <t>SK35</t>
  </si>
  <si>
    <t>S036</t>
  </si>
  <si>
    <t>データベース構築とバックアップ・リストア</t>
  </si>
  <si>
    <t>用途に応じてデータベースを選定し（トランザクションはRDB、柔軟な構造はNoSQL、類似検索はベクトルDB）、スキーマ・インデックス・バックアップ・レプリケーションを実装する。</t>
  </si>
  <si>
    <t>与えられたスキーマ定義に沿ってテーブルとインデックスを作成し、バックアップ手順を実行できる。</t>
  </si>
  <si>
    <t>用途からデータベース種別を選定して構築し、スキーマ定義書とバックアップ・リストア手順書を作成して、リストアを実際に検証できる。受領データを法的区分に沿った保管場所とアクセス制御で保持できる。</t>
  </si>
  <si>
    <t>レプリケーション戦略、保持期間と削除の自動化、性能とコストのトレードオフを設計し、ベクトルDBを含む選定基準を策定して指導できる。</t>
  </si>
  <si>
    <t>構築済みデータベース、スキーマ定義書、バックアップ・リストア手順書、データ受領記録、アクセス制御設定</t>
  </si>
  <si>
    <t>B2-03,B3-19,B5-11,B6-04</t>
  </si>
  <si>
    <t>SK36</t>
  </si>
  <si>
    <t>S037</t>
  </si>
  <si>
    <t>アプリケーション実装</t>
  </si>
  <si>
    <t>API設計・実装と認証認可</t>
  </si>
  <si>
    <t>フロントエンドや外部システム向けのAPIを設計・実装し、認証認可・入力バリデーション・ビジネスロジックを備える。API仕様書はコードから自動生成する。</t>
  </si>
  <si>
    <t>既存のAPI設計に沿ってエンドポイントを実装し、単体テストを書いて動作確認できる。</t>
  </si>
  <si>
    <t>リソース設計・エラー設計・バージョニングを含むAPIを単独で設計・実装し、認証認可と入力バリデーションを実装して、コードから自動生成されるAPI仕様書を整備できる。</t>
  </si>
  <si>
    <t>認証認可方式（トークン、スコープ、テナント分離）と外部公開時の設計方針を策定し、後方互換性の維持と廃止手順を含むAPI運用ルールを定めて指導できる。</t>
  </si>
  <si>
    <t>APIエンドポイント、API仕様書、サーバーサイドのソースコード、監査ログ設計書</t>
  </si>
  <si>
    <t>B2-06,B2-09,B3-08,B3-11,B3-12,B3-14,B6-05</t>
  </si>
  <si>
    <t>SK37</t>
  </si>
  <si>
    <t>S038</t>
  </si>
  <si>
    <t>LLMアプリケーション層の実装</t>
  </si>
  <si>
    <t>プロンプトだけでなく入力/出力スキーマ、権限、業務制約、例外、費用/回数上限、独立した受入条件を含めてAI機能を実装する。</t>
  </si>
  <si>
    <t>承認された仕様を参照し、構造化出力を検証して上限付きの再試行を実装できる。未信頼の出力を直接実行しない。</t>
  </si>
  <si>
    <t>プロンプト仕様書を版管理しながらガードレール（入力検査・出力検査・禁止トピック）、タイムアウト、コンテキスト構築、構造化出力のスキーマ検証を実装し、評価ハーネスにかけてデプロイできる。</t>
  </si>
  <si>
    <t>プロンプト・検索設定・モデルの変更管理方針（版管理、回帰テスト、ロールバック）を設計し、ガードレールの強度と業務有用性のトレードオフを判断できる。提供元のモデル更新・EOLに追随する改修計画を立てられる。</t>
  </si>
  <si>
    <t>プロンプト仕様書（版管理）、LLMアプリケーション実装、ガードレール設定、モデル・プロンプト更新方針</t>
  </si>
  <si>
    <t>SK38</t>
  </si>
  <si>
    <t>S039</t>
  </si>
  <si>
    <t>AI機能の統合とフォールバック設計</t>
  </si>
  <si>
    <t>ビジネスロジックからモデル推論APIを呼び出す処理を実装し、タイムアウト・エラー・予期しない応答形式に備えたリトライとフォールバック（サーキットブレーカー等）を組み込む。</t>
  </si>
  <si>
    <t>既存の統合方針に沿って推論API呼び出しを実装し、エラー時のログ出力とリトライを組み込める。</t>
  </si>
  <si>
    <t>異常系（タイムアウト、レート制限、応答形式不正、モデル停止）を洗い出し、サーキットブレーカーとフォールバック経路を実装して異常系テストで動作を確認できる。フォールバック時の業務手順を関係責任者と合意できる。</t>
  </si>
  <si>
    <t>危害に応じて継続、手動引継ぎ、保留、読取専用、安全停止を設計し、重複操作・不正権限・費用暴走を防ぐ。常に業務を止めないという要件にしない。</t>
  </si>
  <si>
    <t>AI機能が統合されたバックエンドのソースコード、モデルロールバック手順書、エスカレーション手順書</t>
  </si>
  <si>
    <t>B2-01,B2-09,B2-16,B3-12</t>
  </si>
  <si>
    <t>SK39</t>
  </si>
  <si>
    <t>S040</t>
  </si>
  <si>
    <t>フロントエンド実装</t>
  </si>
  <si>
    <t>UI/UX設計に基づき再利用可能なコンポーネントを実装し、API連携・状態管理・ローディングとエラー表示・レスポンシブ対応・アクセシビリティを備える。</t>
  </si>
  <si>
    <t>指示された画面を既存コンポーネントで実装し、API連携とエラー表示を組み込める。</t>
  </si>
  <si>
    <t>コンポーネント設計と状態管理を含めて画面群を単独で実装し、主要デバイスでの表示とアクセシビリティを確認できる。生成・検索機能を使う場合はストリーミング表示と根拠の提示を実装できる。</t>
  </si>
  <si>
    <t>コンポーネントライブラリの設計方針とレビュー基準を策定し、性能（初期表示、再描画）とアクセシビリティの基準を定めて指導できる。</t>
  </si>
  <si>
    <t>フロントエンドのソースコード、コンポーネントライブラリ、モックアップ、プロトタイプ</t>
  </si>
  <si>
    <t>SK40</t>
  </si>
  <si>
    <t>S041</t>
  </si>
  <si>
    <t>監査ログ・意思決定ログの設計と実装</t>
  </si>
  <si>
    <t>推論単位で「いつ・誰の・どの入力に対し・どのモデル/プロンプト版が・どの出力を返し・人がどう判断したか」を記録し、説明責任・障害調査・再学習データ収集の基盤にする。</t>
  </si>
  <si>
    <t>設計されたログ項目に従って出力処理を実装し、1件の推論からログを追跡できることを確認できる。</t>
  </si>
  <si>
    <t>保持期間・マスキング方針・個人データの扱いを踏まえた監査ログ設計書を作成して実装し、推論1件から入力・モデル版・出力・人の判断を追跡できる状態にできる。</t>
  </si>
  <si>
    <t>監査要件・障害調査・再学習データ収集の3用途を満たすログ設計を策定し、ストレージコストと保持期間のトレードオフを判断できる。RCAで使う相関分析に必要な項目を定義できる。</t>
  </si>
  <si>
    <t>監査ログ設計書、ログ実装、相関ダッシュボード、品質レビュー済みデータセット</t>
  </si>
  <si>
    <t>B2-15,B3-15</t>
  </si>
  <si>
    <t>SK41</t>
  </si>
  <si>
    <t>S042</t>
  </si>
  <si>
    <t>品質保証・セキュリティ</t>
  </si>
  <si>
    <t>テスト設計と自動テスト</t>
  </si>
  <si>
    <t>単体・結合・E2E・回帰を承認仕様と独立した期待結果で検証し、生成AIの自己作成テストだけで自己合格させない。既存との差分が意図した仕様変更か旧不具合かを承認する。</t>
  </si>
  <si>
    <t>与えられたテスト観点に沿って単体テストを実装し、CIで実行して結果を報告できる。</t>
  </si>
  <si>
    <t>主要経路と境界条件を洗い出してテストケースを設計し、単体・結合テストを自動化してカバレッジ基準を満たせる。システム総合テスト・性能テストを実施し全要件の合否を記録した報告書を作成できる。</t>
  </si>
  <si>
    <t>テスト戦略（層ごとの責務、カバレッジ目標、自動化範囲）を設計し、フロントエンドとAPI、バックエンドとモデルAPIのインターフェース重点テストの基準を策定して指導できる。</t>
  </si>
  <si>
    <t>単体・結合テストコード、テストカバレッジレポート、システム総合テスト報告書、性能テスト報告書</t>
  </si>
  <si>
    <t>B3-03,B3-12,B3-16,B3-18</t>
  </si>
  <si>
    <t>SK42</t>
  </si>
  <si>
    <t>S043</t>
  </si>
  <si>
    <t>脅威モデリングとセキュリティ設計</t>
  </si>
  <si>
    <t>納品システムと開発環境の双方を脅威分析し、認証認可・秘密・データ・供給網・開発AI/MCP/CIの権限を統制する。攻撃面と危害に応じて独立したレビューと診断を行う。</t>
  </si>
  <si>
    <t>脅威モデリングのテンプレートに沿ってデータフロー図を描き、指示のもとで信頼境界を記入できる。利用ライブラリとモデルの出所を一覧化できる。</t>
  </si>
  <si>
    <t>利用者範囲（社内か対外か）・入力を攻撃者が操作できるか・誤判定の被害から脅威モデルを作成し、深さ（a社内バッチ型／b対外・生成AI型／c敵対的評価）を判定できる。緩和策をセキュリティ設計書に反映できる。</t>
  </si>
  <si>
    <t>脅威モデルを本番構成に更新し、AIサプライチェーン対策方針（pickleのような任意コード実行を許す形式の回避を含む）を策定できる。残存リスクの受容判断を関係責任者と合意し、他メンバーの脅威モデリングをレビューできる。</t>
  </si>
  <si>
    <t>脅威モデル、脅威モデル v2、セキュリティ設計書、AIサプライチェーン対策方針</t>
  </si>
  <si>
    <t>B2-07,B2-19,B4-06</t>
  </si>
  <si>
    <t>SK43</t>
  </si>
  <si>
    <t>S044</t>
  </si>
  <si>
    <t>AIセキュリティ評価とレッドチーミング</t>
  </si>
  <si>
    <t>適用するOWASP等の版と対象を確認し、プロンプトインジェクション・漏えい・供給網・ツール権限濫用・暴走・副作用に対する試験と実行時制御を設計する。</t>
  </si>
  <si>
    <t>用意された攻撃シナリオを実行して結果を記録し、発見事項を分類してレポートの下書きを作成できる。</t>
  </si>
  <si>
    <t>脅威モデルに基づく実施範囲を決めてテストを設計・実施し、発見事項を本開発の要件に落とし込んだAIセキュリティ評価レポートを作成できる。PoCで特定した脆弱性の対策実装をリリース前に確認できる。</t>
  </si>
  <si>
    <t>レッドチーミングの観点設計（攻撃者像、目標、成功条件）を行い、対外公開時の脆弱性診断の範囲と外部委託の要否を判断できる。残存リスクの受容判断と対外公開条件を関係責任者と合意できる。</t>
  </si>
  <si>
    <t>AIセキュリティ評価レポート（残存リスクと本開発への要件を含む）、セキュリティテスト報告書、対策実装の確認記録</t>
  </si>
  <si>
    <t>B2-07,B4-06</t>
  </si>
  <si>
    <t>SK44</t>
  </si>
  <si>
    <t>S045</t>
  </si>
  <si>
    <t>監視設計と可観測性</t>
  </si>
  <si>
    <t>システム健全性・モデル入力・モデル出力の3層で監視項目と閾値、エスカレーション先を設計し、ダッシュボードとアラートを構築する。</t>
  </si>
  <si>
    <t>既存の監視ダッシュボードから異常値を読み取り、指示のもとでアラート設定を追加できる。</t>
  </si>
  <si>
    <t>3層の監視項目・閾値・エスカレーション先を一覧化した監視設計書を作成し、リソース・APIパフォーマンスのダッシュボードとログ集約、閾値超過アラートを構築できる。SLAの稼働率・応答時間の測定基盤として機能させられる。</t>
  </si>
  <si>
    <t>何を監視しないかを含めた監視方針を設計し、アラート疲れを避ける閾値設計とノイズ削減の基準を策定できる。監視コストと検知精度のトレードオフを判断し指導できる。</t>
  </si>
  <si>
    <t>監視設計書、監視項目一覧、リソース・APIパフォーマンスダッシュボード、ログ管理システム、アラート設定、モデル性能ダッシュボード</t>
  </si>
  <si>
    <t>B2-15,B3-15,B4-08,B5-03</t>
  </si>
  <si>
    <t>SK45</t>
  </si>
  <si>
    <t>S046</t>
  </si>
  <si>
    <t>インシデント管理とエスカレーション運営</t>
  </si>
  <si>
    <t>アラートを窓口に集約して関連付け、ビジネスインパクトを含む優先度で分類し、エスカレーションパスに従って対応する。</t>
  </si>
  <si>
    <t>インシデント記録を起票し、手順書に従って一次対応と報告ができる。優先度定義書を読んで分類を提案できる。</t>
  </si>
  <si>
    <t>重複アラートの統合ルールを設定し、技術的深刻度とビジネスインパクトを組み合わせた優先度定義書を作成して、優先度に応じた対応とエスカレーションを運営できる。</t>
  </si>
  <si>
    <t>インシデント管理プロセス（受付・分類・対応・記録・レビュー）と優先度判定基準を設計し、P1インシデントの応答時間・復旧目標をSLAと整合させられる。オンコール体制と負荷を設計できる。</t>
  </si>
  <si>
    <t>アラート管理の設定、インシデント優先度定義書、エスカレーション手順書、ポストモーテム報告書</t>
  </si>
  <si>
    <t>B4-12,B4-17,B5-01,B5-08</t>
  </si>
  <si>
    <t>SK46</t>
  </si>
  <si>
    <t>S047</t>
  </si>
  <si>
    <t>根本原因分析とトラブルシューティング</t>
  </si>
  <si>
    <t>3層の監視データとログを時間軸で重ね、ソフトウェア障害・入力データの分布変化・実世界のパターン変化のどれが原因かを切り分けて記録する。</t>
  </si>
  <si>
    <t>指示された観点でログを検索し、事象の発生時刻と関連イベントを時系列に整理できる。</t>
  </si>
  <si>
    <t>実行/構成/変更の証拠から影響・原因仮説・確度を整理し、未解明事項にも調査担当と期限を置く。暫定封じ込めと恒久対策を分けて報告できる。</t>
  </si>
  <si>
    <t>症状と原因を切り分ける分析手順を標準化し、性能低下の原因が上流にあるケース（スキーマ変更、業務変更、ラベル遅延）を判別する基準を策定して指導できる。ポストモーテムの知見を品質チェック・トリガー閾値・テストケースの改訂に反映できる。</t>
  </si>
  <si>
    <t>相関ダッシュボード、根本原因分析レポート、ポストモーテム報告書、改善アクションリスト</t>
  </si>
  <si>
    <t>SK47</t>
  </si>
  <si>
    <t>S048</t>
  </si>
  <si>
    <t>リリース・デプロイ戦略とロールバック</t>
  </si>
  <si>
    <t>変更の評価と承認後、シャドウ・A/B・カナリアの目的を区別して安全に展開する。コード、モデル、プロンプト、検索/ツール設定等を一体で復旧し、旧版が使えない場合の安全停止を備える。</t>
  </si>
  <si>
    <t>リリース手順書に従って作業を実施し、ロールバック手順を実行して復旧できる。</t>
  </si>
  <si>
    <t>副作用を遮断したシャドウ、比較条件を設計したA/B、小範囲のカナリアを使い分け、停止基準と実行責任者を設定できる。</t>
  </si>
  <si>
    <t>規模と業務影響からデプロイ戦略を選定する基準を設計し（S案件では計画停止で足りることが多い）、モデルとアプリの切り戻し順序・データ整合性の担保方針を策定できる。切替判断を主導できる。</t>
  </si>
  <si>
    <t>リリース計画書、リリースノート、本番稼働中のシステム、デプロイ戦略の実装、切替記録、モデルロールバック手順書</t>
  </si>
  <si>
    <t>B2-16,B2-18,B3-19,B3-23,B4-11,B4-14,B4-15,B5-08,B5-17,B6-06</t>
  </si>
  <si>
    <t>SK48</t>
  </si>
  <si>
    <t>S049</t>
  </si>
  <si>
    <t>従来型保守・パッチ管理・DR/BCP</t>
  </si>
  <si>
    <t>是正保守・適応保守（OS・ライブラリ・外部APIの変更やモデルのEOLへの追随）・予防保守（パッチ、依存関係更新、証明書更新）を計画的に行い、バックアップ検証と災害対策を維持する。</t>
  </si>
  <si>
    <t>保守計画に従ってパッチ適用と依存関係更新を実施し、記録を残せる。証明書の有効期限を管理できる。</t>
  </si>
  <si>
    <t>保守計画書を作成して是正・適応・予防の3種を計画的に実施し、作業時間帯と業務影響を関係責任者と調整できる。DR/BCP手順書を整備してバックアップ検証を実施できる。</t>
  </si>
  <si>
    <t>外部APIやモデルのEOL情報を継続的に収集して改修計画に落とし、契約不適合責任と保守範囲の境界を整理できる。DR/BCPの目標（RTO/RPO）を業務要件から設計できる。</t>
  </si>
  <si>
    <t>保守計画書、パッチ適用記録、DR/BCP手順書、IaCコード（更新版）、システム運用マニュアル</t>
  </si>
  <si>
    <t>B4-11,B5-03,B5-11</t>
  </si>
  <si>
    <t>SK49</t>
  </si>
  <si>
    <t>S050</t>
  </si>
  <si>
    <t>トークンコスト・レイテンシ設計とコスト監視</t>
  </si>
  <si>
    <t>基盤モデル利用の変動費（トークン消費、API呼び出し）と応答時間（TTFT、総所要時間）を設計段階で見積もり、運用で監視して採算とUXを維持する。</t>
  </si>
  <si>
    <t>料金体系からトークン単価と月次コストを試算し、既存のコストダッシュボードから消費の内訳を読み取れる。</t>
  </si>
  <si>
    <t>再試行・検索・ツール・評価・人のレビューと手戻りを含む業務完了1件当たり費用を計測し、品質/安全性を保つ範囲で最適化できる。TTFTは適用時のみ測る。</t>
  </si>
  <si>
    <t>コスト・品質・レイテンシの3すくみを案件要件から最適化する方針を設計し、ROI試算の前提と運用実績の乖離を分析して価格・構成の見直しを提言できる。</t>
  </si>
  <si>
    <t>非機能要件定義書 v1（要件定義書v1の一部）、コストダッシュボード、コスト超過アラート、モデル推論APIのエンドポイント</t>
  </si>
  <si>
    <t>B0-10,B1-08,B2-15,B2-17,B3-15,B4-08,B5-06</t>
  </si>
  <si>
    <t>SK50</t>
  </si>
  <si>
    <t>S051</t>
  </si>
  <si>
    <t>テクニカルドキュメンテーションと引継ぎ</t>
  </si>
  <si>
    <t>仕様・ADR・評価・運用手順を開発中から正本で維持し、納品時に構成manifest・権利/依存・評価・引継ぎを版付きで束ねる。文書数ではなく運用者が使える内容と整合性を確認する。</t>
  </si>
  <si>
    <t>既存テンプレートに沿って手順書の該当節を執筆し、実際に手順どおり操作できるかを検証できる。</t>
  </si>
  <si>
    <t>システム運用マニュアルと障害対応マニュアルを、運用担当者が単独で作業できる粒度で作成し、引継ぎのハンズオンを実施してサインオフを得られる。</t>
  </si>
  <si>
    <t>ドキュメント体系と更新ルール（誰がいつ改訂するか）を設計し、引継ぎの完了基準を定めて三者レビューを主導できる。属人化している運用知識を文書化する優先順位を判断できる。</t>
  </si>
  <si>
    <t>システム運用マニュアル、障害対応マニュアル、運用引継ぎ完了報告書、最終版プロジェクトドキュメント一式、監視項目一覧</t>
  </si>
  <si>
    <t>B3-20,B3-21,B4-12,B5-09,B5-24</t>
  </si>
  <si>
    <t>SK51</t>
  </si>
  <si>
    <t>S052</t>
  </si>
  <si>
    <t>サイエンス</t>
  </si>
  <si>
    <t>統計学の基礎</t>
  </si>
  <si>
    <t>記述統計・分布・仮説検定・信頼区間・サンプルサイズを扱い、測定結果の不確実性を定量的に報告する。</t>
  </si>
  <si>
    <t>平均・中央値・分散・分位点・相関を算出して分布を可視化し、指示のもとでクラス分布や欠損率の集計表を作成できる。</t>
  </si>
  <si>
    <t>目的に応じた検定手法を選び信頼区間付きで結果を報告できる。テストセット規模から目標値の推定精度を見積もり、点推定のみの報告を避けられる。</t>
  </si>
  <si>
    <t>多重比較・効果量・サンプルサイズ設計を含む測定計画を設計し、ドリフト検定の手法と閾値を過去の変動幅から根拠付きで決められる。統計的主張の誤用を他メンバーの成果物からレビューで検出できる。</t>
  </si>
  <si>
    <t>データ品質評価レポート（クラス分布を含む）、最終性能評価レポート（信頼区間付き）、ドリフト検知レポート</t>
  </si>
  <si>
    <t>B1-07,B3-22,B4-02</t>
  </si>
  <si>
    <t>SK52</t>
  </si>
  <si>
    <t>S053</t>
  </si>
  <si>
    <t>機械学習の基礎</t>
  </si>
  <si>
    <t>教師あり・教師なし・時系列などのタスク種別と代表的アルゴリズム、学習と汎化、過学習と正則化の関係を理解し、案件に適した手法を選ぶ。</t>
  </si>
  <si>
    <t>タスク種別（分類・回帰・ランキング・異常検知・時系列予測）を業務課題から特定し、代表的アルゴリズムを列挙して指示のもとで学習・推論を実行できる。</t>
  </si>
  <si>
    <t>課題とデータ量・特徴の性質から候補アルゴリズムを選び、過学習の兆候を検証セットの挙動から判断して対処できる。選定理由を説明できる。</t>
  </si>
  <si>
    <t>アルゴリズム選定の判断基準（解釈性、データ量、学習コスト、更新頻度）を案件特性から設計し、AIで解くべきでない課題を見極めて別手段を提言できる。</t>
  </si>
  <si>
    <t>案件タイプ判定書（差分適用表を含む）、AIモデル要件定義書（要件定義書v1の一部）、モックアップモデル（またはプロンプト/検索設定一式）</t>
  </si>
  <si>
    <t>B0-06,B2-05</t>
  </si>
  <si>
    <t>SK53</t>
  </si>
  <si>
    <t>S054</t>
  </si>
  <si>
    <t>生成AI・基盤モデルの基礎</t>
  </si>
  <si>
    <t>基盤モデルの仕組み（トークン、コンテキスト長、生成パラメータ）と能力・限界（ハルシネーション、非決定性、知識のカットオフ）、外部API利用・既存モデルの自己ホスト・独自学習の選択を理解する。</t>
  </si>
  <si>
    <t>トークン・コンテキスト長・温度・ハルシネーションといった基本概念を説明し、指示のもとでAPIを呼び出して出力の揺れを観測できる。社内の「生成AI基礎」コースの内容を実務用語で説明できる。</t>
  </si>
  <si>
    <t>取得方式だけでなく予測／生成／検索／操作という機能・配置場所・学習有無に応じて、必要なデータ・評価・接続制約・依存を選定できる。</t>
  </si>
  <si>
    <t>03/04の軸と危害に基づいて実現可能性と非AI代替を比較し、過剰な学習・インフラ・PoCを避ける判断を主導できる。</t>
  </si>
  <si>
    <t>案件タイプ・規模の仮判定メモ、案件タイプ判定書（差分適用表を含む）、モデル・プロンプト更新方針</t>
  </si>
  <si>
    <t>B0-06,B1-06,B2-01,B2-02</t>
  </si>
  <si>
    <t>SK54</t>
  </si>
  <si>
    <t>S055</t>
  </si>
  <si>
    <t>データアセスメントと探索的データ分析（EDA）</t>
  </si>
  <si>
    <t>データの種類・量・品質（正確性・完全性・一貫性・最新性・一意性）を評価し、基本統計量・分布・欠損・重複・外れ値・クラス分布を可視化して判断材料にする。</t>
  </si>
  <si>
    <t>指示された観点で基本統計量と分布を算出・可視化し、欠損率・重複件数・クラス分布を集計表にまとめられる。</t>
  </si>
  <si>
    <t>5観点の品質評価と法的区分の予備判定を含む予備データアセスメントレポートを作成し、不足があれば調達方針を提案できる。陽性率を実測してクラス不均衡の程度を確定できる。</t>
  </si>
  <si>
    <t>検索拡張（RAG）では文書の構造・権限・鮮度・削除を検索評価へ反映し、予測/生成/操作の他機能では用途に合うデータ評価を選べる。モデル取得方式だけでRAG要件を適用しない。</t>
  </si>
  <si>
    <t>予備データアセスメントレポート、データ品質評価レポート（クラス分布を含む）</t>
  </si>
  <si>
    <t>B0-07,B1-05,B3-06</t>
  </si>
  <si>
    <t>SK55</t>
  </si>
  <si>
    <t>S056</t>
  </si>
  <si>
    <t>データ品質管理とクレンジング設計</t>
  </si>
  <si>
    <t>品質基準を定義し、欠損・異常値・表記揺れ・重複の処理をスクリプトとして実装して再現可能にする。運用では入力データの品質を継続監視する。</t>
  </si>
  <si>
    <t>定義された品質基準に沿ってクレンジング処理を実装し、処理前後の件数と分布の変化を記録できる。</t>
  </si>
  <si>
    <t>データ品質基準定義書を作成し、削除か補完かの判断根拠を記録したクレンジングスクリプトを実装して、再実行で同じ結果が得られる状態にできる。運用では欠損率・型不一致・想定外カテゴリ値・範囲外値のチェックを定期実行できる。</t>
  </si>
  <si>
    <t>品質基準の閾値を業務影響から設計し、上流のスキーマ変更を検知して対処する運用ルールを策定できる。外れ値が実在の事象かをSMEと切り分ける手順を定めて指導できる。</t>
  </si>
  <si>
    <t>データ品質基準定義書、クレンジングスクリプト、クレンジング済みデータ、データ品質レポート、品質レビュー済みデータセット</t>
  </si>
  <si>
    <t>B0-07,B1-05,B2-04,B3-06,B3-08,B5-05,B5-15</t>
  </si>
  <si>
    <t>SK56</t>
  </si>
  <si>
    <t>S057</t>
  </si>
  <si>
    <t>データ分割設計とリーク防止</t>
  </si>
  <si>
    <t>学習/検証/テストの3分割または交差検証＋最終ホールドアウトを設計し、分割単位・時系列分割・テストセット凍結・fit範囲・リーク監査を規定する。</t>
  </si>
  <si>
    <t>層化分割・グループ分割・時間順分割の違いを説明し、指示された方式で分割を実装してデータセットのハッシュを記録できる。</t>
  </si>
  <si>
    <t>漏れの単位（顧客・患者・デバイス・店舗）でグループ分割を設計し、前処理と特徴量選択を学習側のみでfitする手順を実装して、リーク監査チェックリストを実施したデータ分割仕様書を完成させられる。テストセットを凍結し反復改善では検証セットのみを使える。</t>
  </si>
  <si>
    <t>実利用を模す時間/group等の分割、隔離した最終評価、反復回数、アクセス管理を設計できる。評価セットを学習へ移す場合は退役扱いとし、新しい独立評価を確保する。</t>
  </si>
  <si>
    <t>データ分割仕様書、分割済みデータセット（学習・検証・テスト）、最終性能評価レポート（信頼区間付き）、データパイプライン設計書</t>
  </si>
  <si>
    <t>B2-05,B3-07,B4-01</t>
  </si>
  <si>
    <t>SK57</t>
  </si>
  <si>
    <t>S058</t>
  </si>
  <si>
    <t>アノテーション設計と一致度管理</t>
  </si>
  <si>
    <t>ラベル定義・範囲・境界例・良い例と悪い例を仕様書にまとめ、複数作業者の一致度（偶然一致を補正したκ等）とレビューで教師データの品質を担保する。</t>
  </si>
  <si>
    <t>アノテーション仕様書に従ってラベル付けを実施し、判断に迷った事例を境界例として起票できる。一致度の集計ができる。</t>
  </si>
  <si>
    <t>アノテーション仕様書 v1を作成し、境界例の判断基準を仕様に反映しながら、一致度が基準を満たすまで改訂できる。作業者教育とレビュー体制を運営できる。</t>
  </si>
  <si>
    <t>ラベル体系そのものを業務目的から設計し、一致度の目標水準と測定方法を定義できる。運用でのv2改訂（新規作成しない）と、収集データの利用目的が契約・個人情報の取扱い方針の範囲内であることの確認手順を策定できる。</t>
  </si>
  <si>
    <t>アノテーション仕様書v1、アノテーション仕様書 v2、教師データセット、品質管理レポート、品質レビュー済みデータセット</t>
  </si>
  <si>
    <t>B1-05,B3-07</t>
  </si>
  <si>
    <t>SK58</t>
  </si>
  <si>
    <t>S059</t>
  </si>
  <si>
    <t>評価セット構築（生成AI案件）</t>
  </si>
  <si>
    <t>生成・RAG・エージェント等の採用機能に応じ、想定入力、期待結果、必要な根拠/軌跡、重大失敗を事業の業務専門家と定義する。モデル取得方式に依存せず代表性・難例・版・独立性・評価者較正を管理する。</t>
  </si>
  <si>
    <t>与えられた仕様に沿って評価データを作成・レビューし、根拠文書との紐付けを記録できる。</t>
  </si>
  <si>
    <t>業務の分布を反映した評価セット仕様書（件数、質問類型、難易度、根拠の紐付け、更新ルール）を作成し、SMEと共同で評価データセットを完成させられる。回帰テスト用のゴールデンデータセットを切り出せる。</t>
  </si>
  <si>
    <t>評価セットの代表性・鮮度・独立性（調整用と最終評価用の分離）を設計し、運用での更新ルールと版管理を策定できる。評価セットの不足が結論を歪めるケースを判断できる。</t>
  </si>
  <si>
    <t>評価セット仕様書、評価データセット、ゴールデンデータセット、評価ハーネス</t>
  </si>
  <si>
    <t>B2-10,B3-07</t>
  </si>
  <si>
    <t>SK59</t>
  </si>
  <si>
    <t>S060</t>
  </si>
  <si>
    <t>特徴量エンジニアリング</t>
  </si>
  <si>
    <t>ドメイン知識に基づき特徴量を創出・変換・選択し、予測時点で入手できる情報のみを使う（as-of特徴量）ことでリークを防ぐ。</t>
  </si>
  <si>
    <t>指示された変換（集約、エンコーディング、スケーリング）を実装し、特徴量の分布と目的変数との関係を可視化できる。</t>
  </si>
  <si>
    <t>予測時点で入手可能な特徴量を設計・実装し、ベースラインとの比較と不確実性を報告できる。性能非向上でも仮説検証と打切りの証拠を完成させられる。</t>
  </si>
  <si>
    <t>特徴量の設計方針（粒度、履歴の扱い、次元削減、更新頻度）を設計し、目的変数から派生した特徴量や将来情報の混入をレビューで検出できる。本番パイプラインでの再現性まで含めて設計できる。</t>
  </si>
  <si>
    <t>特徴量定義書、特徴量セット、データ分割仕様書、本番用学習済みモデル</t>
  </si>
  <si>
    <t>B2-05,B3-09</t>
  </si>
  <si>
    <t>SK60</t>
  </si>
  <si>
    <t>S061</t>
  </si>
  <si>
    <t>RAG設計と検索評価</t>
  </si>
  <si>
    <t>検索拡張（RAG）を使う案件で、対象文書の収集・クリーニング・チャンク分割設計・メタデータ付与・埋め込みモデル選定・検索インデックス構築を行い、検索品質を評価して改善する。</t>
  </si>
  <si>
    <t>与えられたチャンク設定でインデックスを構築し、検索結果の妥当性を確認して問題例を記録できる。</t>
  </si>
  <si>
    <t>文書構造に応じたチャンク戦略とメタデータ設計を行い、コンテキスト適合率・再現率などの検索指標で複数設定を比較して、コーパス整備仕様書と検索インデックスを完成させられる。文書の公開範囲とアクセス権を検索結果に反映できる。</t>
  </si>
  <si>
    <t>検索と生成のどちらが失敗要因かを切り分ける評価設計を行い、ハイブリッド検索・リランキング・クエリ書き換えなどの改善方針を判断できる。文書の鮮度管理と再インデックスの運用を設計できる。</t>
  </si>
  <si>
    <t>コーパス整備仕様書、検索インデックス、モデル評価レポート、AIモデル品質評価レポート</t>
  </si>
  <si>
    <t>B2-04,B3-08,B4-03</t>
  </si>
  <si>
    <t>SK61</t>
  </si>
  <si>
    <t>S062</t>
  </si>
  <si>
    <t>モデリング</t>
  </si>
  <si>
    <t>ベースライン設計と実験管理</t>
  </si>
  <si>
    <t>現行業務・ルールベース・単純モデル・季節性ナイーブ予測などの自明なベースラインを同一条件で測り、以降の改善を実験管理ツールで記録・比較する。</t>
  </si>
  <si>
    <t>指定されたベースラインを実装して同一データ・同一分割で測定し、結果を実験管理ツールに記録できる。</t>
  </si>
  <si>
    <t>案件に適した自明なベースラインを選定して同一条件で測定し、ベースライン性能測定レポートを作成できる。実験ごとにパラメータ・データ版・結果を紐づけて改善の試行を追跡できる。</t>
  </si>
  <si>
    <t>比較条件（データ、分割、前処理、評価指標、運用点）の統制方法を設計し、公正な比較になっていない実験をレビューで検出できる。実験計画（何を変えて何を確かめるか）を設計して指導できる。</t>
  </si>
  <si>
    <t>ベースライン性能測定レポート、学習・改善ログ、検証環境、モックアップモデル（またはプロンプト/検索設定一式）</t>
  </si>
  <si>
    <t>B0-11,B0-13,B0-17,B1-15,B2-02</t>
  </si>
  <si>
    <t>SK62</t>
  </si>
  <si>
    <t>S063</t>
  </si>
  <si>
    <t>モデル構築とハイパーパラメータ最適化</t>
  </si>
  <si>
    <t>最小限の機能を持つモデルを素早く構築し、「構築→評価→分析→改善」を1〜2週間のサイクルで反復する。反復中は検証セットのみを使う。</t>
  </si>
  <si>
    <t>指示された手法でモデルを学習させ、ハイパーパラメータの探索を実行して結果を記録できる。</t>
  </si>
  <si>
    <t>検証セットで探索を行い、条件・予算・打切り基準と改善/非改善の証拠を記録できる。最終セットでの試行錯誤を避け、負の結果でも完了した検証として報告できる。</t>
  </si>
  <si>
    <t>限られた期間で成果を出す探索戦略（何を先に試すか、打ち切り基準）を設計し、性能が頭打ちになった際にデータ側の課題かモデル側の課題かを切り分けて次の打ち手を判断できる。</t>
  </si>
  <si>
    <t>モックアップモデル（またはプロンプト/検索設定一式）、学習・改善ログ、本番用学習済みモデル、学習・評価スクリプト</t>
  </si>
  <si>
    <t>SK63</t>
  </si>
  <si>
    <t>S064</t>
  </si>
  <si>
    <t>プロンプト設計と構造化出力</t>
  </si>
  <si>
    <t>役割・手順・制約・出力スキーマ・例示を含むプロンプトを設計し、構造化出力の検証と失敗時の再試行まで含めて安定した挙動を作る。</t>
  </si>
  <si>
    <t>与えられたプロンプトを改変して出力の変化を観測し、指示のもとで出力形式（JSONスキーマ等）の検証を実装できる。</t>
  </si>
  <si>
    <t>タスクを役割・手順・制約・出力条件へ分解し、評価セットで比較できる。温度等の設定と複数試行を記録するが、設定固定による決定論的再現を保証しない。</t>
  </si>
  <si>
    <t>どこまでをプロンプトで、どこからを検索・ツール・後処理で解くかを判断し、プロンプト回帰テストと版管理の運用ルールを策定して指導できる。モデル差し替え時の移行方針を設計できる。</t>
  </si>
  <si>
    <t>プロンプト仕様書（版管理）、学習・改善ログ、LLMアプリケーション実装、モデル・プロンプト更新方針</t>
  </si>
  <si>
    <t>SK64</t>
  </si>
  <si>
    <t>S065</t>
  </si>
  <si>
    <t>エージェント設計と安全制御</t>
  </si>
  <si>
    <t>外部ツールを操作するAgentを使う案件で、ツール定義・実行計画・停止条件・権限境界・人間の承認ゲートを設計し、タスク完了率とツール呼び出し正確性で評価する。</t>
  </si>
  <si>
    <t>既存のエージェント構成でツール定義を読み、実行トレースから失敗ステップを特定できる。</t>
  </si>
  <si>
    <t>業務手順をツール群と停止条件に分解して設計・実装し、ツール権限を最小化して、副作用のある操作に承認ゲートを置ける。タスク完了率とツール呼び出し正確性で評価できる。</t>
  </si>
  <si>
    <t>エージェントに任せる範囲と人が判断する範囲の線引きを業務リスクから設計し、ツール権限濫用・無限ループ・想定外操作に対する制御方針を策定できる。脅威モデルにエージェント固有の攻撃面を反映できる。</t>
  </si>
  <si>
    <t>LLMアプリケーション実装、ガードレール設定、脅威モデル、AI機能が統合されたバックエンドのソースコード</t>
  </si>
  <si>
    <t>B1-06,B2-06,B3-11,B4-04</t>
  </si>
  <si>
    <t>SK65</t>
  </si>
  <si>
    <t>S066</t>
  </si>
  <si>
    <t>本番モデルの最適化と再学習</t>
  </si>
  <si>
    <t>本番用データセットでの再学習、特徴量とハイパーパラメータの洗練、本番のリソース制約とレスポンス要件に合わせた軽量化・高速化を行う。</t>
  </si>
  <si>
    <t>手順に従って本番データでの再学習を実行し、性能とリソース使用量を測定して記録できる。</t>
  </si>
  <si>
    <t>本番のレイテンシ・メモリ制約に合わせて最適化（量子化・蒸留・特徴量削減等）を行い、凍結テストセットで要件を満たすことを確認して最終モデル評価レポートを作成できる。</t>
  </si>
  <si>
    <t>精度・レイテンシ・コストのトレードオフから最適化方針を設計し、再学習のデータ期間・頻度・打ち切り基準を定義できる。再学習で性能が上がらない場合の原因切り分けを主導できる。</t>
  </si>
  <si>
    <t>本番用学習済みモデル、学習・評価スクリプト、最終モデル評価レポート、自動化された学習・評価パイプライン</t>
  </si>
  <si>
    <t>B3-09,B5-15,B6-04</t>
  </si>
  <si>
    <t>SK66</t>
  </si>
  <si>
    <t>S067</t>
  </si>
  <si>
    <t>評価指標の選定と目標値設定</t>
  </si>
  <si>
    <t>業務損失、ベースレート、分母、運用点、許容危害から指標・閾値・標本数・不確実性を設計する。指標は採用機能で選び、モデル取得方式だけで生成AI指標を強制しない。</t>
  </si>
  <si>
    <t>適合率・再現率・F1・PR-AUC・MAE/RMSEの定義と、正解率が不均衡タスクで誤解を招く理由を説明できる。指示された指標を実装して算出できる。</t>
  </si>
  <si>
    <t>陽性率を実測して主要指標を選び、「上位k%抽出時の適合率 ≥ X% かつ 再現率 ≥ Y%」のように運用点を固定した目標値を、テストセット規模と信頼区間を併記して定義できる。単独指標による退化解を排除できる。</t>
  </si>
  <si>
    <t>業務の許容誤りから主要/補助指標と重大失敗条件を関係責任者と合意し、生成・検索・操作・予測それぞれの弱点を検出できる。</t>
  </si>
  <si>
    <t>AIモデル要件定義書（要件定義書v1の一部）、受け入れ観点、ユーザーストーリー一覧（優先順位付き）、モデル性能ダッシュボード</t>
  </si>
  <si>
    <t>B1-07,B4-02</t>
  </si>
  <si>
    <t>SK67</t>
  </si>
  <si>
    <t>S068</t>
  </si>
  <si>
    <t>モデル評価とエラー分析</t>
  </si>
  <si>
    <t>混同行列・適合率-再現率曲線・スライス別性能を出し、「なぜ、どのような場合に間違えるのか」を分類して改善アクションの優先順位を付ける。</t>
  </si>
  <si>
    <t>指示された指標と混同行列を算出し、誤りの事例を抽出して一覧にできる。</t>
  </si>
  <si>
    <t>スライス別の誤りを重大性と頻度で類型化し、検証データで改善する。独立最終セットでは事前に定めた反復と集計を行い、不確実性を付して報告できる。</t>
  </si>
  <si>
    <t>エラー分析の観点設計（どのスライスを切るか、誤りの分類軸）を案件から設計し、業務的重大性と発生頻度から改善の投資判断ができる。目標未達時にテストセットで再調整しない規律を徹底し指導できる。</t>
  </si>
  <si>
    <t>モデル評価レポート、エラー分析レポート、最終性能評価レポート（信頼区間付き）、AIモデル品質評価レポート</t>
  </si>
  <si>
    <t>B0-13,B3-17,B4-02,B5-04,B5-16</t>
  </si>
  <si>
    <t>SK68</t>
  </si>
  <si>
    <t>S069</t>
  </si>
  <si>
    <t>キャリブレーションと運用閾値設計</t>
  </si>
  <si>
    <t>確率値や信頼度をユーザーに提示する場合に較正（Platt scaling / isotonic 等）を行い、較正誤差を評価して業務上の運用閾値を決定する。</t>
  </si>
  <si>
    <t>信頼度の分布と実際の正解率を対比した較正曲線を作成し、指示された較正手法を適用できる。</t>
  </si>
  <si>
    <t>較正誤差を評価して手法を選び、業務コスト（見逃しと誤検知）から運用閾値を決定して、閾値ごとの適合率・再現率・予測陽性率を提示できる。</t>
  </si>
  <si>
    <t>閾値の運用ルール（見直し頻度、複数閾値の使い分け、HITL送りの範囲）を設計し、確信度をユーザーに提示する際の表現方法を業務側と合意できる。運用中の較正のずれを検知する仕組みを設計できる。</t>
  </si>
  <si>
    <t>キャリブレーション結果、モデル評価レポート、AIモデル要件定義書（要件定義書v1の一部）、モデル性能ダッシュボード</t>
  </si>
  <si>
    <t>B1-06,B4-02</t>
  </si>
  <si>
    <t>SK69</t>
  </si>
  <si>
    <t>S070</t>
  </si>
  <si>
    <t>LLM評価設計</t>
  </si>
  <si>
    <t>評価ハーネスを早期に実装し、複数試行・独立評価・人による採点較正で生成AIとエージェントを継続検証する。温度固定は完全再現や分散消失を保証しない。</t>
  </si>
  <si>
    <t>評価ハーネスを実行して結果を集計し、スコアの試行間のばらつきを記録できる。judgeのプロンプトと採点基準を読んで説明できる。</t>
  </si>
  <si>
    <t>結果と操作軌跡を区別する採点基準を設け、設定・反復回数・標本・ばらつきを記録できる。人との一致だけでなく、重大な誤判定、位置/自己選好等の偏りを確認できる。</t>
  </si>
  <si>
    <t>自動評価と人手評価の役割分担を設計し、Go/No-Go判断には人手評価を必須とする運用を定められる。評価ハーネスの改訂・版管理とレッドチーミング観点の組み込みを主導できる。</t>
  </si>
  <si>
    <t>評価ハーネス、AIモデル品質評価レポート、モデル評価レポート、最終性能評価レポート（信頼区間付き）</t>
  </si>
  <si>
    <t>B1-07,B2-04,B2-10,B3-17,B4-01,B4-03,B4-04,B4-13,B5-04</t>
  </si>
  <si>
    <t>SK70</t>
  </si>
  <si>
    <t>S071</t>
  </si>
  <si>
    <t>責任あるAI評価（公平性・説明可能性・透明性）</t>
  </si>
  <si>
    <t>保護属性ごとの性能差と許容基準、対象者に応じた説明手段、能力と限界の文書化、プライバシー面の加工と再識別リスクを評価し、緩和後の再検証まで行う。</t>
  </si>
  <si>
    <t>適法に利用できる属性と標本の限界を確認し、指示された説明手法を用途に応じて整理できる。RAGの引用は説明の一部であり、内部判断過程全体の説明ではない。</t>
  </si>
  <si>
    <t>公平性・説明可能性・透明性・プライバシーの各観点に許容基準と判定結果を付けた責任あるAI評価レポートを作成し、AI事業者ガイドラインの共通の指針に対応付けられる。緩和策適用後に再評価し他指標が劣化していないことを確認できる。</t>
  </si>
  <si>
    <t>公平性・説明・プライバシーの適法な基準を関係者と合意し、法令違反を残存リスク受容で済ませず、是正・用途制限を判断できる。</t>
  </si>
  <si>
    <t>責任あるAI評価レポート（許容基準と残存リスクを含む）、公平性評価レポート（緩和前後の比較）、UI/UXデザインガイドライン</t>
  </si>
  <si>
    <t>B1-10,B4-05</t>
  </si>
  <si>
    <t>SK71</t>
  </si>
  <si>
    <t>S072</t>
  </si>
  <si>
    <t>AI特化テスト設計</t>
  </si>
  <si>
    <t>データ検証テスト、スライス別性能評価、振る舞いテスト（最小機能・不変性・方向性期待）、メタモルフィックテスト、頑健性テスト、ゴールデンデータセットによる回帰テストを設計・自動化する。</t>
  </si>
  <si>
    <t>与えられたテスト項目を実行して結果を記録し、失敗ケースを分類できる。摂動条件（ノルム・強度）の意味を説明できる。</t>
  </si>
  <si>
    <t>案件のタイプに応じてテスト項目を選定し、データ検証・スライス別性能・振る舞い・頑健性・回帰テストを実装してCIで自動実行できる。スライス別性能に許容外の劣化がないことを確認できる。</t>
  </si>
  <si>
    <t>機能と脅威に応じて振舞い・回帰・メタモルフィック・攻撃・評価ハーネスを組み合わせ、最終セットの独立性と更新/退役手順を設計できる。モデル取得方式だけで手法を排他的に割り当てない。</t>
  </si>
  <si>
    <t>AIモデル品質評価レポート、評価ハーネス、ゴールデンデータセット、システム総合テスト報告書</t>
  </si>
  <si>
    <t>B3-16,B3-17,B4-03,B4-05,B5-09</t>
  </si>
  <si>
    <t>SK72</t>
  </si>
  <si>
    <t>S073</t>
  </si>
  <si>
    <t>ドリフト検知と更新トリガー設計</t>
  </si>
  <si>
    <t>入力データの分布変化（データドリフト）と出力の変化（予測ドリフト）を監視し、性能・ドリフト・スケジュール・イベントの各トリガーを閾値と確認頻度付きで定義する。</t>
  </si>
  <si>
    <t>指定された検定手法でドリフト指標を算出し、閾値超過を報告できる。データドリフトとコンセプトドリフトの違いを説明できる。</t>
  </si>
  <si>
    <t>過去の変動幅を根拠に検定手法と閾値を設定し、ドリフト検知レポートを定期出力できる。ラベル確定遅延を織り込んだ性能トリガー（例: ラベル確定済みデータでの週次再現率が直近8週の下側信頼限界を下回る）を定義できる。</t>
  </si>
  <si>
    <t>データ/品質/費用/利用/提供元変更等のトリガーから調査と更新を設計できる。特徴量寄与の変化だけで入力ドリフトや概念ドリフトの原因を断定せず、観測・仮説・実証を分ける。</t>
  </si>
  <si>
    <t>ドリフト検知レポート、再学習トリガー定義書 / モデル・プロンプト更新方針、モデル性能ダッシュボード、データ品質レポート</t>
  </si>
  <si>
    <t>B5-04,B5-05,B5-15</t>
  </si>
  <si>
    <t>SK73</t>
  </si>
  <si>
    <t>S074</t>
  </si>
  <si>
    <t>チャンピオン・チャレンジャー評価設計</t>
  </si>
  <si>
    <t>現行版と候補版を実利用に適した独立条件で比較し、品質・危害・費用・遅延を事前基準で判断する。EOL等では非劣性/許容範囲と代替案も合意して選ぶ。</t>
  </si>
  <si>
    <t>定義された比較手順に沿って両モデルを評価し、比較レポートの数値を作成できる。</t>
  </si>
  <si>
    <t>時系列は時間順、主体漏えいはgroup等の適切な分割を選び、品質差・不確実性・残存リスク・承認を記録できる。全案件に学習後期間の評価を強制しない。</t>
  </si>
  <si>
    <t>優位性の判定方法（指標、差の大きさ、統計的な扱い、スライス別の劣化許容）を事前定義し、段階展開（カナリア・シャドウ・A/B）と組み合わせた昇格基準を設計できる。利用部門側承認者を含む承認フローを策定できる。</t>
  </si>
  <si>
    <t>モデル比較レポート、承認記録、自動化された学習・評価パイプライン、切替記録</t>
  </si>
  <si>
    <t>B4-15,B5-16</t>
  </si>
  <si>
    <t>SK74</t>
  </si>
  <si>
    <t>S075</t>
  </si>
  <si>
    <t>モデルカード・データシートの作成</t>
  </si>
  <si>
    <t>自社モデルならモデル/データカード、外部APIならシステムカードとして、用途・構成・権利・評価・限界・利用禁止・連絡先を記録する。取得できない提供元学習情報を推測で埋めない。</t>
  </si>
  <si>
    <t>テンプレートに沿って性能値と測定条件を転記し、学習データの概要を記述できる。</t>
  </si>
  <si>
    <t>限界と想定外利用を具体的に記述したモデルカードと、データの収集経緯・構成・前処理・利用上の注意を記したデータシートを完成させられる。責任あるAI評価の結果を反映できる。</t>
  </si>
  <si>
    <t>記載範囲（開示してよい情報と秘密保持の境界）を判断し、顧客・監査者・利用者それぞれに向けた記述水準を設計できる。更新ルール（モデル改訂時の改版）を策定して指導できる。</t>
  </si>
  <si>
    <t>モデルカード、データシート、責任あるAI評価レポート（許容基準と残存リスクを含む）</t>
  </si>
  <si>
    <t>SK75</t>
  </si>
  <si>
    <t>S076</t>
  </si>
  <si>
    <t>AI駆動開発</t>
  </si>
  <si>
    <t>仕様・正本リポジトリ・開発ハーネス</t>
  </si>
  <si>
    <t>仕様・ADR・評価・作業手順を機械可読で版管理し、開発AIに必要最小限の文脈と検証環境を渡す。</t>
  </si>
  <si>
    <t>承認仕様と作業制約を参照し、限定タスクの変更案と実行記録を作成できる。</t>
  </si>
  <si>
    <t>仕様→テスト→変更PR→評価証拠を追跡し、文書/コードの乖離を検査できる。</t>
  </si>
  <si>
    <t>権限境界と独立検証を備えたAI駆動開発標準を設計し、閉域/外部AI不可を含む案件へ適用できる。</t>
  </si>
  <si>
    <t>正本リポジトリ／仕様・テスト対応／PRと実行ログ</t>
  </si>
  <si>
    <t>B1-03,B2-11,B3-01,B3-16,B3-21,B5-18</t>
  </si>
  <si>
    <t>SK76</t>
  </si>
  <si>
    <t>S077</t>
  </si>
  <si>
    <t>独立評価・採点較正・品質承認証拠</t>
  </si>
  <si>
    <t>実装から分離した評価とgrader較正を運用し、公開判断に使える証拠を残す。</t>
  </si>
  <si>
    <t>開発・回帰・凍結評価の用途と違いを説明できる。</t>
  </si>
  <si>
    <t>最終評価を隔離し、人手較正と版付き結果を管理できる。</t>
  </si>
  <si>
    <t>品質停止権と組織的独立性、例外の条件を設計し評価漏洩を是正できる。</t>
  </si>
  <si>
    <t>凍結評価・grader較正・G3品質勧告</t>
  </si>
  <si>
    <t>B1-07,B1-10,B2-10,B3-07,B3-17,B4-01,B4-13,B4-14,B5-16,B6-08</t>
  </si>
  <si>
    <t>SK77</t>
  </si>
  <si>
    <t>S078</t>
  </si>
  <si>
    <t>開発エージェントの権限・通信・供給網統制</t>
  </si>
  <si>
    <t>開発AI/MCP/CIの秘密・通信・実行・依存・指示ファイルを制限し、許可を実行環境で強制する。</t>
  </si>
  <si>
    <t>承認ツールと送信可否を確認し、sandboxで秘密を渡さず実行できる。</t>
  </si>
  <si>
    <t>権限と通信の許可リスト、費用/回数上限、監査と停止を設定・試験できる。</t>
  </si>
  <si>
    <t>MCPやセットアップを含む制御の抜けを分析し、独立レビューと例外管理を設計できる。</t>
  </si>
  <si>
    <t>ツール許可台帳／sandbox設定／通信・権限試験／秘密検査</t>
  </si>
  <si>
    <t>B0-08,B1-14,B2-07,B2-12,B2-13,B3-02,B3-03,B3-18,B4-06,B5-08,B6-05</t>
  </si>
  <si>
    <t>SK78</t>
  </si>
  <si>
    <t>S079</t>
  </si>
  <si>
    <t>AI開発効果の実測と段階見積</t>
  </si>
  <si>
    <t>準備・生成・待ち・レビュー・手戻り・運用影響を含む総時間と費用を同等品質で比較する。</t>
  </si>
  <si>
    <t>人作業時間・経過時間・AI直接費を区別して記録できる。</t>
  </si>
  <si>
    <t>比較可能な作業群で件数と不確実性を示し、時間節約と現金便益を分けられる。</t>
  </si>
  <si>
    <t>選択バイアス・習熟・案件難度を考慮した測定計画を設計し、見積と投資判断を較正できる。</t>
  </si>
  <si>
    <t>16シート／計測ログ／品質・不具合追跡／較正記録</t>
  </si>
  <si>
    <t>B1-18,B3-05,B3-22,B5-19</t>
  </si>
  <si>
    <t>SK79</t>
  </si>
  <si>
    <t>S080</t>
  </si>
  <si>
    <t>継続運用</t>
  </si>
  <si>
    <t>AI構成一式の更新・復旧・終了管理</t>
  </si>
  <si>
    <t>コードから外部モデル、プロンプト、検索、ツール、権限、派生データまで変更・復旧・終了を管理する。</t>
  </si>
  <si>
    <t>版・出所・権限・保存先・期限を構成台帳に記録できる。</t>
  </si>
  <si>
    <t>安全停止/復旧を訓練し、削除・失効・移管の証跡を取得できる。</t>
  </si>
  <si>
    <t>旧API停止やバックアップ保存例外を含む復旧/終了方針と責任を設計できる。</t>
  </si>
  <si>
    <t>構成manifest／復旧訓練／終了・削除・失効証跡</t>
  </si>
  <si>
    <t>B1-17,B2-16,B3-19,B3-23,B4-11,B5-05,B5-12,B5-17,B5-23,B6-01,B6-03,B6-05,B6-06,B6-08,B6-11</t>
  </si>
  <si>
    <t>SK80</t>
  </si>
  <si>
    <t>S081</t>
  </si>
  <si>
    <t>継続ガバナンス</t>
  </si>
  <si>
    <t>リスク比例の投資・公開・継続・変更判断</t>
  </si>
  <si>
    <t>事業性と安全性を別軸で確認し、継続・拡大・転換・停止と再Gateを運用する。</t>
  </si>
  <si>
    <t>判断のOwner、禁止条件、証拠を説明できる。</t>
  </si>
  <si>
    <t>残存リスクに期限・責任者を付け、重大変更を要件・設計・評価へ戻せる。</t>
  </si>
  <si>
    <t>組織の投資ポートフォリオと危害を整合させ、事業都合の品質上書きを防げる。</t>
  </si>
  <si>
    <t>投資・Release・例外・継続判断記録</t>
  </si>
  <si>
    <t>B0-16,B0-18,B1-10,B1-17,B1-19,B2-19,B2-20,B4-13,B4-14,B5-10,B5-12,B5-17,B5-20,B5-21,B5-22,B6-10</t>
  </si>
  <si>
    <t>SK81</t>
  </si>
  <si>
    <t>S082</t>
  </si>
  <si>
    <t>事業・Product</t>
  </si>
  <si>
    <t>Discovery</t>
  </si>
  <si>
    <t>課題発見と需要の反証</t>
  </si>
  <si>
    <t>JTBD、利用者・購買者、代替行動を調べ、需要の裏付けと反証を整理する。</t>
  </si>
  <si>
    <t>誘導しない質問で観察を記録できる。</t>
  </si>
  <si>
    <t>行動証拠から課題・優先セグメントを定義し最小実験できる。</t>
  </si>
  <si>
    <t>複数の機会を比較し、探索の停止・転換を主導できる。</t>
  </si>
  <si>
    <t>観察記録・Opportunity Brief</t>
  </si>
  <si>
    <t>B0-01,B0-03,B0-04,B0-05,B0-12,B5-13</t>
  </si>
  <si>
    <t>添付提案を実行・スキル評価に具体化。U03は本資料の追加設計。</t>
  </si>
  <si>
    <t>S083</t>
  </si>
  <si>
    <t>価格・支払意思・パッケージ</t>
  </si>
  <si>
    <t>価格単位、無償枠、支払意思、差別的影響を検証し提供条件へ落とす。</t>
  </si>
  <si>
    <t>利用者と支払者、料金単位を区別できる。</t>
  </si>
  <si>
    <t>価格仮説とテストを設計し原価・価値から判断できる。</t>
  </si>
  <si>
    <t>複数顧客群の価格、解約、粗利、誤課金リスクを統合できる。</t>
  </si>
  <si>
    <t>価格実験・提供条件</t>
  </si>
  <si>
    <t>B0-09,B1-12,B4-10,B4-16,B5-14</t>
  </si>
  <si>
    <t>S084</t>
  </si>
  <si>
    <t>事業モデル</t>
  </si>
  <si>
    <t>収益・価値交換モデル</t>
  </si>
  <si>
    <t>売切り、従量、定額、成果型、社内価値の仮説と制約を整理する。</t>
  </si>
  <si>
    <t>収益源と費用・リスクの帰属を説明できる。</t>
  </si>
  <si>
    <t>価値指標と課金指標の不一致を検出できる。</t>
  </si>
  <si>
    <t>市場・パートナー・事業戦略に適合するモデルを選べる。</t>
  </si>
  <si>
    <t>Business Model・感度分析</t>
  </si>
  <si>
    <t>S085</t>
  </si>
  <si>
    <t>GTM</t>
  </si>
  <si>
    <t>市場投入・販売・導入設計</t>
  </si>
  <si>
    <t>獲得経路、購買審査、導入、公開機能、販売資料を実装と接続する。</t>
  </si>
  <si>
    <t>ユーザー導入の主要な障壁を記録できる。</t>
  </si>
  <si>
    <t>価格、営業、サポート、Releaseを揃えLaunchできる。</t>
  </si>
  <si>
    <t>異なる市場・地域のGTMとリスク再審査を設計できる。</t>
  </si>
  <si>
    <t>Launch計画・販売資料・導入実績</t>
  </si>
  <si>
    <t>B0-03,B0-14,B1-11,B3-20,B4-16,B5-22</t>
  </si>
  <si>
    <t>S086</t>
  </si>
  <si>
    <t>ファネル・コホート・継続改善</t>
  </si>
  <si>
    <t>利用開始、価値到達、継続、解約を同じ定義で観測し改善する。</t>
  </si>
  <si>
    <t>登録数と利用価値・継続率を区別できる。</t>
  </si>
  <si>
    <t>コホートと分母を定義し失敗箇所を分析できる。</t>
  </si>
  <si>
    <t>長期価値と安全guardrailを満たすGrowthを設計できる。</t>
  </si>
  <si>
    <t>ファネル・継続分析・実験</t>
  </si>
  <si>
    <t>B0-14,B5-02,B5-14</t>
  </si>
  <si>
    <t>S087</t>
  </si>
  <si>
    <t>実験</t>
  </si>
  <si>
    <t>仮説・実験・反証・意思決定</t>
  </si>
  <si>
    <t>実験の成功・中止条件を先に定め、学びを次の投資へ接続する。</t>
  </si>
  <si>
    <t>仮説と検証観測を分けられる。</t>
  </si>
  <si>
    <t>交絡、期間、サンプル、費用を考慮して実験できる。</t>
  </si>
  <si>
    <t>複数実験の探索価値と誤判定コストを統合できる。</t>
  </si>
  <si>
    <t>実験台帳・判断・学習ログ</t>
  </si>
  <si>
    <t>B0-11,B0-12,B0-17,B1-03,B1-15,B4-15,B5-13,B5-14</t>
  </si>
  <si>
    <t>S088</t>
  </si>
  <si>
    <t>組織・Delivery</t>
  </si>
  <si>
    <t>スキルギャップ・兼務・要員設計</t>
  </si>
  <si>
    <t>必要能力、稼働、独立性を分け、採用・育成・外部活用を選ぶ。</t>
  </si>
  <si>
    <t>必要スキルと人の保有能力を区別できる。</t>
  </si>
  <si>
    <t>行動証拠で不足を判定し担当・期限を設けられる。</t>
  </si>
  <si>
    <t>単独依存・利益相反・レビュー能力を含む体制を設計できる。</t>
  </si>
  <si>
    <t>能力評価・要員・育成計画</t>
  </si>
  <si>
    <t>B0-15,B1-16,B5-19</t>
  </si>
  <si>
    <t>S089</t>
  </si>
  <si>
    <t>事業運営</t>
  </si>
  <si>
    <t>導入・顧客成功・救済</t>
  </si>
  <si>
    <t>利用定着、問い合わせ、誤回答、返金、苦情を継続改善へつなぐ。</t>
  </si>
  <si>
    <t>通常質問と危害・事故を分類できる。</t>
  </si>
  <si>
    <t>導入・エスカレーション・救済手順を運用できる。</t>
  </si>
  <si>
    <t>サービス拡大時の支援容量と品質、安全を設計できる。</t>
  </si>
  <si>
    <t>CS記録・導入指標・救済記録</t>
  </si>
  <si>
    <t>B0-14,B1-11,B3-20,B4-12,B4-16,B4-17,B5-07,B6-02</t>
  </si>
  <si>
    <t>S090</t>
  </si>
  <si>
    <t>事業・分析</t>
  </si>
  <si>
    <t>Analytics</t>
  </si>
  <si>
    <t>価値指標・計測・意思決定分析</t>
  </si>
  <si>
    <t>KPIの分母、期間、イベント、欠測、コホートを統一する。</t>
  </si>
  <si>
    <t>イベントと事業指標の関係を説明できる。</t>
  </si>
  <si>
    <t>プライバシーを守り計測・集計・検証できる。</t>
  </si>
  <si>
    <t>指標の歪み、交絡、Goodhart化を検出し計測体系を改善できる。</t>
  </si>
  <si>
    <t>KPI定義・計測試験・意思決定</t>
  </si>
  <si>
    <t>B1-01,B1-18,B5-02,B5-14</t>
  </si>
  <si>
    <t>S091</t>
  </si>
  <si>
    <t>エンジニアリング</t>
  </si>
  <si>
    <t>収益基盤</t>
  </si>
  <si>
    <t>利用量計測・課金・返金</t>
  </si>
  <si>
    <t>利用量と価格を結び、二重請求・過大請求・無料枠悪用を防ぐ。</t>
  </si>
  <si>
    <t>課金イベントと成功条件を説明できる。</t>
  </si>
  <si>
    <t>冪等な課金、照合、上限、取消を実装できる。</t>
  </si>
  <si>
    <t>複数料金体系・遡及修正・事故時救済を設計できる。</t>
  </si>
  <si>
    <t>課金仕様・照合テスト・精算</t>
  </si>
  <si>
    <t>B1-12,B2-09,B2-17,B3-14,B4-10,B5-06</t>
  </si>
  <si>
    <t>U03</t>
  </si>
  <si>
    <t>S092</t>
  </si>
  <si>
    <t>調達</t>
  </si>
  <si>
    <t>Build/Buy/Partnerと調達判断</t>
  </si>
  <si>
    <t>外部依存の総費用、権利、供給継続、切替を比較する。</t>
  </si>
  <si>
    <t>比較項目と情報不足を整理できる。</t>
  </si>
  <si>
    <t>ベンダー評価・受入条件・退出計画を作れる。</t>
  </si>
  <si>
    <t>調達集中・ロックインと内製能力を戦略的に調整できる。</t>
  </si>
  <si>
    <t>調達ADR・契約・代替計画</t>
  </si>
  <si>
    <t>S093</t>
  </si>
  <si>
    <t>事業・FinOps</t>
  </si>
  <si>
    <t>単位経済性</t>
  </si>
  <si>
    <t>成功単位原価・限界利益・費用境界</t>
  </si>
  <si>
    <t>AI、検索、再試行、手動介入、CSを含む成功当たり原価を計測する。</t>
  </si>
  <si>
    <t>費用、粗利、キャッシュ、能力余力を区別できる。</t>
  </si>
  <si>
    <t>料金・成功率・利用量の感度を計算できる。</t>
  </si>
  <si>
    <t>利益改善と品質劣化のtrade-offを統合し投資判断できる。</t>
  </si>
  <si>
    <t>cost/success・収支・感度分析</t>
  </si>
  <si>
    <t>B0-09,B0-10,B1-12,B1-18,B2-17,B3-14,B3-22,B4-10,B5-06</t>
  </si>
  <si>
    <t>S094</t>
  </si>
  <si>
    <t>ガバナンス</t>
  </si>
  <si>
    <t>モデル・Provider・処理条件・EOL管理</t>
  </si>
  <si>
    <t>版、処理地域、学習利用、保存、再委託、料金・EOLを追跡する。</t>
  </si>
  <si>
    <t>台帳の必須条件を確認できる。</t>
  </si>
  <si>
    <t>規約変更の影響と再評価・移行を計画できる。</t>
  </si>
  <si>
    <t>複数Providerと法務・品質・供給の相互依存を管理できる。</t>
  </si>
  <si>
    <t>AI依存台帳・規約差分・切替評価</t>
  </si>
  <si>
    <t>B1-04,B1-13,B2-02,B2-18,B4-07,B5-10,B6-03,B6-07</t>
  </si>
  <si>
    <t>S095</t>
  </si>
  <si>
    <t>デザイン</t>
  </si>
  <si>
    <t>Human-AI</t>
  </si>
  <si>
    <t>適切な信頼・説明・介入UX</t>
  </si>
  <si>
    <t>不確実性、根拠、誤信頼、人手移管、取消・救済を設計する。</t>
  </si>
  <si>
    <t>誤信頼と確認負荷を観察できる。</t>
  </si>
  <si>
    <t>通常・失敗・保留・承認を利用者と検証できる。</t>
  </si>
  <si>
    <t>高影響用途の監督能力と責任・救済を設計できる。</t>
  </si>
  <si>
    <t>UX試験・介入評価・救済導線</t>
  </si>
  <si>
    <t>B1-02,B1-09,B2-08,B4-05,B4-09,B5-07</t>
  </si>
  <si>
    <t>S096</t>
  </si>
  <si>
    <t>アクセシビリティ</t>
  </si>
  <si>
    <t>包摂的なAIサービス設計</t>
  </si>
  <si>
    <t>言語、障害、端末、認知負荷の差を考慮し主要フローを検証する。</t>
  </si>
  <si>
    <t>利用障壁と支援技術を説明できる。</t>
  </si>
  <si>
    <t>主要フローでアクセシビリティ試験を計画・実施できる。</t>
  </si>
  <si>
    <t>対象法域・利用者の要件を組織基準と継続評価へ接続できる。</t>
  </si>
  <si>
    <t>利用者試験・改善記録</t>
  </si>
  <si>
    <t>B1-09,B2-08,B3-13,B4-09</t>
  </si>
  <si>
    <t>S097</t>
  </si>
  <si>
    <t>Skill</t>
  </si>
  <si>
    <t>Agent Skillの設計・審査・ライフサイクル</t>
  </si>
  <si>
    <t>再利用手順をSKILL.mdと資源に分け、版・依存・回帰・廃止を管理する。</t>
  </si>
  <si>
    <t>人の習熟度、Skill、MCP、指示ファイルの違いを説明できる。</t>
  </si>
  <si>
    <t>起動/非起動・正常/異常を試験し審査済みSkillを登録できる。</t>
  </si>
  <si>
    <t>供給網・権限・互換性・評価を含むSkill運用標準を設計できる。</t>
  </si>
  <si>
    <t>Skill package・回帰・署名/版・廃止</t>
  </si>
  <si>
    <t>B2-12,B3-03,B3-21,B5-09,B5-18,B5-24</t>
  </si>
  <si>
    <t>W14,U01</t>
  </si>
  <si>
    <t>S098</t>
  </si>
  <si>
    <t>Context</t>
  </si>
  <si>
    <t>正本文脈・鮮度・段階読込</t>
  </si>
  <si>
    <t>仕様・制約・証拠を正本化し、必要な情報だけAgentへ渡す。</t>
  </si>
  <si>
    <t>指示、データ、非信頼文書を区別できる。</t>
  </si>
  <si>
    <t>短い索引と参照文書、鮮度、利用可能権限を管理できる。</t>
  </si>
  <si>
    <t>文脈欠落や汚染を計測し、検索・圧縮・継続更新を改善できる。</t>
  </si>
  <si>
    <t>Repo構造・Context試験・鮮度監査</t>
  </si>
  <si>
    <t>B2-11,B3-21,B5-18</t>
  </si>
  <si>
    <t>S099</t>
  </si>
  <si>
    <t>Agent権限</t>
  </si>
  <si>
    <t>Tool/MCP認可・副作用・実行制御</t>
  </si>
  <si>
    <t>ID、最小権限、入力検証、human approval、冪等性、取消を強制する。</t>
  </si>
  <si>
    <t>自然言語指示と認可の違いを説明できる。</t>
  </si>
  <si>
    <t>許可/拒否・二重実行・失効・注入を試験できる。</t>
  </si>
  <si>
    <t>複数Agentの委譲と外部副作用を監査可能に制御できる。</t>
  </si>
  <si>
    <t>Tool契約・Policy・攻撃試験</t>
  </si>
  <si>
    <t>B1-14,B2-06,B2-07,B2-13,B3-02,B3-11,B4-04</t>
  </si>
  <si>
    <t>S100</t>
  </si>
  <si>
    <t>Harness</t>
  </si>
  <si>
    <t>有界ループ・実行環境・検証設計</t>
  </si>
  <si>
    <t>実装→テスト→観測→修復をsandbox内で時間・回数・費用制限して回す。</t>
  </si>
  <si>
    <t>停止条件と実行結果の証拠を説明できる。</t>
  </si>
  <si>
    <t>CI、構造制約、エラーレポート、承認境界を実装できる。</t>
  </si>
  <si>
    <t>失敗分類から環境・制約を改善し持続的な自律性を設計できる。</t>
  </si>
  <si>
    <t>Harness設定・Loop trace・停止試験</t>
  </si>
  <si>
    <t>B2-11,B2-14,B3-02,B3-04,B5-18</t>
  </si>
  <si>
    <t>S101</t>
  </si>
  <si>
    <t>協調</t>
  </si>
  <si>
    <t>並列Agent・checkpoint・handoff</t>
  </si>
  <si>
    <t>独立作業に分割し、所有権、状態保存、再開検証、統合を管理する。</t>
  </si>
  <si>
    <t>経過時間とactive human timeを区別できる。</t>
  </si>
  <si>
    <t>worktree分離と統合テスト、再開時の状態確認を運用できる。</t>
  </si>
  <si>
    <t>過剰な並列化・競合・レビュー負債を計測し最適化できる。</t>
  </si>
  <si>
    <t>分割計画・handoff・統合証拠</t>
  </si>
  <si>
    <t>B2-14,B3-04,B3-05</t>
  </si>
  <si>
    <t>S102</t>
  </si>
  <si>
    <t>事故対応</t>
  </si>
  <si>
    <t>顧客通知・重大度・救済の連携</t>
  </si>
  <si>
    <t>技術事故、AI危害、個人情報、取引影響を分け適切に通知・救済する。</t>
  </si>
  <si>
    <t>重大度・通知先・窓口を説明できる。</t>
  </si>
  <si>
    <t>法務と期限・影響・証拠を整理して顧客対応できる。</t>
  </si>
  <si>
    <t>多国・多顧客の事故で一貫した説明と是正を主導できる。</t>
  </si>
  <si>
    <t>Incident通知・救済・振り返り</t>
  </si>
  <si>
    <t>B4-12,B5-07,B5-08,B6-02</t>
  </si>
  <si>
    <t>S103</t>
  </si>
  <si>
    <t>終了</t>
  </si>
  <si>
    <t>移管・削除・権限失効・請求終了</t>
  </si>
  <si>
    <t>サービス終了を画面閉鎖にとどめず派生データ・権限・費用まで閉じる。</t>
  </si>
  <si>
    <t>資産別のOwnerと終了証拠を説明できる。</t>
  </si>
  <si>
    <t>保存義務と削除、backup、失効、解約を実行確認できる。</t>
  </si>
  <si>
    <t>学習済み資産や外部依存を含む終了統制を設計できる。</t>
  </si>
  <si>
    <t>廃止計画・Deletion/Retention・G5</t>
  </si>
  <si>
    <t>B1-17,B3-19,B5-23,B6-01,B6-02,B6-03,B6-04,B6-07,B6-08,B6-10,B6-11</t>
  </si>
  <si>
    <t>S104</t>
  </si>
  <si>
    <t>経営・投資</t>
  </si>
  <si>
    <t>Portfolio</t>
  </si>
  <si>
    <t>段階投資・学習価値・Pivot/Stop</t>
  </si>
  <si>
    <t>不確実性の低減と価値・安全・採算から次の投資を限定する。</t>
  </si>
  <si>
    <t>成功・停止条件と判断期限を説明できる。</t>
  </si>
  <si>
    <t>証拠を比較し継続・転換・縮小の選択肢を作れる。</t>
  </si>
  <si>
    <t>複数事業の投資・機会損失・撤退を統合して判断できる。</t>
  </si>
  <si>
    <t>G0/G4・実験・投資レビュー</t>
  </si>
  <si>
    <t>B0-11,B0-18,B1-15,B2-20,B5-13,B5-21,B5-23,B5-24,B6-09</t>
  </si>
  <si>
    <t>S105</t>
  </si>
  <si>
    <t>Supply chain</t>
  </si>
  <si>
    <t>AI生成物・依存・成果物の来歴</t>
  </si>
  <si>
    <t>コード、モデル、データ、Skill、依存ライブラリの出所と構成を管理する。</t>
  </si>
  <si>
    <t>部品表、版、ライセンスの意味を説明できる。</t>
  </si>
  <si>
    <t>秘密・脆弱性・ライセンス検査とmanifestを作成できる。</t>
  </si>
  <si>
    <t>生成物の供給網と信頼境界を組織のRelease統制へ接続できる。</t>
  </si>
  <si>
    <t>SBOM/構成manifest・診断・署名</t>
  </si>
  <si>
    <t>B2-18,B3-18</t>
  </si>
  <si>
    <t>U03,W11</t>
  </si>
  <si>
    <t>S106</t>
  </si>
  <si>
    <t>Flow</t>
  </si>
  <si>
    <t>レビュー容量・WIP・品質調整済み速度</t>
  </si>
  <si>
    <t>実装速度でなく価値提供の待ち・手戻り・品質を含む流れを改善する。</t>
  </si>
  <si>
    <t>生成量と完了価値、工数とリードタイムを区別できる。</t>
  </si>
  <si>
    <t>レビュー待ち・障害・再作業を計測しWIPを調整できる。</t>
  </si>
  <si>
    <t>同等品質での投資効果と組織ボトルネックを改善できる。</t>
  </si>
  <si>
    <t>Flow指標・能力計画・E2E比較</t>
  </si>
  <si>
    <t>B1-16,B5-19</t>
  </si>
  <si>
    <t>タスク×ロール×スキル｜必要能力の割当</t>
  </si>
  <si>
    <t>1行=標準Task×Skill（候補Role）。案件のTask×Role×Skill×Personは35で確定。全員に全Skillを要求しない。</t>
  </si>
  <si>
    <t>Task ID</t>
  </si>
  <si>
    <t>タスク名（参照）</t>
  </si>
  <si>
    <t>スキル名（参照）</t>
  </si>
  <si>
    <t>必要Lv</t>
  </si>
  <si>
    <t>確認する証拠</t>
  </si>
  <si>
    <t>割当方針</t>
  </si>
  <si>
    <t>役割ごとに必要な組合せを06/28で担当者へ割当。全員に全Skillを要求しない。</t>
  </si>
  <si>
    <t>成果物・正本マップ｜証拠の所在を一つにつなぐ</t>
  </si>
  <si>
    <t>1行=標準タスクの証拠パッケージ。独立した132文書は不要。Issue/ADR/PR/Eval/Releaseへ版付きリンクで代替できる。</t>
  </si>
  <si>
    <t>Evidence ID</t>
  </si>
  <si>
    <t>成果物群</t>
  </si>
  <si>
    <t>推奨する正本</t>
  </si>
  <si>
    <t>Ownerロール</t>
  </si>
  <si>
    <t>最低限の証拠内容</t>
  </si>
  <si>
    <t>正本URI（入力）</t>
  </si>
  <si>
    <t>対象版/hash（入力）</t>
  </si>
  <si>
    <t>更新責任者（入力）</t>
  </si>
  <si>
    <t>最終確認日（入力）</t>
  </si>
  <si>
    <t>承認記録ID（入力）</t>
  </si>
  <si>
    <t>EV-B0-01</t>
  </si>
  <si>
    <t>Versioned Docs/Issue＋業務台帳</t>
  </si>
  <si>
    <t>EV-B0-02</t>
  </si>
  <si>
    <t>EV-B0-03</t>
  </si>
  <si>
    <t>EV-B0-04</t>
  </si>
  <si>
    <t>EV-B0-05</t>
  </si>
  <si>
    <t>EV-B0-06</t>
  </si>
  <si>
    <t>EV-B0-07</t>
  </si>
  <si>
    <t>EV-B0-08</t>
  </si>
  <si>
    <t>EV-B0-09</t>
  </si>
  <si>
    <t>EV-B0-10</t>
  </si>
  <si>
    <t>EV-B0-11</t>
  </si>
  <si>
    <t>EV-B0-12</t>
  </si>
  <si>
    <t>EV-B0-13</t>
  </si>
  <si>
    <t>EV-B0-14</t>
  </si>
  <si>
    <t>EV-B0-15</t>
  </si>
  <si>
    <t>EV-B0-16</t>
  </si>
  <si>
    <t>EV-B0-17</t>
  </si>
  <si>
    <t>最重要仮説に対する証拠と残存不確実性がある。</t>
  </si>
  <si>
    <t>EV-B0-18</t>
  </si>
  <si>
    <t>Go/条件付き/再検証/停止、条件期限、責任者を記録。</t>
  </si>
  <si>
    <t>EV-B1-01</t>
  </si>
  <si>
    <t>EV-B1-02</t>
  </si>
  <si>
    <t>EV-B1-03</t>
  </si>
  <si>
    <t>EV-B1-04</t>
  </si>
  <si>
    <t>EV-B1-05</t>
  </si>
  <si>
    <t>EV-B1-06</t>
  </si>
  <si>
    <t>EV-B1-07</t>
  </si>
  <si>
    <t>EV-B1-08</t>
  </si>
  <si>
    <t>EV-B1-09</t>
  </si>
  <si>
    <t>EV-B1-10</t>
  </si>
  <si>
    <t>EV-B1-11</t>
  </si>
  <si>
    <t>EV-B1-12</t>
  </si>
  <si>
    <t>EV-B1-13</t>
  </si>
  <si>
    <t>EV-B1-14</t>
  </si>
  <si>
    <t>EV-B1-15</t>
  </si>
  <si>
    <t>EV-B1-16</t>
  </si>
  <si>
    <t>EV-B1-17</t>
  </si>
  <si>
    <t>EV-B1-18</t>
  </si>
  <si>
    <t>EV-B1-19</t>
  </si>
  <si>
    <t>EV-B2-01</t>
  </si>
  <si>
    <t>Git/Issue＋評価ストア</t>
  </si>
  <si>
    <t>EV-B2-02</t>
  </si>
  <si>
    <t>EV-B2-03</t>
  </si>
  <si>
    <t>EV-B2-04</t>
  </si>
  <si>
    <t>EV-B2-05</t>
  </si>
  <si>
    <t>EV-B2-06</t>
  </si>
  <si>
    <t>EV-B2-07</t>
  </si>
  <si>
    <t>EV-B2-08</t>
  </si>
  <si>
    <t>EV-B2-09</t>
  </si>
  <si>
    <t>EV-B2-10</t>
  </si>
  <si>
    <t>EV-B2-11</t>
  </si>
  <si>
    <t>EV-B2-12</t>
  </si>
  <si>
    <t>EV-B2-13</t>
  </si>
  <si>
    <t>EV-B2-14</t>
  </si>
  <si>
    <t>EV-B2-15</t>
  </si>
  <si>
    <t>EV-B2-16</t>
  </si>
  <si>
    <t>EV-B2-17</t>
  </si>
  <si>
    <t>EV-B2-18</t>
  </si>
  <si>
    <t>EV-B2-19</t>
  </si>
  <si>
    <t>EV-B2-20</t>
  </si>
  <si>
    <t>EV-B3-01</t>
  </si>
  <si>
    <t>EV-B3-02</t>
  </si>
  <si>
    <t>EV-B3-03</t>
  </si>
  <si>
    <t>EV-B3-04</t>
  </si>
  <si>
    <t>EV-B3-05</t>
  </si>
  <si>
    <t>EV-B3-06</t>
  </si>
  <si>
    <t>EV-B3-07</t>
  </si>
  <si>
    <t>EV-B3-08</t>
  </si>
  <si>
    <t>EV-B3-09</t>
  </si>
  <si>
    <t>EV-B3-10</t>
  </si>
  <si>
    <t>EV-B3-11</t>
  </si>
  <si>
    <t>EV-B3-12</t>
  </si>
  <si>
    <t>EV-B3-13</t>
  </si>
  <si>
    <t>EV-B3-14</t>
  </si>
  <si>
    <t>EV-B3-15</t>
  </si>
  <si>
    <t>EV-B3-16</t>
  </si>
  <si>
    <t>EV-B3-17</t>
  </si>
  <si>
    <t>EV-B3-18</t>
  </si>
  <si>
    <t>EV-B3-19</t>
  </si>
  <si>
    <t>EV-B3-20</t>
  </si>
  <si>
    <t>EV-B3-21</t>
  </si>
  <si>
    <t>EV-B3-22</t>
  </si>
  <si>
    <t>EV-B3-23</t>
  </si>
  <si>
    <t>EV-B4-01</t>
  </si>
  <si>
    <t>EV-B4-02</t>
  </si>
  <si>
    <t>EV-B4-03</t>
  </si>
  <si>
    <t>EV-B4-04</t>
  </si>
  <si>
    <t>EV-B4-05</t>
  </si>
  <si>
    <t>EV-B4-06</t>
  </si>
  <si>
    <t>EV-B4-07</t>
  </si>
  <si>
    <t>EV-B4-08</t>
  </si>
  <si>
    <t>EV-B4-09</t>
  </si>
  <si>
    <t>EV-B4-10</t>
  </si>
  <si>
    <t>EV-B4-11</t>
  </si>
  <si>
    <t>EV-B4-12</t>
  </si>
  <si>
    <t>EV-B4-13</t>
  </si>
  <si>
    <t>合否、証拠、限界、残件のOwner・期限がある。</t>
  </si>
  <si>
    <t>EV-B4-14</t>
  </si>
  <si>
    <t>EV-B4-15</t>
  </si>
  <si>
    <t>EV-B4-16</t>
  </si>
  <si>
    <t>EV-B4-17</t>
  </si>
  <si>
    <t>EV-B5-01</t>
  </si>
  <si>
    <t>EV-B5-02</t>
  </si>
  <si>
    <t>EV-B5-03</t>
  </si>
  <si>
    <t>EV-B5-04</t>
  </si>
  <si>
    <t>EV-B5-05</t>
  </si>
  <si>
    <t>EV-B5-06</t>
  </si>
  <si>
    <t>EV-B5-07</t>
  </si>
  <si>
    <t>EV-B5-08</t>
  </si>
  <si>
    <t>EV-B5-09</t>
  </si>
  <si>
    <t>EV-B5-10</t>
  </si>
  <si>
    <t>EV-B5-11</t>
  </si>
  <si>
    <t>EV-B5-12</t>
  </si>
  <si>
    <t>EV-B5-13</t>
  </si>
  <si>
    <t>EV-B5-14</t>
  </si>
  <si>
    <t>EV-B5-15</t>
  </si>
  <si>
    <t>EV-B5-16</t>
  </si>
  <si>
    <t>EV-B5-17</t>
  </si>
  <si>
    <t>EV-B5-18</t>
  </si>
  <si>
    <t>EV-B5-19</t>
  </si>
  <si>
    <t>EV-B5-20</t>
  </si>
  <si>
    <t>EV-B5-21</t>
  </si>
  <si>
    <t>EV-B5-22</t>
  </si>
  <si>
    <t>EV-B5-23</t>
  </si>
  <si>
    <t>EV-B5-24</t>
  </si>
  <si>
    <t>EV-B6-01</t>
  </si>
  <si>
    <t>対象・責任者・通知・データ処理・予算を承認。</t>
  </si>
  <si>
    <t>EV-B6-02</t>
  </si>
  <si>
    <t>EV-B6-03</t>
  </si>
  <si>
    <t>EV-B6-04</t>
  </si>
  <si>
    <t>EV-B6-05</t>
  </si>
  <si>
    <t>EV-B6-06</t>
  </si>
  <si>
    <t>EV-B6-07</t>
  </si>
  <si>
    <t>EV-B6-08</t>
  </si>
  <si>
    <t>EV-B6-09</t>
  </si>
  <si>
    <t>EV-B6-10</t>
  </si>
  <si>
    <t>EV-B6-11</t>
  </si>
  <si>
    <t>データ台帳｜取得から派生・削除まで</t>
  </si>
  <si>
    <t>1行=1データ資産。取得・投入・送信前に利用許可を確認。仮名加工と匿名加工を区別し、派生データまで追跡する。</t>
  </si>
  <si>
    <t>Data ID</t>
  </si>
  <si>
    <t>名称・種類</t>
  </si>
  <si>
    <t>Owner実名</t>
  </si>
  <si>
    <t>用途・目的</t>
  </si>
  <si>
    <t>個人情報区分</t>
  </si>
  <si>
    <t>仮名/匿名・加工状態</t>
  </si>
  <si>
    <t>取得元・出所URI</t>
  </si>
  <si>
    <t>権利・利用条件</t>
  </si>
  <si>
    <t>学習利用可否</t>
  </si>
  <si>
    <t>RAG利用可否</t>
  </si>
  <si>
    <t>外部送信先/依存ID</t>
  </si>
  <si>
    <t>送信・処理国</t>
  </si>
  <si>
    <t>再委託先</t>
  </si>
  <si>
    <t>保存場所</t>
  </si>
  <si>
    <t>保持期間/起算点</t>
  </si>
  <si>
    <t>削除/保全方法</t>
  </si>
  <si>
    <t>派生先ID（index/log等）</t>
  </si>
  <si>
    <t>独立評価との分離</t>
  </si>
  <si>
    <t>利用承認者</t>
  </si>
  <si>
    <t>承認日</t>
  </si>
  <si>
    <t>根拠URI</t>
  </si>
  <si>
    <t>最終確認日</t>
  </si>
  <si>
    <t>記録点検</t>
  </si>
  <si>
    <t>記入時の重点</t>
  </si>
  <si>
    <t>記入要領</t>
  </si>
  <si>
    <t>実データの投入前</t>
  </si>
  <si>
    <t>個人データ・営業秘密を未承認の開発Agent/評価/ログへ投入しない</t>
  </si>
  <si>
    <t>派生の追跡</t>
  </si>
  <si>
    <t>原文→chunk→embedding/index→cache→trace/log→評価データをIDで接続</t>
  </si>
  <si>
    <t>学習済みモデル</t>
  </si>
  <si>
    <t>元データ削除だけで学習への影響が除去されたとしない。学習由来と対応方針を確認</t>
  </si>
  <si>
    <t>保全と削除</t>
  </si>
  <si>
    <t>法定保存/訴訟保全/バックアップ期限は削除と別の残存義務として管理</t>
  </si>
  <si>
    <t>モデル・外部AI・ベンダー台帳｜依存の変更を見逃さない</t>
  </si>
  <si>
    <t>1行=1依存/版。API・ローカルモデル・クラウド・MCP・Tool・Agent Skillを識別し、製品用と開発用を別記する。</t>
  </si>
  <si>
    <t>依存ID</t>
  </si>
  <si>
    <t>種類</t>
  </si>
  <si>
    <t>製品AI/開発AI</t>
  </si>
  <si>
    <t>提供者・名称</t>
  </si>
  <si>
    <t>model/tool/Skill ID</t>
  </si>
  <si>
    <t>固定版/hash</t>
  </si>
  <si>
    <t>利用目的</t>
  </si>
  <si>
    <t>処理地域</t>
  </si>
  <si>
    <t>送信データID</t>
  </si>
  <si>
    <t>学習利用/保存条件</t>
  </si>
  <si>
    <t>再委託/telemetry</t>
  </si>
  <si>
    <t>規約・契約ID</t>
  </si>
  <si>
    <t>EOL/変更通知</t>
  </si>
  <si>
    <t>可用性・制限</t>
  </si>
  <si>
    <t>原価・請求単位</t>
  </si>
  <si>
    <t>代替/移行策</t>
  </si>
  <si>
    <t>許可操作・Scope</t>
  </si>
  <si>
    <t>認証/秘密保管</t>
  </si>
  <si>
    <t>通信allowlist</t>
  </si>
  <si>
    <t>供給元/知財</t>
  </si>
  <si>
    <t>評価Run ID</t>
  </si>
  <si>
    <t>承認者・日付</t>
  </si>
  <si>
    <t>証拠URI</t>
  </si>
  <si>
    <t>状態</t>
  </si>
  <si>
    <t>依存変更で再審査する条件</t>
  </si>
  <si>
    <t>戻り先</t>
  </si>
  <si>
    <t>証拠</t>
  </si>
  <si>
    <t>モデル/Provider/地域/規約/EOLの変更</t>
  </si>
  <si>
    <t>12法務・13ADR・15/16評価・20変更</t>
  </si>
  <si>
    <t>性能/安全/原価/利用条件/移行の差分</t>
  </si>
  <si>
    <t>Tool追加・write権限・Skill scripts更新</t>
  </si>
  <si>
    <t>13設計・14実行Policy・19脅威・20変更</t>
  </si>
  <si>
    <t>Scope、署名/由来、供給網、攻撃・回帰試験</t>
  </si>
  <si>
    <t>APIで固定版を指定できない</t>
  </si>
  <si>
    <t>20変更・21監視で検知/再評価を設計</t>
  </si>
  <si>
    <t>監視対象・代替・変更後の評価Runと承認</t>
  </si>
  <si>
    <t>プライバシー・法令判定｜推奨事項を法律と混同しない</t>
  </si>
  <si>
    <t>一般的な確認項目であり、個別法務判断を代替しない。対象国・役割・用途を入力し、法的禁止を経営判断で上書きしない。</t>
  </si>
  <si>
    <t>判定ID</t>
  </si>
  <si>
    <t>対象</t>
  </si>
  <si>
    <t>位置づけ</t>
  </si>
  <si>
    <t>具体的な確認</t>
  </si>
  <si>
    <t>責任Role</t>
  </si>
  <si>
    <t>タイミング</t>
  </si>
  <si>
    <t>適用判定</t>
  </si>
  <si>
    <t>判断・条件（入力）</t>
  </si>
  <si>
    <t>実名権限者</t>
  </si>
  <si>
    <t>判断日</t>
  </si>
  <si>
    <t>再確認日</t>
  </si>
  <si>
    <t>公式URL</t>
  </si>
  <si>
    <t>L01</t>
  </si>
  <si>
    <t>提供国・役割・用途</t>
  </si>
  <si>
    <t>適用法のスコープ判定</t>
  </si>
  <si>
    <t>国/利用者/業種/データ/AI actor roleを確定。未指定のまま適合宣言しない</t>
  </si>
  <si>
    <t>取得/企画・変更時</t>
  </si>
  <si>
    <t>L02</t>
  </si>
  <si>
    <t>日本のAI方針・ガバナンス</t>
  </si>
  <si>
    <t>法と任意指針を分ける</t>
  </si>
  <si>
    <t>添付が挙げるAI法・内閣府指針は適用確認対象。W01の第1.2版指針だけを法律上の義務と扱わない</t>
  </si>
  <si>
    <t>G0/G1</t>
  </si>
  <si>
    <t>L03</t>
  </si>
  <si>
    <t>個人情報・利用目的</t>
  </si>
  <si>
    <t>法令/ガイドライン</t>
  </si>
  <si>
    <t>情報区分、目的、取得方法、通知・同意等の要否、安全管理・委託先管理を判断</t>
  </si>
  <si>
    <t>取得・利用前</t>
  </si>
  <si>
    <t>L04</t>
  </si>
  <si>
    <t>仮名加工情報</t>
  </si>
  <si>
    <t>第三者提供の原則禁止と、法律上第三者に当たらない委託等を区別。通常の本人同意を万能な解除根拠にしない</t>
  </si>
  <si>
    <t>外部提供前</t>
  </si>
  <si>
    <t>W02</t>
  </si>
  <si>
    <t>https://www.ppc.go.jp/personalinfo/legal/guidelines_anonymous/</t>
  </si>
  <si>
    <t>L05</t>
  </si>
  <si>
    <t>外国への提供/委託</t>
  </si>
  <si>
    <t>国内委託の整理とは別に、外国提供の例外・同意・相当措置等の適用を判断。送信先/国/再委託を特定</t>
  </si>
  <si>
    <t>外部送信前</t>
  </si>
  <si>
    <t>W03</t>
  </si>
  <si>
    <t>https://www.ppc.go.jp/personalinfo/legal/guidelines_offshore/</t>
  </si>
  <si>
    <t>L06</t>
  </si>
  <si>
    <t>基盤モデル・開発AI規約</t>
  </si>
  <si>
    <t>契約/利用条件</t>
  </si>
  <si>
    <t>学習利用、保持、地域、秘密情報、知財、免責、再委託、通知、削除条件を確認</t>
  </si>
  <si>
    <t>購入/データ投入前</t>
  </si>
  <si>
    <t>L07</t>
  </si>
  <si>
    <t>データ/コード/生成物の権利</t>
  </si>
  <si>
    <t>法令/契約/ライセンス</t>
  </si>
  <si>
    <t>取得元、著作権・営業秘密、OSSライセンス、生成物の用途と権利不確実性を確認</t>
  </si>
  <si>
    <t>取り込み/公開前</t>
  </si>
  <si>
    <t>L08</t>
  </si>
  <si>
    <t>消費者/利用者への説明・救済</t>
  </si>
  <si>
    <t>用途/国に応じ法判定</t>
  </si>
  <si>
    <t>AI利用、能力/限界、禁止用途、料金、問い合わせ、訂正・異議・返金等を設計</t>
  </si>
  <si>
    <t>外販/公開前</t>
  </si>
  <si>
    <t>L09</t>
  </si>
  <si>
    <t>EU AI Act/Omnibus</t>
  </si>
  <si>
    <t>対象該当時の法令判定</t>
  </si>
  <si>
    <t>提供/利用地域、禁止用途、高リスク/GPAI等の役割、経過措置と適用日を法務が記録。全サービス一律の期限を置かない</t>
  </si>
  <si>
    <t>EU対象/重大変更</t>
  </si>
  <si>
    <t>W15</t>
  </si>
  <si>
    <t>L10</t>
  </si>
  <si>
    <t>業法・高影響用途</t>
  </si>
  <si>
    <t>医療・金融・雇用・教育・生命身体等は専門家が資格、承認、監督、利用制限を判断</t>
  </si>
  <si>
    <t>G0/G1/用途変更</t>
  </si>
  <si>
    <t>L11</t>
  </si>
  <si>
    <t>ISO/IEC 42001</t>
  </si>
  <si>
    <t>任意規格/契約指定時</t>
  </si>
  <si>
    <t>公開概要のみ確認。認証要否と正式規格本文の要求は組織が別途判定し、認証済みと表記しない</t>
  </si>
  <si>
    <t>組織方針決定時</t>
  </si>
  <si>
    <t>W16</t>
  </si>
  <si>
    <t>https://www.iso.org/standard/42001</t>
  </si>
  <si>
    <t>L12</t>
  </si>
  <si>
    <t>NIST/OWASP/MITRE</t>
  </si>
  <si>
    <t>任意フレーム/技術指針</t>
  </si>
  <si>
    <t>脅威・評価・制御設計の参照。法令準拠や安全を自動保証するチェックリストではない</t>
  </si>
  <si>
    <t>設計/評価/変更</t>
  </si>
  <si>
    <t>W10,W11,W12,W13,W17,W18</t>
  </si>
  <si>
    <t>https://www.nist.gov/publications/artificial-intelligence-risk-management-framework-generative-artificial-intelligence
https://csrc.nist.gov/pubs/sp/800/218/a/final
https://genai.owasp.org/resource/a-practical-guide-for-secure-mcp-server-development/
https://genai.owasp.org/resource/agent-control-standard-acs/
https://genai.owasp.org/resource/owasp-genai-llm-top-10-2026/
https://atlas.mitre.org/</t>
  </si>
  <si>
    <t>L13</t>
  </si>
  <si>
    <t>公開・マーケ表現</t>
  </si>
  <si>
    <t>法令/契約/実証の照合</t>
  </si>
  <si>
    <t>実測した能力を超える精度保証や自律性の表示をしない。宣伝の対象版・条件を証拠化</t>
  </si>
  <si>
    <t>GTM/公開前</t>
  </si>
  <si>
    <t>L14</t>
  </si>
  <si>
    <t>保存・削除・事故通知</t>
  </si>
  <si>
    <t>法令/契約/保全義務</t>
  </si>
  <si>
    <t>保存期間、本人請求、漏えい等の通知条件、法的保全、廃止後の残存責任を記録</t>
  </si>
  <si>
    <t>G1/運用/廃止</t>
  </si>
  <si>
    <t>アーキテクチャ・ADR台帳｜選択肢と再審査条件を残す</t>
  </si>
  <si>
    <t>12件は検討テーマであり、決定済みADRではない。採用案・却下理由・影響・証拠を案件で記入する。</t>
  </si>
  <si>
    <t>ADR ID</t>
  </si>
  <si>
    <t>検討テーマ</t>
  </si>
  <si>
    <t>最低限検討する論点</t>
  </si>
  <si>
    <t>採用案（入力）</t>
  </si>
  <si>
    <t>比較/却下理由</t>
  </si>
  <si>
    <t>Data/依存ID</t>
  </si>
  <si>
    <t>原価/制約</t>
  </si>
  <si>
    <t>復旧/代替案</t>
  </si>
  <si>
    <t>見直しトリガー</t>
  </si>
  <si>
    <t>決定者</t>
  </si>
  <si>
    <t>決定日</t>
  </si>
  <si>
    <t>版・正本URI</t>
  </si>
  <si>
    <t>ADR01</t>
  </si>
  <si>
    <t>AI適用/非AI代替</t>
  </si>
  <si>
    <t>非AI、ルール、検索、AIの価値/危害/原価比較</t>
  </si>
  <si>
    <t>B0-06,B2-01</t>
  </si>
  <si>
    <t>未決定</t>
  </si>
  <si>
    <t>ADR02</t>
  </si>
  <si>
    <t>Build/Buy/Partner</t>
  </si>
  <si>
    <t>内製/購入/提携の差別化・データ・撤退容易性</t>
  </si>
  <si>
    <t>B0-06,B1-13</t>
  </si>
  <si>
    <t>ADR03</t>
  </si>
  <si>
    <t>RAG/GraphRAG/Agent</t>
  </si>
  <si>
    <t>単純な構成で足りない条件を実測。Graph/自律性の追加理由</t>
  </si>
  <si>
    <t>B2-01,B2-04,B2-06</t>
  </si>
  <si>
    <t>ADR04</t>
  </si>
  <si>
    <t>Model/Provider/配置</t>
  </si>
  <si>
    <t>モデル能力・ライセンス・処理地域・冗長性・EOL</t>
  </si>
  <si>
    <t>ADR05</t>
  </si>
  <si>
    <t>Data Flow/権利/削除</t>
  </si>
  <si>
    <t>入力から派生/ログ/評価/バックアップまで</t>
  </si>
  <si>
    <t>ADR06</t>
  </si>
  <si>
    <t>権限・脅威境界</t>
  </si>
  <si>
    <t>製品Agentと開発Agentを別境界で設計</t>
  </si>
  <si>
    <t>ADR07</t>
  </si>
  <si>
    <t>Human-AI UX/救済</t>
  </si>
  <si>
    <t>確認・保留・介入・再試行・同意・訂正</t>
  </si>
  <si>
    <t>ADR08</t>
  </si>
  <si>
    <t>品質と評価設計</t>
  </si>
  <si>
    <t>業務成否、grader、独立セット、重大失敗、回帰</t>
  </si>
  <si>
    <t>ADR09</t>
  </si>
  <si>
    <t>開発Harness/Skill</t>
  </si>
  <si>
    <t>Repo正本、Skill契約、実行権限、loop予算</t>
  </si>
  <si>
    <t>B2-11,B2-12</t>
  </si>
  <si>
    <t>ADR10</t>
  </si>
  <si>
    <t>CI/観測/供給網</t>
  </si>
  <si>
    <t>Agentが検証可能な環境と版・由来・署名</t>
  </si>
  <si>
    <t>B2-11,B2-13,B2-15</t>
  </si>
  <si>
    <t>ADR11</t>
  </si>
  <si>
    <t>SLO/復旧/縮退</t>
  </si>
  <si>
    <t>性能、容量、provider障害、データ移行・補償</t>
  </si>
  <si>
    <t>B1-08,B2-16</t>
  </si>
  <si>
    <t>ADR12</t>
  </si>
  <si>
    <t>原価/課金/計測</t>
  </si>
  <si>
    <t>cost/success、上限、料金、請求、分析イベント</t>
  </si>
  <si>
    <t>B2-17,B1-18</t>
  </si>
  <si>
    <t>AI駆動開発・ハーネス標準｜人が方向を定め実行を制御する</t>
  </si>
  <si>
    <t>開発AIと製品AIの境界を別管理。宣言は実行認可ではない。下段AT01〜07は適用時の実試験仕様であり実施済みではない。</t>
  </si>
  <si>
    <t>制御ID</t>
  </si>
  <si>
    <t>標準</t>
  </si>
  <si>
    <t>実施内容</t>
  </si>
  <si>
    <t>Owner</t>
  </si>
  <si>
    <t>関連Task</t>
  </si>
  <si>
    <t>参照URL</t>
  </si>
  <si>
    <t>A01</t>
  </si>
  <si>
    <t>Repo/Issueを正本にする</t>
  </si>
  <si>
    <t>短いAgent指示は参照地図。仕様、ADR、テスト、Runbookを版管理し、更新責任者と鮮度を持つ</t>
  </si>
  <si>
    <t>正本URIと整合チェック</t>
  </si>
  <si>
    <t>B2-11,B3-01</t>
  </si>
  <si>
    <t>A02</t>
  </si>
  <si>
    <t>AgentごとのIdentity/Scope</t>
  </si>
  <si>
    <t>共有管理者権限は禁止。サービスID/短期資格情報/最小権限/秘密保管/失効を設計</t>
  </si>
  <si>
    <t>IAM・資格情報ポリシー・拒否試験</t>
  </si>
  <si>
    <t>B2-07,B3-04</t>
  </si>
  <si>
    <t>A03</t>
  </si>
  <si>
    <t>Network/Tool制約を実行側で強制</t>
  </si>
  <si>
    <t>送信先allowlist、引数schema、認可、テナント分離を実装。Promptで禁止と書くだけにしない</t>
  </si>
  <si>
    <t>runtime policyと越境/権限逸脱試験</t>
  </si>
  <si>
    <t>B3-02,B3-11,B4-06</t>
  </si>
  <si>
    <t>A04</t>
  </si>
  <si>
    <t>開発</t>
  </si>
  <si>
    <t>隔離sandbox/worktree</t>
  </si>
  <si>
    <t>変更ごとにworkspaceと試験環境を分離。外部通信/データ/mountを制限。信頼しないコードを本番秘密で実行しない</t>
  </si>
  <si>
    <t>workspace設定、隔離・破棄記録</t>
  </si>
  <si>
    <t>B2-13,B3-02</t>
  </si>
  <si>
    <t>A05</t>
  </si>
  <si>
    <t>有限のループ予算</t>
  </si>
  <si>
    <t>時間、iteration、token、金額、retry、並列上限、タイムアウトを設定。改善しない/上限到達で停止・人へ移管</t>
  </si>
  <si>
    <t>上限設定、停止・再開テスト</t>
  </si>
  <si>
    <t>B2-14,B3-04</t>
  </si>
  <si>
    <t>A06</t>
  </si>
  <si>
    <t>高影響操作の人間承認</t>
  </si>
  <si>
    <t>金銭、権限、削除、外部送信の確認を実行直前に結び付ける。承認対象/期限/変更検知/取消を記録</t>
  </si>
  <si>
    <t>操作ID・承認・実行結果の対応</t>
  </si>
  <si>
    <t>B2-06,B3-11,B3-13</t>
  </si>
  <si>
    <t>A07</t>
  </si>
  <si>
    <t>Skillの適用契約</t>
  </si>
  <si>
    <t>適用/非適用、前提、入力/出力、成功/停止、依存、権限、所有者を定義。人のS-ID習熟度とは別物</t>
  </si>
  <si>
    <t>SKILL.md等とschema・利用例</t>
  </si>
  <si>
    <t>B2-12,B3-03</t>
  </si>
  <si>
    <t>U01,U03,W14</t>
  </si>
  <si>
    <t>A08</t>
  </si>
  <si>
    <t>Skillの供給網と評価</t>
  </si>
  <si>
    <t>信頼できる由来、ライセンス、版/hash、scripts/dependencies、悪性指示を審査。trigger/non-trigger、正常/敵対/回帰を試験</t>
  </si>
  <si>
    <t>Skill release、回帰Run、承認・撤回</t>
  </si>
  <si>
    <t>B3-03,B5-18</t>
  </si>
  <si>
    <t>U03,W14</t>
  </si>
  <si>
    <t>A09</t>
  </si>
  <si>
    <t>宣言と実行認可の分離</t>
  </si>
  <si>
    <t>Skillのallowed-tools等の宣言は実行制御の代替ではない。対応が実験的/実装依存の項目はランタイムで検証</t>
  </si>
  <si>
    <t>実装別の権限拒否試験</t>
  </si>
  <si>
    <t>B3-02,B3-11</t>
  </si>
  <si>
    <t>W14,U03</t>
  </si>
  <si>
    <t>A10</t>
  </si>
  <si>
    <t>Context最小化・境界</t>
  </si>
  <si>
    <t>必要な情報だけ投入し、機密/古い記憶/検索文書内の指示を分離。要約による前提欠落をテスト</t>
  </si>
  <si>
    <t>context版、出所、可視性、漏えい試験</t>
  </si>
  <si>
    <t>B2-12,B3-10</t>
  </si>
  <si>
    <t>A11</t>
  </si>
  <si>
    <t>CI/評価で閉じる修復ループ</t>
  </si>
  <si>
    <t>lint/型/単体/統合/安全/必要evalの失敗を修正。基準を緩めて通す変更は承認対象。上限後にIssueへ</t>
  </si>
  <si>
    <t>CIログ、失敗分類、差分、再実行</t>
  </si>
  <si>
    <t>A12</t>
  </si>
  <si>
    <t>独立評価とgrader較正</t>
  </si>
  <si>
    <t>生成者の自己採点を最終合否にしない。凍結セット隔離、複数trial、slice/不確実性、専門家との較正</t>
  </si>
  <si>
    <t>Eval計画・凍結版・人判定差異</t>
  </si>
  <si>
    <t>B1-07,B3-07,B4-02</t>
  </si>
  <si>
    <t>A13</t>
  </si>
  <si>
    <t>並列化・checkpoint・引継ぎ</t>
  </si>
  <si>
    <t>競合しない小変更へ分割しworktree隔離。状態・未完・次アクション・検証結果を引き継ぐ。無条件の多Agent化はしない</t>
  </si>
  <si>
    <t>task manifest、merge/review、checkpoint</t>
  </si>
  <si>
    <t>A14</t>
  </si>
  <si>
    <t>Observe / reconstruct</t>
  </si>
  <si>
    <t>model、prompt、Skill、tool、data版、権限、承認、結果、コストを関連付ける。機密/私的思考を過剰収集せず保持を制御</t>
  </si>
  <si>
    <t>trace/manifest、欠損率、アクセス/保存</t>
  </si>
  <si>
    <t>B3-15,B5-03</t>
  </si>
  <si>
    <t>A15</t>
  </si>
  <si>
    <t>停止・縮退・復旧</t>
  </si>
  <si>
    <t>kill switch、read-only、手動対応、旧構成復元。副作用あるToolの重複/部分失敗/補償を検証</t>
  </si>
  <si>
    <t>Runbook、訓練、実復旧証拠</t>
  </si>
  <si>
    <t>B3-19,B4-11</t>
  </si>
  <si>
    <t>A16</t>
  </si>
  <si>
    <t>AI効果のE2E計測</t>
  </si>
  <si>
    <t>準備/実装/レビュー/検証/手戻り/事故/費用込み。並列時の経過時間と人時間を分離</t>
  </si>
  <si>
    <t>18比較データ、品質条件、差分</t>
  </si>
  <si>
    <t>B3-22,B5-19</t>
  </si>
  <si>
    <t>標準開発ループ（工程を横断して繰り返す）</t>
  </si>
  <si>
    <t>順</t>
  </si>
  <si>
    <t>ステップ</t>
  </si>
  <si>
    <t>入力/処理</t>
  </si>
  <si>
    <t>AIの担当</t>
  </si>
  <si>
    <t>人の担当</t>
  </si>
  <si>
    <t>停止・差戻し</t>
  </si>
  <si>
    <t>01</t>
  </si>
  <si>
    <t>Spec/Issue</t>
  </si>
  <si>
    <t>価値・対象・禁止・Acceptance/Eval・変更範囲を定義</t>
  </si>
  <si>
    <t>要件草案・異常系候補</t>
  </si>
  <si>
    <t>人が受入基準を確定</t>
  </si>
  <si>
    <t>未承認の実データ/権限が必要なら止める</t>
  </si>
  <si>
    <t>02</t>
  </si>
  <si>
    <t>Plan/Context</t>
  </si>
  <si>
    <t>ADR/Skill/依存/試験/予算/正本を取得</t>
  </si>
  <si>
    <t>候補計画・小タスク分割</t>
  </si>
  <si>
    <t>高影響・設計差分を人が承認</t>
  </si>
  <si>
    <t>曖昧な前提や外部送信は確認へ</t>
  </si>
  <si>
    <t>03</t>
  </si>
  <si>
    <t>Execute</t>
  </si>
  <si>
    <t>隔離環境で小変更、必要なToolのみ実行</t>
  </si>
  <si>
    <t>コード/試験/文書/移行案</t>
  </si>
  <si>
    <t>高影響操作は実行時承認</t>
  </si>
  <si>
    <t>予算上限・許可外・危害兆候で停止</t>
  </si>
  <si>
    <t>04</t>
  </si>
  <si>
    <t>Verify</t>
  </si>
  <si>
    <t>CIと決定済みEvals、差分/攻撃/性能試験</t>
  </si>
  <si>
    <t>失敗再現・評価実行・ログ収集</t>
  </si>
  <si>
    <t>grader/評価セット変更は審査</t>
  </si>
  <si>
    <t>単なる自己申告の成功を拒否</t>
  </si>
  <si>
    <t>05</t>
  </si>
  <si>
    <t>Bounded repair</t>
  </si>
  <si>
    <t>失敗分類→最小修正→再評価を有限回</t>
  </si>
  <si>
    <t>修正PR・再試験</t>
  </si>
  <si>
    <t>スコープ拡大/停止後再開を承認</t>
  </si>
  <si>
    <t>停滞/上限到達は人へ引継ぎ</t>
  </si>
  <si>
    <t>06</t>
  </si>
  <si>
    <t>Independent review</t>
  </si>
  <si>
    <t>設計/コード/安全/独立評価を確認</t>
  </si>
  <si>
    <t>指摘候補・差分整理</t>
  </si>
  <si>
    <t>人の責任者が合否/マージ判断</t>
  </si>
  <si>
    <t>重大未解決・独立評価不合格は拒否</t>
  </si>
  <si>
    <t>07</t>
  </si>
  <si>
    <t>Release/Observe</t>
  </si>
  <si>
    <t>対象版を固定し段階展開・指標監視</t>
  </si>
  <si>
    <t>release準備/アラート整理</t>
  </si>
  <si>
    <t>R18公開判断・停止/復旧</t>
  </si>
  <si>
    <t>SLO/安全/原価の逸脱で縮退</t>
  </si>
  <si>
    <t>08</t>
  </si>
  <si>
    <t>Learn/Skill update</t>
  </si>
  <si>
    <t>本番失敗を回帰例へ、再利用手順をSkillへ</t>
  </si>
  <si>
    <t>改善案・Skill/文書差分</t>
  </si>
  <si>
    <t>利用目的/権限/基準変更多は再審査</t>
  </si>
  <si>
    <t>本番ログを無許可で学習へ流用しない</t>
  </si>
  <si>
    <t>Agent/Skill実行設定（実運用値を記入）</t>
  </si>
  <si>
    <t>設定</t>
  </si>
  <si>
    <t>値（入力）</t>
  </si>
  <si>
    <t>Owner（入力）</t>
  </si>
  <si>
    <t>承認URI（入力）</t>
  </si>
  <si>
    <t>確認日</t>
  </si>
  <si>
    <t>実行Runtime/境界</t>
  </si>
  <si>
    <t>製品/開発で別のID・権限</t>
  </si>
  <si>
    <t>利用Skill/固定版</t>
  </si>
  <si>
    <t>11依存台帳のIDを指定</t>
  </si>
  <si>
    <t>Tool/Network allowlist</t>
  </si>
  <si>
    <t>宣言ではなく実行側の制御URI</t>
  </si>
  <si>
    <t>時間・iteration・retry上限</t>
  </si>
  <si>
    <t>単位を付ける。未指定の無限loopは禁止</t>
  </si>
  <si>
    <t>token/金額/並列上限</t>
  </si>
  <si>
    <t>課金単位・超過停止・オーナー</t>
  </si>
  <si>
    <t>Human Approval操作</t>
  </si>
  <si>
    <t>対象操作・Scope・有効期限・取消</t>
  </si>
  <si>
    <t>checkpoint/再開</t>
  </si>
  <si>
    <t>状態・失敗・予算残と重複実行防止</t>
  </si>
  <si>
    <t>停止/復旧・連絡先</t>
  </si>
  <si>
    <t>実地確認日とRunbookを接続</t>
  </si>
  <si>
    <t>試験ID</t>
  </si>
  <si>
    <t>適用</t>
  </si>
  <si>
    <t>試験テーマ</t>
  </si>
  <si>
    <t>具体的な負の試験／受入条件</t>
  </si>
  <si>
    <t>保存する証拠</t>
  </si>
  <si>
    <t>実案件実行</t>
  </si>
  <si>
    <t>AT01</t>
  </si>
  <si>
    <t>子Agent使用時</t>
  </si>
  <si>
    <t>親子予算を合算</t>
  </si>
  <si>
    <t>親＋全子の時間・token・金額を集約。各子は上限内でも合計超過で新規操作停止。retry・再開で残予算をリセットしない。</t>
  </si>
  <si>
    <t>親子RunID、上限、支出イベント、拒否ログ</t>
  </si>
  <si>
    <t>B2-14,B3-04,B4-04</t>
  </si>
  <si>
    <t>AR22 / 既存W05・W14</t>
  </si>
  <si>
    <t>未実施：案件側で実行</t>
  </si>
  <si>
    <t>AT02</t>
  </si>
  <si>
    <t>委譲権限を拡大させない</t>
  </si>
  <si>
    <t>子のScopeを親以下に制限。親より広いTool・引数・送信先・資格情報の利用要求を拒否する。</t>
  </si>
  <si>
    <t>Scope差分、権限昇格拒否、監査ログ</t>
  </si>
  <si>
    <t>B3-11,B4-06</t>
  </si>
  <si>
    <t>AR22</t>
  </si>
  <si>
    <t>AT03</t>
  </si>
  <si>
    <t>停止伝播と競合</t>
  </si>
  <si>
    <t>親の停止／取消後に子の新規副作用を拒否。既に進行中の非取消処理は隔離・補償・結果確認し、停止の成功宣言だけで完了しない。</t>
  </si>
  <si>
    <t>停止時刻、各子状態、未完副作用、補償証拠</t>
  </si>
  <si>
    <t>AT04</t>
  </si>
  <si>
    <t>共有メモリ使用時</t>
  </si>
  <si>
    <t>利用者・Run間の隔離</t>
  </si>
  <si>
    <t>他利用者／過去Runのメモリ・Tool出力・悪性指示を混入させ、越境読出し・権限変更・履歴再利用を拒否する。</t>
  </si>
  <si>
    <t>メモリnamespace、攻撃入力、拒否と正例</t>
  </si>
  <si>
    <t>B3-10,B4-06</t>
  </si>
  <si>
    <t>AT05</t>
  </si>
  <si>
    <t>副作用あるTool</t>
  </si>
  <si>
    <t>冪等性・部分失敗</t>
  </si>
  <si>
    <t>同一業務をretry／子Agentが重複送信しても二重決済等を起こさない。部分失敗の補償・人への移管を実外部状態で確認。</t>
  </si>
  <si>
    <t>業務ID、冪等キー、外部状態差分、補償</t>
  </si>
  <si>
    <t>B3-11,B4-04</t>
  </si>
  <si>
    <t>AR22・AR23</t>
  </si>
  <si>
    <t>AT06</t>
  </si>
  <si>
    <t>Agent評価</t>
  </si>
  <si>
    <t>清浄状態と汚染状態</t>
  </si>
  <si>
    <t>TrialごとにDB/cache/file/memoryの初期Snapshotを復元しReset成否を検査。前試行の残状態を故意に入れ、検出・無効化されることを確認。</t>
  </si>
  <si>
    <t>TrialID、FixtureID、Reset、外部差分、失敗</t>
  </si>
  <si>
    <t>B4-04,B3-17</t>
  </si>
  <si>
    <t>AR23 / 既存W05</t>
  </si>
  <si>
    <t>AT07</t>
  </si>
  <si>
    <t>反復試行する評価</t>
  </si>
  <si>
    <t>成功率の意味</t>
  </si>
  <si>
    <t>一回成功率、k試行で一度以上成功する率、全試行で成功する率を混同しない。部分成功・手動補正・retry・失敗の分母と費用を記録。</t>
  </si>
  <si>
    <t>採点定義、試行構造、母数、区間、費用</t>
  </si>
  <si>
    <t>B4-04,B4-13</t>
  </si>
  <si>
    <t>評価計画・品質ゲート｜閾値は評価前に固定する</t>
  </si>
  <si>
    <t>分類は32、計画はPlanID@版。複数機能・版を予約行4〜103へ追加。承認後の上書きをせず新しい版を作る。</t>
  </si>
  <si>
    <t>EvalType</t>
  </si>
  <si>
    <t>評価軸</t>
  </si>
  <si>
    <t>指標候補</t>
  </si>
  <si>
    <t>設計上の要点</t>
  </si>
  <si>
    <t>設計Role</t>
  </si>
  <si>
    <t>母集団/分母（入力）</t>
  </si>
  <si>
    <t>slice/標本/反復</t>
  </si>
  <si>
    <t>比較対象・版</t>
  </si>
  <si>
    <t>合格閾値/方向</t>
  </si>
  <si>
    <t>重大失敗条件</t>
  </si>
  <si>
    <t>評価Data ID/凍結版</t>
  </si>
  <si>
    <t>grader/較正方式</t>
  </si>
  <si>
    <t>独立評価者</t>
  </si>
  <si>
    <t>計画承認URI</t>
  </si>
  <si>
    <t>EvalPlan ID</t>
  </si>
  <si>
    <t>計画版</t>
  </si>
  <si>
    <t>対象機能／業務</t>
  </si>
  <si>
    <t>対象ManifestHash</t>
  </si>
  <si>
    <t>PlanKey（自動）</t>
  </si>
  <si>
    <t>計画記録点検</t>
  </si>
  <si>
    <t>初期状態／Fixture定義URI</t>
  </si>
  <si>
    <t>Reset・副作用検査</t>
  </si>
  <si>
    <t>試行成功率の定義</t>
  </si>
  <si>
    <t>E01</t>
  </si>
  <si>
    <t>未設定</t>
  </si>
  <si>
    <t>EP-001</t>
  </si>
  <si>
    <t>1</t>
  </si>
  <si>
    <t>E02</t>
  </si>
  <si>
    <t>EP-002</t>
  </si>
  <si>
    <t>E03</t>
  </si>
  <si>
    <t>EP-003</t>
  </si>
  <si>
    <t>E04</t>
  </si>
  <si>
    <t>EP-004</t>
  </si>
  <si>
    <t>E05</t>
  </si>
  <si>
    <t>EP-005</t>
  </si>
  <si>
    <t>E06</t>
  </si>
  <si>
    <t>EP-006</t>
  </si>
  <si>
    <t>E07</t>
  </si>
  <si>
    <t>EP-007</t>
  </si>
  <si>
    <t>E08</t>
  </si>
  <si>
    <t>EP-008</t>
  </si>
  <si>
    <t>E09</t>
  </si>
  <si>
    <t>EP-009</t>
  </si>
  <si>
    <t>E10</t>
  </si>
  <si>
    <t>EP-010</t>
  </si>
  <si>
    <t>E11</t>
  </si>
  <si>
    <t>EP-011</t>
  </si>
  <si>
    <t>E12</t>
  </si>
  <si>
    <t>EP-012</t>
  </si>
  <si>
    <t>E13</t>
  </si>
  <si>
    <t>EP-013</t>
  </si>
  <si>
    <t>E14</t>
  </si>
  <si>
    <t>EP-014</t>
  </si>
  <si>
    <t>E15</t>
  </si>
  <si>
    <t>EP-015</t>
  </si>
  <si>
    <t>E16</t>
  </si>
  <si>
    <t>EP-016</t>
  </si>
  <si>
    <t>E17</t>
  </si>
  <si>
    <t>EP-017</t>
  </si>
  <si>
    <t>E18</t>
  </si>
  <si>
    <t>EP-018</t>
  </si>
  <si>
    <t>評価実績インデックス｜結果を上書きしない</t>
  </si>
  <si>
    <t>1行=EvalRun。Aは一意、B=PlanID@版、T=実行構成hash。再実行・変更は新Run。採点と実世界の結果を保存。</t>
  </si>
  <si>
    <t>Run ID</t>
  </si>
  <si>
    <t>EvalPlanKey</t>
  </si>
  <si>
    <t>対象Release/Issue</t>
  </si>
  <si>
    <t>日時</t>
  </si>
  <si>
    <t>Model版</t>
  </si>
  <si>
    <t>Prompt/Policy版</t>
  </si>
  <si>
    <t>Data/Evalセット版</t>
  </si>
  <si>
    <t>Tool/Skill/Runtime版</t>
  </si>
  <si>
    <t>母集団/slice/試行数</t>
  </si>
  <si>
    <t>計画版（参照）</t>
  </si>
  <si>
    <t>実測/区間/単位</t>
  </si>
  <si>
    <t>重大失敗/未解決</t>
  </si>
  <si>
    <t>採点者/方式</t>
  </si>
  <si>
    <t>独立確認者</t>
  </si>
  <si>
    <t>人の合否</t>
  </si>
  <si>
    <t>限界・補正・再実行理由</t>
  </si>
  <si>
    <t>ManifestHash</t>
  </si>
  <si>
    <t>Trial／初期状態・副作用URI</t>
  </si>
  <si>
    <t>実行者PersonID</t>
  </si>
  <si>
    <t>独立確認者PersonID</t>
  </si>
  <si>
    <t>無効化・取消理由</t>
  </si>
  <si>
    <t>凍結計画Key照合</t>
  </si>
  <si>
    <t>ロードマップ・案件実行管理｜標準タスクを実行記録へ</t>
  </si>
  <si>
    <t>初回標準132行。IDキー参照／実績日／依存記法を点検。反復は34。直接依存のみで、間接・循環は外部検査が必要。</t>
  </si>
  <si>
    <t>Initiative/Epic/Issue</t>
  </si>
  <si>
    <t>除外理由・代替証拠</t>
  </si>
  <si>
    <t>担当実名</t>
  </si>
  <si>
    <t>予定開始</t>
  </si>
  <si>
    <t>予定完了</t>
  </si>
  <si>
    <t>実開始</t>
  </si>
  <si>
    <t>実完了</t>
  </si>
  <si>
    <t>完了証拠URI</t>
  </si>
  <si>
    <t>完了承認者</t>
  </si>
  <si>
    <t>完了承認日</t>
  </si>
  <si>
    <t>実績人時間</t>
  </si>
  <si>
    <t>阻害要因</t>
  </si>
  <si>
    <t>変更/リスクID</t>
  </si>
  <si>
    <t>適用判定承認者</t>
  </si>
  <si>
    <t>適用判定日</t>
  </si>
  <si>
    <t>直接依存ID（8件まで）</t>
  </si>
  <si>
    <t>完了記録点検</t>
  </si>
  <si>
    <t>前提記録点検</t>
  </si>
  <si>
    <t>期限点検</t>
  </si>
  <si>
    <t>総合記録点検</t>
  </si>
  <si>
    <t>完了記録フラグ</t>
  </si>
  <si>
    <t>依存ID1</t>
  </si>
  <si>
    <t>依存ID2</t>
  </si>
  <si>
    <t>依存ID3</t>
  </si>
  <si>
    <t>依存ID4</t>
  </si>
  <si>
    <t>依存ID5</t>
  </si>
  <si>
    <t>依存ID6</t>
  </si>
  <si>
    <t>依存ID7</t>
  </si>
  <si>
    <t>依存ID8</t>
  </si>
  <si>
    <t>依存点検1</t>
  </si>
  <si>
    <t>依存点検2</t>
  </si>
  <si>
    <t>依存点検3</t>
  </si>
  <si>
    <t>依存点検4</t>
  </si>
  <si>
    <t>依存点検5</t>
  </si>
  <si>
    <t>依存点検6</t>
  </si>
  <si>
    <t>依存点検7</t>
  </si>
  <si>
    <t>依存点検8</t>
  </si>
  <si>
    <t>人時間差</t>
  </si>
  <si>
    <t>承認Role（参照）</t>
  </si>
  <si>
    <t>初回TaskRun ID</t>
  </si>
  <si>
    <t>開始トリガー</t>
  </si>
  <si>
    <t>開始根拠Run／Incident</t>
  </si>
  <si>
    <t>次回確認日</t>
  </si>
  <si>
    <t>依存変更理由</t>
  </si>
  <si>
    <t>依存変更承認者</t>
  </si>
  <si>
    <t>依存変更承認日</t>
  </si>
  <si>
    <t>標準依存（参照）</t>
  </si>
  <si>
    <t>依存記法点検</t>
  </si>
  <si>
    <t>開始根拠点検</t>
  </si>
  <si>
    <t>担当PersonID</t>
  </si>
  <si>
    <t>承認PersonID</t>
  </si>
  <si>
    <t>未着手</t>
  </si>
  <si>
    <t>初回</t>
  </si>
  <si>
    <t>見積・AI効果測定｜速く書けることと事業効果を分ける</t>
  </si>
  <si>
    <t>1行=同等カテゴリの比較単位。hは人時間、金額は円。未計測は空欄、費用/作業なしは0。品質・母集団・期間を揃えて比較する。</t>
  </si>
  <si>
    <t>測定ID</t>
  </si>
  <si>
    <t>作業カテゴリ/Issue</t>
  </si>
  <si>
    <t>対象期間・比較条件</t>
  </si>
  <si>
    <t>品質同等の確認</t>
  </si>
  <si>
    <t>Baseline人時間</t>
  </si>
  <si>
    <t>AI準備/Harness</t>
  </si>
  <si>
    <t>仕様/Context人時間</t>
  </si>
  <si>
    <t>AI実装作業人時間</t>
  </si>
  <si>
    <t>Review人時間</t>
  </si>
  <si>
    <t>検証人時間</t>
  </si>
  <si>
    <t>手戻り人時間</t>
  </si>
  <si>
    <t>事故対応人時間</t>
  </si>
  <si>
    <t>AI人時間計</t>
  </si>
  <si>
    <t>純削減人時間</t>
  </si>
  <si>
    <t>純削減率</t>
  </si>
  <si>
    <t>Baseline経過時間</t>
  </si>
  <si>
    <t>AI経過時間</t>
  </si>
  <si>
    <t>経過短縮率</t>
  </si>
  <si>
    <t>AI license費</t>
  </si>
  <si>
    <t>API/compute費</t>
  </si>
  <si>
    <t>追加基盤費</t>
  </si>
  <si>
    <t>教育/統制費</t>
  </si>
  <si>
    <t>事故追加費</t>
  </si>
  <si>
    <t>追加費合計</t>
  </si>
  <si>
    <t>回避できた現金支出</t>
  </si>
  <si>
    <t>増分粗利（重複除外）</t>
  </si>
  <si>
    <t>純経済効果</t>
  </si>
  <si>
    <t>再配置した余力h</t>
  </si>
  <si>
    <t>観測件数</t>
  </si>
  <si>
    <t>確認者</t>
  </si>
  <si>
    <t>見積係数への反映</t>
  </si>
  <si>
    <t>点検</t>
  </si>
  <si>
    <t>基準値の種類</t>
  </si>
  <si>
    <t>比較単位／仕事の範囲</t>
  </si>
  <si>
    <t>観測期間</t>
  </si>
  <si>
    <t>欠測・除外・失敗の扱い</t>
  </si>
  <si>
    <t>並列時の人時間帰属</t>
  </si>
  <si>
    <t>不確実性・交絡</t>
  </si>
  <si>
    <t>見積採用承認者</t>
  </si>
  <si>
    <t>採用範囲／期限</t>
  </si>
  <si>
    <t>採用承認日</t>
  </si>
  <si>
    <t>見積採用点検</t>
  </si>
  <si>
    <t>計測・見積への反映ルール</t>
  </si>
  <si>
    <t>ルール</t>
  </si>
  <si>
    <t>出典・留保</t>
  </si>
  <si>
    <t>削減率の扱い</t>
  </si>
  <si>
    <t>添付の企画10–25%、実装20–50%等は探索目標例。予定工数への一律控除はしない</t>
  </si>
  <si>
    <t>U01の参考値。W06の特定事例を保証値にしない</t>
  </si>
  <si>
    <t>観測数・期間</t>
  </si>
  <si>
    <t>添付の20件・4週間は運用例で、統計的な十分性ではない。ばらつき・偏り・スコープ・品質を審査</t>
  </si>
  <si>
    <t>U01,W07</t>
  </si>
  <si>
    <t>比較境界</t>
  </si>
  <si>
    <t>BaselineもAI後も要件/実装/レビュー/検証/手戻り/事故の同一範囲。Harnessの償却・配賦方針を明記</t>
  </si>
  <si>
    <t>余力と現金</t>
  </si>
  <si>
    <t>純削減hは能力余力。人件費の実支出が減らない限り現金削減にしない。余力hを純経済効果へ加算しない</t>
  </si>
  <si>
    <t>二重計上</t>
  </si>
  <si>
    <t>増分粗利に既に含めたAPI費等を追加費に重ねない。Baseline/AIで期間・通貨・税区分を統一</t>
  </si>
  <si>
    <t>並列Agent</t>
  </si>
  <si>
    <t>人時間と経過時間、同時Agent数、重複レビュー・merge費を別に観測する</t>
  </si>
  <si>
    <t>W07,U03</t>
  </si>
  <si>
    <t>リスク・セキュリティ・例外｜期限と停止条件を持つ</t>
  </si>
  <si>
    <t>先頭12件はリスク候補であり、発生した事実ではない。対策・残存リスク・例外の根拠を記録し、法的禁止や品質不合格は上書きしない。</t>
  </si>
  <si>
    <t>Risk ID</t>
  </si>
  <si>
    <t>仮説/事象</t>
  </si>
  <si>
    <t>対策案</t>
  </si>
  <si>
    <t>Owner Role</t>
  </si>
  <si>
    <t>案件での該当</t>
  </si>
  <si>
    <t>実Owner</t>
  </si>
  <si>
    <t>影響/発生条件</t>
  </si>
  <si>
    <t>実対策・証拠URI</t>
  </si>
  <si>
    <t>停止条件</t>
  </si>
  <si>
    <t>例外理由/代替</t>
  </si>
  <si>
    <t>承認者</t>
  </si>
  <si>
    <t>有効期限</t>
  </si>
  <si>
    <t>再審査/結果URI</t>
  </si>
  <si>
    <t>Condition ID（31参照）</t>
  </si>
  <si>
    <t>対象Release ID</t>
  </si>
  <si>
    <t>RS01</t>
  </si>
  <si>
    <t>事業</t>
  </si>
  <si>
    <t>顧客課題/支払意思が弱い</t>
  </si>
  <si>
    <t>価値仮説と有償実証、早期停止条件</t>
  </si>
  <si>
    <t>B0-03,B0-12</t>
  </si>
  <si>
    <t>未評価</t>
  </si>
  <si>
    <t>RS02</t>
  </si>
  <si>
    <t>取得権/利用目的/送信条件未確定</t>
  </si>
  <si>
    <t>実データ投入を止め、Data Owner・法務の根拠確認</t>
  </si>
  <si>
    <t>RS03</t>
  </si>
  <si>
    <t>AI品質</t>
  </si>
  <si>
    <t>平均性能で重大失敗を隠す</t>
  </si>
  <si>
    <t>slice/重大ケース/独立評価の公開停止条件</t>
  </si>
  <si>
    <t>B4-02,B4-13</t>
  </si>
  <si>
    <t>RS04</t>
  </si>
  <si>
    <t>誤った書込み・金銭/権限/削除</t>
  </si>
  <si>
    <t>最小権限・実行前承認・sandbox・冪等/補償</t>
  </si>
  <si>
    <t>RS05</t>
  </si>
  <si>
    <t>開発AI</t>
  </si>
  <si>
    <t>秘密や顧客データの外部流出</t>
  </si>
  <si>
    <t>開発環境独立の脅威分析・送信先/ログ制御</t>
  </si>
  <si>
    <t>B2-07,B3-02</t>
  </si>
  <si>
    <t>RS06</t>
  </si>
  <si>
    <t>供給網</t>
  </si>
  <si>
    <t>悪性Skill/MCP/依存・モデルEOL</t>
  </si>
  <si>
    <t>出所/固定版/認可/回帰/代替移行を管理</t>
  </si>
  <si>
    <t>RS07</t>
  </si>
  <si>
    <t>自己採点/凍結セット汚染</t>
  </si>
  <si>
    <t>採点者・評価データ権限分離、較正と無効化手順</t>
  </si>
  <si>
    <t>B3-07,B4-02</t>
  </si>
  <si>
    <t>RS08</t>
  </si>
  <si>
    <t>成功あたり原価・人手支援が上昇</t>
  </si>
  <si>
    <t>cost/success、上限、料金、縮退、撤退条件</t>
  </si>
  <si>
    <t>B5-06,B5-21</t>
  </si>
  <si>
    <t>RS09</t>
  </si>
  <si>
    <t>provider障害/更新で性能劣化</t>
  </si>
  <si>
    <t>SLO、構成一式rollback、代替、重大変更再審査</t>
  </si>
  <si>
    <t>B5-03,B5-12</t>
  </si>
  <si>
    <t>RS10</t>
  </si>
  <si>
    <t>利用者</t>
  </si>
  <si>
    <t>過信・救済不足・誤請求</t>
  </si>
  <si>
    <t>透明性、Human-AI UX、CS/苦情/返金・通知</t>
  </si>
  <si>
    <t>B5-07,B3-14</t>
  </si>
  <si>
    <t>RS11</t>
  </si>
  <si>
    <t>組織</t>
  </si>
  <si>
    <t>レビュー能力不足・自己承認</t>
  </si>
  <si>
    <t>要員/FTE/スキル証拠・独立承認・WIP制限</t>
  </si>
  <si>
    <t>B0-15,B1-16</t>
  </si>
  <si>
    <t>RS12</t>
  </si>
  <si>
    <t>残存キー/データ/課金・保全未了</t>
  </si>
  <si>
    <t>全資産の終了/保全/期限・再確認・独立確認</t>
  </si>
  <si>
    <t>B6-04,B6-07</t>
  </si>
  <si>
    <t>Major Changeの再審査トリガー</t>
  </si>
  <si>
    <t>変更の例</t>
  </si>
  <si>
    <t>戻り先・証拠</t>
  </si>
  <si>
    <t>Model/AI</t>
  </si>
  <si>
    <t>provider/model変更、重要Prompt、fine-tuning、RAG corpus大変更、評価基準変更</t>
  </si>
  <si>
    <t>03/12/13/15へ。旧新差分と対象版の独立評価</t>
  </si>
  <si>
    <t>権限/機能</t>
  </si>
  <si>
    <t>Tool/MCP追加、書込み権限・自律度の拡大、Skill script権限変更</t>
  </si>
  <si>
    <t>13/14/19。脅威・runtime policy・拒否試験</t>
  </si>
  <si>
    <t>利用範囲</t>
  </si>
  <si>
    <t>用途/ユーザー/国・地域、個人情報カテゴリ、外部送信先の変更</t>
  </si>
  <si>
    <t>03/10/12。利用許可と残存リスク</t>
  </si>
  <si>
    <t>運用/提供条件</t>
  </si>
  <si>
    <t>Security architecture、SLO、課金/規約、公開範囲変更</t>
  </si>
  <si>
    <t>20/21/23。影響・告知・復旧・承認期限</t>
  </si>
  <si>
    <t>リリース・変更・ロールバック｜公開対象の版を固定する</t>
  </si>
  <si>
    <t>公開はVのGateRunとWの構成hashに固定。Minorも承認済み変更枠のGateRunを参照。緊急措置は事前権限・事後審査を別記。</t>
  </si>
  <si>
    <t>Release/Change ID</t>
  </si>
  <si>
    <t>Issue/対象範囲</t>
  </si>
  <si>
    <t>変更区分</t>
  </si>
  <si>
    <t>Major該当理由</t>
  </si>
  <si>
    <t>旧/新manifest URI</t>
  </si>
  <si>
    <t>Model/Prompt/Data/Tool/Skill版</t>
  </si>
  <si>
    <t>評価Run ID群</t>
  </si>
  <si>
    <t>独立品質判定URI</t>
  </si>
  <si>
    <t>Privacy/Security判定URI</t>
  </si>
  <si>
    <t>残存Risk/例外期限</t>
  </si>
  <si>
    <t>段階展開/対象者</t>
  </si>
  <si>
    <t>成功/停止指標</t>
  </si>
  <si>
    <t>監視担当</t>
  </si>
  <si>
    <t>Rollback/補償URI</t>
  </si>
  <si>
    <t>運用/CS準備URI</t>
  </si>
  <si>
    <t>最終承認者</t>
  </si>
  <si>
    <t>公開日時</t>
  </si>
  <si>
    <t>結果/事故URI</t>
  </si>
  <si>
    <t>GateRun ID</t>
  </si>
  <si>
    <t>公開ManifestHash</t>
  </si>
  <si>
    <t>運用CS適用</t>
  </si>
  <si>
    <t>対象外理由</t>
  </si>
  <si>
    <t>対象外承認URI</t>
  </si>
  <si>
    <t>緊急例外／手順ID</t>
  </si>
  <si>
    <t>緊急権限者</t>
  </si>
  <si>
    <t>事後審査期限</t>
  </si>
  <si>
    <t>事後審査URI</t>
  </si>
  <si>
    <t>条件件数（参照）</t>
  </si>
  <si>
    <t>決裁・版接続点検</t>
  </si>
  <si>
    <t>日時点検</t>
  </si>
  <si>
    <t>公開準備点検</t>
  </si>
  <si>
    <t>緊急権限行使日時</t>
  </si>
  <si>
    <t>復旧・緊急変更の重点</t>
  </si>
  <si>
    <t>必須の確認</t>
  </si>
  <si>
    <t>構成一式</t>
  </si>
  <si>
    <t>コード、モデル、Prompt/Policy、index/corpus、Tool/Skill、権限、schemaの互換性</t>
  </si>
  <si>
    <t>復旧manifest・試験Run・データ整合</t>
  </si>
  <si>
    <t>副作用</t>
  </si>
  <si>
    <t>外部書込み・課金の重複、部分実行、補償・手動処理、利用者への説明</t>
  </si>
  <si>
    <t>実状態・操作ID・補償結果</t>
  </si>
  <si>
    <t>緊急措置</t>
  </si>
  <si>
    <t>安全停止を優先し、事前権限/緊急連絡/追認期限を組織で決める</t>
  </si>
  <si>
    <t>緊急判断と後続独立評価。追認は無制限の免責ではない</t>
  </si>
  <si>
    <t>SLO・運用・インシデント｜本番の品質と危害を観測する</t>
  </si>
  <si>
    <t>SLO/SLIの閾値・期間はサービス別。障害の検知→受付→復旧を分け、改善PR/回帰Eval/顧客救済まで追跡する。</t>
  </si>
  <si>
    <t>SLI ID</t>
  </si>
  <si>
    <t>定義案</t>
  </si>
  <si>
    <t>分母・留保</t>
  </si>
  <si>
    <t>対象/計算式（入力）</t>
  </si>
  <si>
    <t>SLO/窓（入力）</t>
  </si>
  <si>
    <t>警報/停止条件</t>
  </si>
  <si>
    <t>計測URI</t>
  </si>
  <si>
    <t>見直し日</t>
  </si>
  <si>
    <t>SL01</t>
  </si>
  <si>
    <t>可用性</t>
  </si>
  <si>
    <t>良好request / 対象request</t>
  </si>
  <si>
    <t>対象期間/業務時間/除外/外部依存を定義</t>
  </si>
  <si>
    <t>SL02</t>
  </si>
  <si>
    <t>応答時間</t>
  </si>
  <si>
    <t>p95/p99・timeout率</t>
  </si>
  <si>
    <t>負荷・同時実行・streamingの定義</t>
  </si>
  <si>
    <t>SL03</t>
  </si>
  <si>
    <t>業務成功</t>
  </si>
  <si>
    <t>成功task / 試行task</t>
  </si>
  <si>
    <t>失敗/手動補正/保留/再試行の定義</t>
  </si>
  <si>
    <t>SL04</t>
  </si>
  <si>
    <t>重大事故/越権/漏えい</t>
  </si>
  <si>
    <t>重大度・母数・即時停止と報告条件</t>
  </si>
  <si>
    <t>SL05</t>
  </si>
  <si>
    <t>原価</t>
  </si>
  <si>
    <t>円 / 成功task</t>
  </si>
  <si>
    <t>API/retry/基盤/人間介入を含む</t>
  </si>
  <si>
    <t>SL06</t>
  </si>
  <si>
    <t>データ品質</t>
  </si>
  <si>
    <t>freshness/欠損/権限逸脱</t>
  </si>
  <si>
    <t>対象assetと更新契約を定義</t>
  </si>
  <si>
    <t>SL07</t>
  </si>
  <si>
    <t>観測・承認</t>
  </si>
  <si>
    <t>trace欠損/未承認操作</t>
  </si>
  <si>
    <t>重要操作・データ保持の境界を定義</t>
  </si>
  <si>
    <t>SL08</t>
  </si>
  <si>
    <t>支援・救済</t>
  </si>
  <si>
    <t>CS応答/解決/苦情再発</t>
  </si>
  <si>
    <t>重要案件のエスカレーション条件</t>
  </si>
  <si>
    <t>インシデント記録（追加記入枠）</t>
  </si>
  <si>
    <t>Incident ID</t>
  </si>
  <si>
    <t>概要・利用者影響</t>
  </si>
  <si>
    <t>重大度/境界</t>
  </si>
  <si>
    <t>検知日時</t>
  </si>
  <si>
    <t>受付日時</t>
  </si>
  <si>
    <t>復旧日時</t>
  </si>
  <si>
    <t>検知→受付h</t>
  </si>
  <si>
    <t>検知→復旧h</t>
  </si>
  <si>
    <t>封じ込め/手動対応</t>
  </si>
  <si>
    <t>manifest/trace URI</t>
  </si>
  <si>
    <t>原因/不確実性</t>
  </si>
  <si>
    <t>救済/通知/法務</t>
  </si>
  <si>
    <t>再発防止Issue/Eval</t>
  </si>
  <si>
    <t>Postmortem URI</t>
  </si>
  <si>
    <t>状態・日時点検</t>
  </si>
  <si>
    <t>廃止・移管・削除｜画面を閉じただけで終了にしない</t>
  </si>
  <si>
    <t>早期Stopを含む終了。処理決定と実削除を別集計。保全継続はOwner・期限・アクセス条件・再確認を残す。</t>
  </si>
  <si>
    <t>確認ID</t>
  </si>
  <si>
    <t>最低限の終了条件</t>
  </si>
  <si>
    <t>実資産ID/範囲</t>
  </si>
  <si>
    <t>処理（削除/保全等）</t>
  </si>
  <si>
    <t>期限/保持根拠</t>
  </si>
  <si>
    <t>実施者</t>
  </si>
  <si>
    <t>実施日</t>
  </si>
  <si>
    <t>残存事項/Owner</t>
  </si>
  <si>
    <t>保全Owner PersonID</t>
  </si>
  <si>
    <t>保全終了／見直し期限</t>
  </si>
  <si>
    <t>保全アクセス条件</t>
  </si>
  <si>
    <t>起点GateRun ID</t>
  </si>
  <si>
    <t>実削除フラグ</t>
  </si>
  <si>
    <t>保全継続フラグ</t>
  </si>
  <si>
    <t>資産処理決定フラグ</t>
  </si>
  <si>
    <t>RT01</t>
  </si>
  <si>
    <t>利用者/契約</t>
  </si>
  <si>
    <t>告知・代替移行・返金・SLAを確認</t>
  </si>
  <si>
    <t>B6-01,B6-02</t>
  </si>
  <si>
    <t>RT02</t>
  </si>
  <si>
    <t>Data Asset</t>
  </si>
  <si>
    <t>削除・返却・法的保全・残存期限をOwner承認</t>
  </si>
  <si>
    <t>RT03</t>
  </si>
  <si>
    <t>派生・学習</t>
  </si>
  <si>
    <t>vector/index/cache/log/Eval/学習由来の影響を確認</t>
  </si>
  <si>
    <t>RT04</t>
  </si>
  <si>
    <t>Backup/保全</t>
  </si>
  <si>
    <t>即削除不可の範囲、アクセス制限、期限、追跡Owner</t>
  </si>
  <si>
    <t>B6-04,B6-11</t>
  </si>
  <si>
    <t>RT05</t>
  </si>
  <si>
    <t>API/Tool/MCP</t>
  </si>
  <si>
    <t>API key/service account/OAuth/接続の失効を実確認</t>
  </si>
  <si>
    <t>RT06</t>
  </si>
  <si>
    <t>基盤/課金</t>
  </si>
  <si>
    <t>資源・定期job・監視・請求・購入席の終了</t>
  </si>
  <si>
    <t>B6-06,B6-07</t>
  </si>
  <si>
    <t>RT07</t>
  </si>
  <si>
    <t>外部事業者</t>
  </si>
  <si>
    <t>委託先の返却・削除・下請処理・契約終了証拠</t>
  </si>
  <si>
    <t>RT08</t>
  </si>
  <si>
    <t>権限/経路</t>
  </si>
  <si>
    <t>画面閉鎖だけでなくアクセス・データ経路を閉じる</t>
  </si>
  <si>
    <t>RT09</t>
  </si>
  <si>
    <t>学習と記録</t>
  </si>
  <si>
    <t>廃止経緯・再利用知見・必要証拠の保全</t>
  </si>
  <si>
    <t>RT10</t>
  </si>
  <si>
    <t>G5最終確認</t>
  </si>
  <si>
    <t>未完/保全残とOwner・期限を明確に廃止判断</t>
  </si>
  <si>
    <t>外部契約・調達｜事業ライフサイクルを横断する</t>
  </si>
  <si>
    <t>契約を不要にするのではなく、製品ゲートから分離して外部依存の条件を管理。法的判断や対外署名は権限者が実施する。</t>
  </si>
  <si>
    <t>契約区分ID</t>
  </si>
  <si>
    <t>種別</t>
  </si>
  <si>
    <t>必要時点</t>
  </si>
  <si>
    <t>主要確認条件</t>
  </si>
  <si>
    <t>依存ID/相手先</t>
  </si>
  <si>
    <t>実契約ID/版</t>
  </si>
  <si>
    <t>有効日</t>
  </si>
  <si>
    <t>終了/更新日</t>
  </si>
  <si>
    <t>受入/評価条件</t>
  </si>
  <si>
    <t>署名・承認URI</t>
  </si>
  <si>
    <t>終了時条件</t>
  </si>
  <si>
    <t>CT01</t>
  </si>
  <si>
    <t>秘密保持</t>
  </si>
  <si>
    <t>調査・データ共有前</t>
  </si>
  <si>
    <t>対象情報・目的・再開示・外部AI投入・返却/削除</t>
  </si>
  <si>
    <t>B0-07,B1-04</t>
  </si>
  <si>
    <t>CT02</t>
  </si>
  <si>
    <t>データ利用/提供</t>
  </si>
  <si>
    <t>取得・学習・RAG投入前</t>
  </si>
  <si>
    <t>権利/利用目的/学習可否/派生/期間/削除・監査</t>
  </si>
  <si>
    <t>CT03</t>
  </si>
  <si>
    <t>DPA/委託/越境</t>
  </si>
  <si>
    <t>委託・外部送信前</t>
  </si>
  <si>
    <t>送信国/再委託/保存/安全措置/通知/終了・本人対応</t>
  </si>
  <si>
    <t>CT04</t>
  </si>
  <si>
    <t>Model API/Cloud</t>
  </si>
  <si>
    <t>購入・接続前</t>
  </si>
  <si>
    <t>地域/学習利用/保持/モデル変更/EOL/SLA/上限/知財</t>
  </si>
  <si>
    <t>CT05</t>
  </si>
  <si>
    <t>開発委託/SOW</t>
  </si>
  <si>
    <t>有償作業着手前</t>
  </si>
  <si>
    <t>スコープ/成果物/前提/検収/再委託/権利/変更/保守</t>
  </si>
  <si>
    <t>CT06</t>
  </si>
  <si>
    <t>MCP/Tool/Skill/OSS</t>
  </si>
  <si>
    <t>導入・公開前</t>
  </si>
  <si>
    <t>出所/ライセンス/権限/更新/依存脆弱性/撤去</t>
  </si>
  <si>
    <t>CT07</t>
  </si>
  <si>
    <t>運用/支援SLA</t>
  </si>
  <si>
    <t>本番公開前</t>
  </si>
  <si>
    <t>時間帯/責任分界/SLO/事故・連絡/復旧/支援費用</t>
  </si>
  <si>
    <t>CT08</t>
  </si>
  <si>
    <t>販売・利用規約</t>
  </si>
  <si>
    <t>外販・課金前</t>
  </si>
  <si>
    <t>価格/課金/禁止用途/能力限界/返金/知財/救済/終了</t>
  </si>
  <si>
    <t>B3-20,B1-12</t>
  </si>
  <si>
    <t>CT09</t>
  </si>
  <si>
    <t>外注成果物の受入</t>
  </si>
  <si>
    <t>委託契約の納入時</t>
  </si>
  <si>
    <t>契約検収の証拠。自社製品のG3とは別判断</t>
  </si>
  <si>
    <t>CT10</t>
  </si>
  <si>
    <t>解約/移管</t>
  </si>
  <si>
    <t>終了決定後・契約期限前</t>
  </si>
  <si>
    <t>告知/違約条件/返却・削除/保全/請求停止/移行支援</t>
  </si>
  <si>
    <t>調査ソース・変更履歴｜原文・再確認・設計提案を区別</t>
  </si>
  <si>
    <t>U01=添付研究、U02=既存v3、U03=今回の具体化。W01〜18は公式一次資料の確認範囲を明示。URLは参考情報であり自動更新しない。</t>
  </si>
  <si>
    <t>Source ID</t>
  </si>
  <si>
    <t>公開/版</t>
  </si>
  <si>
    <t>組織・提供元</t>
  </si>
  <si>
    <t>資料名</t>
  </si>
  <si>
    <t>証拠の種類</t>
  </si>
  <si>
    <t>この資料で採用した内容</t>
  </si>
  <si>
    <t>確認範囲・限界</t>
  </si>
  <si>
    <t>反映先</t>
  </si>
  <si>
    <t>URL/入力ファイル</t>
  </si>
  <si>
    <t>v1.1での取扱い</t>
  </si>
  <si>
    <t>添付資料</t>
  </si>
  <si>
    <t>ユーザー提供</t>
  </si>
  <si>
    <t>事業会社向け工程管理資料 改訂提案</t>
  </si>
  <si>
    <t>添付原稿</t>
  </si>
  <si>
    <t>七工程・ゲート・Risk Tier・25シート案・計測原則を基礎にする</t>
  </si>
  <si>
    <t>原稿中の工数・FTE・削減目標は未較正の提案値。引用トークンは本表のURLへ再整理</t>
  </si>
  <si>
    <t>全体</t>
  </si>
  <si>
    <t>貼り付けたマークダウン（1）.md</t>
  </si>
  <si>
    <t>前版／レビューの記録を継承。今回の修正はAR対応であり外部資料の再調査・法令適合審査ではない。</t>
  </si>
  <si>
    <t>AIシステム受託PJ工程管理 v3.0</t>
  </si>
  <si>
    <t>既存Excel</t>
  </si>
  <si>
    <t>20シート・99タスク・81スキル、書式、独立評価と記録設計を継承</t>
  </si>
  <si>
    <t>受託契約ゲートは自社事業型へ再設計。旧IDは27で対応</t>
  </si>
  <si>
    <t>02,07,17,27</t>
  </si>
  <si>
    <t>AIシステム受託PJ工程管理_v3_敵対的レビュー反映版.xlsx</t>
  </si>
  <si>
    <t>本資料で具体化</t>
  </si>
  <si>
    <t>本資料</t>
  </si>
  <si>
    <t>管理項目・記録チェック・事業運営テンプレート</t>
  </si>
  <si>
    <t>設計提案</t>
  </si>
  <si>
    <t>資料を実行可能な標準と台帳に展開した設計</t>
  </si>
  <si>
    <t>外部の必須規格や実績値ではない。組織の承認後に使用</t>
  </si>
  <si>
    <t>本ブック 00・27</t>
  </si>
  <si>
    <t>W01</t>
  </si>
  <si>
    <t>2026-03-31</t>
  </si>
  <si>
    <t>総務省・経済産業省</t>
  </si>
  <si>
    <t>AI事業者ガイドライン 第1.2版</t>
  </si>
  <si>
    <t>政府ガイドライン</t>
  </si>
  <si>
    <t>第1.2版の公開と開発・提供・利用の役割整理</t>
  </si>
  <si>
    <t>自主的指針と個別法の義務を区別。公式掲載ページ確認</t>
  </si>
  <si>
    <t>03,12,19</t>
  </si>
  <si>
    <t>2026-04改正</t>
  </si>
  <si>
    <t>個人情報保護委員会</t>
  </si>
  <si>
    <t>仮名加工情報・匿名加工情報編</t>
  </si>
  <si>
    <t>法令関連ガイドライン</t>
  </si>
  <si>
    <t>仮名加工情報の第三者提供禁止と委託等の区別</t>
  </si>
  <si>
    <t>一般同意を万能な根拠にしない。具体適用は法務</t>
  </si>
  <si>
    <t>10,12,22</t>
  </si>
  <si>
    <t>確認時点版</t>
  </si>
  <si>
    <t>外国にある第三者への提供編</t>
  </si>
  <si>
    <t>外国提供の別判定、委託を含む提供条件の確認</t>
  </si>
  <si>
    <t>国内委託の整理のみで越境送信を許可しない</t>
  </si>
  <si>
    <t>10,11,12,23</t>
  </si>
  <si>
    <t>W04</t>
  </si>
  <si>
    <t>2024-12-19</t>
  </si>
  <si>
    <t>Anthropic</t>
  </si>
  <si>
    <t>Building effective agents</t>
  </si>
  <si>
    <t>提供者の設計実務</t>
  </si>
  <si>
    <t>単純な構成から開始し、必要性に応じworkflow/agentを選ぶ</t>
  </si>
  <si>
    <t>特定製品の導入効果や全用途の安全保証ではない</t>
  </si>
  <si>
    <t>02,13,14</t>
  </si>
  <si>
    <t>W05</t>
  </si>
  <si>
    <t>2026-01</t>
  </si>
  <si>
    <t>Demystifying evals for AI agents</t>
  </si>
  <si>
    <t>提供者の評価実務</t>
  </si>
  <si>
    <t>タスク・trial・grader・実際のoutcomeを分け評価を設計</t>
  </si>
  <si>
    <t>工程閾値は本サービス向けに設定。採点AIだけで承認しない</t>
  </si>
  <si>
    <t>14,15,16</t>
  </si>
  <si>
    <t>W06</t>
  </si>
  <si>
    <t>2026-02-11</t>
  </si>
  <si>
    <t>OpenAI</t>
  </si>
  <si>
    <t>Harness engineering</t>
  </si>
  <si>
    <t>単一組織の実践報告</t>
  </si>
  <si>
    <t>Repo正本、実行可能な制約、観測・テストをAgentに接続</t>
  </si>
  <si>
    <t>時間短縮推定を一般の見積係数へ転用しない</t>
  </si>
  <si>
    <t>09,14,18</t>
  </si>
  <si>
    <t>W07</t>
  </si>
  <si>
    <t>2026-02-24</t>
  </si>
  <si>
    <t>METR</t>
  </si>
  <si>
    <t>Developer productivity experiment design update</t>
  </si>
  <si>
    <t>研究機関の研究設計報告</t>
  </si>
  <si>
    <t>選択効果・並列Agent利用により単純比較が難しい</t>
  </si>
  <si>
    <t>生産性の一律改善・悪化を結論にしない</t>
  </si>
  <si>
    <t>18,26</t>
  </si>
  <si>
    <t>https://metr.org/blog/2026-02-24-uplift-update/</t>
  </si>
  <si>
    <t>W08</t>
  </si>
  <si>
    <t>2026-04-22更新</t>
  </si>
  <si>
    <t>DORA / Google Cloud</t>
  </si>
  <si>
    <t>ROI of AI-assisted software development calculator</t>
  </si>
  <si>
    <t>推計モデル</t>
  </si>
  <si>
    <t>追加費、訓練、J-curve、品質影響を含めた対話用推計</t>
  </si>
  <si>
    <t>画面のデフォルト値を本事業の実績・係数に使わない</t>
  </si>
  <si>
    <t>W09</t>
  </si>
  <si>
    <t>2025-11</t>
  </si>
  <si>
    <t>Effective harnesses for long-running agents</t>
  </si>
  <si>
    <t>提供者の実践報告</t>
  </si>
  <si>
    <t>状態・進捗・テストを残してコンテキスト区切り後に再開</t>
  </si>
  <si>
    <t>長時間の自律実行自体を推奨目標にしない</t>
  </si>
  <si>
    <t>14,07</t>
  </si>
  <si>
    <t>W10</t>
  </si>
  <si>
    <t>2024-07-26</t>
  </si>
  <si>
    <t>NIST</t>
  </si>
  <si>
    <t>AI 600-1 Generative AI Profile</t>
  </si>
  <si>
    <t>任意のリスク管理枠組み</t>
  </si>
  <si>
    <t>AI RMFに対する生成AI向けプロファイル</t>
  </si>
  <si>
    <t>法律や全案件の認証義務ではない。公開概要確認</t>
  </si>
  <si>
    <t>03,15,19</t>
  </si>
  <si>
    <t>W11</t>
  </si>
  <si>
    <t>2024-07</t>
  </si>
  <si>
    <t>SP 800-218A SSDF Community Profile</t>
  </si>
  <si>
    <t>技術プラクティス</t>
  </si>
  <si>
    <t>AI開発をSDLC全体の安全な開発に接続</t>
  </si>
  <si>
    <t>適用範囲を判断。法令適合の保証とはしない</t>
  </si>
  <si>
    <t>14,19</t>
  </si>
  <si>
    <t>W12</t>
  </si>
  <si>
    <t>2026-02-16</t>
  </si>
  <si>
    <t>OWASP</t>
  </si>
  <si>
    <t>A Practical Guide for Secure MCP Server Development</t>
  </si>
  <si>
    <t>実務ガイド</t>
  </si>
  <si>
    <t>認証認可、検証、セッション隔離等を扱う公式概要</t>
  </si>
  <si>
    <t>添付ガイド全文ではなく公式概要を確認。実装検証が必要</t>
  </si>
  <si>
    <t>11,14,19</t>
  </si>
  <si>
    <t>W13</t>
  </si>
  <si>
    <t>2026-09-01</t>
  </si>
  <si>
    <t>Agent Control Standard (ACS)</t>
  </si>
  <si>
    <t>新しい任意技術仕様</t>
  </si>
  <si>
    <t>可視化、trace、runtime制御の公式公開を確認</t>
  </si>
  <si>
    <t>新規公開。全案件でACS準拠を必須化せず技術的成熟性を評価</t>
  </si>
  <si>
    <t>W14</t>
  </si>
  <si>
    <t>Agent Skills specification</t>
  </si>
  <si>
    <t>公開フォーマット仕様</t>
  </si>
  <si>
    <t>SKILL.md、metadata、scripts/references/assets、段階読込</t>
  </si>
  <si>
    <t>allowed-toolsは実験的で実装差がある。強制権限境界ではない</t>
  </si>
  <si>
    <t>07,14,28</t>
  </si>
  <si>
    <t>2026-07-27</t>
  </si>
  <si>
    <t>European Commission</t>
  </si>
  <si>
    <t>AI Omnibus enters into force</t>
  </si>
  <si>
    <t>EU公式公表</t>
  </si>
  <si>
    <t>AI Omnibusの発効・適用時期更新を公式検索本文で確認</t>
  </si>
  <si>
    <t>本ブックは法的適用日を自動計算しない。適用条文・役割・経過措置は案件法務確認</t>
  </si>
  <si>
    <t>00,12,27</t>
  </si>
  <si>
    <t>2023</t>
  </si>
  <si>
    <t>ISO</t>
  </si>
  <si>
    <t>ISO/IEC 42001:2023</t>
  </si>
  <si>
    <t>任意のマネジメントシステム規格</t>
  </si>
  <si>
    <t>AI管理システム規格の存在・概要</t>
  </si>
  <si>
    <t>有償規格本文の条項単位審査は未実施。製品安全保証と同一視しない</t>
  </si>
  <si>
    <t>12,19</t>
  </si>
  <si>
    <t>W17</t>
  </si>
  <si>
    <t>2026-08公開</t>
  </si>
  <si>
    <t>OWASP GenAI LLM Top 10 2026</t>
  </si>
  <si>
    <t>任意のリスク分類</t>
  </si>
  <si>
    <t>公式ページで2026版と関連Agentic分類を確認</t>
  </si>
  <si>
    <t>公開日表記は公式ページ間で8/3・8/4差。順位一覧の断定はせず参照版を記録</t>
  </si>
  <si>
    <t>19,24,27</t>
  </si>
  <si>
    <t>https://genai.owasp.org/resource/owasp-genai-llm-top-10-2026/</t>
  </si>
  <si>
    <t>W18</t>
  </si>
  <si>
    <t>MITRE</t>
  </si>
  <si>
    <t>MITRE ATLAS</t>
  </si>
  <si>
    <t>攻撃知識ベース</t>
  </si>
  <si>
    <t>公式参照先を登録</t>
  </si>
  <si>
    <t>動的本文を本環境で取得できず項目ごとの確認未実施。案件で利用項目・版を確定</t>
  </si>
  <si>
    <t>19,24</t>
  </si>
  <si>
    <t>https://atlas.mitre.org/</t>
  </si>
  <si>
    <t>作成履歴</t>
  </si>
  <si>
    <t>日付</t>
  </si>
  <si>
    <t>留保</t>
  </si>
  <si>
    <t>v1.0</t>
  </si>
  <si>
    <t>受託版から事業会社版を新設。七工程132タスク、106スキル、30シートに具体化</t>
  </si>
  <si>
    <t>既存v3と原稿の証跡を保持。実案件の成果・承認は未入力</t>
  </si>
  <si>
    <t>元提案25シートを維持し、仮説/GTM・KPI/投資・差分・人材評価・承認実記録を別シートへ追加</t>
  </si>
  <si>
    <t>25〜29</t>
  </si>
  <si>
    <t>追加部分はU03の運用設計。外部規格の強制ではない</t>
  </si>
  <si>
    <t>v1.1</t>
  </si>
  <si>
    <t>AR01〜AR27の記述・参照・検査・証拠連鎖を改訂</t>
  </si>
  <si>
    <t>00〜35</t>
  </si>
  <si>
    <t>実事業の承認・実Agent試験は未実施</t>
  </si>
  <si>
    <t>RV01</t>
  </si>
  <si>
    <t>敵対的レビュー27件</t>
  </si>
  <si>
    <t>改訂の根拠</t>
  </si>
  <si>
    <t>AIシステム自社事業PJ工程管理_v1_敵対的レビュー.md</t>
  </si>
  <si>
    <t>事業仮説・実験・GTM｜作る前に反証可能にする</t>
  </si>
  <si>
    <t>先頭12行は問いの雛形で、実証済みの結論ではない。実験前に閾値・期限・予算上限・停止条件を定め、失敗も次の判断へ残す。</t>
  </si>
  <si>
    <t>仮説ID</t>
  </si>
  <si>
    <t>領域</t>
  </si>
  <si>
    <t>検証する問い</t>
  </si>
  <si>
    <t>手段候補</t>
  </si>
  <si>
    <t>具体仮説/対象者</t>
  </si>
  <si>
    <t>成功条件/測定</t>
  </si>
  <si>
    <t>反証・停止条件</t>
  </si>
  <si>
    <t>実験ID/方法</t>
  </si>
  <si>
    <t>予算上限（円）</t>
  </si>
  <si>
    <t>期限</t>
  </si>
  <si>
    <t>実測/顧客証拠URI</t>
  </si>
  <si>
    <t>結果の限界</t>
  </si>
  <si>
    <t>判断（人）</t>
  </si>
  <si>
    <t>次のIssue</t>
  </si>
  <si>
    <t>承認記録ID</t>
  </si>
  <si>
    <t>検証状態</t>
  </si>
  <si>
    <t>実際の証拠区分</t>
  </si>
  <si>
    <t>対象セグメント・期間</t>
  </si>
  <si>
    <t>比較対象</t>
  </si>
  <si>
    <t>残る不確実性</t>
  </si>
  <si>
    <t>持越し理由</t>
  </si>
  <si>
    <t>次の実験</t>
  </si>
  <si>
    <t>追加投資上限（円）</t>
  </si>
  <si>
    <t>再判断日</t>
  </si>
  <si>
    <t>持越し停止条件</t>
  </si>
  <si>
    <t>Gateで必要な証拠</t>
  </si>
  <si>
    <t>技術成立判定</t>
  </si>
  <si>
    <t>事業拡大判定</t>
  </si>
  <si>
    <t>仮説記録点検</t>
  </si>
  <si>
    <t>必要証拠の充足判定</t>
  </si>
  <si>
    <t>HY01</t>
  </si>
  <si>
    <t>顧客課題</t>
  </si>
  <si>
    <t>誰が、どの状況で、どんな不便/損失を被るか</t>
  </si>
  <si>
    <t>現場観察/インタビュー。購買者・利用者を区別</t>
  </si>
  <si>
    <t>未検証</t>
  </si>
  <si>
    <t>HY02</t>
  </si>
  <si>
    <t>代替・差別化</t>
  </si>
  <si>
    <t>現状/非AI/競合より選ばれる理由は何か</t>
  </si>
  <si>
    <t>既存手段との比較と反証</t>
  </si>
  <si>
    <t>B0-05,B0-06</t>
  </si>
  <si>
    <t>HY03</t>
  </si>
  <si>
    <t>価値・実効性</t>
  </si>
  <si>
    <t>利用者の業務がどれだけ改善するか</t>
  </si>
  <si>
    <t>最小実験/手動代替/同条件比較</t>
  </si>
  <si>
    <t>B0-12,B0-13</t>
  </si>
  <si>
    <t>HY04</t>
  </si>
  <si>
    <t>支払意思・価格</t>
  </si>
  <si>
    <t>誰が何の単位にいくら払うか</t>
  </si>
  <si>
    <t>有償pilot/価格実験/契約可能条件</t>
  </si>
  <si>
    <t>B0-09,B1-12</t>
  </si>
  <si>
    <t>HY05</t>
  </si>
  <si>
    <t>AI実現性</t>
  </si>
  <si>
    <t>AIが必要か、重大失敗やデータ制約は何か</t>
  </si>
  <si>
    <t>非AIbaselineと代表/困難/禁止ケース</t>
  </si>
  <si>
    <t>B0-13,B1-06</t>
  </si>
  <si>
    <t>HY06</t>
  </si>
  <si>
    <t>権利・データ</t>
  </si>
  <si>
    <t>適切な品質・鮮度・利用許可があるか</t>
  </si>
  <si>
    <t>Data Owner/法務確認とデータ試料</t>
  </si>
  <si>
    <t>HY07</t>
  </si>
  <si>
    <t>失敗/人手介入/支援込みで利益が残るか</t>
  </si>
  <si>
    <t>cost/success・利用分布・粗利感度</t>
  </si>
  <si>
    <t>B0-10,B4-10</t>
  </si>
  <si>
    <t>HY08</t>
  </si>
  <si>
    <t>獲得/GTM</t>
  </si>
  <si>
    <t>どの経路で対象ユーザーへ届くか</t>
  </si>
  <si>
    <t>チャネル/メッセージ/営業/導入pilot</t>
  </si>
  <si>
    <t>B0-14,B4-16</t>
  </si>
  <si>
    <t>HY09</t>
  </si>
  <si>
    <t>導入・定着</t>
  </si>
  <si>
    <t>利用開始までの障壁と価値実感は何か</t>
  </si>
  <si>
    <t>オンボーディング/初回成功/業務組込</t>
  </si>
  <si>
    <t>B1-11,B5-07</t>
  </si>
  <si>
    <t>HY10</t>
  </si>
  <si>
    <t>継続・成長</t>
  </si>
  <si>
    <t>なぜ継続し、何が解約/拡大を生むか</t>
  </si>
  <si>
    <t>コホート/面談/継続実験。B2B/B2C別定義</t>
  </si>
  <si>
    <t>B5-02,B5-14</t>
  </si>
  <si>
    <t>HY11</t>
  </si>
  <si>
    <t>安全・信頼</t>
  </si>
  <si>
    <t>理解・介入・救済が利用者を守れるか</t>
  </si>
  <si>
    <t>Human-AI UX・独立評価・苦情分析</t>
  </si>
  <si>
    <t>B4-05,B4-09</t>
  </si>
  <si>
    <t>HY12</t>
  </si>
  <si>
    <t>投資/撤退</t>
  </si>
  <si>
    <t>どの証拠なら続け、いつ止めるか</t>
  </si>
  <si>
    <t>予算・期限・最低価値・危害/採算条件を先に設定</t>
  </si>
  <si>
    <t>B0-16,B5-21</t>
  </si>
  <si>
    <t>GTM公開チェック（実施/証拠を案件で記入）</t>
  </si>
  <si>
    <t>実施Owner</t>
  </si>
  <si>
    <t>実施/状態</t>
  </si>
  <si>
    <t>対象・位置づけ</t>
  </si>
  <si>
    <t>セグメント、購買者/利用者、差別化、非対象・禁止用途</t>
  </si>
  <si>
    <t>提供・価格</t>
  </si>
  <si>
    <t>プラン/利用量上限/請求・解約・返金・契約/SLA</t>
  </si>
  <si>
    <t>信頼・訴求</t>
  </si>
  <si>
    <t>AI利用/限界/根拠、実証条件、過大な性能保証を避ける</t>
  </si>
  <si>
    <t>獲得・営業</t>
  </si>
  <si>
    <t>チャネル・導線・営業資料・パートナー・費用/獲得定義</t>
  </si>
  <si>
    <t>オンボーディング、初回成功、支援窓口、手動移管</t>
  </si>
  <si>
    <t>継続・学習</t>
  </si>
  <si>
    <t>ファネル/コホート、苦情、救済、価格・体験改善実験</t>
  </si>
  <si>
    <t>事業KPI・投資収益｜価値・安全・採算を同時に見る</t>
  </si>
  <si>
    <t>変動原価Uと固定費配賦込みXを区別。成功数はretry／子Agentを一業務に束ねる。全投資・税・会計利益を自動再現するモデルではない。</t>
  </si>
  <si>
    <t>KPI ID</t>
  </si>
  <si>
    <t>定義・注意</t>
  </si>
  <si>
    <t>対象/分母・窓</t>
  </si>
  <si>
    <t>目標/停止閾値</t>
  </si>
  <si>
    <t>最新実測</t>
  </si>
  <si>
    <t>K01</t>
  </si>
  <si>
    <t>利用者価値</t>
  </si>
  <si>
    <t>対象業務完了率</t>
  </si>
  <si>
    <t>成功業務数/対象業務数。何を成功とするかを定義</t>
  </si>
  <si>
    <t>K02</t>
  </si>
  <si>
    <t>価値量</t>
  </si>
  <si>
    <t>削減時間/品質改善</t>
  </si>
  <si>
    <t>非AI/現行との同等条件。自己申告と実測を分ける</t>
  </si>
  <si>
    <t>K03</t>
  </si>
  <si>
    <t>活性化</t>
  </si>
  <si>
    <t>初回価値到達率/時間</t>
  </si>
  <si>
    <t>初回登録でなく価値ある業務の成功を定義</t>
  </si>
  <si>
    <t>K04</t>
  </si>
  <si>
    <t>継続</t>
  </si>
  <si>
    <t>retention / cohort</t>
  </si>
  <si>
    <t>期間と分母、B2B/B2C、利用の意味を固定</t>
  </si>
  <si>
    <t>K05</t>
  </si>
  <si>
    <t>獲得</t>
  </si>
  <si>
    <t>conversion / CAC</t>
  </si>
  <si>
    <t>チャネル・費用範囲・有償顧客の分母と期間を定義</t>
  </si>
  <si>
    <t>K06</t>
  </si>
  <si>
    <t>売上/ARPA/契約更新</t>
  </si>
  <si>
    <t>従量/席/月額など料金モデルに合わせ定義</t>
  </si>
  <si>
    <t>K07</t>
  </si>
  <si>
    <t>成功あたり原価/限界利益</t>
  </si>
  <si>
    <t>retry・人手・支援・依存費込み。会計粗利との配賦差を説明</t>
  </si>
  <si>
    <t>K08</t>
  </si>
  <si>
    <t>介入</t>
  </si>
  <si>
    <t>手動介入率/完了率</t>
  </si>
  <si>
    <t>介入を必ずしも悪いとしない。安全なエスカレーションを維持</t>
  </si>
  <si>
    <t>K09</t>
  </si>
  <si>
    <t>安全</t>
  </si>
  <si>
    <t>定義済み重大度で監視し、ゼロでもリスクゼロとしない</t>
  </si>
  <si>
    <t>K10</t>
  </si>
  <si>
    <t>SLO/変更失敗/復旧時間</t>
  </si>
  <si>
    <t>21のSLIと時間境界を揃える</t>
  </si>
  <si>
    <t>K11</t>
  </si>
  <si>
    <t>開発フロー</t>
  </si>
  <si>
    <t>Lead time / accepted work unit</t>
  </si>
  <si>
    <t>仕事の難度/品質を合わせ、生成コード量やAI利用率を成果にしない</t>
  </si>
  <si>
    <t>K12</t>
  </si>
  <si>
    <t>レビュー負荷</t>
  </si>
  <si>
    <t>review/rework比率</t>
  </si>
  <si>
    <t>AI生成量増加に伴う待ち/再作業/欠陥を観測</t>
  </si>
  <si>
    <t>K13</t>
  </si>
  <si>
    <t>task success / cost per success</t>
  </si>
  <si>
    <t>実副作用の成否、retry、tool失敗、同時実行、予算上限</t>
  </si>
  <si>
    <t>K14</t>
  </si>
  <si>
    <t>CS/救済</t>
  </si>
  <si>
    <t>解決時間/苦情再発/解約理由</t>
  </si>
  <si>
    <t>重要事故は通常CSと別のエスカレーション</t>
  </si>
  <si>
    <t>K15</t>
  </si>
  <si>
    <t>投資</t>
  </si>
  <si>
    <t>支出対上限/次段階資金</t>
  </si>
  <si>
    <t>初期/継続/終了費を分け、一定期間ごとに継続判断</t>
  </si>
  <si>
    <t>K16</t>
  </si>
  <si>
    <t>AI効果</t>
  </si>
  <si>
    <t>品質同等の純人時間/経済効果</t>
  </si>
  <si>
    <t>余力と現金削減を分ける。18と同じ境界を採用</t>
  </si>
  <si>
    <t>単位経済性（円・同じ期間・税区分で入力／会計上の決算を代替しない）</t>
  </si>
  <si>
    <t>シナリオ</t>
  </si>
  <si>
    <t>予測/実績</t>
  </si>
  <si>
    <t>対象期間/条件</t>
  </si>
  <si>
    <t>課金単位数</t>
  </si>
  <si>
    <t>単価（円）</t>
  </si>
  <si>
    <t>その他売上</t>
  </si>
  <si>
    <t>返金/値引</t>
  </si>
  <si>
    <t>純売上</t>
  </si>
  <si>
    <t>全試行回数（retry含む）</t>
  </si>
  <si>
    <t>一意の成功業務数</t>
  </si>
  <si>
    <t>Model/API費</t>
  </si>
  <si>
    <t>検索/データ費</t>
  </si>
  <si>
    <t>変動基盤費</t>
  </si>
  <si>
    <t>変動人手/CS費</t>
  </si>
  <si>
    <t>他変動直接費</t>
  </si>
  <si>
    <t>変動費計</t>
  </si>
  <si>
    <t>限界利益</t>
  </si>
  <si>
    <t>限界利益率</t>
  </si>
  <si>
    <t>期間固定費</t>
  </si>
  <si>
    <t>簡易営業収支</t>
  </si>
  <si>
    <t>成功業務あたり変動原価</t>
  </si>
  <si>
    <t>入力点検</t>
  </si>
  <si>
    <t>固定費配賦込み単位費用</t>
  </si>
  <si>
    <t>成功業務の定義・ID</t>
  </si>
  <si>
    <t>retry／子Agentの束ね方</t>
  </si>
  <si>
    <t>固定費の配賦範囲・期間</t>
  </si>
  <si>
    <t>予測</t>
  </si>
  <si>
    <t>基準</t>
  </si>
  <si>
    <t>上振れ</t>
  </si>
  <si>
    <t>期間資金計画（円／必要なら別の正式財務モデルへリンク）</t>
  </si>
  <si>
    <t>ケース</t>
  </si>
  <si>
    <t>期首現金</t>
  </si>
  <si>
    <t>確定調達/投資受入</t>
  </si>
  <si>
    <t>期間入金</t>
  </si>
  <si>
    <t>期間支出</t>
  </si>
  <si>
    <t>期末現金</t>
  </si>
  <si>
    <t>最低確保現金</t>
  </si>
  <si>
    <t>不足額</t>
  </si>
  <si>
    <t>前提/対象期間</t>
  </si>
  <si>
    <t>投資/継続判断の原則</t>
  </si>
  <si>
    <t>判断</t>
  </si>
  <si>
    <t>条件を案件で定義</t>
  </si>
  <si>
    <t>証拠・注意</t>
  </si>
  <si>
    <t>Scale</t>
  </si>
  <si>
    <t>価値/継続/安全/採算/運用能力を満たす場合の拡大上限</t>
  </si>
  <si>
    <t>継続率等の閾値は自社事情で定める。精度だけで拡大しない</t>
  </si>
  <si>
    <t>Continue/Pivot</t>
  </si>
  <si>
    <t>追加の学習価値が投資枠内にあり、期限・仮説変更が明確</t>
  </si>
  <si>
    <t>過去の投資額ではなく今後の価値とリスクで判断</t>
  </si>
  <si>
    <t>Stop</t>
  </si>
  <si>
    <t>重大な未対策、権利不成立、価値/採算不成立、投資上限等</t>
  </si>
  <si>
    <t>失敗を隠してPoCを延長しない。22で顧客・データ・契約を安全終了</t>
  </si>
  <si>
    <t>v3差分・適用注意｜元の99タスクから追跡できる</t>
  </si>
  <si>
    <t>受託版を別名保存したのではなく、自社事業版を新設。旧IDは比較用で、現行の実行キーはB-ID。対応は意味の再利用であり一対一ではない。</t>
  </si>
  <si>
    <t>旧Task ID</t>
  </si>
  <si>
    <t>旧フェーズ</t>
  </si>
  <si>
    <t>旧タスク</t>
  </si>
  <si>
    <t>変更方針</t>
  </si>
  <si>
    <t>新B-ID</t>
  </si>
  <si>
    <t>新タスク群</t>
  </si>
  <si>
    <t>P0</t>
  </si>
  <si>
    <t>業界・顧客・規制の事前調査</t>
  </si>
  <si>
    <t>営業→事業探索へ変更</t>
  </si>
  <si>
    <t>旧v3の工程目的を参照し自社事業の責務へ再設計。旧契約承認の効力を引き継がない。</t>
  </si>
  <si>
    <t>U02,U03</t>
  </si>
  <si>
    <t>ヒアリングリストの作成</t>
  </si>
  <si>
    <t>P0-03</t>
  </si>
  <si>
    <t>初回ヒアリングの実施と整理</t>
  </si>
  <si>
    <t>P0-04</t>
  </si>
  <si>
    <t>案件タイプと規模の仮判定</t>
  </si>
  <si>
    <t>P0-05</t>
  </si>
  <si>
    <t>NDAと基本契約（MSA）の締結</t>
  </si>
  <si>
    <t>事業ゲート/外部調達へ分離</t>
  </si>
  <si>
    <t>P0-06</t>
  </si>
  <si>
    <t>アセスメント契約・SOW締結と着手承認</t>
  </si>
  <si>
    <t>B0-01,B0-18</t>
  </si>
  <si>
    <t>探索責任者・初期枠の設定 / 事業探索・予算枠承認</t>
  </si>
  <si>
    <t>P1-01</t>
  </si>
  <si>
    <t>P1</t>
  </si>
  <si>
    <t>戦略的ヒアリングの実施</t>
  </si>
  <si>
    <t>再編・条件化</t>
  </si>
  <si>
    <t>課題の定義と価値仮説の構築</t>
  </si>
  <si>
    <t>P1-03</t>
  </si>
  <si>
    <t>ステークホルダー分析とRACI v1の作成</t>
  </si>
  <si>
    <t>B0-01,B0-15</t>
  </si>
  <si>
    <t>探索責任者・初期枠の設定 / ロール・能力ギャップ・要員計画</t>
  </si>
  <si>
    <t>P1-04</t>
  </si>
  <si>
    <t>方式・用途・実行場所・追加学習の確定</t>
  </si>
  <si>
    <t>B0-06,B2-02</t>
  </si>
  <si>
    <t>非AI・Build/Buy/Partnerの比較 / モデル・Provider比較と退出設計</t>
  </si>
  <si>
    <t>業務フロー分析（As-Is / To-Be）</t>
  </si>
  <si>
    <t>P1-10</t>
  </si>
  <si>
    <t>ユーザーストーリーと受け入れ観点の作成</t>
  </si>
  <si>
    <t>P1-15</t>
  </si>
  <si>
    <t>顧客側責任一覧の定義</t>
  </si>
  <si>
    <t>P1-19</t>
  </si>
  <si>
    <t>データ受領前の法的判定・利用条件の締結</t>
  </si>
  <si>
    <t>データ資産・権利の棚卸し / データ取得・目的・法令適用判定</t>
  </si>
  <si>
    <t>P1-05</t>
  </si>
  <si>
    <t>予備データアセスメント</t>
  </si>
  <si>
    <t>P1-06</t>
  </si>
  <si>
    <t>実現可能性の評価（技術・財務・運用）</t>
  </si>
  <si>
    <t>リスクの特定と評価</t>
  </si>
  <si>
    <t>B0-08,B1-10</t>
  </si>
  <si>
    <t>製品AI・開発AIの初期リスク分類 / Risk Tier確定・独立性の設計</t>
  </si>
  <si>
    <t>P1-08</t>
  </si>
  <si>
    <t>規模・リスク別テーラリングと依存確認</t>
  </si>
  <si>
    <t>AIモデル要件の定義（評価指標と目標値）</t>
  </si>
  <si>
    <t>B1-06,B1-07</t>
  </si>
  <si>
    <t>AI機能境界・自律性・不確実性 / 評価母集団・指標・閾値・失敗定義</t>
  </si>
  <si>
    <t>P1-12</t>
  </si>
  <si>
    <t>データ要件の定義（法的区分を含む）</t>
  </si>
  <si>
    <t>非機能要件 v1の定義</t>
  </si>
  <si>
    <t>P1-14</t>
  </si>
  <si>
    <t>前提条件・制約・不確実性の文書化</t>
  </si>
  <si>
    <t>スコープとSMART目標の設定</t>
  </si>
  <si>
    <t>B1-01,B1-03</t>
  </si>
  <si>
    <t>Product Goal・KPIツリー / User Story・受入条件・禁止事項</t>
  </si>
  <si>
    <t>見積の作成（原価・直接費・バッファ・粗利）</t>
  </si>
  <si>
    <t>B0-09,B1-18,B3-22</t>
  </si>
  <si>
    <t>価格・支払意思・提供形態の仮説 / 事業・開発・AIコスト計測の仕様 / 人時間・レビュー・手戻り・費用測定</t>
  </si>
  <si>
    <t>検証計画・打切り条件・PoC省略判断</t>
  </si>
  <si>
    <t>B0-11,B1-15</t>
  </si>
  <si>
    <t>最大不確実性と検証順の設定 / Evidence Plan・学習ループ設計</t>
  </si>
  <si>
    <t>P1-18</t>
  </si>
  <si>
    <t>提案書の作成と提示</t>
  </si>
  <si>
    <t>P1-21</t>
  </si>
  <si>
    <t>PoC個別契約の締結</t>
  </si>
  <si>
    <t>開発用AIの利用承認と実行・評価環境計画</t>
  </si>
  <si>
    <t>B1-14,B2-11,B3-02</t>
  </si>
  <si>
    <t>開発Agent利用・送信・権限の承認 / Repo正本・仕様・機械的制約 / 開発AgentのID・Sandbox・通信制御</t>
  </si>
  <si>
    <t>P1-22</t>
  </si>
  <si>
    <t>PoCキックオフと役割・評価条件の確認</t>
  </si>
  <si>
    <t>P2-01</t>
  </si>
  <si>
    <t>P2</t>
  </si>
  <si>
    <t>PoC体制の確定とWBSの作成</t>
  </si>
  <si>
    <t>軽量検証環境の構築</t>
  </si>
  <si>
    <t>B0-13,B2-13</t>
  </si>
  <si>
    <t>限定プロトタイプ・非AIベースライン / Sandbox・worktree・秘密情報境界</t>
  </si>
  <si>
    <t>P2-03</t>
  </si>
  <si>
    <t>データ受領と取扱い条件の確認</t>
  </si>
  <si>
    <t>B1-04,B3-06</t>
  </si>
  <si>
    <t>データ取得・目的・法令適用判定 / 承認済みデータの取得・品質処理</t>
  </si>
  <si>
    <t>P2-04</t>
  </si>
  <si>
    <t>データプロファイリングと品質評価</t>
  </si>
  <si>
    <t>B1-05,B3-06</t>
  </si>
  <si>
    <t>品質・鮮度・権限・ラベル要件 / 承認済みデータの取得・品質処理</t>
  </si>
  <si>
    <t>P2-05</t>
  </si>
  <si>
    <t>データ分割プロトコルの策定</t>
  </si>
  <si>
    <t>B1-07,B2-05,B3-07</t>
  </si>
  <si>
    <t>評価母集団・指標・閾値・失敗定義 / 学習・特徴量・データ分割の設計 / 開発・回帰・凍結評価セットの実装</t>
  </si>
  <si>
    <t>P2-06</t>
  </si>
  <si>
    <t>データクレンジングとスクリプト化</t>
  </si>
  <si>
    <t>P2-07</t>
  </si>
  <si>
    <t>教師データ作成 / 評価セット構築</t>
  </si>
  <si>
    <t>B2-05,B3-07</t>
  </si>
  <si>
    <t>学習・特徴量・データ分割の設計 / 開発・回帰・凍結評価セットの実装</t>
  </si>
  <si>
    <t>特徴量エンジニアリング / コーパス整備</t>
  </si>
  <si>
    <t>B2-04,B2-05,B3-08,B3-09</t>
  </si>
  <si>
    <t>検索・文書更新・ACLの設計 / 学習・特徴量・データ分割の設計 / 検索・引用・ACL・更新の実装 / 特徴量・学習・比較実験</t>
  </si>
  <si>
    <t>P2-13</t>
  </si>
  <si>
    <t>脅威モデリングとセキュリティ評価</t>
  </si>
  <si>
    <t>P2-21</t>
  </si>
  <si>
    <t>継続評価ハーネスと独立判定の立上げ</t>
  </si>
  <si>
    <t>B2-10,B2-11,B3-17</t>
  </si>
  <si>
    <t>Eval Harness・凍結セットの設計 / Repo正本・仕様・機械的制約 / 回帰・adversarial・grader較正</t>
  </si>
  <si>
    <t>P2-09</t>
  </si>
  <si>
    <t>ベースラインの設定と測定</t>
  </si>
  <si>
    <t>モデル構築と反復的改善</t>
  </si>
  <si>
    <t>B0-13,B2-02,B3-04,B3-09</t>
  </si>
  <si>
    <t>限定プロトタイプ・非AIベースライン / モデル・Provider比較と退出設計 / 計画・実装・検証・修復ループ / 特徴量・学習・比較実験</t>
  </si>
  <si>
    <t>P2-11</t>
  </si>
  <si>
    <t>評価とエラー分析</t>
  </si>
  <si>
    <t>B3-17,B4-02</t>
  </si>
  <si>
    <t>回帰・adversarial・grader較正 / 業務・AI性能・重要slice評価</t>
  </si>
  <si>
    <t>独立評価セットによる最終判定</t>
  </si>
  <si>
    <t>B2-10,B4-01,B4-02,B4-13</t>
  </si>
  <si>
    <t>Eval Harness・凍結セットの設計 / 評価環境・対象版・アクセスの確認 / 業務・AI性能・重要slice評価 / 評価報告・残存リスク・公開勧告</t>
  </si>
  <si>
    <t>業務適合性・ユーザビリティ評価</t>
  </si>
  <si>
    <t>B0-12,B1-09,B4-09</t>
  </si>
  <si>
    <t>コンセプト・手動代替による需要検証 / 透明性・アクセシビリティ・救済 / 利用者タスク・アクセシビリティ評価</t>
  </si>
  <si>
    <t>投資対効果（ROI）の試算</t>
  </si>
  <si>
    <t>単位経済性・TCO・感度分析 / 価格・課金・単位経済性の検証</t>
  </si>
  <si>
    <t>P2-16</t>
  </si>
  <si>
    <t>責任あるAIの評価</t>
  </si>
  <si>
    <t>Risk Tier確定・独立性の設計 / 安全・公平性・誤信頼・透明性</t>
  </si>
  <si>
    <t>P2-17</t>
  </si>
  <si>
    <t>PoC結果報告書の作成</t>
  </si>
  <si>
    <t>P2-18</t>
  </si>
  <si>
    <t>要件定義書 v2ドラフトの作成</t>
  </si>
  <si>
    <t>P2-19</t>
  </si>
  <si>
    <t>Go/No-Go判断</t>
  </si>
  <si>
    <t>B0-17,B0-18</t>
  </si>
  <si>
    <t>探索証拠と反証の整理 / 事業探索・予算枠承認</t>
  </si>
  <si>
    <t>P2-20</t>
  </si>
  <si>
    <t>本開発の段階契約と実装価格確定手順</t>
  </si>
  <si>
    <t>B1-13,B2-18,B2-20</t>
  </si>
  <si>
    <t>モデル・クラウド・委託先の条件 / 依存契約・公開・切替計画 / Architecture/Build承認</t>
  </si>
  <si>
    <t>P3</t>
  </si>
  <si>
    <t>要件v2・実装条件の承認（G2-D）</t>
  </si>
  <si>
    <t>B2-19,B2-20</t>
  </si>
  <si>
    <t>非機能・安全・採算・実現性レビュー / Architecture/Build承認</t>
  </si>
  <si>
    <t>開発計画の策定と体制の最終化</t>
  </si>
  <si>
    <t>全体アーキテクチャ設計</t>
  </si>
  <si>
    <t>データアーキテクチャ設計</t>
  </si>
  <si>
    <t>UI/UX設計</t>
  </si>
  <si>
    <t>B1-09,B2-08</t>
  </si>
  <si>
    <t>透明性・アクセシビリティ・救済 / 安全な対話・根拠提示・人への移管</t>
  </si>
  <si>
    <t>P3-06</t>
  </si>
  <si>
    <t>P3-07</t>
  </si>
  <si>
    <t>本番基盤の構築</t>
  </si>
  <si>
    <t>P3-08</t>
  </si>
  <si>
    <t>データベース構築</t>
  </si>
  <si>
    <t>P3-09</t>
  </si>
  <si>
    <t>APIとサーバーサイドロジックの実装</t>
  </si>
  <si>
    <t>B2-09,B3-12</t>
  </si>
  <si>
    <t>API・認証・テナント分離 / API・業務ロジック・認証の実装</t>
  </si>
  <si>
    <t>AIモデルの本番化 / LLMアプリケーション層の実装</t>
  </si>
  <si>
    <t>B2-06,B3-08,B3-09,B3-10,B3-11</t>
  </si>
  <si>
    <t>ツール・状態・行動権限の設計 / 検索・引用・ACL・更新の実装 / 特徴量・学習・比較実験 / prompt・構造化出力・モデル統合 / Tool/MCP・権限・副作用制御</t>
  </si>
  <si>
    <t>P3-11</t>
  </si>
  <si>
    <t>モデルのAPI化とサービング</t>
  </si>
  <si>
    <t>P3-12</t>
  </si>
  <si>
    <t>バックエンドへのAI機能の統合</t>
  </si>
  <si>
    <t>B2-09,B3-11,B3-12</t>
  </si>
  <si>
    <t>API・認証・テナント分離 / Tool/MCP・権限・副作用制御 / API・業務ロジック・認証の実装</t>
  </si>
  <si>
    <t>フロントエンドの実装</t>
  </si>
  <si>
    <t>P3-14</t>
  </si>
  <si>
    <t>監査ログと意思決定ログの実装</t>
  </si>
  <si>
    <t>B2-15,B3-15,B4-07</t>
  </si>
  <si>
    <t>観測・監査・プライバシー / trace・監査・品質・原価の計測実装 / 実データフロー・削除・規約整合確認</t>
  </si>
  <si>
    <t>単体テストと結合テスト</t>
  </si>
  <si>
    <t>AI特化テスト</t>
  </si>
  <si>
    <t>B3-17,B4-03,B4-04</t>
  </si>
  <si>
    <t>回帰・adversarial・grader較正 / RAG検索・引用・鮮度・削除評価 / Agent完了・副作用・停止の評価</t>
  </si>
  <si>
    <t>P3-17</t>
  </si>
  <si>
    <t>公平性・バイアス評価と緩和後の再検証</t>
  </si>
  <si>
    <t>セキュリティテストとリリース前診断</t>
  </si>
  <si>
    <t>B3-18,B4-06,B4-07</t>
  </si>
  <si>
    <t>独立レビュー・供給網・機密検査 / 二境界の攻撃・漏洩・供給網試験 / 実データフロー・削除・規約整合確認</t>
  </si>
  <si>
    <t>システム総合テスト・性能テスト・UAT</t>
  </si>
  <si>
    <t>B4-08,B4-09,B4-13</t>
  </si>
  <si>
    <t>負荷・障害・再試行・費用評価 / 利用者タスク・アクセシビリティ評価 / 評価報告・残存リスク・公開勧告</t>
  </si>
  <si>
    <t>P3-20</t>
  </si>
  <si>
    <t>MLOps / LLMOps パイプラインの構築</t>
  </si>
  <si>
    <t>P3-21</t>
  </si>
  <si>
    <t>監視設計とSLOの定義</t>
  </si>
  <si>
    <t>観測・監査・プライバシー / trace・監査・品質・原価の計測実装</t>
  </si>
  <si>
    <t>本番前の利用者教育・業務定着計画</t>
  </si>
  <si>
    <t>B1-11,B3-20,B4-16</t>
  </si>
  <si>
    <t>オンボーディング・提供条件 / 利用者資料・CS・GTM実装 / ローンチ・価格・営業・導入開始</t>
  </si>
  <si>
    <t>ドキュメント整備とモデルカードの作成</t>
  </si>
  <si>
    <t>B3-20,B3-23</t>
  </si>
  <si>
    <t>利用者資料・CS・GTM実装 / 変更固定・RC manifestの作成</t>
  </si>
  <si>
    <t>本番前の運用引継ぎ・復旧訓練</t>
  </si>
  <si>
    <t>B2-16,B3-19,B4-11,B4-12</t>
  </si>
  <si>
    <t>構成一式のrollback・縮退 / rollback・停止・削除の実装 / 停止・復旧・移管のリハーサル / Service Owner・当番・CS・通知確認</t>
  </si>
  <si>
    <t>本番稼働準備・運用契約の承認（G3-R）</t>
  </si>
  <si>
    <t>B2-18,B4-12,B4-14</t>
  </si>
  <si>
    <t>依存契約・公開・切替計画 / Service Owner・当番・CS・通知確認 / Release Candidate・本番公開承認</t>
  </si>
  <si>
    <t>P3-22</t>
  </si>
  <si>
    <t>承認済み本番リリース</t>
  </si>
  <si>
    <t>P3-27</t>
  </si>
  <si>
    <t>納品・検収・残件/支払条件の確定（G3-A）</t>
  </si>
  <si>
    <t>P4-01</t>
  </si>
  <si>
    <t>P4</t>
  </si>
  <si>
    <t>運用体制の編成とRACI v2への改訂</t>
  </si>
  <si>
    <t>B4-17,B5-01</t>
  </si>
  <si>
    <t>初期実績・運用移管・残件の引継ぎ / サービス責任・予算・運用体制維持</t>
  </si>
  <si>
    <t>P4-02</t>
  </si>
  <si>
    <t>保守契約・SLI/SLO/SLAの維持更新</t>
  </si>
  <si>
    <t>B5-01,B5-20</t>
  </si>
  <si>
    <t>サービス責任・予算・運用体制維持 / 法令・Security・Privacy定期再判定</t>
  </si>
  <si>
    <t>P4-03</t>
  </si>
  <si>
    <t>MLOps成熟度アセスメントと目標設定</t>
  </si>
  <si>
    <t>B5-18,B5-19</t>
  </si>
  <si>
    <t>Harness・Skill・標準の保守 / スキル育成・同等品質の効果再計測</t>
  </si>
  <si>
    <t>P4-04</t>
  </si>
  <si>
    <t>コード・データ・モデルのバージョン管理</t>
  </si>
  <si>
    <t>P4-05</t>
  </si>
  <si>
    <t>IaCとコンテナ化の維持</t>
  </si>
  <si>
    <t>P4-06</t>
  </si>
  <si>
    <t>システム健全性の監視</t>
  </si>
  <si>
    <t>P4-07</t>
  </si>
  <si>
    <t>モデル入力の監視（品質・ドリフト）</t>
  </si>
  <si>
    <t>モデル出力と性能の監視</t>
  </si>
  <si>
    <t>コストの監視</t>
  </si>
  <si>
    <t>B2-17,B5-06</t>
  </si>
  <si>
    <t>予算制御・メータリング・成功原価 / 原価・課金・粗利・異常利用監視</t>
  </si>
  <si>
    <t>従来型保守の実施</t>
  </si>
  <si>
    <t>B5-10,B5-11,B5-20</t>
  </si>
  <si>
    <t>モデルEOL・規約・料金・地域の監視 / 脆弱性・パッチ・容量・復旧維持 / 法令・Security・Privacy定期再判定</t>
  </si>
  <si>
    <t>P4-11</t>
  </si>
  <si>
    <t>アラートの集約と優先順位付け</t>
  </si>
  <si>
    <t>B5-03,B5-08</t>
  </si>
  <si>
    <t>SLO・error budget・負荷監視 / 検知・封じ込め・安全停止</t>
  </si>
  <si>
    <t>P4-12</t>
  </si>
  <si>
    <t>根本原因分析（RCA）</t>
  </si>
  <si>
    <t>P4-13</t>
  </si>
  <si>
    <t>障害対応・ロールバック・AIインシデント対応</t>
  </si>
  <si>
    <t>P4-14</t>
  </si>
  <si>
    <t>ポストモーテムの実施</t>
  </si>
  <si>
    <t>P4-15</t>
  </si>
  <si>
    <t>更新トリガーの定義</t>
  </si>
  <si>
    <t>B1-17,B5-12</t>
  </si>
  <si>
    <t>変更・廃止・データ権利の要件 / Major Change判定・再ゲート</t>
  </si>
  <si>
    <t>再学習データの品質管理</t>
  </si>
  <si>
    <t>B5-05,B5-15</t>
  </si>
  <si>
    <t>鮮度・lineage・品質・削除伝播 / 再学習・RAG更新の採否とデータ準備</t>
  </si>
  <si>
    <t>CI/CT/CDによる自動化とチャンピオン・チャレンジャー評価</t>
  </si>
  <si>
    <t>安全なデプロイ戦略の実施</t>
  </si>
  <si>
    <t>B4-15,B5-17</t>
  </si>
  <si>
    <t>限定公開・canary・実利用確認 / 承認済み段階配備・rollback</t>
  </si>
  <si>
    <t>定例レポートと価値の可視化</t>
  </si>
  <si>
    <t>B1-18,B3-22,B5-02,B5-07,B5-13,B5-19</t>
  </si>
  <si>
    <t>事業・開発・AIコスト計測の仕様 / 人時間・レビュー・手戻り・費用測定 / 業務成果・ファネル・継続率 / サポート・苦情・救済・導入改善 / フィードバック・機会・実験の更新 / スキル育成・同等品質の効果再計測</t>
  </si>
  <si>
    <t>QBR（四半期ビジネスレビュー）の実施</t>
  </si>
  <si>
    <t>B5-13,B5-21,B5-22,B6-09</t>
  </si>
  <si>
    <t>フィードバック・機会・実験の更新 / Scale/Continue/Pivot/Stop判断 / 新市場・用途・自律度拡大の再計画 / 事業結果・投資・知見の振り返り</t>
  </si>
  <si>
    <t>サービスカタログと提案テンプレートの整備</t>
  </si>
  <si>
    <t>B0-14,B3-21,B5-18,B5-24,B6-09</t>
  </si>
  <si>
    <t>提供・販売・サポート経路の仮設計 / 実行知見を仕様・Skillへ還流 / Harness・Skill・標準の保守 / 知見・原則・再利用資産の蓄積 / 事業結果・投資・知見の振り返り</t>
  </si>
  <si>
    <t>廃止・移管・データ/権限の終了処理</t>
  </si>
  <si>
    <t>B1-17,B5-23,B6-01,B6-02,B6-03,B6-04,B6-05,B6-06,B6-07,B6-08,B6-10,B6-11</t>
  </si>
  <si>
    <t>変更・廃止・データ権利の要件 / 縮小・廃止・移管計画の起動 / 廃止範囲・日程・責任の承認 / 顧客・社内利用者への通知と移行 / データ・モデル・Tool・アカウント一覧 / 保持義務・保全・削除・学習資産判断 / APIキー・MCP・OAuth・IDの失効 / 推論・学習・バッチ・監視の停止 / ベンダー解約・削除確認・請求停止 / 削除・失効・移行の完了確認 / 廃止完了承認 / 保持期限到来・残存請求の追跡</t>
  </si>
  <si>
    <t>シート構成の差分</t>
  </si>
  <si>
    <t>旧シート/提案</t>
  </si>
  <si>
    <t>新シート番号</t>
  </si>
  <si>
    <t>変更理由</t>
  </si>
  <si>
    <t>00_はじめに</t>
  </si>
  <si>
    <t>00</t>
  </si>
  <si>
    <t>事業・国・役割・正本・未指定入力へ</t>
  </si>
  <si>
    <t>01_フェーズとゲート</t>
  </si>
  <si>
    <t>01/29</t>
  </si>
  <si>
    <t>G0〜G5を事業投資/公開/継続/廃止へ</t>
  </si>
  <si>
    <t>02/17</t>
  </si>
  <si>
    <t>99→132、七工程へ再編。標準と実行を分離</t>
  </si>
  <si>
    <t>03_案件タイプ・04_規模</t>
  </si>
  <si>
    <t>03/04</t>
  </si>
  <si>
    <t>Risk Tierと規模を分ける。規模で安全を省略しない</t>
  </si>
  <si>
    <t>05_契約マップ</t>
  </si>
  <si>
    <t>11/12/23</t>
  </si>
  <si>
    <t>依存/法務/調達の横断管理へ</t>
  </si>
  <si>
    <t>06_ロール・07_習熟度</t>
  </si>
  <si>
    <t>06/07/28</t>
  </si>
  <si>
    <t>社内20Role・人材評価。人数は自動固定しない</t>
  </si>
  <si>
    <t>08_スキル辞書・09_対応</t>
  </si>
  <si>
    <t>07/08</t>
  </si>
  <si>
    <t>81を再編し25追加、計106。旧Skill ID保持</t>
  </si>
  <si>
    <t>10_成果物一覧</t>
  </si>
  <si>
    <t>09</t>
  </si>
  <si>
    <t>成果物正本への版付きリンク</t>
  </si>
  <si>
    <t>11/12_過去レビュー</t>
  </si>
  <si>
    <t>24/27</t>
  </si>
  <si>
    <t>経緯を参照し今回の差分と留保を記録</t>
  </si>
  <si>
    <t>13_AI駆動開発</t>
  </si>
  <si>
    <t>14</t>
  </si>
  <si>
    <t>Skill、bounded loop、runtime権限、供給網、context</t>
  </si>
  <si>
    <t>14_評価・検収</t>
  </si>
  <si>
    <t>15/16</t>
  </si>
  <si>
    <t>契約検収をコアから除外し独立品質へ</t>
  </si>
  <si>
    <t>15_実行管理</t>
  </si>
  <si>
    <t>17</t>
  </si>
  <si>
    <t>適用・完了証拠・直接前提・実名・期限</t>
  </si>
  <si>
    <t>16_見積・効果</t>
  </si>
  <si>
    <t>18/26</t>
  </si>
  <si>
    <t>品質同等E2E・事業原価・キャッシュ/余力の分離</t>
  </si>
  <si>
    <t>17_調査ソース</t>
  </si>
  <si>
    <t>24</t>
  </si>
  <si>
    <t>添付/一次再確認/独自具体化を区別</t>
  </si>
  <si>
    <t>18_変更差分</t>
  </si>
  <si>
    <t>27</t>
  </si>
  <si>
    <t>旧99タスクの全対応と提案上の注意</t>
  </si>
  <si>
    <t>19_承認・変更・リスク</t>
  </si>
  <si>
    <t>19/20/29</t>
  </si>
  <si>
    <t>実行版、重大変更、意思決定Runを分離</t>
  </si>
  <si>
    <t>添付25シートに追加</t>
  </si>
  <si>
    <t>25/26/27/28/29</t>
  </si>
  <si>
    <t>仮説・GTM、投資KPI、移行差分、人材育成、承認実記録</t>
  </si>
  <si>
    <t>原稿を適用する際に明示した留保</t>
  </si>
  <si>
    <t>論点</t>
  </si>
  <si>
    <t>原稿にある内容</t>
  </si>
  <si>
    <t>今回の扱い</t>
  </si>
  <si>
    <t>FTE</t>
  </si>
  <si>
    <t>小4〜6FTE等のコア規模と、ロール別レンジ</t>
  </si>
  <si>
    <t>合計の整合が未確定なため予定FTEへ転記しない。06で実配賦</t>
  </si>
  <si>
    <t>AI削減率</t>
  </si>
  <si>
    <t>工程別の削減%・20件/4週間</t>
  </si>
  <si>
    <t>参考の実験目標/運用例として18に留保。見積係数を初期適用しない</t>
  </si>
  <si>
    <t>工数</t>
  </si>
  <si>
    <t>小中大の七工程レンジ</t>
  </si>
  <si>
    <t>04に保存。立上げ/月次/廃止を同期間の合計にしない</t>
  </si>
  <si>
    <t>法的義務</t>
  </si>
  <si>
    <t>指針・法令・OWASP・ISOが並ぶ</t>
  </si>
  <si>
    <t>12/24で別区分。原稿のみの主張と公式再確認範囲を分離</t>
  </si>
  <si>
    <t>G3承認</t>
  </si>
  <si>
    <t>Service Owner＋必要時Business Owner</t>
  </si>
  <si>
    <t>R18を最終A、R19品質、R14/13適用判断、R01重大残存リスク。責任を曖昧にしない</t>
  </si>
  <si>
    <t>EU変更日</t>
  </si>
  <si>
    <t>AI Omnibus 2026-07-27発効との記述</t>
  </si>
  <si>
    <t>W15公式告知の検索本文で確認。個別義務の期限は12で法務判定</t>
  </si>
  <si>
    <t>Excelの判定</t>
  </si>
  <si>
    <t>証拠連鎖を管理する構想</t>
  </si>
  <si>
    <t>記録点検であり実品質/法適合/URI実在/循環依存は自動保証しない</t>
  </si>
  <si>
    <t>Agent Skill</t>
  </si>
  <si>
    <t>原稿は再利用資産の考え方が中心</t>
  </si>
  <si>
    <t>14/11に入力出力/適用条件/権限/回帰/版/撤回の具体案を追加（U03,W14）</t>
  </si>
  <si>
    <t>スキル評価・育成｜自己申告だけで配置しない</t>
  </si>
  <si>
    <t>1行=人×Skill。初期106行は辞書の索引で、全員への全スキル要求ではない。担当業務に必要な組合せを08から選び記入する。</t>
  </si>
  <si>
    <t>記録ID</t>
  </si>
  <si>
    <t>担当者実名</t>
  </si>
  <si>
    <t>対象Task/業務</t>
  </si>
  <si>
    <t>評価Lv</t>
  </si>
  <si>
    <t>不足Lv</t>
  </si>
  <si>
    <t>能力証拠URI</t>
  </si>
  <si>
    <t>評価者</t>
  </si>
  <si>
    <t>評価日</t>
  </si>
  <si>
    <t>育成/採用/外部支援計画</t>
  </si>
  <si>
    <t>評価記録点検</t>
  </si>
  <si>
    <t>評価者PersonID</t>
  </si>
  <si>
    <t>記録ID点検</t>
  </si>
  <si>
    <t>AS-001</t>
  </si>
  <si>
    <t>AS-002</t>
  </si>
  <si>
    <t>AS-003</t>
  </si>
  <si>
    <t>AS-004</t>
  </si>
  <si>
    <t>AS-005</t>
  </si>
  <si>
    <t>AS-006</t>
  </si>
  <si>
    <t>AS-007</t>
  </si>
  <si>
    <t>AS-008</t>
  </si>
  <si>
    <t>AS-009</t>
  </si>
  <si>
    <t>AS-010</t>
  </si>
  <si>
    <t>AS-011</t>
  </si>
  <si>
    <t>AS-012</t>
  </si>
  <si>
    <t>AS-013</t>
  </si>
  <si>
    <t>AS-014</t>
  </si>
  <si>
    <t>AS-015</t>
  </si>
  <si>
    <t>AS-016</t>
  </si>
  <si>
    <t>AS-017</t>
  </si>
  <si>
    <t>AS-018</t>
  </si>
  <si>
    <t>AS-019</t>
  </si>
  <si>
    <t>AS-020</t>
  </si>
  <si>
    <t>AS-021</t>
  </si>
  <si>
    <t>AS-022</t>
  </si>
  <si>
    <t>AS-023</t>
  </si>
  <si>
    <t>AS-024</t>
  </si>
  <si>
    <t>AS-025</t>
  </si>
  <si>
    <t>AS-026</t>
  </si>
  <si>
    <t>AS-027</t>
  </si>
  <si>
    <t>AS-028</t>
  </si>
  <si>
    <t>AS-029</t>
  </si>
  <si>
    <t>AS-030</t>
  </si>
  <si>
    <t>AS-031</t>
  </si>
  <si>
    <t>AS-032</t>
  </si>
  <si>
    <t>AS-033</t>
  </si>
  <si>
    <t>AS-034</t>
  </si>
  <si>
    <t>AS-035</t>
  </si>
  <si>
    <t>AS-036</t>
  </si>
  <si>
    <t>AS-037</t>
  </si>
  <si>
    <t>AS-038</t>
  </si>
  <si>
    <t>AS-039</t>
  </si>
  <si>
    <t>AS-040</t>
  </si>
  <si>
    <t>AS-041</t>
  </si>
  <si>
    <t>AS-042</t>
  </si>
  <si>
    <t>AS-043</t>
  </si>
  <si>
    <t>AS-044</t>
  </si>
  <si>
    <t>AS-045</t>
  </si>
  <si>
    <t>AS-046</t>
  </si>
  <si>
    <t>AS-047</t>
  </si>
  <si>
    <t>AS-048</t>
  </si>
  <si>
    <t>AS-049</t>
  </si>
  <si>
    <t>AS-050</t>
  </si>
  <si>
    <t>AS-051</t>
  </si>
  <si>
    <t>AS-052</t>
  </si>
  <si>
    <t>AS-053</t>
  </si>
  <si>
    <t>AS-054</t>
  </si>
  <si>
    <t>AS-055</t>
  </si>
  <si>
    <t>AS-056</t>
  </si>
  <si>
    <t>AS-057</t>
  </si>
  <si>
    <t>AS-058</t>
  </si>
  <si>
    <t>AS-059</t>
  </si>
  <si>
    <t>AS-060</t>
  </si>
  <si>
    <t>AS-061</t>
  </si>
  <si>
    <t>AS-062</t>
  </si>
  <si>
    <t>AS-063</t>
  </si>
  <si>
    <t>AS-064</t>
  </si>
  <si>
    <t>AS-065</t>
  </si>
  <si>
    <t>AS-066</t>
  </si>
  <si>
    <t>AS-067</t>
  </si>
  <si>
    <t>AS-068</t>
  </si>
  <si>
    <t>AS-069</t>
  </si>
  <si>
    <t>AS-070</t>
  </si>
  <si>
    <t>AS-071</t>
  </si>
  <si>
    <t>AS-072</t>
  </si>
  <si>
    <t>AS-073</t>
  </si>
  <si>
    <t>AS-074</t>
  </si>
  <si>
    <t>AS-075</t>
  </si>
  <si>
    <t>AS-076</t>
  </si>
  <si>
    <t>AS-077</t>
  </si>
  <si>
    <t>AS-078</t>
  </si>
  <si>
    <t>AS-079</t>
  </si>
  <si>
    <t>AS-080</t>
  </si>
  <si>
    <t>AS-081</t>
  </si>
  <si>
    <t>AS-082</t>
  </si>
  <si>
    <t>AS-083</t>
  </si>
  <si>
    <t>AS-084</t>
  </si>
  <si>
    <t>AS-085</t>
  </si>
  <si>
    <t>AS-086</t>
  </si>
  <si>
    <t>AS-087</t>
  </si>
  <si>
    <t>AS-088</t>
  </si>
  <si>
    <t>AS-089</t>
  </si>
  <si>
    <t>AS-090</t>
  </si>
  <si>
    <t>AS-091</t>
  </si>
  <si>
    <t>AS-092</t>
  </si>
  <si>
    <t>AS-093</t>
  </si>
  <si>
    <t>AS-094</t>
  </si>
  <si>
    <t>AS-095</t>
  </si>
  <si>
    <t>AS-096</t>
  </si>
  <si>
    <t>AS-097</t>
  </si>
  <si>
    <t>AS-098</t>
  </si>
  <si>
    <t>AS-099</t>
  </si>
  <si>
    <t>AS-100</t>
  </si>
  <si>
    <t>AS-101</t>
  </si>
  <si>
    <t>AS-102</t>
  </si>
  <si>
    <t>AS-103</t>
  </si>
  <si>
    <t>AS-104</t>
  </si>
  <si>
    <t>AS-105</t>
  </si>
  <si>
    <t>AS-106</t>
  </si>
  <si>
    <t>ゲート承認記録｜進捗ではなく判断の証拠を残す</t>
  </si>
  <si>
    <t>1行=GateRun。記録→判定整合→必要証拠→期限の順に点検。実行許可・本人資格・署名は正本側で確認。</t>
  </si>
  <si>
    <t>標準Task</t>
  </si>
  <si>
    <t>最終A Role</t>
  </si>
  <si>
    <t>必要証拠の定義</t>
  </si>
  <si>
    <t>判断Run ID</t>
  </si>
  <si>
    <t>対象範囲/版</t>
  </si>
  <si>
    <t>証拠パッケージURI</t>
  </si>
  <si>
    <t>独立QA判定</t>
  </si>
  <si>
    <t>Privacy判定</t>
  </si>
  <si>
    <t>事業Risk受容/予算</t>
  </si>
  <si>
    <t>判断結果</t>
  </si>
  <si>
    <t>条件・制約</t>
  </si>
  <si>
    <t>条件期限</t>
  </si>
  <si>
    <t>A実名</t>
  </si>
  <si>
    <t>次Gate/Issue</t>
  </si>
  <si>
    <t>再審査トリガー</t>
  </si>
  <si>
    <t>Release ID</t>
  </si>
  <si>
    <t>Security判定</t>
  </si>
  <si>
    <t>必須評価集合URI</t>
  </si>
  <si>
    <t>集合承認者</t>
  </si>
  <si>
    <t>決裁有効期限</t>
  </si>
  <si>
    <t>取消／置換Run ID</t>
  </si>
  <si>
    <t>判定整合</t>
  </si>
  <si>
    <t>必須評価・前提点検</t>
  </si>
  <si>
    <t>条件点検</t>
  </si>
  <si>
    <t>有効性点検</t>
  </si>
  <si>
    <t>正本決裁URI</t>
  </si>
  <si>
    <t>承認者PersonID</t>
  </si>
  <si>
    <t>条件運用区分</t>
  </si>
  <si>
    <t>未審査</t>
  </si>
  <si>
    <t>Release × Manifest × EvalPlan の必須集合</t>
  </si>
  <si>
    <t>対象版ごとに18分類の適用を決定。必須は合格Run、対象外は理由・承認。単一の平均点で欠落を代替しない。</t>
  </si>
  <si>
    <t>対応ID</t>
  </si>
  <si>
    <t>EvalType（参照）</t>
  </si>
  <si>
    <t>EvalRun ID</t>
  </si>
  <si>
    <t>集合承認URI</t>
  </si>
  <si>
    <t>評価判定（参照）</t>
  </si>
  <si>
    <t>接続点検</t>
  </si>
  <si>
    <t>充足フラグ</t>
  </si>
  <si>
    <t>集合版／正本ID</t>
  </si>
  <si>
    <t>同期参照ID</t>
  </si>
  <si>
    <t>条件付き判断のOwner・解消・失効管理</t>
  </si>
  <si>
    <t>条件はGateRunとReleaseへ接続。期限到来で自動実行はしない。正本の停止・再審査処置と確認証拠を記録する。</t>
  </si>
  <si>
    <t>Condition ID</t>
  </si>
  <si>
    <t>Owner PersonID</t>
  </si>
  <si>
    <t>重要度</t>
  </si>
  <si>
    <t>解消証拠URI</t>
  </si>
  <si>
    <t>解消日</t>
  </si>
  <si>
    <t>確認者PersonID</t>
  </si>
  <si>
    <t>失効時処置</t>
  </si>
  <si>
    <t>処置Issue／証拠</t>
  </si>
  <si>
    <t>次回再確認日</t>
  </si>
  <si>
    <t>Gate / EvalType の定義マスター</t>
  </si>
  <si>
    <t>定義の正本。判断Run・評価計画とは別ID。変更時は影響評価して版を更新。</t>
  </si>
  <si>
    <t>必要証拠</t>
  </si>
  <si>
    <t>許容判断（区切り付き）</t>
  </si>
  <si>
    <t>定義版</t>
  </si>
  <si>
    <t>変更根拠</t>
  </si>
  <si>
    <t>事業探索・予算枠</t>
  </si>
  <si>
    <t>仮説/非AI比較/リスク/Owner/探索証拠/予算・期限・停止条件</t>
  </si>
  <si>
    <t>|未審査|承認|条件付承認|差戻し|否決|Pivot|Stop|</t>
  </si>
  <si>
    <t>1.1</t>
  </si>
  <si>
    <t>AR09・AR19</t>
  </si>
  <si>
    <t>スコープ・Evidence Plan</t>
  </si>
  <si>
    <t>用途/対象/禁止/データ利用/評価計画/Tier/ロードマップ</t>
  </si>
  <si>
    <t>Architecture/Build</t>
  </si>
  <si>
    <t>R06技術勧告、AI/Data/権限/運用/復旧/原価/実装投資枠</t>
  </si>
  <si>
    <t>本番公開</t>
  </si>
  <si>
    <t>R19独立品質、Privacy/Security、対象版、運用/CS、公開/停止・復旧</t>
  </si>
  <si>
    <t>|未審査|承認|条件付承認|差戻し|否決|Stop|</t>
  </si>
  <si>
    <t>実価値/継続/採算/危害/支援能力/次投資・期限・停止条件</t>
  </si>
  <si>
    <t>|未審査|Scale|Continue|Pivot|Shrink|Stop|条件付承認|差戻し|否決|</t>
  </si>
  <si>
    <t>削除/保全/移行/権限失効/依存解約/請求/残存責務とOwner</t>
  </si>
  <si>
    <t>|未審査|廃止完了承認|条件付承認|差戻し|否決|</t>
  </si>
  <si>
    <t>分類版</t>
  </si>
  <si>
    <t>業務価値</t>
  </si>
  <si>
    <t>利用者が対象業務を正しく完了した割合</t>
  </si>
  <si>
    <t>非AI/現行と同条件で比較。手動補正/失敗の扱いを定義</t>
  </si>
  <si>
    <t>R04,R11</t>
  </si>
  <si>
    <t>AI出力</t>
  </si>
  <si>
    <t>正確性/適合性/業務別誤りコスト</t>
  </si>
  <si>
    <t>用途に応じAccuracy/F1等を選択。少数重大例を平均で隠さない</t>
  </si>
  <si>
    <t>AI</t>
  </si>
  <si>
    <t>R08,R11</t>
  </si>
  <si>
    <t>RAG検索</t>
  </si>
  <si>
    <t>検索Recall/根拠到達/権限遵守</t>
  </si>
  <si>
    <t>正解文書ID・母集団・権限制御・更新鮮度</t>
  </si>
  <si>
    <t>R09,R11</t>
  </si>
  <si>
    <t>RAG回答</t>
  </si>
  <si>
    <t>根拠整合/引用/回答保留</t>
  </si>
  <si>
    <t>検索と生成を分離。答えが存在しない/古い/矛盾する場合を含む</t>
  </si>
  <si>
    <t>Agent成否</t>
  </si>
  <si>
    <t>タスク成否と実世界の副作用</t>
  </si>
  <si>
    <t>単なる最終文の成功宣言ではなく外部状態を検証</t>
  </si>
  <si>
    <t>重大失敗・禁止操作・危険出力</t>
  </si>
  <si>
    <t>重大と定義した試験の失敗0を初期案。0件はリスク0の証明ではない</t>
  </si>
  <si>
    <t>越権/秘密流出/injection/Tool悪用</t>
  </si>
  <si>
    <t>製品と開発の境界、ログ/MCP/sub-agentを含む</t>
  </si>
  <si>
    <t>U01,W12,W17</t>
  </si>
  <si>
    <t>Privacy/権利</t>
  </si>
  <si>
    <t>無許可送信/利用/保持/削除失敗</t>
  </si>
  <si>
    <t>データ区分/利用目的/送信先/派生資産まで</t>
  </si>
  <si>
    <t>R14,R10</t>
  </si>
  <si>
    <t>公平性・重要slice</t>
  </si>
  <si>
    <t>群別性能と被害の差</t>
  </si>
  <si>
    <t>用途上の重要slice/サンプル数/信頼区間・採取可否を定義</t>
  </si>
  <si>
    <t>条件付</t>
  </si>
  <si>
    <t>R11,R04</t>
  </si>
  <si>
    <t>UX・透明性</t>
  </si>
  <si>
    <t>理解/誤信/介入/訂正・救済</t>
  </si>
  <si>
    <t>実ユーザー試験、アクセシビリティ、失敗時行動</t>
  </si>
  <si>
    <t>R05,R11</t>
  </si>
  <si>
    <t>信頼性/性能</t>
  </si>
  <si>
    <t>p95/p99/可用性/timeout</t>
  </si>
  <si>
    <t>同時実行・負荷分布・依存障害を定義</t>
  </si>
  <si>
    <t>復旧・縮退</t>
  </si>
  <si>
    <t>RTO/RPO/停止/部分失敗復旧</t>
  </si>
  <si>
    <t>モデルだけでなくPrompt/Data/Tool/権限版を復元</t>
  </si>
  <si>
    <t>R12,R18</t>
  </si>
  <si>
    <t>費用</t>
  </si>
  <si>
    <t>cost/task、cost/success</t>
  </si>
  <si>
    <t>失敗・retry・人間介入・API/基盤費を含める</t>
  </si>
  <si>
    <t>grader較正</t>
  </si>
  <si>
    <t>人の採点との一致・重要誤判定</t>
  </si>
  <si>
    <t>盲検/複数判定/不一致処理/版、特定モデルへの偏り</t>
  </si>
  <si>
    <t>採点AI</t>
  </si>
  <si>
    <t>R11,R19</t>
  </si>
  <si>
    <t>trigger/non-trigger/回帰/権限拒否</t>
  </si>
  <si>
    <t>選ばれる条件と選ばれない条件、script依存の供給網を含む</t>
  </si>
  <si>
    <t>R06,R11</t>
  </si>
  <si>
    <t>変更回帰</t>
  </si>
  <si>
    <t>変更前後差分・予期せぬ劣化</t>
  </si>
  <si>
    <t>旧/新構成、既知失敗、本番slice、再評価範囲</t>
  </si>
  <si>
    <t>請求・計測</t>
  </si>
  <si>
    <t>課金の正確性・二重計上・返金</t>
  </si>
  <si>
    <t>成功/失敗/重複イベントと税・契約条件を照合</t>
  </si>
  <si>
    <t>外販課金</t>
  </si>
  <si>
    <t>R15,R11</t>
  </si>
  <si>
    <t>公開準備</t>
  </si>
  <si>
    <t>未解決リスク・運用・支援の充足</t>
  </si>
  <si>
    <t>独立評価・公開対象版・承認・条件期限を照合</t>
  </si>
  <si>
    <t>R19,R18</t>
  </si>
  <si>
    <t>敵対的レビュー27件の反映と受入確認</t>
  </si>
  <si>
    <t>原本v1.0を変更せずv1.1へ反映。テンプレートの検査と実サービスの安全・事業承認は区別する。</t>
  </si>
  <si>
    <t>指摘ID</t>
  </si>
  <si>
    <t>優先度</t>
  </si>
  <si>
    <t>指摘題名</t>
  </si>
  <si>
    <t>改訂した内容</t>
  </si>
  <si>
    <t>受入条件（レビュー）</t>
  </si>
  <si>
    <t>確認方法</t>
  </si>
  <si>
    <t>テンプレート状態</t>
  </si>
  <si>
    <t>実案件で必要な確認</t>
  </si>
  <si>
    <t>AR01</t>
  </si>
  <si>
    <t>自社事業のスキル辞書に受託固有の企業名・責任モデルが残る</t>
  </si>
  <si>
    <t>自社保有・投資・継続判断へ用語修正。08の証拠は07のID参照へ。</t>
  </si>
  <si>
    <t>全シートから固有名NewFanが除かれ、受託・顧客帰属・検収の各記述に外部契約としての適用根拠がある。07の修正が08の証拠欄にも反映される。</t>
  </si>
  <si>
    <t>静的残存語・参照試験</t>
  </si>
  <si>
    <t>テンプレート反映・仕様点検済</t>
  </si>
  <si>
    <t>個別事業の適用・閾値・正本証拠・承認を案件側で確認。</t>
  </si>
  <si>
    <t>RV01 AR01</t>
  </si>
  <si>
    <t>AR02</t>
  </si>
  <si>
    <t>旧版のM1/M2/M3・A2/A3等の分類を本版だけでは解釈できない</t>
  </si>
  <si>
    <t>旧分類コードを実名化。03に独立した機能軸と4適用例。</t>
  </si>
  <si>
    <t>03/07</t>
  </si>
  <si>
    <t>旧版を参照せず、API利用・ローカルRAG・追加学習・書込みAgentの4例で適用スキルを一意に選べる。旧コードの残存箇所が定義へ参照可能。</t>
  </si>
  <si>
    <t>旧コード検索・4例照合</t>
  </si>
  <si>
    <t>RV01 AR02</t>
  </si>
  <si>
    <t>AR03</t>
  </si>
  <si>
    <t>小規模案件の環境分離に関する能力基準が強すぎる</t>
  </si>
  <si>
    <t>物理環境数の合理化と資格情報・権限・データ境界を分離。</t>
  </si>
  <si>
    <t>04/07</t>
  </si>
  <si>
    <t>小規模・高影響の書込みAgent例でも、論理分離・権限分離・復旧試験が省略されない。物理環境数は別に合理化できる。</t>
  </si>
  <si>
    <t>小規模・高影響例の記述点検</t>
  </si>
  <si>
    <t>RV01 AR03</t>
  </si>
  <si>
    <t>AR04</t>
  </si>
  <si>
    <t>RAG・Agent固有評価がG3の基本依存経路に入っていない</t>
  </si>
  <si>
    <t>B4-13にRAG/Agent評価を接続。G3で機能別Taskと必須集合を確認。</t>
  </si>
  <si>
    <t>02/03/17/29/30</t>
  </si>
  <si>
    <t>RAG適用・B4-03未了、Agent適用・B4-04未了のそれぞれでG3準備未完が表示される。未使用の場合は承認済み対象外により進行できる。</t>
  </si>
  <si>
    <t>必須評価不足／承認済み対象外試験</t>
  </si>
  <si>
    <t>反映・関連回帰試験確認済</t>
  </si>
  <si>
    <t>RV01 AR04</t>
  </si>
  <si>
    <t>AR05</t>
  </si>
  <si>
    <t>G0で未検証の仮説を残す場合の承認条件が構造化されていない</t>
  </si>
  <si>
    <t>未検証で限定継続の理由・上限・期限・次実験・停止を構造化。</t>
  </si>
  <si>
    <t>25/29</t>
  </si>
  <si>
    <t>未検証仮説を残してG0承認する例で、理由・追加投資上限・検証期限・停止条件を追跡できる。</t>
  </si>
  <si>
    <t>持越し必須欄の欠落試験</t>
  </si>
  <si>
    <t>RV01 AR05</t>
  </si>
  <si>
    <t>AR06</t>
  </si>
  <si>
    <t>企画・要件段階での中止から終了処理へ入る標準経路がない</t>
  </si>
  <si>
    <t>B6-01の運用依存を解除し、任意GateのStopを開始根拠へ。</t>
  </si>
  <si>
    <t>01/02/17/22/34</t>
  </si>
  <si>
    <t>G0で技術検証を中止した例で、G3/G4完了を要求せず、データ処理・鍵失効・請求停止・終了承認まで追える。</t>
  </si>
  <si>
    <t>早期Stop参照・依存グラフ点検</t>
  </si>
  <si>
    <t>RV01 AR06</t>
  </si>
  <si>
    <t>AR07</t>
  </si>
  <si>
    <t>通常のHarness保守がインシデント後レビューに依存している</t>
  </si>
  <si>
    <t>通常保守の事故依存を解除。定期／変更／事故の反復Runを分離。</t>
  </si>
  <si>
    <t>02/34</t>
  </si>
  <si>
    <t>事故なしの定期Skill更新と、事故後の是正更新の双方が、別Run・適切な前提・証拠で実行できる。</t>
  </si>
  <si>
    <t>定期と事故起因の必須欄試験</t>
  </si>
  <si>
    <t>RV01 AR07</t>
  </si>
  <si>
    <t>AR08</t>
  </si>
  <si>
    <t>Task/Skill IDを変えても名称・工程・承認Roleが追随しない</t>
  </si>
  <si>
    <t>Task/SkillをINDEX-MATCHで参照。不明・重複IDを警告。</t>
  </si>
  <si>
    <t>08/09/17/28</t>
  </si>
  <si>
    <t>ID変更・挿入・並べ替え・同じSkillの複数人評価で、名称とRoleが正しい。未知IDでは空欄でごまかさず参照不正を表示する。</t>
  </si>
  <si>
    <t>ID差替え・並替え・重複試験</t>
  </si>
  <si>
    <t>RV01 AR08</t>
  </si>
  <si>
    <t>AR09</t>
  </si>
  <si>
    <t>ゲートの選び直し・追加Runで判断定義が一致しない</t>
  </si>
  <si>
    <t>32のGateマスターと29の追加Runを接続。</t>
  </si>
  <si>
    <t>29/32</t>
  </si>
  <si>
    <t>G3→G5で対象・標準Task・Role・証拠要件が全てG5に切り替わる。新Runも定義空欄のまま記録完備にならない。</t>
  </si>
  <si>
    <t>Gate変更・追加行試験</t>
  </si>
  <si>
    <t>RV01 AR09</t>
  </si>
  <si>
    <t>AR10</t>
  </si>
  <si>
    <t>未来の実績・実行前の承認・承認前の公開を識別できない</t>
  </si>
  <si>
    <t>実績未来日・評価承認順・通常公開順を検査。緊急経路を分離。</t>
  </si>
  <si>
    <t>16/17/20/29</t>
  </si>
  <si>
    <t>未来の実完了は不正となる。通常公開の日時逆転は不正、承認済み緊急例外は期限付き別状態として記録される。</t>
  </si>
  <si>
    <t>日時逆転・未来日・緊急期限試験</t>
  </si>
  <si>
    <t>RV01 AR10</t>
  </si>
  <si>
    <t>AR11</t>
  </si>
  <si>
    <t>依存欄が区切り文字だけでも前提充足になる</t>
  </si>
  <si>
    <t>空トークン・全角区切り・空白・件数を検出。標準依存変更に承認。</t>
  </si>
  <si>
    <t>『,』『B0-01,』『,B0-01』『B0-01,,B0-02』を不正にできる。正当な依存なしは別の明示的な入力状態として扱える。</t>
  </si>
  <si>
    <t>4種区切り不正・承認なし削除試験</t>
  </si>
  <si>
    <t>RV01 AR11</t>
  </si>
  <si>
    <t>AR12</t>
  </si>
  <si>
    <t>評価実績の採点者・方式が空でも記録ありになる</t>
  </si>
  <si>
    <t>採点方法を必須化し、計画Keyと実行版を照合。</t>
  </si>
  <si>
    <t>Mも版付き採点定義参照もない評価Runは記録不足。ルール採点と人手採点を別々に再現・追跡できる。</t>
  </si>
  <si>
    <t>採点方法空欄試験</t>
  </si>
  <si>
    <t>RV01 AR12</t>
  </si>
  <si>
    <t>AR13</t>
  </si>
  <si>
    <t>変更区分未判定・運用引継ぎ未記録でも公開記録ありになる</t>
  </si>
  <si>
    <t>変更区分と運用CS適用・準備・対象外承認を状態別に検査。</t>
  </si>
  <si>
    <t>20</t>
  </si>
  <si>
    <t>C=未判定は未分類として表示。Oが必要な公開で空欄なら不足、正当な対象外は理由と承認があれば別状態で通過。</t>
  </si>
  <si>
    <t>未分類／運用証拠不足試験</t>
  </si>
  <si>
    <t>RV01 AR13</t>
  </si>
  <si>
    <t>AR14</t>
  </si>
  <si>
    <t>インシデントの復旧状態に必要な時刻を要求していない</t>
  </si>
  <si>
    <t>受付・対応・復旧・解決の必要欄と時刻を分離。</t>
  </si>
  <si>
    <t>21</t>
  </si>
  <si>
    <t>初動は最小項目で登録できるが、『復旧』にすると必要な復旧証跡欠落が表示される。解決時の追加証拠も別に確認できる。</t>
  </si>
  <si>
    <t>初動正常・復旧不備・解決試験</t>
  </si>
  <si>
    <t>RV01 AR14</t>
  </si>
  <si>
    <t>AR15</t>
  </si>
  <si>
    <t>対象外承認・保全継続を廃止完了と別軸で扱えていない</t>
  </si>
  <si>
    <t>対象外決定・保全継続・処理完了と実削除を別フラグ。</t>
  </si>
  <si>
    <t>22/29</t>
  </si>
  <si>
    <t>法定保全付きのG5を承認できる一方、保全資産を削除済みと集計しない。対象外には根拠承認が残る。</t>
  </si>
  <si>
    <t>保全Owner／期限・対象外承認試験</t>
  </si>
  <si>
    <t>RV01 AR15</t>
  </si>
  <si>
    <t>AR16</t>
  </si>
  <si>
    <t>負の経過時間から120%改善を表示し、整合点検も通過する</t>
  </si>
  <si>
    <t>経過時間を式でも非負検査。ゼロ分母・文字・空欄は別扱い。</t>
  </si>
  <si>
    <t>18</t>
  </si>
  <si>
    <t>P/Qの負値、0分母、文字列、空欄を分けて扱う。負の改善率（遅くなった）は正当な値として残し、100%超の時間短縮を正常表示しない。</t>
  </si>
  <si>
    <t>負値／0／文字／正当な悪化試験</t>
  </si>
  <si>
    <t>RV01 AR16</t>
  </si>
  <si>
    <t>AR17</t>
  </si>
  <si>
    <t>スキルLvの整数性が式で検査されていない</t>
  </si>
  <si>
    <t>Lvの0〜3整数を数式で確認。</t>
  </si>
  <si>
    <t>28/35</t>
  </si>
  <si>
    <t>1.5、-1、4は不正、0〜3の整数は有効。Lvと連続スコアが混在しない。</t>
  </si>
  <si>
    <t>1.5/-1/4と有効整数試験</t>
  </si>
  <si>
    <t>RV01 AR17</t>
  </si>
  <si>
    <t>AR18</t>
  </si>
  <si>
    <t>評価分類・評価計画・実行・公開・承認のキーが分離しきれていない</t>
  </si>
  <si>
    <t>EvalType・PlanKey・Run・Release/Manifest・GateRunを分離。</t>
  </si>
  <si>
    <t>15/16/20/29/30/32</t>
  </si>
  <si>
    <t>同一EvalTypeで複数機能・版の計画を管理できる。異なるManifestの評価流用、重複Run、存在しない評価ID、変更後の旧承認を不整合として検出する。</t>
  </si>
  <si>
    <t>重複Run・別Manifest・未知計画試験</t>
  </si>
  <si>
    <t>RV01 AR18</t>
  </si>
  <si>
    <t>AR19</t>
  </si>
  <si>
    <t>ゲート種別と判断結果の組合せ・判定矛盾を明示的に扱っていない</t>
  </si>
  <si>
    <t>記録・判定整合・前提・条件・有効性を分離。FAIL承認は警告。</t>
  </si>
  <si>
    <t>20/29/32</t>
  </si>
  <si>
    <t>G3のScale等の不適合選択に警告が出る。FAILを含む承認は記録保存できても有効な公開許可にはならず、上書き不可の停止理由が残る。</t>
  </si>
  <si>
    <t>G3 Scale・不合格承認試験</t>
  </si>
  <si>
    <t>RV01 AR19</t>
  </si>
  <si>
    <t>AR20</t>
  </si>
  <si>
    <t>条件の担当者・解消・失効後の処置を一意に追えない</t>
  </si>
  <si>
    <t>ConditionIDでOwner・対象版・期限・解消・処置を接続。</t>
  </si>
  <si>
    <t>19/20/29/31</t>
  </si>
  <si>
    <t>期限超過で対象Releaseと担当が特定され、停止/再審査が記録される。解消済みの条件は独立確認と新たな承認有効状態を追える。</t>
  </si>
  <si>
    <t>期限超過・解消確認・対象不一致試験</t>
  </si>
  <si>
    <t>RV01 AR20</t>
  </si>
  <si>
    <t>AR21</t>
  </si>
  <si>
    <t>タスク×ロール別の必要能力と実名の割当・独立性が手作業に残る</t>
  </si>
  <si>
    <t>Personで兼務を集計し、Role別必要能力と第三者評価を割当。</t>
  </si>
  <si>
    <t>06/08/28/35</t>
  </si>
  <si>
    <t>1人が複数Roleを持つ例で合計稼働を確認できる。重要な自己承認はRole名が違っても検出。低リスク案件へ過剰な組織分離を要求しない。</t>
  </si>
  <si>
    <t>同一Person FTE・独立性・能力証拠試験</t>
  </si>
  <si>
    <t>RV01 AR21</t>
  </si>
  <si>
    <t>子Agent・共有状態を含む実行制御の受入試験を具体化する</t>
  </si>
  <si>
    <t>親子予算・委譲・停止伝播・共有状態・冪等性の負の試験を定義。</t>
  </si>
  <si>
    <t>14 AT01〜05</t>
  </si>
  <si>
    <t>親停止後の子操作拒否、合計予算超過停止、子の権限昇格拒否、他利用者/Runのメモリ混入拒否を証拠付きで確認する。</t>
  </si>
  <si>
    <t>試験仕様・適用条件を点検。実Agent実行は未実施</t>
  </si>
  <si>
    <t>実Agent・実環境でAT試験を実施。今回の表計算試験には含まない。</t>
  </si>
  <si>
    <t>RV01 AR22</t>
  </si>
  <si>
    <t>AR23</t>
  </si>
  <si>
    <t>Agent試行間の状態分離・実際の副作用・成功率の意味を明文化する</t>
  </si>
  <si>
    <t>Trial・Snapshot・Reset・外部差分と成功率の意味を明文化。</t>
  </si>
  <si>
    <t>14 AT06〜07/15/16</t>
  </si>
  <si>
    <t>同じモデルを清浄状態と汚染状態で実行した差を検出できる。成功率の分母・試行構造・失敗/部分成功の定義を第三者が再現できる。</t>
  </si>
  <si>
    <t>必須欄・仕様を点検。実Agent実行は未実施</t>
  </si>
  <si>
    <t>RV01 AR23</t>
  </si>
  <si>
    <t>AR24</t>
  </si>
  <si>
    <t>顧客の発言・実行行動・支払・継続の証拠強度を判断に結び付ける</t>
  </si>
  <si>
    <t>行動証拠・必要な強度・技術成立と拡大成立を別判定。</t>
  </si>
  <si>
    <t>25/26/29</t>
  </si>
  <si>
    <t>無償デモで好評だが反復利用されない例を、技術成立と事業拡大の不成立に分けて判断できる。</t>
  </si>
  <si>
    <t>無償好評と拡大不成立の分離試験</t>
  </si>
  <si>
    <t>RV01 AR24</t>
  </si>
  <si>
    <t>AR25</t>
  </si>
  <si>
    <t>算術的な改善率と見積に採用できる効果の条件を分ける</t>
  </si>
  <si>
    <t>基準区分・欠測・並列人時間・交絡・限定採用を明示。</t>
  </si>
  <si>
    <t>品質未確認・推定のみの値が通常の改善実績や見積係数へ自動昇格しない。遅くなった結果、失敗・離脱したタスクも残る。</t>
  </si>
  <si>
    <t>推定・品質未確認の見積採用拒否試験</t>
  </si>
  <si>
    <t>RV01 AR25</t>
  </si>
  <si>
    <t>AR26</t>
  </si>
  <si>
    <t>成功あたり原価が変動費だけであることを明示する</t>
  </si>
  <si>
    <t>成功業務あたり変動原価と固定費配賦込みを別計算。</t>
  </si>
  <si>
    <t>26</t>
  </si>
  <si>
    <t>固定費だけ増えるシナリオで変動原価と総単位費用が区別され、損益と整合する。試行回数増を成功数増と誤認しない。</t>
  </si>
  <si>
    <t>固定費感度・ゼロ成功試験</t>
  </si>
  <si>
    <t>RV01 AR26</t>
  </si>
  <si>
    <t>AR27</t>
  </si>
  <si>
    <t>30シートを手作業で維持する負荷を抑え、正本との同期を設計する</t>
  </si>
  <si>
    <t>主要ビューと正本Ownerを明示。許可列のJSON取込・差分・静的検査を同梱。</t>
  </si>
  <si>
    <t>00/09/34/検証キット</t>
  </si>
  <si>
    <t>同一Releaseの変更でどの正本と台帳が更新されるか追える。新Run追加後も参照・集計・入力規則が欠落せず、二重入力箇所を測定して削減できる。</t>
  </si>
  <si>
    <t>取込ドライラン・不正列／重複拒否。外部接続なし</t>
  </si>
  <si>
    <t>RV01 AR27</t>
  </si>
  <si>
    <t>維持ID</t>
  </si>
  <si>
    <t>維持する設計</t>
  </si>
  <si>
    <t>扱い</t>
  </si>
  <si>
    <t>KEEP01</t>
  </si>
  <si>
    <t>事業仮説・投資・公開・継続判断が主軸。七工程は反復可能、PoCは必要な実験。</t>
  </si>
  <si>
    <t>維持</t>
  </si>
  <si>
    <t>KEEP02</t>
  </si>
  <si>
    <t>品質・法務の停止権を投資判断から分離し、Tierを法的分類と混同しない。</t>
  </si>
  <si>
    <t>KEEP03</t>
  </si>
  <si>
    <t>Repo正本・隔離・実行権限・有限ループ・独立評価・構成一式の復旧を維持。</t>
  </si>
  <si>
    <t>KEEP04</t>
  </si>
  <si>
    <t>人材スキルとAgent Skillの適用・版・供給網・回帰管理を分離。</t>
  </si>
  <si>
    <t>KEEP05</t>
  </si>
  <si>
    <t>AI効果を一律短縮率にしない。人時間・手戻り・追加費・余力・現金を分ける。</t>
  </si>
  <si>
    <t>KEEP06</t>
  </si>
  <si>
    <t>終了は画面閉鎖でなく派生データ・鍵・契約・請求・保全まで処理。</t>
  </si>
  <si>
    <t>KEEP07</t>
  </si>
  <si>
    <t>132Task／106Skillと旧ID対応を保持。原本の整合を再検査。</t>
  </si>
  <si>
    <t>制限ID</t>
  </si>
  <si>
    <t>既知の制限</t>
  </si>
  <si>
    <t>v1.1での扱い</t>
  </si>
  <si>
    <t>Excelは直接依存のみ</t>
  </si>
  <si>
    <t>間接・循環は同梱スクリプトで検査。クリティカルパス・実体品質は未実装。</t>
  </si>
  <si>
    <t>記録・整合は実行許可ではない</t>
  </si>
  <si>
    <t>判定整合・構成・条件を追加。本人資格・署名・CIの強制停止は正本で実装。</t>
  </si>
  <si>
    <t>予約行の範囲を超える追記は非対応</t>
  </si>
  <si>
    <t>15:100計画、16:100Run、29:80Run、30:150対応、31:80条件、34:60Run、35:100割当。上限外は改訂。</t>
  </si>
  <si>
    <t>管理基準日は手動</t>
  </si>
  <si>
    <t>00のOwner・更新確認日を記録。実運用の通知は正本側。</t>
  </si>
  <si>
    <t>入力規則はアクセス制御ではない</t>
  </si>
  <si>
    <t>数式・取込の二重検査。セル保護で署名や改ざん耐性を保証しない。</t>
  </si>
  <si>
    <t>検証結果：Excel入力・判定60ケース、取込・補助検査12ケース。全72ケース成功。実Agent試験・Microsoft Excel実機は対象外。</t>
  </si>
  <si>
    <t>関連指摘</t>
  </si>
  <si>
    <t>試験内容</t>
  </si>
  <si>
    <t>期待値</t>
  </si>
  <si>
    <t>確認値</t>
  </si>
  <si>
    <t>結果</t>
  </si>
  <si>
    <t>方法・範囲</t>
  </si>
  <si>
    <t>記録</t>
  </si>
  <si>
    <t>AR08/10</t>
  </si>
  <si>
    <t>正常タスク完了</t>
  </si>
  <si>
    <t>17!AA4: 1</t>
  </si>
  <si>
    <t>成功</t>
  </si>
  <si>
    <t>変更対象に本版の数式を使用した合成入力試験</t>
  </si>
  <si>
    <t>証拠内容・本人資格・実サービスは未検証</t>
  </si>
  <si>
    <t>検証キット/regression_results.json</t>
  </si>
  <si>
    <t>完了証拠なし</t>
  </si>
  <si>
    <t>17!AA4: 0
17!W4: 完了証拠不足</t>
  </si>
  <si>
    <t>未来の実績</t>
  </si>
  <si>
    <t>17!AA4: 0
17!W4: 実績・承認日不正</t>
  </si>
  <si>
    <t>既定依存の無承認削除</t>
  </si>
  <si>
    <t>17!W5: 依存変更承認不足
17!AA5: 0</t>
  </si>
  <si>
    <t>依存区切り異常 ,</t>
  </si>
  <si>
    <t>17!BC5: 依存記法不正
17!AA5: 0</t>
  </si>
  <si>
    <t>依存区切り異常 B0-01,</t>
  </si>
  <si>
    <t>依存区切り異常 ,B0-01</t>
  </si>
  <si>
    <t>依存区切り異常 B0-01,,B0-02</t>
  </si>
  <si>
    <t>未知依存ID</t>
  </si>
  <si>
    <t>17!X5: 依存ID不正
17!AA5: 0</t>
  </si>
  <si>
    <t>TaskID差替え名称追随・重複警告</t>
  </si>
  <si>
    <t>17!B4: 廃止
17!W4: Task ID不正・重複</t>
  </si>
  <si>
    <t>RT11</t>
  </si>
  <si>
    <t>G3からG5へ定義追随</t>
  </si>
  <si>
    <t>29!B7: 廃止完了
29!C7: B6-10
29!D7: R01</t>
  </si>
  <si>
    <t>RT12</t>
  </si>
  <si>
    <t>新規GateRunの定義補完</t>
  </si>
  <si>
    <t>29!B11: 本番公開
29!C11: B4-14
29!D11: R18</t>
  </si>
  <si>
    <t>RT13</t>
  </si>
  <si>
    <t>FAILと承認の矛盾</t>
  </si>
  <si>
    <t>29!AA7: 停止判定と承認が矛盾
20!AF4: 決裁整合未充足</t>
  </si>
  <si>
    <t>RT14</t>
  </si>
  <si>
    <t>G3のScale不適合</t>
  </si>
  <si>
    <t>29!AA7: Gate判断不適合</t>
  </si>
  <si>
    <t>RT15</t>
  </si>
  <si>
    <t>採点方式欠落</t>
  </si>
  <si>
    <t>16!S4: 記録不足
30!M4: 評価記録未充足</t>
  </si>
  <si>
    <t>RT16</t>
  </si>
  <si>
    <t>評価前の承認</t>
  </si>
  <si>
    <t>16!S4: 評価承認日時逆転</t>
  </si>
  <si>
    <t>RT17</t>
  </si>
  <si>
    <t>変更区分未判定</t>
  </si>
  <si>
    <t>20!U4: 変更区分未分類</t>
  </si>
  <si>
    <t>RT18</t>
  </si>
  <si>
    <t>必要な運用証拠欠落</t>
  </si>
  <si>
    <t>20!U4: 運用CS準備不足</t>
  </si>
  <si>
    <t>RT19</t>
  </si>
  <si>
    <t>通常公開の日時逆転</t>
  </si>
  <si>
    <t>20!AG4: 承認前の通常公開</t>
  </si>
  <si>
    <t>RT20</t>
  </si>
  <si>
    <t>復旧に復旧時刻必須</t>
  </si>
  <si>
    <t>21!Q17: 復旧記録不足</t>
  </si>
  <si>
    <t>RT21</t>
  </si>
  <si>
    <t>受付は原因不要</t>
  </si>
  <si>
    <t>21!Q17: 受付記録あり・未復旧</t>
  </si>
  <si>
    <t>RT22</t>
  </si>
  <si>
    <t>保全は削除と別集計</t>
  </si>
  <si>
    <t>22!O4: 保全継続・決定記録済
22!U4: 0
22!V4: 1
22!W4: 1
29!AB9: 資産処理決定充足</t>
  </si>
  <si>
    <t>RT23</t>
  </si>
  <si>
    <t>負のelapsed</t>
  </si>
  <si>
    <t>18!R4: 空欄
18!AG4: 入力値不正</t>
  </si>
  <si>
    <t>RT24</t>
  </si>
  <si>
    <t>悪化した改善率を保持</t>
  </si>
  <si>
    <t>18!R4: -0.2</t>
  </si>
  <si>
    <t>RT25</t>
  </si>
  <si>
    <t>ゼロ分母</t>
  </si>
  <si>
    <t>18!R4: 空欄
18!AG4: 基準経過0・短縮率計算不可</t>
  </si>
  <si>
    <t>RT26</t>
  </si>
  <si>
    <t>elapsed文字入力</t>
  </si>
  <si>
    <t>RT27</t>
  </si>
  <si>
    <t>Skill名称をIDで参照</t>
  </si>
  <si>
    <t>28!C4: Agent Skillの設計・審査・ライフサイクル</t>
  </si>
  <si>
    <t>RT28</t>
  </si>
  <si>
    <t>Lv小数拒否</t>
  </si>
  <si>
    <t>28!P4: 習熟度不正
28!I4: 空欄</t>
  </si>
  <si>
    <t>RT29</t>
  </si>
  <si>
    <t>自己申告と第三者確認の分離</t>
  </si>
  <si>
    <t>28!P4: 自己申告・第三者確認前
35!R4: 能力の第三者確認不足</t>
  </si>
  <si>
    <t>RT30</t>
  </si>
  <si>
    <t>GateRun重複拒否</t>
  </si>
  <si>
    <t>29!S7: 判断Run ID重複
20!AF4: GateRun不足・不正</t>
  </si>
  <si>
    <t>RT31</t>
  </si>
  <si>
    <t>異なる評価Manifestの流用拒否</t>
  </si>
  <si>
    <t>16!Y4: Manifest不一致
30!M4: 評価対象不一致</t>
  </si>
  <si>
    <t>RT32</t>
  </si>
  <si>
    <t>存在しないPlanKey</t>
  </si>
  <si>
    <t>16!Y4: PlanKey不正</t>
  </si>
  <si>
    <t>RT33</t>
  </si>
  <si>
    <t>評価Run重複</t>
  </si>
  <si>
    <t>16!S4: Run ID重複
30!M4: 評価Run不足・不正</t>
  </si>
  <si>
    <t>RT34</t>
  </si>
  <si>
    <t>Release構成と決裁構成照合</t>
  </si>
  <si>
    <t>20!AF4: 決裁対象・版不一致</t>
  </si>
  <si>
    <t>RT35</t>
  </si>
  <si>
    <t>AR18/19</t>
  </si>
  <si>
    <t>必要評価不合格</t>
  </si>
  <si>
    <t>30!M4: 必要評価不合格・未確定
29!AB7: 必須評価セット未充足</t>
  </si>
  <si>
    <t>RT36</t>
  </si>
  <si>
    <t>RAG使用時の固有評価不足</t>
  </si>
  <si>
    <t>29!AB7: 機能別評価・対象外未完</t>
  </si>
  <si>
    <t>RT37</t>
  </si>
  <si>
    <t>Agent使用時の固有評価不足</t>
  </si>
  <si>
    <t>RT38</t>
  </si>
  <si>
    <t>AR04/18</t>
  </si>
  <si>
    <t>非使用の承認済み対象外で集合充足</t>
  </si>
  <si>
    <t>29!AB7: 必須評価セット充足
29!AD7: 整合済・正本決裁要確認
20!AH4: 準備記録整合・実行許可は正本</t>
  </si>
  <si>
    <t>RT39</t>
  </si>
  <si>
    <t>未検証仮説の限定投資</t>
  </si>
  <si>
    <t>25!AE4: 仮説記録あり
29!AB4: G0仮説記録接続</t>
  </si>
  <si>
    <t>RT40</t>
  </si>
  <si>
    <t>持越しの予算上限欠落</t>
  </si>
  <si>
    <t>25!AE4: 持越し条件不足
29!AB4: 仮説・持越し確認不足</t>
  </si>
  <si>
    <t>RT41</t>
  </si>
  <si>
    <t>早期Stopから終了開始</t>
  </si>
  <si>
    <t>17!BD125: 開始根拠あり
17!AA125: 1</t>
  </si>
  <si>
    <t>RT42</t>
  </si>
  <si>
    <t>事故なしの定期保守</t>
  </si>
  <si>
    <t>34!P4: Run記録あり・内容審査別</t>
  </si>
  <si>
    <t>RT43</t>
  </si>
  <si>
    <t>事故起因は事故後レビュー必須</t>
  </si>
  <si>
    <t>34!P4: 事故・レビュー参照不足</t>
  </si>
  <si>
    <t>RT44</t>
  </si>
  <si>
    <t>兼務合計FTE</t>
  </si>
  <si>
    <t>06!S4: 1.2
06!U4: 当日FTE超過</t>
  </si>
  <si>
    <t>RT45</t>
  </si>
  <si>
    <t>Role名でなくPersonで独立性確認</t>
  </si>
  <si>
    <t>35!R4: 実装との独立性不足</t>
  </si>
  <si>
    <t>RT46</t>
  </si>
  <si>
    <t>技術成立でも拡大不成立を識別</t>
  </si>
  <si>
    <t>29!AA8: 拡大の行動証拠不足</t>
  </si>
  <si>
    <t>RT47</t>
  </si>
  <si>
    <t>推定から見積係数へ自動昇格させない</t>
  </si>
  <si>
    <t>18!AQ4: 推定・品質未確認は採用不可</t>
  </si>
  <si>
    <t>RT48</t>
  </si>
  <si>
    <t>実測で限定採用の記録</t>
  </si>
  <si>
    <t>18!AQ4: 限定採用判断記録・一般化不可</t>
  </si>
  <si>
    <t>RT49</t>
  </si>
  <si>
    <t>変動原価と固定費込原価</t>
  </si>
  <si>
    <t>26!U25: 10
26!X25: 100</t>
  </si>
  <si>
    <t>RT50</t>
  </si>
  <si>
    <t>固定費増加を別単位費用へ反映</t>
  </si>
  <si>
    <t>26!U25: 10
26!X25: 200</t>
  </si>
  <si>
    <t>RT51</t>
  </si>
  <si>
    <t>期限内条件で制約継続</t>
  </si>
  <si>
    <t>31!Q4: 期限内・制約継続
29!AC7: 条件整合</t>
  </si>
  <si>
    <t>RT52</t>
  </si>
  <si>
    <t>期限切れ条件で公開準備停止</t>
  </si>
  <si>
    <t>31!Q4: 失効・停止再審査
29!AC7: 条件失効・定義不備
20!AF4: 決裁整合未充足</t>
  </si>
  <si>
    <t>RT53</t>
  </si>
  <si>
    <t>条件解消の独立確認</t>
  </si>
  <si>
    <t>31!Q4: 解消確認済
29!AC7: 条件整合</t>
  </si>
  <si>
    <t>RT54</t>
  </si>
  <si>
    <t>期限後解消で旧承認を復活させない</t>
  </si>
  <si>
    <t>31!Q4: 期限後解消・再承認要
29!AC7: 条件失効・定義不備</t>
  </si>
  <si>
    <t>RT55</t>
  </si>
  <si>
    <t>AR19/20</t>
  </si>
  <si>
    <t>法的禁止は条件承認で代替不可</t>
  </si>
  <si>
    <t>31!Q4: 条件化不可・停止
29!AC7: 条件失効・定義不備</t>
  </si>
  <si>
    <t>RT56</t>
  </si>
  <si>
    <t>取消済み判断を公開へ再利用不可</t>
  </si>
  <si>
    <t>29!AD7: 取消・置換済
20!AF4: 決裁整合未充足</t>
  </si>
  <si>
    <t>RT57</t>
  </si>
  <si>
    <t>承認済み緊急経路は通常公開許可と区別</t>
  </si>
  <si>
    <t>20!AG4: 緊急経路・正本審査要
20!AH4: 緊急措置・通常公開許可ではない</t>
  </si>
  <si>
    <t>RT58</t>
  </si>
  <si>
    <t>Agentの試行状態証拠が必要</t>
  </si>
  <si>
    <t>16!S4: Trial状態証拠不足</t>
  </si>
  <si>
    <t>RT59</t>
  </si>
  <si>
    <t>Agent計画のreset仕様が必要</t>
  </si>
  <si>
    <t>15!W8: 試行状態・成功定義不足</t>
  </si>
  <si>
    <t>RT60</t>
  </si>
  <si>
    <t>同一EvalTypeで別版を作れる</t>
  </si>
  <si>
    <t>15!V22: EP-001@2
15!W22: 計画未確定</t>
  </si>
  <si>
    <t>IT01</t>
  </si>
  <si>
    <t>AR27/K01/K05</t>
  </si>
  <si>
    <t>初期テンプレート整合</t>
  </si>
  <si>
    <t>0</t>
  </si>
  <si>
    <t>同梱スクリプトの取込・静的検査</t>
  </si>
  <si>
    <t>Excel再計算・署名認証・実環境の強制制御ではない</t>
  </si>
  <si>
    <t>検証キット/import_tests.json</t>
  </si>
  <si>
    <t>IT02</t>
  </si>
  <si>
    <t>許可列のドライラン取込</t>
  </si>
  <si>
    <t>ACCEPT</t>
  </si>
  <si>
    <t>IT03</t>
  </si>
  <si>
    <t>数式列への上書き拒否</t>
  </si>
  <si>
    <t>REJECT</t>
  </si>
  <si>
    <t>IT04</t>
  </si>
  <si>
    <t>予約行の上限外拒否</t>
  </si>
  <si>
    <t>IT05</t>
  </si>
  <si>
    <t>未許可の定義シート更新拒否</t>
  </si>
  <si>
    <t>IT06</t>
  </si>
  <si>
    <t>式文字列の取込拒否</t>
  </si>
  <si>
    <t>IT07</t>
  </si>
  <si>
    <t>開始トリガーの候補外拒否</t>
  </si>
  <si>
    <t>IT08</t>
  </si>
  <si>
    <t>編集後の循環依存検出</t>
  </si>
  <si>
    <t>True</t>
  </si>
  <si>
    <t>IT09</t>
  </si>
  <si>
    <t>負のelapsedの取込後検出</t>
  </si>
  <si>
    <t>IT10</t>
  </si>
  <si>
    <t>小数Lv検出</t>
  </si>
  <si>
    <t>IT11</t>
  </si>
  <si>
    <t>承認済み計画への上書き拒否</t>
  </si>
  <si>
    <t>IT12</t>
  </si>
  <si>
    <t>同一スナップショットの再取込拒否</t>
  </si>
  <si>
    <t>反復TaskRunと正本スナップショットの管理</t>
  </si>
  <si>
    <t>17は初回、ここは定期・変更・事故・早期Stopの反復。正本からの更新は専用スクリプトの許可列だけ。承認を自動生成しない。</t>
  </si>
  <si>
    <t>TaskRun ID</t>
  </si>
  <si>
    <t>名称（参照）</t>
  </si>
  <si>
    <t>起点GateRun／Incident</t>
  </si>
  <si>
    <t>予定期限</t>
  </si>
  <si>
    <t>実完了日時</t>
  </si>
  <si>
    <t>次回期限</t>
  </si>
  <si>
    <t>Issue正本URI</t>
  </si>
  <si>
    <t>Run記録点検</t>
  </si>
  <si>
    <t>同期Snapshot ID</t>
  </si>
  <si>
    <t>同期日時</t>
  </si>
  <si>
    <t>正本Owner</t>
  </si>
  <si>
    <t>正本版</t>
  </si>
  <si>
    <t>事故後レビューRun URI</t>
  </si>
  <si>
    <t>正本領域</t>
  </si>
  <si>
    <t>入力／再生成先</t>
  </si>
  <si>
    <t>方向</t>
  </si>
  <si>
    <t>更新トリガー</t>
  </si>
  <si>
    <t>手動で残す判断</t>
  </si>
  <si>
    <t>重複入力の計測</t>
  </si>
  <si>
    <t>仕様・Issue</t>
  </si>
  <si>
    <t>17/34</t>
  </si>
  <si>
    <t>PdM・PM</t>
  </si>
  <si>
    <t>正本→索引</t>
  </si>
  <si>
    <t>Issue／対象版変更</t>
  </si>
  <si>
    <t>適用・変更承認</t>
  </si>
  <si>
    <t>再入力項目数／同期遅延</t>
  </si>
  <si>
    <t>タスク名・Roleは02から再生成</t>
  </si>
  <si>
    <t>評価計画・Run</t>
  </si>
  <si>
    <t>15/16/30</t>
  </si>
  <si>
    <t>QA</t>
  </si>
  <si>
    <t>計画版／評価実行</t>
  </si>
  <si>
    <t>必須集合・独立判定</t>
  </si>
  <si>
    <t>入力件数／差分件数</t>
  </si>
  <si>
    <t>PlanKey／Manifestを一致</t>
  </si>
  <si>
    <t>決裁・条件</t>
  </si>
  <si>
    <t>29/31</t>
  </si>
  <si>
    <t>決裁権限者</t>
  </si>
  <si>
    <t>承認・取消・条件解消</t>
  </si>
  <si>
    <t>本人認証・資格・署名</t>
  </si>
  <si>
    <t>承認後の差分件数</t>
  </si>
  <si>
    <t>取込のみでは有効な実行許可にならない</t>
  </si>
  <si>
    <t>公開・事故</t>
  </si>
  <si>
    <t>20/21</t>
  </si>
  <si>
    <t>Service Owner</t>
  </si>
  <si>
    <t>CI公開・障害</t>
  </si>
  <si>
    <t>緊急権限・補償</t>
  </si>
  <si>
    <t>事故後の記録遅延</t>
  </si>
  <si>
    <t>実績日時を現在に偽装しない</t>
  </si>
  <si>
    <t>仮説・KPI</t>
  </si>
  <si>
    <t>25/26</t>
  </si>
  <si>
    <t>事業責任者</t>
  </si>
  <si>
    <t>実験・事業レビュー</t>
  </si>
  <si>
    <t>次投資・停止</t>
  </si>
  <si>
    <t>二重入力人時間</t>
  </si>
  <si>
    <t>技術成立と事業拡大を別判定</t>
  </si>
  <si>
    <t>人材・体制</t>
  </si>
  <si>
    <t>06/28/35</t>
  </si>
  <si>
    <t>人材配置責任者</t>
  </si>
  <si>
    <t>配置・能力証拠変更</t>
  </si>
  <si>
    <t>兼務・独立性</t>
  </si>
  <si>
    <t>名寄せ・誤更新件数</t>
  </si>
  <si>
    <t>PersonIDを使い権限証明とは区別</t>
  </si>
  <si>
    <t>許可範囲外の行追加は専用のテンプレート改訂が必要。取込はドライラン・差分・重複・型を先に検査する。</t>
  </si>
  <si>
    <t>Snapshot ID</t>
  </si>
  <si>
    <t>正本URI</t>
  </si>
  <si>
    <t>取得日時</t>
  </si>
  <si>
    <t>原データSHA-256</t>
  </si>
  <si>
    <t>更新者</t>
  </si>
  <si>
    <t>更新行数</t>
  </si>
  <si>
    <t>差分ログURI</t>
  </si>
  <si>
    <t>備考</t>
  </si>
  <si>
    <t>Task × Role × Skill × Person の必要能力</t>
  </si>
  <si>
    <t>08は標準候補。ここで案件の必要Lvを確定し28の第三者評価へ接続。Role名が違っても同じPersonの独立自己承認は不可。</t>
  </si>
  <si>
    <t>割当ID</t>
  </si>
  <si>
    <t>能力評価記録ID</t>
  </si>
  <si>
    <t>必要性・担当範囲</t>
  </si>
  <si>
    <t>割当承認者</t>
  </si>
  <si>
    <t>対象期間</t>
  </si>
  <si>
    <t>Task名（参照）</t>
  </si>
  <si>
    <t>Skill名（参照）</t>
  </si>
  <si>
    <t>評価Lv（参照）</t>
  </si>
  <si>
    <t>能力不足Lv</t>
  </si>
  <si>
    <t>役割区分</t>
  </si>
  <si>
    <t>当該実装PersonID</t>
  </si>
  <si>
    <t>割当点検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</si>
</sst>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yyyy\-mm\-dd"/>
    <numFmt numFmtId="177" formatCode="0.0%"/>
    <numFmt numFmtId="178" formatCode="0.0"/>
    <numFmt numFmtId="179" formatCode="#,##0.0;[Red]\(#,##0.0\);&quot;-&quot;"/>
    <numFmt numFmtId="180" formatCode="0.0%;[Red]\(0.0%\);&quot;-&quot;"/>
    <numFmt numFmtId="181" formatCode="#,##0;[Red]\(#,##0\);&quot;-&quot;"/>
    <numFmt numFmtId="182" formatCode="yyyy\-mm\-dd\ hh:mm"/>
    <numFmt numFmtId="183" formatCode="#,##0.00;[Red]\(#,##0.00\);&quot;-&quot;"/>
  </numFmts>
  <fonts count="13" x14ac:knownFonts="1">
    <font>
      <sz val="11"/>
      <color theme="1"/>
      <name val="ＭＳ Ｐゴシック"/>
      <family val="2"/>
      <scheme val="minor"/>
    </font>
    <font>
      <b/>
      <sz val="18"/>
      <color rgb="FF1F4B5E"/>
      <name val="Meiryo UI"/>
      <family val="3"/>
      <charset val="128"/>
    </font>
    <font>
      <sz val="10"/>
      <color rgb="FF66737B"/>
      <name val="Meiryo UI"/>
      <family val="3"/>
      <charset val="128"/>
    </font>
    <font>
      <b/>
      <sz val="10"/>
      <color rgb="FFFFFFFF"/>
      <name val="Meiryo UI"/>
      <family val="3"/>
      <charset val="128"/>
    </font>
    <font>
      <sz val="9"/>
      <color rgb="FF222222"/>
      <name val="Meiryo UI"/>
      <family val="3"/>
      <charset val="128"/>
    </font>
    <font>
      <sz val="9"/>
      <color rgb="FF174EA6"/>
      <name val="Meiryo UI"/>
      <family val="3"/>
      <charset val="128"/>
    </font>
    <font>
      <b/>
      <sz val="12"/>
      <color rgb="FF1F4B5E"/>
      <name val="Meiryo UI"/>
      <family val="3"/>
      <charset val="128"/>
    </font>
    <font>
      <u/>
      <sz val="9"/>
      <color rgb="FF174EA6"/>
      <name val="Meiryo UI"/>
      <family val="3"/>
      <charset val="128"/>
    </font>
    <font>
      <u/>
      <sz val="9"/>
      <color rgb="FF267348"/>
      <name val="Meiryo UI"/>
      <family val="3"/>
      <charset val="128"/>
    </font>
    <font>
      <sz val="10"/>
      <color rgb="FF2761AE"/>
      <name val="Meiryo UI"/>
      <family val="3"/>
      <charset val="128"/>
    </font>
    <font>
      <sz val="10"/>
      <color rgb="FF647580"/>
      <name val="Meiryo UI"/>
      <family val="3"/>
      <charset val="128"/>
    </font>
    <font>
      <sz val="10"/>
      <color rgb="FF000000"/>
      <name val="Meiryo UI"/>
      <family val="3"/>
      <charset val="128"/>
    </font>
    <font>
      <sz val="6"/>
      <name val="ＭＳ Ｐゴシック"/>
      <family val="3"/>
      <charset val="128"/>
      <scheme val="minor"/>
    </font>
  </fonts>
  <fills count="15">
    <fill>
      <patternFill patternType="none"/>
    </fill>
    <fill>
      <patternFill patternType="gray125"/>
    </fill>
    <fill>
      <patternFill patternType="solid">
        <fgColor rgb="FF1F4B5E"/>
      </patternFill>
    </fill>
    <fill>
      <patternFill patternType="solid">
        <fgColor rgb="FFE8EFF5"/>
      </patternFill>
    </fill>
    <fill>
      <patternFill patternType="solid">
        <fgColor rgb="FFFFF9E7"/>
      </patternFill>
    </fill>
    <fill>
      <patternFill patternType="solid">
        <fgColor rgb="FFF5F8FA"/>
      </patternFill>
    </fill>
    <fill>
      <patternFill patternType="solid">
        <fgColor rgb="FFDBE9EF"/>
      </patternFill>
    </fill>
    <fill>
      <patternFill patternType="solid">
        <fgColor rgb="FFEDF3F7"/>
      </patternFill>
    </fill>
    <fill>
      <patternFill patternType="solid">
        <fgColor rgb="FFEEF5EF"/>
      </patternFill>
    </fill>
    <fill>
      <patternFill patternType="solid">
        <fgColor rgb="FFF2EDF7"/>
      </patternFill>
    </fill>
    <fill>
      <patternFill patternType="solid">
        <fgColor rgb="FFFFF4E4"/>
      </patternFill>
    </fill>
    <fill>
      <patternFill patternType="solid">
        <fgColor rgb="FFEAF4F2"/>
      </patternFill>
    </fill>
    <fill>
      <patternFill patternType="solid">
        <fgColor rgb="FFF5EEEE"/>
      </patternFill>
    </fill>
    <fill>
      <patternFill patternType="solid">
        <fgColor rgb="FFFFF9E6"/>
      </patternFill>
    </fill>
    <fill>
      <patternFill patternType="solid">
        <fgColor rgb="FFF1F5F8"/>
      </patternFill>
    </fill>
  </fills>
  <borders count="4">
    <border>
      <left/>
      <right/>
      <top/>
      <bottom/>
      <diagonal/>
    </border>
    <border>
      <left style="thin">
        <color rgb="FFC8D2DA"/>
      </left>
      <right style="thin">
        <color rgb="FFC8D2DA"/>
      </right>
      <top style="thin">
        <color rgb="FFC8D2DA"/>
      </top>
      <bottom style="thin">
        <color rgb="FFC8D2DA"/>
      </bottom>
      <diagonal/>
    </border>
    <border>
      <left/>
      <right/>
      <top/>
      <bottom style="hair">
        <color rgb="FFD8E2E7"/>
      </bottom>
      <diagonal/>
    </border>
    <border>
      <left style="thin">
        <color rgb="FFC8D2DA"/>
      </left>
      <right/>
      <top style="thin">
        <color rgb="FFC8D2DA"/>
      </top>
      <bottom style="thin">
        <color rgb="FFC8D2DA"/>
      </bottom>
      <diagonal/>
    </border>
  </borders>
  <cellStyleXfs count="1">
    <xf numFmtId="0" fontId="0" fillId="0" borderId="0"/>
  </cellStyleXfs>
  <cellXfs count="53">
    <xf numFmtId="0" fontId="0" fillId="0" borderId="0" xfId="0"/>
    <xf numFmtId="0" fontId="3" fillId="2" borderId="1" xfId="0" applyFont="1" applyFill="1" applyBorder="1" applyAlignment="1">
      <alignment vertical="center"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176" fontId="5" fillId="4" borderId="2" xfId="0" applyNumberFormat="1" applyFont="1" applyFill="1" applyBorder="1" applyAlignment="1">
      <alignment vertical="top" wrapText="1"/>
    </xf>
    <xf numFmtId="0" fontId="5" fillId="4" borderId="2" xfId="0" applyFont="1" applyFill="1" applyBorder="1" applyAlignment="1">
      <alignment vertical="top" wrapText="1"/>
    </xf>
    <xf numFmtId="0" fontId="4" fillId="0" borderId="0" xfId="0" applyFont="1"/>
    <xf numFmtId="0" fontId="7" fillId="3" borderId="2" xfId="0" applyFont="1" applyFill="1" applyBorder="1" applyAlignment="1">
      <alignment vertical="top" wrapText="1"/>
    </xf>
    <xf numFmtId="0" fontId="7" fillId="5" borderId="2" xfId="0" applyFont="1" applyFill="1" applyBorder="1" applyAlignment="1">
      <alignment vertical="top" wrapText="1"/>
    </xf>
    <xf numFmtId="0" fontId="4" fillId="7" borderId="2" xfId="0" applyFont="1" applyFill="1" applyBorder="1" applyAlignment="1">
      <alignment vertical="top" wrapText="1"/>
    </xf>
    <xf numFmtId="0" fontId="4" fillId="8" borderId="2" xfId="0" applyFont="1" applyFill="1" applyBorder="1" applyAlignment="1">
      <alignment vertical="top" wrapText="1"/>
    </xf>
    <xf numFmtId="0" fontId="4" fillId="9" borderId="2" xfId="0" applyFont="1" applyFill="1" applyBorder="1" applyAlignment="1">
      <alignment vertical="top" wrapText="1"/>
    </xf>
    <xf numFmtId="0" fontId="4" fillId="10" borderId="2" xfId="0" applyFont="1" applyFill="1" applyBorder="1" applyAlignment="1">
      <alignment vertical="top" wrapText="1"/>
    </xf>
    <xf numFmtId="0" fontId="4" fillId="11" borderId="2" xfId="0" applyFont="1" applyFill="1" applyBorder="1" applyAlignment="1">
      <alignment vertical="top" wrapText="1"/>
    </xf>
    <xf numFmtId="0" fontId="4" fillId="12" borderId="2" xfId="0" applyFont="1" applyFill="1" applyBorder="1" applyAlignment="1">
      <alignment vertical="top" wrapText="1"/>
    </xf>
    <xf numFmtId="178" fontId="5" fillId="4" borderId="2" xfId="0" applyNumberFormat="1" applyFont="1" applyFill="1" applyBorder="1" applyAlignment="1">
      <alignment vertical="top" wrapText="1"/>
    </xf>
    <xf numFmtId="179" fontId="5" fillId="4" borderId="2" xfId="0" applyNumberFormat="1" applyFont="1" applyFill="1" applyBorder="1" applyAlignment="1">
      <alignment vertical="top" wrapText="1"/>
    </xf>
    <xf numFmtId="181" fontId="5" fillId="4" borderId="2" xfId="0" applyNumberFormat="1" applyFont="1" applyFill="1" applyBorder="1" applyAlignment="1">
      <alignment vertical="top" wrapText="1"/>
    </xf>
    <xf numFmtId="182" fontId="5" fillId="4" borderId="2" xfId="0" applyNumberFormat="1" applyFont="1" applyFill="1" applyBorder="1" applyAlignment="1">
      <alignment vertical="top" wrapText="1"/>
    </xf>
    <xf numFmtId="176" fontId="4" fillId="3" borderId="2" xfId="0" applyNumberFormat="1" applyFont="1" applyFill="1" applyBorder="1" applyAlignment="1">
      <alignment vertical="top" wrapText="1"/>
    </xf>
    <xf numFmtId="176" fontId="4" fillId="5" borderId="2" xfId="0" applyNumberFormat="1" applyFont="1" applyFill="1" applyBorder="1" applyAlignment="1">
      <alignment vertical="top" wrapText="1"/>
    </xf>
    <xf numFmtId="0" fontId="8" fillId="5" borderId="2" xfId="0" applyFont="1" applyFill="1" applyBorder="1" applyAlignment="1">
      <alignment vertical="top" wrapText="1"/>
    </xf>
    <xf numFmtId="0" fontId="8" fillId="3" borderId="2" xfId="0" applyFont="1" applyFill="1" applyBorder="1" applyAlignment="1">
      <alignment vertical="top" wrapText="1"/>
    </xf>
    <xf numFmtId="3" fontId="5" fillId="4" borderId="2" xfId="0" applyNumberFormat="1" applyFont="1" applyFill="1" applyBorder="1" applyAlignment="1">
      <alignment vertical="top" wrapText="1"/>
    </xf>
    <xf numFmtId="0" fontId="11" fillId="3" borderId="2" xfId="0" applyFont="1" applyFill="1" applyBorder="1" applyAlignment="1">
      <alignment vertical="top" wrapText="1"/>
    </xf>
    <xf numFmtId="0" fontId="11" fillId="5" borderId="2" xfId="0" applyFont="1" applyFill="1" applyBorder="1" applyAlignment="1">
      <alignment vertical="top" wrapText="1"/>
    </xf>
    <xf numFmtId="177" fontId="11" fillId="5" borderId="2" xfId="0" applyNumberFormat="1" applyFont="1" applyFill="1" applyBorder="1" applyAlignment="1">
      <alignment vertical="top" wrapText="1"/>
    </xf>
    <xf numFmtId="0" fontId="11" fillId="14" borderId="2" xfId="0" applyFont="1" applyFill="1" applyBorder="1" applyAlignment="1">
      <alignment vertical="top" wrapText="1"/>
    </xf>
    <xf numFmtId="0" fontId="9" fillId="13" borderId="2" xfId="0" applyFont="1" applyFill="1" applyBorder="1" applyAlignment="1" applyProtection="1">
      <alignment vertical="top" wrapText="1"/>
      <protection locked="0"/>
    </xf>
    <xf numFmtId="0" fontId="6" fillId="0" borderId="0" xfId="0" applyFont="1"/>
    <xf numFmtId="178" fontId="11" fillId="3" borderId="2" xfId="0" applyNumberFormat="1" applyFont="1" applyFill="1" applyBorder="1" applyAlignment="1">
      <alignment vertical="top" wrapText="1"/>
    </xf>
    <xf numFmtId="176" fontId="9" fillId="13" borderId="2" xfId="0" applyNumberFormat="1" applyFont="1" applyFill="1" applyBorder="1" applyAlignment="1" applyProtection="1">
      <alignment vertical="top" wrapText="1"/>
      <protection locked="0"/>
    </xf>
    <xf numFmtId="178" fontId="11" fillId="5" borderId="2" xfId="0" applyNumberFormat="1" applyFont="1" applyFill="1" applyBorder="1" applyAlignment="1">
      <alignment vertical="top" wrapText="1"/>
    </xf>
    <xf numFmtId="182" fontId="9" fillId="13" borderId="2" xfId="0" applyNumberFormat="1" applyFont="1" applyFill="1" applyBorder="1" applyAlignment="1" applyProtection="1">
      <alignment vertical="top" wrapText="1"/>
      <protection locked="0"/>
    </xf>
    <xf numFmtId="179" fontId="11" fillId="3" borderId="2" xfId="0" applyNumberFormat="1" applyFont="1" applyFill="1" applyBorder="1" applyAlignment="1">
      <alignment vertical="top" wrapText="1"/>
    </xf>
    <xf numFmtId="179" fontId="11" fillId="5" borderId="2" xfId="0" applyNumberFormat="1" applyFont="1" applyFill="1" applyBorder="1" applyAlignment="1">
      <alignment vertical="top" wrapText="1"/>
    </xf>
    <xf numFmtId="181" fontId="11" fillId="3" borderId="2" xfId="0" applyNumberFormat="1" applyFont="1" applyFill="1" applyBorder="1" applyAlignment="1">
      <alignment vertical="top" wrapText="1"/>
    </xf>
    <xf numFmtId="181" fontId="11" fillId="5" borderId="2" xfId="0" applyNumberFormat="1" applyFont="1" applyFill="1" applyBorder="1" applyAlignment="1">
      <alignment vertical="top" wrapText="1"/>
    </xf>
    <xf numFmtId="181" fontId="9" fillId="13" borderId="2" xfId="0" applyNumberFormat="1" applyFont="1" applyFill="1" applyBorder="1" applyAlignment="1" applyProtection="1">
      <alignment vertical="top" wrapText="1"/>
      <protection locked="0"/>
    </xf>
    <xf numFmtId="180" fontId="11" fillId="3" borderId="2" xfId="0" applyNumberFormat="1" applyFont="1" applyFill="1" applyBorder="1" applyAlignment="1">
      <alignment vertical="top" wrapText="1"/>
    </xf>
    <xf numFmtId="183" fontId="11" fillId="14" borderId="2" xfId="0" applyNumberFormat="1" applyFont="1" applyFill="1" applyBorder="1" applyAlignment="1">
      <alignment vertical="top" wrapText="1"/>
    </xf>
    <xf numFmtId="180" fontId="11" fillId="5" borderId="2" xfId="0" applyNumberFormat="1" applyFont="1" applyFill="1" applyBorder="1" applyAlignment="1">
      <alignment vertical="top" wrapText="1"/>
    </xf>
    <xf numFmtId="0" fontId="10" fillId="14" borderId="2" xfId="0" applyFont="1" applyFill="1" applyBorder="1" applyAlignment="1" applyProtection="1">
      <alignment vertical="top" wrapText="1"/>
      <protection locked="0"/>
    </xf>
    <xf numFmtId="0" fontId="1" fillId="0" borderId="0" xfId="0" applyFont="1"/>
    <xf numFmtId="0" fontId="0" fillId="0" borderId="0" xfId="0"/>
    <xf numFmtId="0" fontId="6" fillId="6" borderId="0" xfId="0" applyFont="1" applyFill="1" applyAlignment="1">
      <alignment vertical="center" wrapText="1"/>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0" fontId="3" fillId="2" borderId="3" xfId="0" applyFont="1" applyFill="1" applyBorder="1" applyAlignment="1">
      <alignment vertical="center" wrapText="1"/>
    </xf>
    <xf numFmtId="0" fontId="0" fillId="0" borderId="0" xfId="0" applyBorder="1"/>
    <xf numFmtId="0" fontId="4" fillId="0" borderId="0" xfId="0" applyFont="1" applyFill="1" applyBorder="1" applyAlignment="1">
      <alignment vertical="top" wrapText="1"/>
    </xf>
  </cellXfs>
  <cellStyles count="1">
    <cellStyle name="標準" xfId="0" builtinId="0"/>
  </cellStyles>
  <dxfs count="74">
    <dxf>
      <fill>
        <patternFill patternType="solid">
          <fgColor rgb="FFFCE4D6"/>
        </patternFill>
      </fill>
    </dxf>
    <dxf>
      <fill>
        <patternFill patternType="solid">
          <fgColor rgb="FFFCE4D6"/>
        </patternFill>
      </fill>
    </dxf>
    <dxf>
      <fill>
        <patternFill patternType="solid">
          <fgColor rgb="FFFCE4D6"/>
        </patternFill>
      </fill>
    </dxf>
    <dxf>
      <fill>
        <patternFill patternType="solid">
          <fgColor rgb="FFFCE4D6"/>
        </patternFill>
      </fill>
    </dxf>
    <dxf>
      <fill>
        <patternFill patternType="solid">
          <fgColor rgb="FFFCE4D6"/>
        </patternFill>
      </fill>
    </dxf>
    <dxf>
      <fill>
        <patternFill patternType="solid">
          <fgColor rgb="FFFCE4D6"/>
        </patternFill>
      </fill>
    </dxf>
    <dxf>
      <fill>
        <patternFill patternType="solid">
          <fgColor rgb="FFFFF0D7"/>
        </patternFill>
      </fill>
    </dxf>
    <dxf>
      <fill>
        <patternFill patternType="solid">
          <fgColor rgb="FFFCE8E6"/>
        </patternFill>
      </fill>
    </dxf>
    <dxf>
      <fill>
        <patternFill patternType="solid">
          <fgColor rgb="FFFFF0D7"/>
        </patternFill>
      </fill>
    </dxf>
    <dxf>
      <fill>
        <patternFill patternType="solid">
          <fgColor rgb="FFFFF0D7"/>
        </patternFill>
      </fill>
    </dxf>
    <dxf>
      <fill>
        <patternFill patternType="solid">
          <fgColor rgb="FFFCE8E6"/>
        </patternFill>
      </fill>
    </dxf>
    <dxf>
      <fill>
        <patternFill patternType="solid">
          <fgColor rgb="FFFCE8E6"/>
        </patternFill>
      </fill>
    </dxf>
    <dxf>
      <fill>
        <patternFill patternType="solid">
          <fgColor rgb="FFFCE4D6"/>
        </patternFill>
      </fill>
    </dxf>
    <dxf>
      <fill>
        <patternFill patternType="solid">
          <fgColor rgb="FFFCE4D6"/>
        </patternFill>
      </fill>
    </dxf>
    <dxf>
      <fill>
        <patternFill patternType="solid">
          <fgColor rgb="FFFFF0D7"/>
        </patternFill>
      </fill>
    </dxf>
    <dxf>
      <fill>
        <patternFill patternType="solid">
          <fgColor rgb="FFFCE8E6"/>
        </patternFill>
      </fill>
    </dxf>
    <dxf>
      <fill>
        <patternFill patternType="solid">
          <fgColor rgb="FFFFF0D7"/>
        </patternFill>
      </fill>
    </dxf>
    <dxf>
      <fill>
        <patternFill patternType="solid">
          <fgColor rgb="FFFFF0D7"/>
        </patternFill>
      </fill>
    </dxf>
    <dxf>
      <fill>
        <patternFill patternType="solid">
          <fgColor rgb="FFFCE8E6"/>
        </patternFill>
      </fill>
    </dxf>
    <dxf>
      <fill>
        <patternFill patternType="solid">
          <fgColor rgb="FFFCE8E6"/>
        </patternFill>
      </fill>
    </dxf>
    <dxf>
      <fill>
        <patternFill patternType="solid">
          <fgColor rgb="FFFFF0D7"/>
        </patternFill>
      </fill>
    </dxf>
    <dxf>
      <fill>
        <patternFill patternType="solid">
          <fgColor rgb="FFFCE8E6"/>
        </patternFill>
      </fill>
    </dxf>
    <dxf>
      <fill>
        <patternFill patternType="solid">
          <fgColor rgb="FFFFF0D7"/>
        </patternFill>
      </fill>
    </dxf>
    <dxf>
      <fill>
        <patternFill patternType="solid">
          <fgColor rgb="FFFFF0D7"/>
        </patternFill>
      </fill>
    </dxf>
    <dxf>
      <fill>
        <patternFill patternType="solid">
          <fgColor rgb="FFFCE8E6"/>
        </patternFill>
      </fill>
    </dxf>
    <dxf>
      <fill>
        <patternFill patternType="solid">
          <fgColor rgb="FFFCE8E6"/>
        </patternFill>
      </fill>
    </dxf>
    <dxf>
      <fill>
        <patternFill patternType="solid">
          <fgColor rgb="FFFCE4D6"/>
        </patternFill>
      </fill>
    </dxf>
    <dxf>
      <fill>
        <patternFill patternType="solid">
          <fgColor rgb="FFFFF0D7"/>
        </patternFill>
      </fill>
    </dxf>
    <dxf>
      <fill>
        <patternFill patternType="solid">
          <fgColor rgb="FFFCE8E6"/>
        </patternFill>
      </fill>
    </dxf>
    <dxf>
      <fill>
        <patternFill patternType="solid">
          <fgColor rgb="FFFFF0D7"/>
        </patternFill>
      </fill>
    </dxf>
    <dxf>
      <fill>
        <patternFill patternType="solid">
          <fgColor rgb="FFFFF0D7"/>
        </patternFill>
      </fill>
    </dxf>
    <dxf>
      <fill>
        <patternFill patternType="solid">
          <fgColor rgb="FFFCE8E6"/>
        </patternFill>
      </fill>
    </dxf>
    <dxf>
      <fill>
        <patternFill patternType="solid">
          <fgColor rgb="FFFCE8E6"/>
        </patternFill>
      </fill>
    </dxf>
    <dxf>
      <fill>
        <patternFill patternType="solid">
          <fgColor rgb="FFFFF0D7"/>
        </patternFill>
      </fill>
    </dxf>
    <dxf>
      <fill>
        <patternFill patternType="solid">
          <fgColor rgb="FFFCE8E6"/>
        </patternFill>
      </fill>
    </dxf>
    <dxf>
      <fill>
        <patternFill patternType="solid">
          <fgColor rgb="FFFFF0D7"/>
        </patternFill>
      </fill>
    </dxf>
    <dxf>
      <fill>
        <patternFill patternType="solid">
          <fgColor rgb="FFFFF0D7"/>
        </patternFill>
      </fill>
    </dxf>
    <dxf>
      <fill>
        <patternFill patternType="solid">
          <fgColor rgb="FFFCE8E6"/>
        </patternFill>
      </fill>
    </dxf>
    <dxf>
      <fill>
        <patternFill patternType="solid">
          <fgColor rgb="FFFCE8E6"/>
        </patternFill>
      </fill>
    </dxf>
    <dxf>
      <fill>
        <patternFill patternType="solid">
          <fgColor rgb="FFFCE4D6"/>
        </patternFill>
      </fill>
    </dxf>
    <dxf>
      <fill>
        <patternFill patternType="solid">
          <fgColor rgb="FFFCE4D6"/>
        </patternFill>
      </fill>
    </dxf>
    <dxf>
      <fill>
        <patternFill patternType="solid">
          <fgColor rgb="FFFFF0D7"/>
        </patternFill>
      </fill>
    </dxf>
    <dxf>
      <fill>
        <patternFill patternType="solid">
          <fgColor rgb="FFFCE8E6"/>
        </patternFill>
      </fill>
    </dxf>
    <dxf>
      <fill>
        <patternFill patternType="solid">
          <fgColor rgb="FFFFF0D7"/>
        </patternFill>
      </fill>
    </dxf>
    <dxf>
      <fill>
        <patternFill patternType="solid">
          <fgColor rgb="FFFFF0D7"/>
        </patternFill>
      </fill>
    </dxf>
    <dxf>
      <fill>
        <patternFill patternType="solid">
          <fgColor rgb="FFFCE8E6"/>
        </patternFill>
      </fill>
    </dxf>
    <dxf>
      <fill>
        <patternFill patternType="solid">
          <fgColor rgb="FFFCE8E6"/>
        </patternFill>
      </fill>
    </dxf>
    <dxf>
      <fill>
        <patternFill patternType="solid">
          <fgColor rgb="FFFFF0D7"/>
        </patternFill>
      </fill>
    </dxf>
    <dxf>
      <fill>
        <patternFill patternType="solid">
          <fgColor rgb="FFFCE8E6"/>
        </patternFill>
      </fill>
    </dxf>
    <dxf>
      <fill>
        <patternFill patternType="solid">
          <fgColor rgb="FFFFF0D7"/>
        </patternFill>
      </fill>
    </dxf>
    <dxf>
      <fill>
        <patternFill patternType="solid">
          <fgColor rgb="FFFFF0D7"/>
        </patternFill>
      </fill>
    </dxf>
    <dxf>
      <fill>
        <patternFill patternType="solid">
          <fgColor rgb="FFFCE8E6"/>
        </patternFill>
      </fill>
    </dxf>
    <dxf>
      <fill>
        <patternFill patternType="solid">
          <fgColor rgb="FFFCE8E6"/>
        </patternFill>
      </fill>
    </dxf>
    <dxf>
      <fill>
        <patternFill patternType="solid">
          <fgColor rgb="FFFFF0D7"/>
        </patternFill>
      </fill>
    </dxf>
    <dxf>
      <fill>
        <patternFill patternType="solid">
          <fgColor rgb="FFFCE8E6"/>
        </patternFill>
      </fill>
    </dxf>
    <dxf>
      <fill>
        <patternFill patternType="solid">
          <fgColor rgb="FFFFF0D7"/>
        </patternFill>
      </fill>
    </dxf>
    <dxf>
      <fill>
        <patternFill patternType="solid">
          <fgColor rgb="FFFFF0D7"/>
        </patternFill>
      </fill>
    </dxf>
    <dxf>
      <fill>
        <patternFill patternType="solid">
          <fgColor rgb="FFFCE8E6"/>
        </patternFill>
      </fill>
    </dxf>
    <dxf>
      <fill>
        <patternFill patternType="solid">
          <fgColor rgb="FFFCE8E6"/>
        </patternFill>
      </fill>
    </dxf>
    <dxf>
      <fill>
        <patternFill patternType="solid">
          <fgColor rgb="FFFCE4D6"/>
        </patternFill>
      </fill>
    </dxf>
    <dxf>
      <fill>
        <patternFill patternType="solid">
          <fgColor rgb="FFFCE4D6"/>
        </patternFill>
      </fill>
    </dxf>
    <dxf>
      <fill>
        <patternFill patternType="solid">
          <fgColor rgb="FFFFF0D7"/>
        </patternFill>
      </fill>
    </dxf>
    <dxf>
      <fill>
        <patternFill patternType="solid">
          <fgColor rgb="FFFCE8E6"/>
        </patternFill>
      </fill>
    </dxf>
    <dxf>
      <fill>
        <patternFill patternType="solid">
          <fgColor rgb="FFFFF0D7"/>
        </patternFill>
      </fill>
    </dxf>
    <dxf>
      <fill>
        <patternFill patternType="solid">
          <fgColor rgb="FFFFF0D7"/>
        </patternFill>
      </fill>
    </dxf>
    <dxf>
      <fill>
        <patternFill patternType="solid">
          <fgColor rgb="FFFCE8E6"/>
        </patternFill>
      </fill>
    </dxf>
    <dxf>
      <fill>
        <patternFill patternType="solid">
          <fgColor rgb="FFFCE8E6"/>
        </patternFill>
      </fill>
    </dxf>
    <dxf>
      <fill>
        <patternFill patternType="solid">
          <fgColor rgb="FFFCE4D6"/>
        </patternFill>
      </fill>
    </dxf>
    <dxf>
      <fill>
        <patternFill patternType="solid">
          <fgColor rgb="FFFFF0D7"/>
        </patternFill>
      </fill>
    </dxf>
    <dxf>
      <fill>
        <patternFill patternType="solid">
          <fgColor rgb="FFFCE8E6"/>
        </patternFill>
      </fill>
    </dxf>
    <dxf>
      <fill>
        <patternFill patternType="solid">
          <fgColor rgb="FFFFF0D7"/>
        </patternFill>
      </fill>
    </dxf>
    <dxf>
      <fill>
        <patternFill patternType="solid">
          <fgColor rgb="FFFFF0D7"/>
        </patternFill>
      </fill>
    </dxf>
    <dxf>
      <fill>
        <patternFill patternType="solid">
          <fgColor rgb="FFFCE8E6"/>
        </patternFill>
      </fill>
    </dxf>
    <dxf>
      <fill>
        <patternFill patternType="solid">
          <fgColor rgb="FFFCE8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5.xml.rels><?xml version="1.0" encoding="UTF-8" standalone="yes"?>
<Relationships xmlns="http://schemas.openxmlformats.org/package/2006/relationships"><Relationship Id="rId8" Type="http://schemas.openxmlformats.org/officeDocument/2006/relationships/hyperlink" Target="https://dora.dev/ai/roi/calculator/" TargetMode="External"/><Relationship Id="rId13" Type="http://schemas.openxmlformats.org/officeDocument/2006/relationships/hyperlink" Target="https://genai.owasp.org/resource/agent-control-standard-acs/" TargetMode="External"/><Relationship Id="rId18" Type="http://schemas.openxmlformats.org/officeDocument/2006/relationships/hyperlink" Target="https://atlas.mitre.org/" TargetMode="External"/><Relationship Id="rId3" Type="http://schemas.openxmlformats.org/officeDocument/2006/relationships/hyperlink" Target="https://www.ppc.go.jp/personalinfo/legal/guidelines_offshore/" TargetMode="External"/><Relationship Id="rId7" Type="http://schemas.openxmlformats.org/officeDocument/2006/relationships/hyperlink" Target="https://metr.org/blog/2026-02-24-uplift-update/" TargetMode="External"/><Relationship Id="rId12" Type="http://schemas.openxmlformats.org/officeDocument/2006/relationships/hyperlink" Target="https://genai.owasp.org/resource/a-practical-guide-for-secure-mcp-server-development/" TargetMode="External"/><Relationship Id="rId17" Type="http://schemas.openxmlformats.org/officeDocument/2006/relationships/hyperlink" Target="https://genai.owasp.org/resource/owasp-genai-llm-top-10-2026/" TargetMode="External"/><Relationship Id="rId2" Type="http://schemas.openxmlformats.org/officeDocument/2006/relationships/hyperlink" Target="https://www.ppc.go.jp/personalinfo/legal/guidelines_anonymous/" TargetMode="External"/><Relationship Id="rId16" Type="http://schemas.openxmlformats.org/officeDocument/2006/relationships/hyperlink" Target="https://www.iso.org/standard/42001" TargetMode="External"/><Relationship Id="rId1" Type="http://schemas.openxmlformats.org/officeDocument/2006/relationships/hyperlink" Target="https://www.meti.go.jp/shingikai/mono_info_service/ai_shakai_jisso/" TargetMode="External"/><Relationship Id="rId6" Type="http://schemas.openxmlformats.org/officeDocument/2006/relationships/hyperlink" Target="https://openai.com/index/harness-engineering/" TargetMode="External"/><Relationship Id="rId11" Type="http://schemas.openxmlformats.org/officeDocument/2006/relationships/hyperlink" Target="https://csrc.nist.gov/pubs/sp/800/218/a/final" TargetMode="External"/><Relationship Id="rId5" Type="http://schemas.openxmlformats.org/officeDocument/2006/relationships/hyperlink" Target="https://www.anthropic.com/engineering/demystifying-evals-for-ai-agents" TargetMode="External"/><Relationship Id="rId15" Type="http://schemas.openxmlformats.org/officeDocument/2006/relationships/hyperlink" Target="https://digital-strategy.ec.europa.eu/en/news/ai-omnibus-enters-force" TargetMode="External"/><Relationship Id="rId10" Type="http://schemas.openxmlformats.org/officeDocument/2006/relationships/hyperlink" Target="https://www.nist.gov/publications/artificial-intelligence-risk-management-framework-generative-artificial-intelligence" TargetMode="External"/><Relationship Id="rId4" Type="http://schemas.openxmlformats.org/officeDocument/2006/relationships/hyperlink" Target="https://www.anthropic.com/engineering/building-effective-agents" TargetMode="External"/><Relationship Id="rId9" Type="http://schemas.openxmlformats.org/officeDocument/2006/relationships/hyperlink" Target="https://www.anthropic.com/engineering/effective-harnesses-for-long-running-agents" TargetMode="External"/><Relationship Id="rId14" Type="http://schemas.openxmlformats.org/officeDocument/2006/relationships/hyperlink" Target="https://agentskills.io/specification" TargetMode="External"/></Relationships>
</file>

<file path=xl/worksheets/_rels/sheet2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B5E"/>
    <outlinePr summaryRight="0"/>
    <pageSetUpPr fitToPage="1"/>
  </sheetPr>
  <dimension ref="A1:C88"/>
  <sheetViews>
    <sheetView showGridLines="0" zoomScale="85" workbookViewId="0">
      <pane xSplit="1" ySplit="3" topLeftCell="B46" activePane="bottomRight" state="frozen"/>
      <selection pane="topRight"/>
      <selection pane="bottomLeft"/>
      <selection pane="bottomRight" activeCell="B3" sqref="B3"/>
    </sheetView>
  </sheetViews>
  <sheetFormatPr defaultRowHeight="13" x14ac:dyDescent="0.2"/>
  <cols>
    <col min="1" max="1" width="31" customWidth="1"/>
    <col min="2" max="2" width="55.90625" customWidth="1"/>
    <col min="3" max="3" width="80" customWidth="1"/>
  </cols>
  <sheetData>
    <row r="1" spans="1:3" ht="34" customHeight="1" x14ac:dyDescent="0.55000000000000004">
      <c r="A1" s="44" t="s">
        <v>0</v>
      </c>
      <c r="B1" s="45"/>
      <c r="C1" s="45"/>
    </row>
    <row r="2" spans="1:3" ht="43" customHeight="1" x14ac:dyDescent="0.2">
      <c r="A2" s="47" t="s">
        <v>1</v>
      </c>
      <c r="B2" s="45"/>
      <c r="C2" s="45"/>
    </row>
    <row r="3" spans="1:3" ht="34" customHeight="1" x14ac:dyDescent="0.2">
      <c r="A3" s="1" t="s">
        <v>2</v>
      </c>
      <c r="B3" s="1" t="s">
        <v>3</v>
      </c>
      <c r="C3" s="1" t="s">
        <v>4</v>
      </c>
    </row>
    <row r="4" spans="1:3" ht="38" customHeight="1" x14ac:dyDescent="0.2">
      <c r="A4" s="2" t="s">
        <v>5</v>
      </c>
      <c r="B4" s="3" t="s">
        <v>6</v>
      </c>
      <c r="C4" s="2" t="s">
        <v>7</v>
      </c>
    </row>
    <row r="5" spans="1:3" ht="38" customHeight="1" x14ac:dyDescent="0.2">
      <c r="A5" s="4" t="s">
        <v>8</v>
      </c>
      <c r="B5" s="5">
        <v>46271</v>
      </c>
      <c r="C5" s="4" t="s">
        <v>9</v>
      </c>
    </row>
    <row r="6" spans="1:3" ht="38" customHeight="1" x14ac:dyDescent="0.2">
      <c r="A6" s="2" t="s">
        <v>10</v>
      </c>
      <c r="B6" s="6"/>
      <c r="C6" s="2" t="s">
        <v>11</v>
      </c>
    </row>
    <row r="7" spans="1:3" ht="38" customHeight="1" x14ac:dyDescent="0.2">
      <c r="A7" s="4" t="s">
        <v>12</v>
      </c>
      <c r="B7" s="6"/>
      <c r="C7" s="4" t="s">
        <v>13</v>
      </c>
    </row>
    <row r="8" spans="1:3" ht="38" customHeight="1" x14ac:dyDescent="0.2">
      <c r="A8" s="2" t="s">
        <v>14</v>
      </c>
      <c r="B8" s="6"/>
      <c r="C8" s="2" t="s">
        <v>15</v>
      </c>
    </row>
    <row r="9" spans="1:3" ht="38" customHeight="1" x14ac:dyDescent="0.2">
      <c r="A9" s="4" t="s">
        <v>16</v>
      </c>
      <c r="B9" s="6"/>
      <c r="C9" s="4" t="s">
        <v>17</v>
      </c>
    </row>
    <row r="10" spans="1:3" ht="38" customHeight="1" x14ac:dyDescent="0.2">
      <c r="A10" s="2" t="s">
        <v>18</v>
      </c>
      <c r="B10" s="6"/>
      <c r="C10" s="2" t="s">
        <v>19</v>
      </c>
    </row>
    <row r="11" spans="1:3" ht="38" customHeight="1" x14ac:dyDescent="0.2">
      <c r="A11" s="4" t="s">
        <v>20</v>
      </c>
      <c r="B11" s="6"/>
      <c r="C11" s="4" t="s">
        <v>21</v>
      </c>
    </row>
    <row r="12" spans="1:3" ht="38" customHeight="1" x14ac:dyDescent="0.2">
      <c r="A12" s="2" t="s">
        <v>22</v>
      </c>
      <c r="B12" s="6"/>
      <c r="C12" s="2" t="s">
        <v>23</v>
      </c>
    </row>
    <row r="13" spans="1:3" ht="38" customHeight="1" x14ac:dyDescent="0.2">
      <c r="A13" s="4" t="s">
        <v>24</v>
      </c>
      <c r="B13" s="6"/>
      <c r="C13" s="4" t="s">
        <v>25</v>
      </c>
    </row>
    <row r="14" spans="1:3" ht="38" customHeight="1" x14ac:dyDescent="0.2">
      <c r="A14" s="2" t="s">
        <v>26</v>
      </c>
      <c r="B14" s="6"/>
      <c r="C14" s="2" t="s">
        <v>27</v>
      </c>
    </row>
    <row r="15" spans="1:3" ht="38" customHeight="1" x14ac:dyDescent="0.2">
      <c r="A15" s="4" t="s">
        <v>28</v>
      </c>
      <c r="B15" s="6"/>
      <c r="C15" s="4" t="s">
        <v>29</v>
      </c>
    </row>
    <row r="16" spans="1:3" ht="38" customHeight="1" x14ac:dyDescent="0.2">
      <c r="A16" s="2" t="s">
        <v>30</v>
      </c>
      <c r="B16" s="6"/>
      <c r="C16" s="2" t="s">
        <v>31</v>
      </c>
    </row>
    <row r="17" spans="1:3" ht="38" customHeight="1" x14ac:dyDescent="0.2">
      <c r="A17" s="4" t="s">
        <v>32</v>
      </c>
      <c r="B17" s="6"/>
      <c r="C17" s="4" t="s">
        <v>33</v>
      </c>
    </row>
    <row r="18" spans="1:3" ht="38" customHeight="1" x14ac:dyDescent="0.2">
      <c r="A18" s="2" t="s">
        <v>34</v>
      </c>
      <c r="B18" s="6"/>
      <c r="C18" s="2" t="s">
        <v>35</v>
      </c>
    </row>
    <row r="19" spans="1:3" ht="38" customHeight="1" x14ac:dyDescent="0.2">
      <c r="A19" s="4" t="s">
        <v>36</v>
      </c>
      <c r="B19" s="6"/>
      <c r="C19" s="4" t="s">
        <v>37</v>
      </c>
    </row>
    <row r="20" spans="1:3" ht="38" customHeight="1" x14ac:dyDescent="0.2">
      <c r="A20" s="2" t="s">
        <v>38</v>
      </c>
      <c r="B20" s="6" t="s">
        <v>39</v>
      </c>
      <c r="C20" s="2" t="s">
        <v>40</v>
      </c>
    </row>
    <row r="21" spans="1:3" ht="38" customHeight="1" x14ac:dyDescent="0.2">
      <c r="A21" s="4" t="s">
        <v>41</v>
      </c>
      <c r="B21" s="3" t="s">
        <v>42</v>
      </c>
      <c r="C21" s="4" t="s">
        <v>43</v>
      </c>
    </row>
    <row r="22" spans="1:3" ht="38" customHeight="1" x14ac:dyDescent="0.2">
      <c r="A22" s="2" t="s">
        <v>44</v>
      </c>
      <c r="B22" s="3" t="s">
        <v>45</v>
      </c>
      <c r="C22" s="2" t="s">
        <v>46</v>
      </c>
    </row>
    <row r="23" spans="1:3" ht="38" customHeight="1" x14ac:dyDescent="0.2">
      <c r="A23" s="4" t="s">
        <v>47</v>
      </c>
      <c r="B23" s="3" t="s">
        <v>48</v>
      </c>
      <c r="C23" s="4" t="s">
        <v>49</v>
      </c>
    </row>
    <row r="24" spans="1:3" ht="38" customHeight="1" x14ac:dyDescent="0.2">
      <c r="A24" s="2" t="s">
        <v>50</v>
      </c>
      <c r="B24" s="3" t="s">
        <v>51</v>
      </c>
      <c r="C24" s="2" t="s">
        <v>52</v>
      </c>
    </row>
    <row r="25" spans="1:3" ht="38" customHeight="1" x14ac:dyDescent="0.2">
      <c r="A25" s="4" t="s">
        <v>53</v>
      </c>
      <c r="B25" s="3" t="s">
        <v>54</v>
      </c>
      <c r="C25" s="4" t="s">
        <v>55</v>
      </c>
    </row>
    <row r="26" spans="1:3" ht="38" customHeight="1" x14ac:dyDescent="0.2">
      <c r="A26" s="2" t="s">
        <v>56</v>
      </c>
      <c r="B26" s="3" t="s">
        <v>57</v>
      </c>
      <c r="C26" s="2" t="s">
        <v>58</v>
      </c>
    </row>
    <row r="27" spans="1:3" ht="38" customHeight="1" x14ac:dyDescent="0.2">
      <c r="A27" s="4" t="s">
        <v>59</v>
      </c>
      <c r="B27" s="3" t="s">
        <v>60</v>
      </c>
      <c r="C27" s="4" t="s">
        <v>61</v>
      </c>
    </row>
    <row r="28" spans="1:3" ht="38" customHeight="1" x14ac:dyDescent="0.2">
      <c r="A28" s="2" t="s">
        <v>62</v>
      </c>
      <c r="B28" s="3" t="s">
        <v>63</v>
      </c>
      <c r="C28" s="2" t="s">
        <v>64</v>
      </c>
    </row>
    <row r="29" spans="1:3" ht="38" customHeight="1" x14ac:dyDescent="0.2">
      <c r="A29" s="4" t="s">
        <v>65</v>
      </c>
      <c r="B29" s="3" t="s">
        <v>66</v>
      </c>
      <c r="C29" s="4" t="s">
        <v>67</v>
      </c>
    </row>
    <row r="30" spans="1:3" ht="38" customHeight="1" x14ac:dyDescent="0.2">
      <c r="A30" s="2" t="s">
        <v>68</v>
      </c>
      <c r="B30" s="3" t="s">
        <v>69</v>
      </c>
      <c r="C30" s="2" t="s">
        <v>70</v>
      </c>
    </row>
    <row r="31" spans="1:3" ht="14" x14ac:dyDescent="0.3">
      <c r="B31" s="7"/>
    </row>
    <row r="34" spans="1:3" ht="30" customHeight="1" x14ac:dyDescent="0.2">
      <c r="A34" s="46" t="s">
        <v>71</v>
      </c>
      <c r="B34" s="45"/>
      <c r="C34" s="45"/>
    </row>
    <row r="35" spans="1:3" ht="32" customHeight="1" x14ac:dyDescent="0.2">
      <c r="A35" s="1" t="s">
        <v>72</v>
      </c>
      <c r="B35" s="1" t="s">
        <v>73</v>
      </c>
      <c r="C35" s="1" t="s">
        <v>74</v>
      </c>
    </row>
    <row r="36" spans="1:3" ht="38" customHeight="1" x14ac:dyDescent="0.2">
      <c r="A36" s="2" t="s">
        <v>75</v>
      </c>
      <c r="B36" s="25">
        <f>COUNTA('02_工程タスク'!A4:A135)</f>
        <v>132</v>
      </c>
      <c r="C36" s="2" t="s">
        <v>76</v>
      </c>
    </row>
    <row r="37" spans="1:3" ht="38" customHeight="1" x14ac:dyDescent="0.2">
      <c r="A37" s="4" t="s">
        <v>77</v>
      </c>
      <c r="B37" s="26">
        <f>COUNTA('07_スキル辞書'!A4:A109)</f>
        <v>106</v>
      </c>
      <c r="C37" s="4" t="s">
        <v>78</v>
      </c>
    </row>
    <row r="38" spans="1:3" ht="38" customHeight="1" x14ac:dyDescent="0.2">
      <c r="A38" s="2" t="s">
        <v>79</v>
      </c>
      <c r="B38" s="25">
        <f>COUNTIF('17_ロードマップ・案件実行管理'!E4:E135,"未判定")</f>
        <v>132</v>
      </c>
      <c r="C38" s="2" t="s">
        <v>80</v>
      </c>
    </row>
    <row r="39" spans="1:3" ht="38" customHeight="1" x14ac:dyDescent="0.2">
      <c r="A39" s="4" t="s">
        <v>81</v>
      </c>
      <c r="B39" s="26">
        <f>COUNTIF('17_ロードマップ・案件実行管理'!E4:E135,"適用")</f>
        <v>0</v>
      </c>
      <c r="C39" s="4" t="s">
        <v>82</v>
      </c>
    </row>
    <row r="40" spans="1:3" ht="38" customHeight="1" x14ac:dyDescent="0.2">
      <c r="A40" s="2" t="s">
        <v>83</v>
      </c>
      <c r="B40" s="25">
        <f>SUM('17_ロードマップ・案件実行管理'!AA4:AA135)</f>
        <v>0</v>
      </c>
      <c r="C40" s="2" t="s">
        <v>84</v>
      </c>
    </row>
    <row r="41" spans="1:3" ht="38" customHeight="1" x14ac:dyDescent="0.2">
      <c r="A41" s="4" t="s">
        <v>85</v>
      </c>
      <c r="B41" s="27" t="str">
        <f>IF(B39=0,"",B40/B39)</f>
        <v/>
      </c>
      <c r="C41" s="4" t="s">
        <v>86</v>
      </c>
    </row>
    <row r="42" spans="1:3" ht="38" customHeight="1" x14ac:dyDescent="0.2">
      <c r="A42" s="2" t="s">
        <v>87</v>
      </c>
      <c r="B42" s="25" t="str">
        <f>IF(COUNT('17_ロードマップ・案件実行管理'!P4:P135)=0,"",SUM('17_ロードマップ・案件実行管理'!P4:P135))</f>
        <v/>
      </c>
      <c r="C42" s="2" t="s">
        <v>88</v>
      </c>
    </row>
    <row r="45" spans="1:3" ht="30" customHeight="1" x14ac:dyDescent="0.2">
      <c r="A45" s="46" t="s">
        <v>89</v>
      </c>
      <c r="B45" s="45"/>
      <c r="C45" s="45"/>
    </row>
    <row r="46" spans="1:3" ht="32" customHeight="1" x14ac:dyDescent="0.2">
      <c r="A46" s="1" t="s">
        <v>90</v>
      </c>
      <c r="B46" s="1" t="s">
        <v>91</v>
      </c>
      <c r="C46" s="1" t="s">
        <v>92</v>
      </c>
    </row>
    <row r="47" spans="1:3" ht="38" customHeight="1" x14ac:dyDescent="0.2">
      <c r="A47" s="8" t="s">
        <v>93</v>
      </c>
      <c r="B47" s="2" t="s">
        <v>94</v>
      </c>
      <c r="C47" s="2" t="s">
        <v>95</v>
      </c>
    </row>
    <row r="48" spans="1:3" ht="38" customHeight="1" x14ac:dyDescent="0.2">
      <c r="A48" s="9" t="s">
        <v>96</v>
      </c>
      <c r="B48" s="4" t="s">
        <v>94</v>
      </c>
      <c r="C48" s="4" t="s">
        <v>95</v>
      </c>
    </row>
    <row r="49" spans="1:3" ht="38" customHeight="1" x14ac:dyDescent="0.2">
      <c r="A49" s="8" t="s">
        <v>97</v>
      </c>
      <c r="B49" s="2" t="s">
        <v>94</v>
      </c>
      <c r="C49" s="2" t="s">
        <v>95</v>
      </c>
    </row>
    <row r="50" spans="1:3" ht="38" customHeight="1" x14ac:dyDescent="0.2">
      <c r="A50" s="9" t="s">
        <v>98</v>
      </c>
      <c r="B50" s="4" t="s">
        <v>94</v>
      </c>
      <c r="C50" s="4" t="s">
        <v>95</v>
      </c>
    </row>
    <row r="51" spans="1:3" ht="38" customHeight="1" x14ac:dyDescent="0.2">
      <c r="A51" s="8" t="s">
        <v>99</v>
      </c>
      <c r="B51" s="2" t="s">
        <v>94</v>
      </c>
      <c r="C51" s="2" t="s">
        <v>95</v>
      </c>
    </row>
    <row r="52" spans="1:3" ht="38" customHeight="1" x14ac:dyDescent="0.2">
      <c r="A52" s="9" t="s">
        <v>100</v>
      </c>
      <c r="B52" s="4" t="s">
        <v>94</v>
      </c>
      <c r="C52" s="4" t="s">
        <v>95</v>
      </c>
    </row>
    <row r="53" spans="1:3" ht="38" customHeight="1" x14ac:dyDescent="0.2">
      <c r="A53" s="8" t="s">
        <v>101</v>
      </c>
      <c r="B53" s="2" t="s">
        <v>94</v>
      </c>
      <c r="C53" s="2" t="s">
        <v>95</v>
      </c>
    </row>
    <row r="54" spans="1:3" ht="38" customHeight="1" x14ac:dyDescent="0.2">
      <c r="A54" s="9" t="s">
        <v>102</v>
      </c>
      <c r="B54" s="4" t="s">
        <v>94</v>
      </c>
      <c r="C54" s="4" t="s">
        <v>95</v>
      </c>
    </row>
    <row r="55" spans="1:3" ht="38" customHeight="1" x14ac:dyDescent="0.2">
      <c r="A55" s="8" t="s">
        <v>103</v>
      </c>
      <c r="B55" s="2" t="s">
        <v>94</v>
      </c>
      <c r="C55" s="2" t="s">
        <v>95</v>
      </c>
    </row>
    <row r="56" spans="1:3" ht="38" customHeight="1" x14ac:dyDescent="0.2">
      <c r="A56" s="9" t="s">
        <v>104</v>
      </c>
      <c r="B56" s="4" t="s">
        <v>94</v>
      </c>
      <c r="C56" s="4" t="s">
        <v>95</v>
      </c>
    </row>
    <row r="57" spans="1:3" ht="38" customHeight="1" x14ac:dyDescent="0.2">
      <c r="A57" s="8" t="s">
        <v>105</v>
      </c>
      <c r="B57" s="2" t="s">
        <v>94</v>
      </c>
      <c r="C57" s="2" t="s">
        <v>95</v>
      </c>
    </row>
    <row r="58" spans="1:3" ht="38" customHeight="1" x14ac:dyDescent="0.2">
      <c r="A58" s="9" t="s">
        <v>106</v>
      </c>
      <c r="B58" s="4" t="s">
        <v>94</v>
      </c>
      <c r="C58" s="4" t="s">
        <v>95</v>
      </c>
    </row>
    <row r="59" spans="1:3" ht="38" customHeight="1" x14ac:dyDescent="0.2">
      <c r="A59" s="8" t="s">
        <v>107</v>
      </c>
      <c r="B59" s="2" t="s">
        <v>94</v>
      </c>
      <c r="C59" s="2" t="s">
        <v>95</v>
      </c>
    </row>
    <row r="60" spans="1:3" ht="38" customHeight="1" x14ac:dyDescent="0.2">
      <c r="A60" s="9" t="s">
        <v>108</v>
      </c>
      <c r="B60" s="4" t="s">
        <v>94</v>
      </c>
      <c r="C60" s="4" t="s">
        <v>95</v>
      </c>
    </row>
    <row r="61" spans="1:3" ht="38" customHeight="1" x14ac:dyDescent="0.2">
      <c r="A61" s="8" t="s">
        <v>109</v>
      </c>
      <c r="B61" s="2" t="s">
        <v>94</v>
      </c>
      <c r="C61" s="2" t="s">
        <v>95</v>
      </c>
    </row>
    <row r="62" spans="1:3" ht="38" customHeight="1" x14ac:dyDescent="0.2">
      <c r="A62" s="9" t="s">
        <v>110</v>
      </c>
      <c r="B62" s="4" t="s">
        <v>94</v>
      </c>
      <c r="C62" s="4" t="s">
        <v>95</v>
      </c>
    </row>
    <row r="63" spans="1:3" ht="38" customHeight="1" x14ac:dyDescent="0.2">
      <c r="A63" s="8" t="s">
        <v>111</v>
      </c>
      <c r="B63" s="2" t="s">
        <v>94</v>
      </c>
      <c r="C63" s="2" t="s">
        <v>95</v>
      </c>
    </row>
    <row r="64" spans="1:3" ht="38" customHeight="1" x14ac:dyDescent="0.2">
      <c r="A64" s="9" t="s">
        <v>112</v>
      </c>
      <c r="B64" s="4" t="s">
        <v>94</v>
      </c>
      <c r="C64" s="4" t="s">
        <v>95</v>
      </c>
    </row>
    <row r="65" spans="1:3" ht="38" customHeight="1" x14ac:dyDescent="0.2">
      <c r="A65" s="8" t="s">
        <v>113</v>
      </c>
      <c r="B65" s="2" t="s">
        <v>94</v>
      </c>
      <c r="C65" s="2" t="s">
        <v>95</v>
      </c>
    </row>
    <row r="66" spans="1:3" ht="38" customHeight="1" x14ac:dyDescent="0.2">
      <c r="A66" s="9" t="s">
        <v>114</v>
      </c>
      <c r="B66" s="4" t="s">
        <v>94</v>
      </c>
      <c r="C66" s="4" t="s">
        <v>95</v>
      </c>
    </row>
    <row r="67" spans="1:3" ht="38" customHeight="1" x14ac:dyDescent="0.2">
      <c r="A67" s="8" t="s">
        <v>115</v>
      </c>
      <c r="B67" s="2" t="s">
        <v>94</v>
      </c>
      <c r="C67" s="2" t="s">
        <v>95</v>
      </c>
    </row>
    <row r="68" spans="1:3" ht="38" customHeight="1" x14ac:dyDescent="0.2">
      <c r="A68" s="9" t="s">
        <v>116</v>
      </c>
      <c r="B68" s="4" t="s">
        <v>94</v>
      </c>
      <c r="C68" s="4" t="s">
        <v>95</v>
      </c>
    </row>
    <row r="69" spans="1:3" ht="38" customHeight="1" x14ac:dyDescent="0.2">
      <c r="A69" s="8" t="s">
        <v>117</v>
      </c>
      <c r="B69" s="2" t="s">
        <v>94</v>
      </c>
      <c r="C69" s="2" t="s">
        <v>95</v>
      </c>
    </row>
    <row r="70" spans="1:3" ht="38" customHeight="1" x14ac:dyDescent="0.2">
      <c r="A70" s="9" t="s">
        <v>118</v>
      </c>
      <c r="B70" s="4" t="s">
        <v>94</v>
      </c>
      <c r="C70" s="4" t="s">
        <v>95</v>
      </c>
    </row>
    <row r="71" spans="1:3" ht="38" customHeight="1" x14ac:dyDescent="0.2">
      <c r="A71" s="8" t="s">
        <v>119</v>
      </c>
      <c r="B71" s="2" t="s">
        <v>94</v>
      </c>
      <c r="C71" s="2" t="s">
        <v>95</v>
      </c>
    </row>
    <row r="72" spans="1:3" ht="38" customHeight="1" x14ac:dyDescent="0.2">
      <c r="A72" s="9" t="s">
        <v>120</v>
      </c>
      <c r="B72" s="4" t="s">
        <v>94</v>
      </c>
      <c r="C72" s="4" t="s">
        <v>95</v>
      </c>
    </row>
    <row r="73" spans="1:3" ht="38" customHeight="1" x14ac:dyDescent="0.2">
      <c r="A73" s="8" t="s">
        <v>121</v>
      </c>
      <c r="B73" s="2" t="s">
        <v>94</v>
      </c>
      <c r="C73" s="2" t="s">
        <v>95</v>
      </c>
    </row>
    <row r="74" spans="1:3" ht="38" customHeight="1" x14ac:dyDescent="0.2">
      <c r="A74" s="9" t="s">
        <v>122</v>
      </c>
      <c r="B74" s="4" t="s">
        <v>94</v>
      </c>
      <c r="C74" s="4" t="s">
        <v>95</v>
      </c>
    </row>
    <row r="75" spans="1:3" ht="38" customHeight="1" x14ac:dyDescent="0.2">
      <c r="A75" s="8" t="s">
        <v>123</v>
      </c>
      <c r="B75" s="2" t="s">
        <v>94</v>
      </c>
      <c r="C75" s="2" t="s">
        <v>95</v>
      </c>
    </row>
    <row r="76" spans="1:3" ht="58" customHeight="1" x14ac:dyDescent="0.2">
      <c r="A76" s="8" t="s">
        <v>124</v>
      </c>
      <c r="B76" s="8" t="s">
        <v>125</v>
      </c>
      <c r="C76" s="8" t="s">
        <v>126</v>
      </c>
    </row>
    <row r="77" spans="1:3" ht="58" customHeight="1" x14ac:dyDescent="0.2">
      <c r="A77" s="8" t="s">
        <v>127</v>
      </c>
      <c r="B77" s="8" t="s">
        <v>128</v>
      </c>
      <c r="C77" s="8" t="s">
        <v>126</v>
      </c>
    </row>
    <row r="78" spans="1:3" ht="58" customHeight="1" x14ac:dyDescent="0.2">
      <c r="A78" s="8" t="s">
        <v>129</v>
      </c>
      <c r="B78" s="8" t="s">
        <v>130</v>
      </c>
      <c r="C78" s="8" t="s">
        <v>126</v>
      </c>
    </row>
    <row r="79" spans="1:3" ht="58" customHeight="1" x14ac:dyDescent="0.2">
      <c r="A79" s="8" t="s">
        <v>131</v>
      </c>
      <c r="B79" s="8" t="s">
        <v>132</v>
      </c>
      <c r="C79" s="8" t="s">
        <v>126</v>
      </c>
    </row>
    <row r="80" spans="1:3" ht="58" customHeight="1" x14ac:dyDescent="0.2">
      <c r="A80" s="8" t="s">
        <v>133</v>
      </c>
      <c r="B80" s="8" t="s">
        <v>134</v>
      </c>
      <c r="C80" s="8" t="s">
        <v>126</v>
      </c>
    </row>
    <row r="81" spans="1:3" ht="58" customHeight="1" x14ac:dyDescent="0.2">
      <c r="A81" s="8" t="s">
        <v>135</v>
      </c>
      <c r="B81" s="8" t="s">
        <v>136</v>
      </c>
      <c r="C81" s="8" t="s">
        <v>126</v>
      </c>
    </row>
    <row r="84" spans="1:3" ht="90" customHeight="1" x14ac:dyDescent="0.2">
      <c r="A84" s="28" t="s">
        <v>137</v>
      </c>
      <c r="B84" s="29" t="s">
        <v>138</v>
      </c>
      <c r="C84" s="28" t="s">
        <v>139</v>
      </c>
    </row>
    <row r="85" spans="1:3" ht="90" customHeight="1" x14ac:dyDescent="0.2">
      <c r="A85" s="28" t="s">
        <v>140</v>
      </c>
      <c r="B85" s="29"/>
      <c r="C85" s="28" t="s">
        <v>141</v>
      </c>
    </row>
    <row r="86" spans="1:3" ht="90" customHeight="1" x14ac:dyDescent="0.2">
      <c r="A86" s="28" t="s">
        <v>142</v>
      </c>
      <c r="B86" s="29"/>
      <c r="C86" s="28" t="s">
        <v>143</v>
      </c>
    </row>
    <row r="87" spans="1:3" ht="90" customHeight="1" x14ac:dyDescent="0.2">
      <c r="A87" s="28" t="s">
        <v>144</v>
      </c>
      <c r="B87" s="29" t="s">
        <v>145</v>
      </c>
      <c r="C87" s="28" t="s">
        <v>146</v>
      </c>
    </row>
    <row r="88" spans="1:3" ht="90" customHeight="1" x14ac:dyDescent="0.2">
      <c r="A88" s="28" t="s">
        <v>147</v>
      </c>
      <c r="B88" s="29" t="s">
        <v>148</v>
      </c>
      <c r="C88" s="28" t="s">
        <v>149</v>
      </c>
    </row>
  </sheetData>
  <autoFilter ref="A3:C30" xr:uid="{00000000-0009-0000-0000-000000000000}"/>
  <mergeCells count="4">
    <mergeCell ref="A1:C1"/>
    <mergeCell ref="A45:C45"/>
    <mergeCell ref="A2:C2"/>
    <mergeCell ref="A34:C34"/>
  </mergeCells>
  <phoneticPr fontId="12"/>
  <dataValidations count="3">
    <dataValidation type="date" allowBlank="1" showErrorMessage="1" error="日付形式で入力してください。" sqref="B5" xr:uid="{00000000-0002-0000-0000-000000000000}">
      <formula1>DATE(2000,1,1)</formula1>
      <formula2>DATE(2100,12,31)</formula2>
    </dataValidation>
    <dataValidation type="list" allowBlank="1" showErrorMessage="1" errorTitle="入力値を確認" error="選択肢から入力してください。" sqref="B7" xr:uid="{00000000-0002-0000-0000-000001000000}">
      <formula1>"B2B,B2C,社内事業,複合"</formula1>
    </dataValidation>
    <dataValidation type="list" allowBlank="1" showErrorMessage="1" errorTitle="入力値を確認" error="選択肢から入力してください。" sqref="B15" xr:uid="{00000000-0002-0000-0000-000002000000}">
      <formula1>"T0,T1,T2,T3,未確定"</formula1>
    </dataValidation>
  </dataValidations>
  <hyperlinks>
    <hyperlink ref="A47" location="'01_事業ライフサイクル・ゲート'!A1" display="01_事業ライフサイクル・ゲート" xr:uid="{00000000-0004-0000-0000-000000000000}"/>
    <hyperlink ref="A48" location="'02_工程タスク'!A1" display="02_工程タスク" xr:uid="{00000000-0004-0000-0000-000001000000}"/>
    <hyperlink ref="A49" location="'03_AIリスクTier・適用判定'!A1" display="03_AIリスクTier・適用判定" xr:uid="{00000000-0004-0000-0000-000002000000}"/>
    <hyperlink ref="A50" location="'04_規模・テーラリング'!A1" display="04_規模・テーラリング" xr:uid="{00000000-0004-0000-0000-000003000000}"/>
    <hyperlink ref="A51" location="'05_意思決定・RACI'!A1" display="05_意思決定・RACI" xr:uid="{00000000-0004-0000-0000-000004000000}"/>
    <hyperlink ref="A52" location="'06_ロール・要員計画'!A1" display="06_ロール・要員計画" xr:uid="{00000000-0004-0000-0000-000005000000}"/>
    <hyperlink ref="A53" location="'07_スキル辞書'!A1" display="07_スキル辞書" xr:uid="{00000000-0004-0000-0000-000006000000}"/>
    <hyperlink ref="A54" location="'08_タスク×ロール×スキル'!A1" display="08_タスク×ロール×スキル" xr:uid="{00000000-0004-0000-0000-000007000000}"/>
    <hyperlink ref="A55" location="'09_成果物・正本マップ'!A1" display="09_成果物・正本マップ" xr:uid="{00000000-0004-0000-0000-000008000000}"/>
    <hyperlink ref="A56" location="'10_データ台帳'!A1" display="10_データ台帳" xr:uid="{00000000-0004-0000-0000-000009000000}"/>
    <hyperlink ref="A57" location="'11_モデル・外部AI・ベンダー台帳'!A1" display="11_モデル・外部AI・ベンダー台帳" xr:uid="{00000000-0004-0000-0000-00000A000000}"/>
    <hyperlink ref="A58" location="'12_プライバシー・法令判定'!A1" display="12_プライバシー・法令判定" xr:uid="{00000000-0004-0000-0000-00000B000000}"/>
    <hyperlink ref="A59" location="'13_アーキテクチャ・ADR台帳'!A1" display="13_アーキテクチャ・ADR台帳" xr:uid="{00000000-0004-0000-0000-00000C000000}"/>
    <hyperlink ref="A60" location="'14_AI駆動開発・ハーネス標準'!A1" display="14_AI駆動開発・ハーネス標準" xr:uid="{00000000-0004-0000-0000-00000D000000}"/>
    <hyperlink ref="A61" location="'15_評価計画・品質ゲート'!A1" display="15_評価計画・品質ゲート" xr:uid="{00000000-0004-0000-0000-00000E000000}"/>
    <hyperlink ref="A62" location="'16_評価実績インデックス'!A1" display="16_評価実績インデックス" xr:uid="{00000000-0004-0000-0000-00000F000000}"/>
    <hyperlink ref="A63" location="'17_ロードマップ・案件実行管理'!A1" display="17_ロードマップ・案件実行管理" xr:uid="{00000000-0004-0000-0000-000010000000}"/>
    <hyperlink ref="A64" location="'18_見積・AI効果測定'!A1" display="18_見積・AI効果測定" xr:uid="{00000000-0004-0000-0000-000011000000}"/>
    <hyperlink ref="A65" location="'19_リスク・セキュリティ・例外'!A1" display="19_リスク・セキュリティ・例外" xr:uid="{00000000-0004-0000-0000-000012000000}"/>
    <hyperlink ref="A66" location="'20_リリース・変更・ロールバック'!A1" display="20_リリース・変更・ロールバック" xr:uid="{00000000-0004-0000-0000-000013000000}"/>
    <hyperlink ref="A67" location="'21_SLO・運用・インシデント'!A1" display="21_SLO・運用・インシデント" xr:uid="{00000000-0004-0000-0000-000014000000}"/>
    <hyperlink ref="A68" location="'22_廃止・移管・削除'!A1" display="22_廃止・移管・削除" xr:uid="{00000000-0004-0000-0000-000015000000}"/>
    <hyperlink ref="A69" location="'23_外部契約・調達'!A1" display="23_外部契約・調達" xr:uid="{00000000-0004-0000-0000-000016000000}"/>
    <hyperlink ref="A70" location="'24_調査ソース・変更履歴'!A1" display="24_調査ソース・変更履歴" xr:uid="{00000000-0004-0000-0000-000017000000}"/>
    <hyperlink ref="A71" location="'25_事業仮説・実験・GTM'!A1" display="25_事業仮説・実験・GTM" xr:uid="{00000000-0004-0000-0000-000018000000}"/>
    <hyperlink ref="A72" location="'26_事業KPI・投資収益'!A1" display="26_事業KPI・投資収益" xr:uid="{00000000-0004-0000-0000-000019000000}"/>
    <hyperlink ref="A73" location="'27_v3差分・適用注意'!A1" display="27_v3差分・適用注意" xr:uid="{00000000-0004-0000-0000-00001A000000}"/>
    <hyperlink ref="A74" location="'28_スキル評価・育成'!A1" display="28_スキル評価・育成" xr:uid="{00000000-0004-0000-0000-00001B000000}"/>
    <hyperlink ref="A75" location="'29_ゲート承認記録'!A1" display="29_ゲート承認記録" xr:uid="{00000000-0004-0000-0000-00001C000000}"/>
    <hyperlink ref="A76" location="'30_必須評価セット'!A1" display="30_必須評価セット" xr:uid="{00000000-0004-0000-0000-00001D000000}"/>
    <hyperlink ref="A77" location="'31_条件・有効性'!A1" display="31_条件・有効性" xr:uid="{00000000-0004-0000-0000-00001E000000}"/>
    <hyperlink ref="A78" location="'32_定義マスター'!A1" display="32_定義マスター" xr:uid="{00000000-0004-0000-0000-00001F000000}"/>
    <hyperlink ref="A79" location="'33_改訂対応・検証'!A1" display="33_改訂対応・検証" xr:uid="{00000000-0004-0000-0000-000020000000}"/>
    <hyperlink ref="A80" location="'34_Run・同期管理'!A1" display="34_Run・同期管理" xr:uid="{00000000-0004-0000-0000-000021000000}"/>
    <hyperlink ref="A81" location="'35_実名・能力割当'!A1" display="35_実名・能力割当" xr:uid="{00000000-0004-0000-0000-000022000000}"/>
  </hyperlinks>
  <pageMargins left="0.25" right="0.25" top="0.4" bottom="0.4" header="0.5" footer="0.5"/>
  <pageSetup paperSize="8" fitToHeight="0" orientation="landscape"/>
  <headerFooter>
    <oddFooter>&amp;CAI自社事業PJ v1.0 | &amp;A&amp;R&amp;P / &amp;N</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B5E"/>
    <outlinePr summaryRight="0"/>
    <pageSetUpPr fitToPage="1"/>
  </sheetPr>
  <dimension ref="A1:I19"/>
  <sheetViews>
    <sheetView showGridLines="0" tabSelected="1" zoomScale="85" workbookViewId="0">
      <pane xSplit="3" ySplit="3" topLeftCell="D4" activePane="bottomRight" state="frozen"/>
      <selection pane="topRight"/>
      <selection pane="bottomLeft"/>
      <selection pane="bottomRight" activeCell="D16" sqref="D16"/>
    </sheetView>
  </sheetViews>
  <sheetFormatPr defaultRowHeight="13" x14ac:dyDescent="0.2"/>
  <cols>
    <col min="1" max="1" width="10" customWidth="1"/>
    <col min="2" max="2" width="12" customWidth="1"/>
    <col min="3" max="3" width="55" customWidth="1"/>
    <col min="4" max="4" width="46" customWidth="1"/>
    <col min="5" max="5" width="17" customWidth="1"/>
    <col min="6" max="6" width="12" customWidth="1"/>
    <col min="7" max="7" width="61" customWidth="1"/>
    <col min="8" max="8" width="69" customWidth="1"/>
    <col min="9" max="9" width="17" customWidth="1"/>
  </cols>
  <sheetData>
    <row r="1" spans="1:9" ht="34" customHeight="1" x14ac:dyDescent="0.55000000000000004">
      <c r="A1" s="44" t="s">
        <v>150</v>
      </c>
      <c r="B1" s="45"/>
      <c r="C1" s="45"/>
      <c r="D1" s="45"/>
      <c r="E1" s="45"/>
      <c r="F1" s="45"/>
      <c r="G1" s="45"/>
    </row>
    <row r="2" spans="1:9" ht="43" customHeight="1" x14ac:dyDescent="0.2">
      <c r="A2" s="47" t="s">
        <v>151</v>
      </c>
      <c r="B2" s="45"/>
      <c r="C2" s="45"/>
      <c r="D2" s="45"/>
      <c r="E2" s="45"/>
      <c r="F2" s="45"/>
      <c r="G2" s="45"/>
      <c r="H2" s="45"/>
      <c r="I2" s="45"/>
    </row>
    <row r="3" spans="1:9" ht="34" customHeight="1" x14ac:dyDescent="0.2">
      <c r="A3" s="1" t="s">
        <v>152</v>
      </c>
      <c r="B3" s="1" t="s">
        <v>153</v>
      </c>
      <c r="C3" s="1" t="s">
        <v>154</v>
      </c>
      <c r="D3" s="1" t="s">
        <v>155</v>
      </c>
      <c r="E3" s="1" t="s">
        <v>156</v>
      </c>
      <c r="F3" s="1" t="s">
        <v>157</v>
      </c>
      <c r="G3" s="1" t="s">
        <v>158</v>
      </c>
      <c r="H3" s="1" t="s">
        <v>159</v>
      </c>
      <c r="I3" s="1" t="s">
        <v>160</v>
      </c>
    </row>
    <row r="4" spans="1:9" ht="38" customHeight="1" x14ac:dyDescent="0.2">
      <c r="A4" s="2" t="s">
        <v>161</v>
      </c>
      <c r="B4" s="2" t="s">
        <v>162</v>
      </c>
      <c r="C4" s="2" t="s">
        <v>163</v>
      </c>
      <c r="D4" s="2" t="s">
        <v>164</v>
      </c>
      <c r="E4" s="2" t="s">
        <v>165</v>
      </c>
      <c r="F4" s="2" t="s">
        <v>166</v>
      </c>
      <c r="G4" s="2" t="s">
        <v>167</v>
      </c>
      <c r="H4" s="2" t="s">
        <v>168</v>
      </c>
      <c r="I4" s="2" t="s">
        <v>169</v>
      </c>
    </row>
    <row r="5" spans="1:9" ht="38" customHeight="1" x14ac:dyDescent="0.2">
      <c r="A5" s="4" t="s">
        <v>170</v>
      </c>
      <c r="B5" s="4" t="s">
        <v>171</v>
      </c>
      <c r="C5" s="4" t="s">
        <v>172</v>
      </c>
      <c r="D5" s="4" t="s">
        <v>173</v>
      </c>
      <c r="E5" s="4" t="s">
        <v>174</v>
      </c>
      <c r="F5" s="4" t="s">
        <v>166</v>
      </c>
      <c r="G5" s="4" t="s">
        <v>175</v>
      </c>
      <c r="H5" s="4" t="s">
        <v>176</v>
      </c>
      <c r="I5" s="4" t="s">
        <v>169</v>
      </c>
    </row>
    <row r="6" spans="1:9" ht="38" customHeight="1" x14ac:dyDescent="0.2">
      <c r="A6" s="2" t="s">
        <v>177</v>
      </c>
      <c r="B6" s="2" t="s">
        <v>178</v>
      </c>
      <c r="C6" s="2" t="s">
        <v>179</v>
      </c>
      <c r="D6" s="2" t="s">
        <v>180</v>
      </c>
      <c r="E6" s="2" t="s">
        <v>181</v>
      </c>
      <c r="F6" s="2" t="s">
        <v>166</v>
      </c>
      <c r="G6" s="2" t="s">
        <v>182</v>
      </c>
      <c r="H6" s="2" t="s">
        <v>183</v>
      </c>
      <c r="I6" s="2" t="s">
        <v>169</v>
      </c>
    </row>
    <row r="7" spans="1:9" ht="38" customHeight="1" x14ac:dyDescent="0.2">
      <c r="A7" s="4" t="s">
        <v>184</v>
      </c>
      <c r="B7" s="4" t="s">
        <v>185</v>
      </c>
      <c r="C7" s="4" t="s">
        <v>186</v>
      </c>
      <c r="D7" s="4" t="s">
        <v>187</v>
      </c>
      <c r="E7" s="4" t="s">
        <v>188</v>
      </c>
      <c r="F7" s="4" t="s">
        <v>189</v>
      </c>
      <c r="G7" s="4" t="s">
        <v>190</v>
      </c>
      <c r="H7" s="4" t="s">
        <v>191</v>
      </c>
      <c r="I7" s="4" t="s">
        <v>169</v>
      </c>
    </row>
    <row r="8" spans="1:9" ht="38" customHeight="1" x14ac:dyDescent="0.2">
      <c r="A8" s="2" t="s">
        <v>192</v>
      </c>
      <c r="B8" s="2" t="s">
        <v>193</v>
      </c>
      <c r="C8" s="2" t="s">
        <v>194</v>
      </c>
      <c r="D8" s="2" t="s">
        <v>195</v>
      </c>
      <c r="E8" s="2" t="s">
        <v>196</v>
      </c>
      <c r="F8" s="2" t="s">
        <v>197</v>
      </c>
      <c r="G8" s="2" t="s">
        <v>198</v>
      </c>
      <c r="H8" s="2" t="s">
        <v>199</v>
      </c>
      <c r="I8" s="2" t="s">
        <v>169</v>
      </c>
    </row>
    <row r="9" spans="1:9" ht="38" customHeight="1" x14ac:dyDescent="0.2">
      <c r="A9" s="4" t="s">
        <v>200</v>
      </c>
      <c r="B9" s="4" t="s">
        <v>201</v>
      </c>
      <c r="C9" s="4" t="s">
        <v>202</v>
      </c>
      <c r="D9" s="4" t="s">
        <v>203</v>
      </c>
      <c r="E9" s="4" t="s">
        <v>204</v>
      </c>
      <c r="F9" s="4" t="s">
        <v>166</v>
      </c>
      <c r="G9" s="4" t="s">
        <v>205</v>
      </c>
      <c r="H9" s="4" t="s">
        <v>206</v>
      </c>
      <c r="I9" s="4" t="s">
        <v>169</v>
      </c>
    </row>
    <row r="10" spans="1:9" ht="38" customHeight="1" x14ac:dyDescent="0.2">
      <c r="A10" s="2" t="s">
        <v>207</v>
      </c>
      <c r="B10" s="2" t="s">
        <v>208</v>
      </c>
      <c r="C10" s="2" t="s">
        <v>209</v>
      </c>
      <c r="D10" s="2" t="s">
        <v>210</v>
      </c>
      <c r="E10" s="2" t="s">
        <v>211</v>
      </c>
      <c r="F10" s="2" t="s">
        <v>166</v>
      </c>
      <c r="G10" s="2" t="s">
        <v>212</v>
      </c>
      <c r="H10" s="2" t="s">
        <v>213</v>
      </c>
      <c r="I10" s="2" t="s">
        <v>169</v>
      </c>
    </row>
    <row r="13" spans="1:9" ht="30" customHeight="1" x14ac:dyDescent="0.2">
      <c r="A13" s="46" t="s">
        <v>214</v>
      </c>
      <c r="B13" s="45"/>
      <c r="C13" s="45"/>
      <c r="D13" s="45"/>
      <c r="E13" s="45"/>
      <c r="F13" s="51"/>
      <c r="G13" s="51"/>
      <c r="H13" s="51"/>
      <c r="I13" s="51"/>
    </row>
    <row r="14" spans="1:9" ht="32" customHeight="1" x14ac:dyDescent="0.2">
      <c r="A14" s="1" t="s">
        <v>215</v>
      </c>
      <c r="B14" s="1" t="s">
        <v>216</v>
      </c>
      <c r="C14" s="1" t="s">
        <v>217</v>
      </c>
      <c r="D14" s="1" t="s">
        <v>218</v>
      </c>
      <c r="E14" s="50" t="s">
        <v>219</v>
      </c>
      <c r="F14" s="51"/>
      <c r="G14" s="51"/>
      <c r="H14" s="51"/>
      <c r="I14" s="51"/>
    </row>
    <row r="15" spans="1:9" ht="49" customHeight="1" x14ac:dyDescent="0.2">
      <c r="A15" s="2" t="s">
        <v>220</v>
      </c>
      <c r="B15" s="2" t="s">
        <v>221</v>
      </c>
      <c r="C15" s="2" t="s">
        <v>222</v>
      </c>
      <c r="D15" s="2" t="s">
        <v>223</v>
      </c>
      <c r="E15" s="2" t="s">
        <v>224</v>
      </c>
      <c r="F15" s="52"/>
      <c r="G15" s="52"/>
      <c r="H15" s="52"/>
      <c r="I15" s="52"/>
    </row>
    <row r="16" spans="1:9" ht="61" customHeight="1" x14ac:dyDescent="0.2">
      <c r="A16" s="4" t="s">
        <v>225</v>
      </c>
      <c r="B16" s="4" t="s">
        <v>226</v>
      </c>
      <c r="C16" s="4" t="s">
        <v>227</v>
      </c>
      <c r="D16" s="4" t="s">
        <v>228</v>
      </c>
      <c r="E16" s="4" t="s">
        <v>229</v>
      </c>
      <c r="F16" s="52"/>
      <c r="G16" s="52"/>
      <c r="H16" s="52"/>
      <c r="I16" s="52"/>
    </row>
    <row r="17" spans="1:9" ht="38" customHeight="1" x14ac:dyDescent="0.2">
      <c r="A17" s="2" t="s">
        <v>230</v>
      </c>
      <c r="B17" s="2" t="s">
        <v>231</v>
      </c>
      <c r="C17" s="2" t="s">
        <v>232</v>
      </c>
      <c r="D17" s="2" t="s">
        <v>233</v>
      </c>
      <c r="E17" s="2" t="s">
        <v>234</v>
      </c>
      <c r="F17" s="52"/>
      <c r="G17" s="52"/>
      <c r="H17" s="52"/>
      <c r="I17" s="52"/>
    </row>
    <row r="18" spans="1:9" ht="49" customHeight="1" x14ac:dyDescent="0.2">
      <c r="A18" s="4" t="s">
        <v>235</v>
      </c>
      <c r="B18" s="4" t="s">
        <v>236</v>
      </c>
      <c r="C18" s="4" t="s">
        <v>237</v>
      </c>
      <c r="D18" s="4" t="s">
        <v>238</v>
      </c>
      <c r="E18" s="4" t="s">
        <v>239</v>
      </c>
      <c r="F18" s="52"/>
      <c r="G18" s="52"/>
      <c r="H18" s="52"/>
      <c r="I18" s="52"/>
    </row>
    <row r="19" spans="1:9" ht="49" customHeight="1" x14ac:dyDescent="0.2">
      <c r="A19" s="2" t="s">
        <v>240</v>
      </c>
      <c r="B19" s="2" t="s">
        <v>241</v>
      </c>
      <c r="C19" s="2" t="s">
        <v>242</v>
      </c>
      <c r="D19" s="2" t="s">
        <v>243</v>
      </c>
      <c r="E19" s="2" t="s">
        <v>244</v>
      </c>
      <c r="F19" s="52"/>
      <c r="G19" s="52"/>
      <c r="H19" s="52"/>
      <c r="I19" s="52"/>
    </row>
  </sheetData>
  <autoFilter ref="A3:I10" xr:uid="{00000000-0009-0000-0000-000001000000}"/>
  <mergeCells count="3">
    <mergeCell ref="A2:I2"/>
    <mergeCell ref="A1:G1"/>
    <mergeCell ref="A13:E13"/>
  </mergeCells>
  <phoneticPr fontId="12"/>
  <pageMargins left="0.25" right="0.25" top="0.4" bottom="0.4" header="0.5" footer="0.5"/>
  <pageSetup paperSize="8" fitToHeight="0" orientation="landscape"/>
  <headerFooter>
    <oddFooter>&amp;CAI自社事業PJ v1.0 | &amp;A&amp;R&amp;P / &amp;N</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B5E"/>
    <outlinePr summaryRight="0"/>
    <pageSetUpPr fitToPage="1"/>
  </sheetPr>
  <dimension ref="A1:U135"/>
  <sheetViews>
    <sheetView showGridLines="0" zoomScale="85" workbookViewId="0">
      <pane xSplit="4" ySplit="3" topLeftCell="E4" activePane="bottomRight" state="frozen"/>
      <selection pane="topRight"/>
      <selection pane="bottomLeft"/>
      <selection pane="bottomRight"/>
    </sheetView>
  </sheetViews>
  <sheetFormatPr defaultRowHeight="13" x14ac:dyDescent="0.2"/>
  <cols>
    <col min="1" max="1" width="12" customWidth="1"/>
    <col min="2" max="2" width="10" customWidth="1"/>
    <col min="3" max="3" width="18" customWidth="1"/>
    <col min="4" max="4" width="37" customWidth="1"/>
    <col min="5" max="5" width="72" customWidth="1"/>
    <col min="6" max="6" width="40" customWidth="1"/>
    <col min="7" max="7" width="25" customWidth="1"/>
    <col min="8" max="8" width="12" customWidth="1"/>
    <col min="9" max="9" width="60" customWidth="1"/>
    <col min="10" max="10" width="27" customWidth="1"/>
    <col min="11" max="13" width="8" customWidth="1"/>
    <col min="14" max="14" width="12" customWidth="1"/>
    <col min="15" max="15" width="42" customWidth="1"/>
    <col min="16" max="16" width="38" customWidth="1"/>
    <col min="17" max="17" width="65" customWidth="1"/>
    <col min="18" max="18" width="35" customWidth="1"/>
    <col min="19" max="19" width="31" customWidth="1"/>
    <col min="20" max="20" width="25" customWidth="1"/>
    <col min="21" max="21" width="80" customWidth="1"/>
  </cols>
  <sheetData>
    <row r="1" spans="1:21" ht="34" customHeight="1" x14ac:dyDescent="0.55000000000000004">
      <c r="A1" s="44" t="s">
        <v>245</v>
      </c>
      <c r="B1" s="45"/>
      <c r="C1" s="45"/>
      <c r="D1" s="45"/>
      <c r="E1" s="45"/>
      <c r="F1" s="45"/>
      <c r="G1" s="45"/>
    </row>
    <row r="2" spans="1:21" ht="43" customHeight="1" x14ac:dyDescent="0.2">
      <c r="A2" s="47" t="s">
        <v>246</v>
      </c>
      <c r="B2" s="45"/>
      <c r="C2" s="45"/>
      <c r="D2" s="45"/>
      <c r="E2" s="45"/>
      <c r="F2" s="45"/>
      <c r="G2" s="45"/>
      <c r="H2" s="45"/>
      <c r="I2" s="45"/>
    </row>
    <row r="3" spans="1:21" ht="34" customHeight="1" x14ac:dyDescent="0.2">
      <c r="A3" s="1" t="s">
        <v>247</v>
      </c>
      <c r="B3" s="1" t="s">
        <v>153</v>
      </c>
      <c r="C3" s="1" t="s">
        <v>248</v>
      </c>
      <c r="D3" s="1" t="s">
        <v>249</v>
      </c>
      <c r="E3" s="1" t="s">
        <v>250</v>
      </c>
      <c r="F3" s="1" t="s">
        <v>251</v>
      </c>
      <c r="G3" s="1" t="s">
        <v>252</v>
      </c>
      <c r="H3" s="1" t="s">
        <v>253</v>
      </c>
      <c r="I3" s="1" t="s">
        <v>254</v>
      </c>
      <c r="J3" s="1" t="s">
        <v>255</v>
      </c>
      <c r="K3" s="1" t="s">
        <v>256</v>
      </c>
      <c r="L3" s="1" t="s">
        <v>257</v>
      </c>
      <c r="M3" s="1" t="s">
        <v>258</v>
      </c>
      <c r="N3" s="1" t="s">
        <v>156</v>
      </c>
      <c r="O3" s="1" t="s">
        <v>259</v>
      </c>
      <c r="P3" s="1" t="s">
        <v>260</v>
      </c>
      <c r="Q3" s="1" t="s">
        <v>261</v>
      </c>
      <c r="R3" s="1" t="s">
        <v>262</v>
      </c>
      <c r="S3" s="1" t="s">
        <v>263</v>
      </c>
      <c r="T3" s="1" t="s">
        <v>264</v>
      </c>
      <c r="U3" s="1" t="s">
        <v>265</v>
      </c>
    </row>
    <row r="4" spans="1:21" ht="49" customHeight="1" x14ac:dyDescent="0.2">
      <c r="A4" s="2" t="s">
        <v>266</v>
      </c>
      <c r="B4" s="2" t="s">
        <v>162</v>
      </c>
      <c r="C4" s="2" t="s">
        <v>267</v>
      </c>
      <c r="D4" s="2" t="s">
        <v>268</v>
      </c>
      <c r="E4" s="2" t="s">
        <v>269</v>
      </c>
      <c r="F4" s="2" t="s">
        <v>270</v>
      </c>
      <c r="G4" s="2" t="s">
        <v>271</v>
      </c>
      <c r="H4" s="2" t="s">
        <v>166</v>
      </c>
      <c r="I4" s="2" t="s">
        <v>272</v>
      </c>
      <c r="J4" s="2" t="s">
        <v>273</v>
      </c>
      <c r="K4" s="2" t="s">
        <v>274</v>
      </c>
      <c r="L4" s="2" t="s">
        <v>274</v>
      </c>
      <c r="M4" s="2" t="s">
        <v>274</v>
      </c>
      <c r="N4" s="2" t="s">
        <v>165</v>
      </c>
      <c r="O4" s="2"/>
      <c r="P4" s="2" t="s">
        <v>275</v>
      </c>
      <c r="Q4" s="2" t="s">
        <v>276</v>
      </c>
      <c r="R4" s="2" t="s">
        <v>277</v>
      </c>
      <c r="S4" s="2" t="s">
        <v>278</v>
      </c>
      <c r="T4" s="2" t="s">
        <v>279</v>
      </c>
      <c r="U4" s="2"/>
    </row>
    <row r="5" spans="1:21" ht="38" customHeight="1" x14ac:dyDescent="0.2">
      <c r="A5" s="2" t="s">
        <v>280</v>
      </c>
      <c r="B5" s="2" t="s">
        <v>162</v>
      </c>
      <c r="C5" s="2" t="s">
        <v>281</v>
      </c>
      <c r="D5" s="2" t="s">
        <v>282</v>
      </c>
      <c r="E5" s="2" t="s">
        <v>283</v>
      </c>
      <c r="F5" s="2" t="s">
        <v>284</v>
      </c>
      <c r="G5" s="2" t="s">
        <v>285</v>
      </c>
      <c r="H5" s="2" t="s">
        <v>286</v>
      </c>
      <c r="I5" s="2" t="s">
        <v>287</v>
      </c>
      <c r="J5" s="2" t="s">
        <v>273</v>
      </c>
      <c r="K5" s="2" t="s">
        <v>274</v>
      </c>
      <c r="L5" s="2" t="s">
        <v>274</v>
      </c>
      <c r="M5" s="2" t="s">
        <v>274</v>
      </c>
      <c r="N5" s="2" t="s">
        <v>165</v>
      </c>
      <c r="O5" s="2" t="s">
        <v>266</v>
      </c>
      <c r="P5" s="2" t="s">
        <v>288</v>
      </c>
      <c r="Q5" s="2" t="s">
        <v>276</v>
      </c>
      <c r="R5" s="2" t="s">
        <v>289</v>
      </c>
      <c r="S5" s="2" t="s">
        <v>278</v>
      </c>
      <c r="T5" s="2" t="s">
        <v>290</v>
      </c>
      <c r="U5" s="2" t="s">
        <v>291</v>
      </c>
    </row>
    <row r="6" spans="1:21" ht="38" customHeight="1" x14ac:dyDescent="0.2">
      <c r="A6" s="2" t="s">
        <v>292</v>
      </c>
      <c r="B6" s="2" t="s">
        <v>162</v>
      </c>
      <c r="C6" s="2" t="s">
        <v>293</v>
      </c>
      <c r="D6" s="2" t="s">
        <v>294</v>
      </c>
      <c r="E6" s="2" t="s">
        <v>295</v>
      </c>
      <c r="F6" s="2" t="s">
        <v>296</v>
      </c>
      <c r="G6" s="2" t="s">
        <v>297</v>
      </c>
      <c r="H6" s="2" t="s">
        <v>286</v>
      </c>
      <c r="I6" s="2" t="s">
        <v>298</v>
      </c>
      <c r="J6" s="2" t="s">
        <v>273</v>
      </c>
      <c r="K6" s="2" t="s">
        <v>274</v>
      </c>
      <c r="L6" s="2" t="s">
        <v>274</v>
      </c>
      <c r="M6" s="2" t="s">
        <v>274</v>
      </c>
      <c r="N6" s="2" t="s">
        <v>165</v>
      </c>
      <c r="O6" s="2" t="s">
        <v>280</v>
      </c>
      <c r="P6" s="2" t="s">
        <v>299</v>
      </c>
      <c r="Q6" s="2" t="s">
        <v>276</v>
      </c>
      <c r="R6" s="2" t="s">
        <v>300</v>
      </c>
      <c r="S6" s="2" t="s">
        <v>278</v>
      </c>
      <c r="T6" s="2" t="s">
        <v>301</v>
      </c>
      <c r="U6" s="2"/>
    </row>
    <row r="7" spans="1:21" ht="38" customHeight="1" x14ac:dyDescent="0.2">
      <c r="A7" s="2" t="s">
        <v>302</v>
      </c>
      <c r="B7" s="2" t="s">
        <v>162</v>
      </c>
      <c r="C7" s="2" t="s">
        <v>293</v>
      </c>
      <c r="D7" s="2" t="s">
        <v>303</v>
      </c>
      <c r="E7" s="2" t="s">
        <v>304</v>
      </c>
      <c r="F7" s="2" t="s">
        <v>305</v>
      </c>
      <c r="G7" s="2" t="s">
        <v>306</v>
      </c>
      <c r="H7" s="2" t="s">
        <v>286</v>
      </c>
      <c r="I7" s="2" t="s">
        <v>307</v>
      </c>
      <c r="J7" s="2" t="s">
        <v>273</v>
      </c>
      <c r="K7" s="2" t="s">
        <v>274</v>
      </c>
      <c r="L7" s="2" t="s">
        <v>274</v>
      </c>
      <c r="M7" s="2" t="s">
        <v>274</v>
      </c>
      <c r="N7" s="2" t="s">
        <v>165</v>
      </c>
      <c r="O7" s="2" t="s">
        <v>292</v>
      </c>
      <c r="P7" s="2" t="s">
        <v>308</v>
      </c>
      <c r="Q7" s="2" t="s">
        <v>276</v>
      </c>
      <c r="R7" s="2" t="s">
        <v>309</v>
      </c>
      <c r="S7" s="2" t="s">
        <v>278</v>
      </c>
      <c r="T7" s="2" t="s">
        <v>301</v>
      </c>
      <c r="U7" s="2"/>
    </row>
    <row r="8" spans="1:21" ht="38" customHeight="1" x14ac:dyDescent="0.2">
      <c r="A8" s="2" t="s">
        <v>310</v>
      </c>
      <c r="B8" s="2" t="s">
        <v>162</v>
      </c>
      <c r="C8" s="2" t="s">
        <v>311</v>
      </c>
      <c r="D8" s="2" t="s">
        <v>312</v>
      </c>
      <c r="E8" s="2" t="s">
        <v>313</v>
      </c>
      <c r="F8" s="2" t="s">
        <v>314</v>
      </c>
      <c r="G8" s="2" t="s">
        <v>315</v>
      </c>
      <c r="H8" s="2" t="s">
        <v>166</v>
      </c>
      <c r="I8" s="2" t="s">
        <v>316</v>
      </c>
      <c r="J8" s="2" t="s">
        <v>273</v>
      </c>
      <c r="K8" s="2" t="s">
        <v>274</v>
      </c>
      <c r="L8" s="2" t="s">
        <v>274</v>
      </c>
      <c r="M8" s="2" t="s">
        <v>274</v>
      </c>
      <c r="N8" s="2" t="s">
        <v>165</v>
      </c>
      <c r="O8" s="2" t="s">
        <v>302</v>
      </c>
      <c r="P8" s="2" t="s">
        <v>317</v>
      </c>
      <c r="Q8" s="2" t="s">
        <v>276</v>
      </c>
      <c r="R8" s="2" t="s">
        <v>318</v>
      </c>
      <c r="S8" s="2" t="s">
        <v>278</v>
      </c>
      <c r="T8" s="2" t="s">
        <v>301</v>
      </c>
      <c r="U8" s="2"/>
    </row>
    <row r="9" spans="1:21" ht="38" customHeight="1" x14ac:dyDescent="0.2">
      <c r="A9" s="2" t="s">
        <v>319</v>
      </c>
      <c r="B9" s="2" t="s">
        <v>162</v>
      </c>
      <c r="C9" s="2" t="s">
        <v>320</v>
      </c>
      <c r="D9" s="2" t="s">
        <v>321</v>
      </c>
      <c r="E9" s="2" t="s">
        <v>322</v>
      </c>
      <c r="F9" s="2" t="s">
        <v>323</v>
      </c>
      <c r="G9" s="2" t="s">
        <v>324</v>
      </c>
      <c r="H9" s="2" t="s">
        <v>166</v>
      </c>
      <c r="I9" s="2" t="s">
        <v>325</v>
      </c>
      <c r="J9" s="2" t="s">
        <v>273</v>
      </c>
      <c r="K9" s="2" t="s">
        <v>274</v>
      </c>
      <c r="L9" s="2" t="s">
        <v>274</v>
      </c>
      <c r="M9" s="2" t="s">
        <v>274</v>
      </c>
      <c r="N9" s="2" t="s">
        <v>165</v>
      </c>
      <c r="O9" s="2" t="s">
        <v>310</v>
      </c>
      <c r="P9" s="2" t="s">
        <v>326</v>
      </c>
      <c r="Q9" s="2" t="s">
        <v>276</v>
      </c>
      <c r="R9" s="2" t="s">
        <v>327</v>
      </c>
      <c r="S9" s="2" t="s">
        <v>278</v>
      </c>
      <c r="T9" s="2" t="s">
        <v>328</v>
      </c>
      <c r="U9" s="2" t="s">
        <v>329</v>
      </c>
    </row>
    <row r="10" spans="1:21" ht="38" customHeight="1" x14ac:dyDescent="0.2">
      <c r="A10" s="2" t="s">
        <v>330</v>
      </c>
      <c r="B10" s="2" t="s">
        <v>162</v>
      </c>
      <c r="C10" s="2" t="s">
        <v>331</v>
      </c>
      <c r="D10" s="2" t="s">
        <v>332</v>
      </c>
      <c r="E10" s="2" t="s">
        <v>333</v>
      </c>
      <c r="F10" s="2" t="s">
        <v>334</v>
      </c>
      <c r="G10" s="2" t="s">
        <v>335</v>
      </c>
      <c r="H10" s="2" t="s">
        <v>336</v>
      </c>
      <c r="I10" s="2" t="s">
        <v>337</v>
      </c>
      <c r="J10" s="2" t="s">
        <v>273</v>
      </c>
      <c r="K10" s="2" t="s">
        <v>274</v>
      </c>
      <c r="L10" s="2" t="s">
        <v>274</v>
      </c>
      <c r="M10" s="2" t="s">
        <v>274</v>
      </c>
      <c r="N10" s="2" t="s">
        <v>165</v>
      </c>
      <c r="O10" s="2" t="s">
        <v>310</v>
      </c>
      <c r="P10" s="2" t="s">
        <v>338</v>
      </c>
      <c r="Q10" s="2" t="s">
        <v>276</v>
      </c>
      <c r="R10" s="2" t="s">
        <v>339</v>
      </c>
      <c r="S10" s="2" t="s">
        <v>278</v>
      </c>
      <c r="T10" s="2" t="s">
        <v>340</v>
      </c>
      <c r="U10" s="2" t="s">
        <v>341</v>
      </c>
    </row>
    <row r="11" spans="1:21" ht="49" customHeight="1" x14ac:dyDescent="0.2">
      <c r="A11" s="2" t="s">
        <v>342</v>
      </c>
      <c r="B11" s="2" t="s">
        <v>162</v>
      </c>
      <c r="C11" s="2" t="s">
        <v>343</v>
      </c>
      <c r="D11" s="2" t="s">
        <v>344</v>
      </c>
      <c r="E11" s="2" t="s">
        <v>345</v>
      </c>
      <c r="F11" s="2" t="s">
        <v>346</v>
      </c>
      <c r="G11" s="2" t="s">
        <v>347</v>
      </c>
      <c r="H11" s="2" t="s">
        <v>166</v>
      </c>
      <c r="I11" s="2" t="s">
        <v>348</v>
      </c>
      <c r="J11" s="2" t="s">
        <v>273</v>
      </c>
      <c r="K11" s="2" t="s">
        <v>274</v>
      </c>
      <c r="L11" s="2" t="s">
        <v>274</v>
      </c>
      <c r="M11" s="2" t="s">
        <v>274</v>
      </c>
      <c r="N11" s="2" t="s">
        <v>165</v>
      </c>
      <c r="O11" s="2" t="s">
        <v>349</v>
      </c>
      <c r="P11" s="2" t="s">
        <v>350</v>
      </c>
      <c r="Q11" s="2" t="s">
        <v>276</v>
      </c>
      <c r="R11" s="2" t="s">
        <v>351</v>
      </c>
      <c r="S11" s="2" t="s">
        <v>278</v>
      </c>
      <c r="T11" s="2" t="s">
        <v>352</v>
      </c>
      <c r="U11" s="2" t="s">
        <v>353</v>
      </c>
    </row>
    <row r="12" spans="1:21" ht="38" customHeight="1" x14ac:dyDescent="0.2">
      <c r="A12" s="2" t="s">
        <v>354</v>
      </c>
      <c r="B12" s="2" t="s">
        <v>162</v>
      </c>
      <c r="C12" s="2" t="s">
        <v>355</v>
      </c>
      <c r="D12" s="2" t="s">
        <v>356</v>
      </c>
      <c r="E12" s="2" t="s">
        <v>357</v>
      </c>
      <c r="F12" s="2" t="s">
        <v>358</v>
      </c>
      <c r="G12" s="2" t="s">
        <v>359</v>
      </c>
      <c r="H12" s="2" t="s">
        <v>166</v>
      </c>
      <c r="I12" s="2" t="s">
        <v>360</v>
      </c>
      <c r="J12" s="2" t="s">
        <v>273</v>
      </c>
      <c r="K12" s="2" t="s">
        <v>274</v>
      </c>
      <c r="L12" s="2" t="s">
        <v>274</v>
      </c>
      <c r="M12" s="2" t="s">
        <v>274</v>
      </c>
      <c r="N12" s="2" t="s">
        <v>165</v>
      </c>
      <c r="O12" s="2" t="s">
        <v>310</v>
      </c>
      <c r="P12" s="2" t="s">
        <v>361</v>
      </c>
      <c r="Q12" s="2" t="s">
        <v>276</v>
      </c>
      <c r="R12" s="2" t="s">
        <v>362</v>
      </c>
      <c r="S12" s="2" t="s">
        <v>278</v>
      </c>
      <c r="T12" s="2" t="s">
        <v>301</v>
      </c>
      <c r="U12" s="2"/>
    </row>
    <row r="13" spans="1:21" ht="38" customHeight="1" x14ac:dyDescent="0.2">
      <c r="A13" s="2" t="s">
        <v>363</v>
      </c>
      <c r="B13" s="2" t="s">
        <v>162</v>
      </c>
      <c r="C13" s="2" t="s">
        <v>364</v>
      </c>
      <c r="D13" s="2" t="s">
        <v>365</v>
      </c>
      <c r="E13" s="2" t="s">
        <v>366</v>
      </c>
      <c r="F13" s="2" t="s">
        <v>367</v>
      </c>
      <c r="G13" s="2" t="s">
        <v>368</v>
      </c>
      <c r="H13" s="2" t="s">
        <v>166</v>
      </c>
      <c r="I13" s="2" t="s">
        <v>369</v>
      </c>
      <c r="J13" s="2" t="s">
        <v>273</v>
      </c>
      <c r="K13" s="2" t="s">
        <v>274</v>
      </c>
      <c r="L13" s="2" t="s">
        <v>274</v>
      </c>
      <c r="M13" s="2" t="s">
        <v>274</v>
      </c>
      <c r="N13" s="2" t="s">
        <v>165</v>
      </c>
      <c r="O13" s="2" t="s">
        <v>370</v>
      </c>
      <c r="P13" s="2" t="s">
        <v>371</v>
      </c>
      <c r="Q13" s="2" t="s">
        <v>276</v>
      </c>
      <c r="R13" s="2" t="s">
        <v>372</v>
      </c>
      <c r="S13" s="2" t="s">
        <v>278</v>
      </c>
      <c r="T13" s="2" t="s">
        <v>373</v>
      </c>
      <c r="U13" s="2" t="s">
        <v>374</v>
      </c>
    </row>
    <row r="14" spans="1:21" ht="38" customHeight="1" x14ac:dyDescent="0.2">
      <c r="A14" s="2" t="s">
        <v>375</v>
      </c>
      <c r="B14" s="2" t="s">
        <v>162</v>
      </c>
      <c r="C14" s="2" t="s">
        <v>376</v>
      </c>
      <c r="D14" s="2" t="s">
        <v>377</v>
      </c>
      <c r="E14" s="2" t="s">
        <v>378</v>
      </c>
      <c r="F14" s="2" t="s">
        <v>379</v>
      </c>
      <c r="G14" s="2" t="s">
        <v>380</v>
      </c>
      <c r="H14" s="2" t="s">
        <v>286</v>
      </c>
      <c r="I14" s="2" t="s">
        <v>381</v>
      </c>
      <c r="J14" s="2" t="s">
        <v>273</v>
      </c>
      <c r="K14" s="2" t="s">
        <v>274</v>
      </c>
      <c r="L14" s="2" t="s">
        <v>274</v>
      </c>
      <c r="M14" s="2" t="s">
        <v>274</v>
      </c>
      <c r="N14" s="2" t="s">
        <v>165</v>
      </c>
      <c r="O14" s="2" t="s">
        <v>382</v>
      </c>
      <c r="P14" s="2" t="s">
        <v>383</v>
      </c>
      <c r="Q14" s="2" t="s">
        <v>276</v>
      </c>
      <c r="R14" s="2" t="s">
        <v>384</v>
      </c>
      <c r="S14" s="2" t="s">
        <v>278</v>
      </c>
      <c r="T14" s="2" t="s">
        <v>328</v>
      </c>
      <c r="U14" s="2" t="s">
        <v>329</v>
      </c>
    </row>
    <row r="15" spans="1:21" ht="38" customHeight="1" x14ac:dyDescent="0.2">
      <c r="A15" s="2" t="s">
        <v>385</v>
      </c>
      <c r="B15" s="2" t="s">
        <v>162</v>
      </c>
      <c r="C15" s="2" t="s">
        <v>386</v>
      </c>
      <c r="D15" s="2" t="s">
        <v>387</v>
      </c>
      <c r="E15" s="2" t="s">
        <v>388</v>
      </c>
      <c r="F15" s="2" t="s">
        <v>389</v>
      </c>
      <c r="G15" s="2" t="s">
        <v>390</v>
      </c>
      <c r="H15" s="2" t="s">
        <v>286</v>
      </c>
      <c r="I15" s="2" t="s">
        <v>391</v>
      </c>
      <c r="J15" s="2" t="s">
        <v>392</v>
      </c>
      <c r="K15" s="2" t="s">
        <v>393</v>
      </c>
      <c r="L15" s="2" t="s">
        <v>393</v>
      </c>
      <c r="M15" s="2" t="s">
        <v>393</v>
      </c>
      <c r="N15" s="2" t="s">
        <v>165</v>
      </c>
      <c r="O15" s="2" t="s">
        <v>375</v>
      </c>
      <c r="P15" s="2" t="s">
        <v>394</v>
      </c>
      <c r="Q15" s="2" t="s">
        <v>276</v>
      </c>
      <c r="R15" s="2" t="s">
        <v>395</v>
      </c>
      <c r="S15" s="2" t="s">
        <v>278</v>
      </c>
      <c r="T15" s="2" t="s">
        <v>301</v>
      </c>
      <c r="U15" s="2"/>
    </row>
    <row r="16" spans="1:21" ht="38" customHeight="1" x14ac:dyDescent="0.2">
      <c r="A16" s="2" t="s">
        <v>396</v>
      </c>
      <c r="B16" s="2" t="s">
        <v>162</v>
      </c>
      <c r="C16" s="2" t="s">
        <v>397</v>
      </c>
      <c r="D16" s="2" t="s">
        <v>398</v>
      </c>
      <c r="E16" s="2" t="s">
        <v>399</v>
      </c>
      <c r="F16" s="2" t="s">
        <v>400</v>
      </c>
      <c r="G16" s="2" t="s">
        <v>401</v>
      </c>
      <c r="H16" s="2" t="s">
        <v>189</v>
      </c>
      <c r="I16" s="2" t="s">
        <v>402</v>
      </c>
      <c r="J16" s="2" t="s">
        <v>403</v>
      </c>
      <c r="K16" s="2" t="s">
        <v>393</v>
      </c>
      <c r="L16" s="2" t="s">
        <v>393</v>
      </c>
      <c r="M16" s="2" t="s">
        <v>393</v>
      </c>
      <c r="N16" s="2" t="s">
        <v>165</v>
      </c>
      <c r="O16" s="2" t="s">
        <v>404</v>
      </c>
      <c r="P16" s="2" t="s">
        <v>405</v>
      </c>
      <c r="Q16" s="2" t="s">
        <v>276</v>
      </c>
      <c r="R16" s="2" t="s">
        <v>406</v>
      </c>
      <c r="S16" s="2" t="s">
        <v>278</v>
      </c>
      <c r="T16" s="2" t="s">
        <v>328</v>
      </c>
      <c r="U16" s="2" t="s">
        <v>329</v>
      </c>
    </row>
    <row r="17" spans="1:21" ht="38" customHeight="1" x14ac:dyDescent="0.2">
      <c r="A17" s="2" t="s">
        <v>407</v>
      </c>
      <c r="B17" s="2" t="s">
        <v>162</v>
      </c>
      <c r="C17" s="2" t="s">
        <v>408</v>
      </c>
      <c r="D17" s="2" t="s">
        <v>409</v>
      </c>
      <c r="E17" s="2" t="s">
        <v>410</v>
      </c>
      <c r="F17" s="2" t="s">
        <v>411</v>
      </c>
      <c r="G17" s="2" t="s">
        <v>412</v>
      </c>
      <c r="H17" s="2" t="s">
        <v>166</v>
      </c>
      <c r="I17" s="2" t="s">
        <v>413</v>
      </c>
      <c r="J17" s="2" t="s">
        <v>273</v>
      </c>
      <c r="K17" s="2" t="s">
        <v>274</v>
      </c>
      <c r="L17" s="2" t="s">
        <v>274</v>
      </c>
      <c r="M17" s="2" t="s">
        <v>274</v>
      </c>
      <c r="N17" s="2" t="s">
        <v>165</v>
      </c>
      <c r="O17" s="2" t="s">
        <v>354</v>
      </c>
      <c r="P17" s="2" t="s">
        <v>414</v>
      </c>
      <c r="Q17" s="2" t="s">
        <v>276</v>
      </c>
      <c r="R17" s="2" t="s">
        <v>415</v>
      </c>
      <c r="S17" s="2" t="s">
        <v>278</v>
      </c>
      <c r="T17" s="2" t="s">
        <v>301</v>
      </c>
      <c r="U17" s="2"/>
    </row>
    <row r="18" spans="1:21" ht="38" customHeight="1" x14ac:dyDescent="0.2">
      <c r="A18" s="2" t="s">
        <v>416</v>
      </c>
      <c r="B18" s="2" t="s">
        <v>162</v>
      </c>
      <c r="C18" s="2" t="s">
        <v>417</v>
      </c>
      <c r="D18" s="2" t="s">
        <v>418</v>
      </c>
      <c r="E18" s="2" t="s">
        <v>419</v>
      </c>
      <c r="F18" s="2" t="s">
        <v>420</v>
      </c>
      <c r="G18" s="2" t="s">
        <v>421</v>
      </c>
      <c r="H18" s="2" t="s">
        <v>166</v>
      </c>
      <c r="I18" s="2" t="s">
        <v>422</v>
      </c>
      <c r="J18" s="2" t="s">
        <v>273</v>
      </c>
      <c r="K18" s="2" t="s">
        <v>274</v>
      </c>
      <c r="L18" s="2" t="s">
        <v>274</v>
      </c>
      <c r="M18" s="2" t="s">
        <v>274</v>
      </c>
      <c r="N18" s="2" t="s">
        <v>165</v>
      </c>
      <c r="O18" s="2" t="s">
        <v>342</v>
      </c>
      <c r="P18" s="2" t="s">
        <v>423</v>
      </c>
      <c r="Q18" s="2" t="s">
        <v>276</v>
      </c>
      <c r="R18" s="2" t="s">
        <v>424</v>
      </c>
      <c r="S18" s="2" t="s">
        <v>278</v>
      </c>
      <c r="T18" s="2" t="s">
        <v>301</v>
      </c>
      <c r="U18" s="2"/>
    </row>
    <row r="19" spans="1:21" ht="38" customHeight="1" x14ac:dyDescent="0.2">
      <c r="A19" s="2" t="s">
        <v>425</v>
      </c>
      <c r="B19" s="2" t="s">
        <v>162</v>
      </c>
      <c r="C19" s="2" t="s">
        <v>426</v>
      </c>
      <c r="D19" s="2" t="s">
        <v>427</v>
      </c>
      <c r="E19" s="2" t="s">
        <v>428</v>
      </c>
      <c r="F19" s="2" t="s">
        <v>429</v>
      </c>
      <c r="G19" s="2" t="s">
        <v>430</v>
      </c>
      <c r="H19" s="2" t="s">
        <v>166</v>
      </c>
      <c r="I19" s="2" t="s">
        <v>431</v>
      </c>
      <c r="J19" s="2" t="s">
        <v>273</v>
      </c>
      <c r="K19" s="2" t="s">
        <v>274</v>
      </c>
      <c r="L19" s="2" t="s">
        <v>274</v>
      </c>
      <c r="M19" s="2" t="s">
        <v>274</v>
      </c>
      <c r="N19" s="2" t="s">
        <v>165</v>
      </c>
      <c r="O19" s="2" t="s">
        <v>432</v>
      </c>
      <c r="P19" s="2" t="s">
        <v>433</v>
      </c>
      <c r="Q19" s="2" t="s">
        <v>276</v>
      </c>
      <c r="R19" s="2" t="s">
        <v>434</v>
      </c>
      <c r="S19" s="2" t="s">
        <v>278</v>
      </c>
      <c r="T19" s="2" t="s">
        <v>301</v>
      </c>
      <c r="U19" s="2"/>
    </row>
    <row r="20" spans="1:21" ht="45.75" customHeight="1" x14ac:dyDescent="0.2">
      <c r="A20" s="2" t="s">
        <v>435</v>
      </c>
      <c r="B20" s="2" t="s">
        <v>162</v>
      </c>
      <c r="C20" s="2" t="s">
        <v>436</v>
      </c>
      <c r="D20" s="2" t="s">
        <v>437</v>
      </c>
      <c r="E20" s="2" t="s">
        <v>438</v>
      </c>
      <c r="F20" s="2" t="s">
        <v>439</v>
      </c>
      <c r="G20" s="2" t="s">
        <v>440</v>
      </c>
      <c r="H20" s="2" t="s">
        <v>166</v>
      </c>
      <c r="I20" s="2" t="s">
        <v>441</v>
      </c>
      <c r="J20" s="2" t="s">
        <v>273</v>
      </c>
      <c r="K20" s="2" t="s">
        <v>274</v>
      </c>
      <c r="L20" s="2" t="s">
        <v>274</v>
      </c>
      <c r="M20" s="2" t="s">
        <v>274</v>
      </c>
      <c r="N20" s="2" t="s">
        <v>165</v>
      </c>
      <c r="O20" s="2" t="s">
        <v>442</v>
      </c>
      <c r="P20" s="2" t="s">
        <v>443</v>
      </c>
      <c r="Q20" s="2" t="s">
        <v>276</v>
      </c>
      <c r="R20" s="2" t="s">
        <v>444</v>
      </c>
      <c r="S20" s="2" t="s">
        <v>278</v>
      </c>
      <c r="T20" s="2" t="s">
        <v>301</v>
      </c>
      <c r="U20" s="2"/>
    </row>
    <row r="21" spans="1:21" ht="45.75" customHeight="1" x14ac:dyDescent="0.2">
      <c r="A21" s="2" t="s">
        <v>445</v>
      </c>
      <c r="B21" s="2" t="s">
        <v>162</v>
      </c>
      <c r="C21" s="2" t="s">
        <v>165</v>
      </c>
      <c r="D21" s="2" t="s">
        <v>446</v>
      </c>
      <c r="E21" s="2" t="s">
        <v>447</v>
      </c>
      <c r="F21" s="2" t="s">
        <v>448</v>
      </c>
      <c r="G21" s="2" t="s">
        <v>271</v>
      </c>
      <c r="H21" s="2" t="s">
        <v>166</v>
      </c>
      <c r="I21" s="2" t="s">
        <v>449</v>
      </c>
      <c r="J21" s="2" t="s">
        <v>273</v>
      </c>
      <c r="K21" s="2" t="s">
        <v>274</v>
      </c>
      <c r="L21" s="2" t="s">
        <v>274</v>
      </c>
      <c r="M21" s="2" t="s">
        <v>274</v>
      </c>
      <c r="N21" s="2" t="s">
        <v>165</v>
      </c>
      <c r="O21" s="2" t="s">
        <v>450</v>
      </c>
      <c r="P21" s="2" t="s">
        <v>451</v>
      </c>
      <c r="Q21" s="2" t="s">
        <v>276</v>
      </c>
      <c r="R21" s="2" t="s">
        <v>452</v>
      </c>
      <c r="S21" s="2" t="s">
        <v>278</v>
      </c>
      <c r="T21" s="2" t="s">
        <v>301</v>
      </c>
      <c r="U21" s="2"/>
    </row>
    <row r="22" spans="1:21" ht="38" customHeight="1" x14ac:dyDescent="0.2">
      <c r="A22" s="10" t="s">
        <v>453</v>
      </c>
      <c r="B22" s="10" t="s">
        <v>171</v>
      </c>
      <c r="C22" s="10" t="s">
        <v>454</v>
      </c>
      <c r="D22" s="10" t="s">
        <v>455</v>
      </c>
      <c r="E22" s="10" t="s">
        <v>456</v>
      </c>
      <c r="F22" s="10" t="s">
        <v>457</v>
      </c>
      <c r="G22" s="10" t="s">
        <v>458</v>
      </c>
      <c r="H22" s="10" t="s">
        <v>166</v>
      </c>
      <c r="I22" s="10" t="s">
        <v>459</v>
      </c>
      <c r="J22" s="10" t="s">
        <v>273</v>
      </c>
      <c r="K22" s="10" t="s">
        <v>274</v>
      </c>
      <c r="L22" s="10" t="s">
        <v>274</v>
      </c>
      <c r="M22" s="10" t="s">
        <v>274</v>
      </c>
      <c r="N22" s="10" t="s">
        <v>174</v>
      </c>
      <c r="O22" s="10" t="s">
        <v>445</v>
      </c>
      <c r="P22" s="10" t="s">
        <v>460</v>
      </c>
      <c r="Q22" s="10" t="s">
        <v>461</v>
      </c>
      <c r="R22" s="10" t="s">
        <v>462</v>
      </c>
      <c r="S22" s="10" t="s">
        <v>278</v>
      </c>
      <c r="T22" s="10" t="s">
        <v>301</v>
      </c>
      <c r="U22" s="10"/>
    </row>
    <row r="23" spans="1:21" ht="38" customHeight="1" x14ac:dyDescent="0.2">
      <c r="A23" s="10" t="s">
        <v>463</v>
      </c>
      <c r="B23" s="10" t="s">
        <v>171</v>
      </c>
      <c r="C23" s="10" t="s">
        <v>464</v>
      </c>
      <c r="D23" s="10" t="s">
        <v>465</v>
      </c>
      <c r="E23" s="10" t="s">
        <v>466</v>
      </c>
      <c r="F23" s="10" t="s">
        <v>467</v>
      </c>
      <c r="G23" s="10" t="s">
        <v>468</v>
      </c>
      <c r="H23" s="10" t="s">
        <v>286</v>
      </c>
      <c r="I23" s="10" t="s">
        <v>469</v>
      </c>
      <c r="J23" s="10" t="s">
        <v>273</v>
      </c>
      <c r="K23" s="10" t="s">
        <v>274</v>
      </c>
      <c r="L23" s="10" t="s">
        <v>274</v>
      </c>
      <c r="M23" s="10" t="s">
        <v>274</v>
      </c>
      <c r="N23" s="10" t="s">
        <v>174</v>
      </c>
      <c r="O23" s="10" t="s">
        <v>453</v>
      </c>
      <c r="P23" s="10" t="s">
        <v>470</v>
      </c>
      <c r="Q23" s="10" t="s">
        <v>461</v>
      </c>
      <c r="R23" s="10" t="s">
        <v>471</v>
      </c>
      <c r="S23" s="10" t="s">
        <v>278</v>
      </c>
      <c r="T23" s="10" t="s">
        <v>301</v>
      </c>
      <c r="U23" s="10"/>
    </row>
    <row r="24" spans="1:21" ht="38" customHeight="1" x14ac:dyDescent="0.2">
      <c r="A24" s="10" t="s">
        <v>472</v>
      </c>
      <c r="B24" s="10" t="s">
        <v>171</v>
      </c>
      <c r="C24" s="10" t="s">
        <v>473</v>
      </c>
      <c r="D24" s="10" t="s">
        <v>474</v>
      </c>
      <c r="E24" s="10" t="s">
        <v>475</v>
      </c>
      <c r="F24" s="10" t="s">
        <v>476</v>
      </c>
      <c r="G24" s="10" t="s">
        <v>477</v>
      </c>
      <c r="H24" s="10" t="s">
        <v>286</v>
      </c>
      <c r="I24" s="10" t="s">
        <v>478</v>
      </c>
      <c r="J24" s="10" t="s">
        <v>273</v>
      </c>
      <c r="K24" s="10" t="s">
        <v>274</v>
      </c>
      <c r="L24" s="10" t="s">
        <v>274</v>
      </c>
      <c r="M24" s="10" t="s">
        <v>274</v>
      </c>
      <c r="N24" s="10" t="s">
        <v>174</v>
      </c>
      <c r="O24" s="10" t="s">
        <v>463</v>
      </c>
      <c r="P24" s="10" t="s">
        <v>479</v>
      </c>
      <c r="Q24" s="10" t="s">
        <v>461</v>
      </c>
      <c r="R24" s="10" t="s">
        <v>480</v>
      </c>
      <c r="S24" s="10" t="s">
        <v>278</v>
      </c>
      <c r="T24" s="10" t="s">
        <v>301</v>
      </c>
      <c r="U24" s="10"/>
    </row>
    <row r="25" spans="1:21" ht="38" customHeight="1" x14ac:dyDescent="0.2">
      <c r="A25" s="10" t="s">
        <v>481</v>
      </c>
      <c r="B25" s="10" t="s">
        <v>171</v>
      </c>
      <c r="C25" s="10" t="s">
        <v>482</v>
      </c>
      <c r="D25" s="10" t="s">
        <v>483</v>
      </c>
      <c r="E25" s="10" t="s">
        <v>484</v>
      </c>
      <c r="F25" s="10" t="s">
        <v>485</v>
      </c>
      <c r="G25" s="10" t="s">
        <v>486</v>
      </c>
      <c r="H25" s="10" t="s">
        <v>487</v>
      </c>
      <c r="I25" s="10" t="s">
        <v>488</v>
      </c>
      <c r="J25" s="10" t="s">
        <v>273</v>
      </c>
      <c r="K25" s="10" t="s">
        <v>274</v>
      </c>
      <c r="L25" s="10" t="s">
        <v>274</v>
      </c>
      <c r="M25" s="10" t="s">
        <v>274</v>
      </c>
      <c r="N25" s="10" t="s">
        <v>174</v>
      </c>
      <c r="O25" s="10" t="s">
        <v>489</v>
      </c>
      <c r="P25" s="10" t="s">
        <v>490</v>
      </c>
      <c r="Q25" s="10" t="s">
        <v>461</v>
      </c>
      <c r="R25" s="10" t="s">
        <v>491</v>
      </c>
      <c r="S25" s="10" t="s">
        <v>278</v>
      </c>
      <c r="T25" s="10" t="s">
        <v>340</v>
      </c>
      <c r="U25" s="10" t="s">
        <v>341</v>
      </c>
    </row>
    <row r="26" spans="1:21" ht="38" customHeight="1" x14ac:dyDescent="0.2">
      <c r="A26" s="10" t="s">
        <v>492</v>
      </c>
      <c r="B26" s="10" t="s">
        <v>171</v>
      </c>
      <c r="C26" s="10" t="s">
        <v>493</v>
      </c>
      <c r="D26" s="10" t="s">
        <v>494</v>
      </c>
      <c r="E26" s="10" t="s">
        <v>495</v>
      </c>
      <c r="F26" s="10" t="s">
        <v>496</v>
      </c>
      <c r="G26" s="10" t="s">
        <v>497</v>
      </c>
      <c r="H26" s="10" t="s">
        <v>336</v>
      </c>
      <c r="I26" s="10" t="s">
        <v>498</v>
      </c>
      <c r="J26" s="10" t="s">
        <v>273</v>
      </c>
      <c r="K26" s="10" t="s">
        <v>274</v>
      </c>
      <c r="L26" s="10" t="s">
        <v>274</v>
      </c>
      <c r="M26" s="10" t="s">
        <v>274</v>
      </c>
      <c r="N26" s="10" t="s">
        <v>174</v>
      </c>
      <c r="O26" s="10" t="s">
        <v>481</v>
      </c>
      <c r="P26" s="10" t="s">
        <v>499</v>
      </c>
      <c r="Q26" s="10" t="s">
        <v>461</v>
      </c>
      <c r="R26" s="10" t="s">
        <v>500</v>
      </c>
      <c r="S26" s="10" t="s">
        <v>278</v>
      </c>
      <c r="T26" s="10" t="s">
        <v>301</v>
      </c>
      <c r="U26" s="10"/>
    </row>
    <row r="27" spans="1:21" ht="38" customHeight="1" x14ac:dyDescent="0.2">
      <c r="A27" s="10" t="s">
        <v>501</v>
      </c>
      <c r="B27" s="10" t="s">
        <v>171</v>
      </c>
      <c r="C27" s="10" t="s">
        <v>502</v>
      </c>
      <c r="D27" s="10" t="s">
        <v>503</v>
      </c>
      <c r="E27" s="10" t="s">
        <v>504</v>
      </c>
      <c r="F27" s="10" t="s">
        <v>505</v>
      </c>
      <c r="G27" s="10" t="s">
        <v>506</v>
      </c>
      <c r="H27" s="10" t="s">
        <v>286</v>
      </c>
      <c r="I27" s="10" t="s">
        <v>507</v>
      </c>
      <c r="J27" s="10" t="s">
        <v>273</v>
      </c>
      <c r="K27" s="10" t="s">
        <v>274</v>
      </c>
      <c r="L27" s="10" t="s">
        <v>274</v>
      </c>
      <c r="M27" s="10" t="s">
        <v>274</v>
      </c>
      <c r="N27" s="10" t="s">
        <v>174</v>
      </c>
      <c r="O27" s="10" t="s">
        <v>472</v>
      </c>
      <c r="P27" s="10" t="s">
        <v>508</v>
      </c>
      <c r="Q27" s="10" t="s">
        <v>461</v>
      </c>
      <c r="R27" s="10" t="s">
        <v>509</v>
      </c>
      <c r="S27" s="10" t="s">
        <v>278</v>
      </c>
      <c r="T27" s="10" t="s">
        <v>328</v>
      </c>
      <c r="U27" s="10" t="s">
        <v>329</v>
      </c>
    </row>
    <row r="28" spans="1:21" ht="49" customHeight="1" x14ac:dyDescent="0.2">
      <c r="A28" s="10" t="s">
        <v>510</v>
      </c>
      <c r="B28" s="10" t="s">
        <v>171</v>
      </c>
      <c r="C28" s="10" t="s">
        <v>511</v>
      </c>
      <c r="D28" s="10" t="s">
        <v>512</v>
      </c>
      <c r="E28" s="10" t="s">
        <v>513</v>
      </c>
      <c r="F28" s="10" t="s">
        <v>514</v>
      </c>
      <c r="G28" s="10" t="s">
        <v>515</v>
      </c>
      <c r="H28" s="10" t="s">
        <v>516</v>
      </c>
      <c r="I28" s="10" t="s">
        <v>517</v>
      </c>
      <c r="J28" s="10" t="s">
        <v>273</v>
      </c>
      <c r="K28" s="10" t="s">
        <v>274</v>
      </c>
      <c r="L28" s="10" t="s">
        <v>274</v>
      </c>
      <c r="M28" s="10" t="s">
        <v>274</v>
      </c>
      <c r="N28" s="10" t="s">
        <v>174</v>
      </c>
      <c r="O28" s="10" t="s">
        <v>518</v>
      </c>
      <c r="P28" s="10" t="s">
        <v>519</v>
      </c>
      <c r="Q28" s="10" t="s">
        <v>461</v>
      </c>
      <c r="R28" s="10" t="s">
        <v>520</v>
      </c>
      <c r="S28" s="10" t="s">
        <v>278</v>
      </c>
      <c r="T28" s="10" t="s">
        <v>521</v>
      </c>
      <c r="U28" s="10" t="s">
        <v>522</v>
      </c>
    </row>
    <row r="29" spans="1:21" ht="38" customHeight="1" x14ac:dyDescent="0.2">
      <c r="A29" s="10" t="s">
        <v>523</v>
      </c>
      <c r="B29" s="10" t="s">
        <v>171</v>
      </c>
      <c r="C29" s="10" t="s">
        <v>524</v>
      </c>
      <c r="D29" s="10" t="s">
        <v>525</v>
      </c>
      <c r="E29" s="10" t="s">
        <v>526</v>
      </c>
      <c r="F29" s="10" t="s">
        <v>527</v>
      </c>
      <c r="G29" s="10" t="s">
        <v>528</v>
      </c>
      <c r="H29" s="10" t="s">
        <v>197</v>
      </c>
      <c r="I29" s="10" t="s">
        <v>529</v>
      </c>
      <c r="J29" s="10" t="s">
        <v>273</v>
      </c>
      <c r="K29" s="10" t="s">
        <v>274</v>
      </c>
      <c r="L29" s="10" t="s">
        <v>274</v>
      </c>
      <c r="M29" s="10" t="s">
        <v>274</v>
      </c>
      <c r="N29" s="10" t="s">
        <v>174</v>
      </c>
      <c r="O29" s="10" t="s">
        <v>530</v>
      </c>
      <c r="P29" s="10" t="s">
        <v>531</v>
      </c>
      <c r="Q29" s="10" t="s">
        <v>461</v>
      </c>
      <c r="R29" s="10" t="s">
        <v>532</v>
      </c>
      <c r="S29" s="10" t="s">
        <v>278</v>
      </c>
      <c r="T29" s="10" t="s">
        <v>301</v>
      </c>
      <c r="U29" s="10"/>
    </row>
    <row r="30" spans="1:21" ht="38" customHeight="1" x14ac:dyDescent="0.2">
      <c r="A30" s="10" t="s">
        <v>533</v>
      </c>
      <c r="B30" s="10" t="s">
        <v>171</v>
      </c>
      <c r="C30" s="10" t="s">
        <v>534</v>
      </c>
      <c r="D30" s="10" t="s">
        <v>535</v>
      </c>
      <c r="E30" s="10" t="s">
        <v>536</v>
      </c>
      <c r="F30" s="10" t="s">
        <v>537</v>
      </c>
      <c r="G30" s="10" t="s">
        <v>538</v>
      </c>
      <c r="H30" s="10" t="s">
        <v>286</v>
      </c>
      <c r="I30" s="10" t="s">
        <v>539</v>
      </c>
      <c r="J30" s="10" t="s">
        <v>273</v>
      </c>
      <c r="K30" s="10" t="s">
        <v>274</v>
      </c>
      <c r="L30" s="10" t="s">
        <v>274</v>
      </c>
      <c r="M30" s="10" t="s">
        <v>274</v>
      </c>
      <c r="N30" s="10" t="s">
        <v>174</v>
      </c>
      <c r="O30" s="10" t="s">
        <v>463</v>
      </c>
      <c r="P30" s="10" t="s">
        <v>540</v>
      </c>
      <c r="Q30" s="10" t="s">
        <v>461</v>
      </c>
      <c r="R30" s="10" t="s">
        <v>541</v>
      </c>
      <c r="S30" s="10" t="s">
        <v>278</v>
      </c>
      <c r="T30" s="10" t="s">
        <v>301</v>
      </c>
      <c r="U30" s="10"/>
    </row>
    <row r="31" spans="1:21" ht="49" customHeight="1" x14ac:dyDescent="0.2">
      <c r="A31" s="10" t="s">
        <v>542</v>
      </c>
      <c r="B31" s="10" t="s">
        <v>171</v>
      </c>
      <c r="C31" s="10" t="s">
        <v>543</v>
      </c>
      <c r="D31" s="10" t="s">
        <v>544</v>
      </c>
      <c r="E31" s="10" t="s">
        <v>545</v>
      </c>
      <c r="F31" s="10" t="s">
        <v>546</v>
      </c>
      <c r="G31" s="10" t="s">
        <v>547</v>
      </c>
      <c r="H31" s="10" t="s">
        <v>166</v>
      </c>
      <c r="I31" s="10" t="s">
        <v>548</v>
      </c>
      <c r="J31" s="10" t="s">
        <v>273</v>
      </c>
      <c r="K31" s="10" t="s">
        <v>274</v>
      </c>
      <c r="L31" s="10" t="s">
        <v>274</v>
      </c>
      <c r="M31" s="10" t="s">
        <v>274</v>
      </c>
      <c r="N31" s="10" t="s">
        <v>174</v>
      </c>
      <c r="O31" s="10" t="s">
        <v>549</v>
      </c>
      <c r="P31" s="10" t="s">
        <v>550</v>
      </c>
      <c r="Q31" s="10" t="s">
        <v>461</v>
      </c>
      <c r="R31" s="10" t="s">
        <v>551</v>
      </c>
      <c r="S31" s="10" t="s">
        <v>278</v>
      </c>
      <c r="T31" s="10" t="s">
        <v>352</v>
      </c>
      <c r="U31" s="10" t="s">
        <v>353</v>
      </c>
    </row>
    <row r="32" spans="1:21" ht="38" customHeight="1" x14ac:dyDescent="0.2">
      <c r="A32" s="10" t="s">
        <v>552</v>
      </c>
      <c r="B32" s="10" t="s">
        <v>171</v>
      </c>
      <c r="C32" s="10" t="s">
        <v>553</v>
      </c>
      <c r="D32" s="10" t="s">
        <v>554</v>
      </c>
      <c r="E32" s="10" t="s">
        <v>555</v>
      </c>
      <c r="F32" s="10" t="s">
        <v>556</v>
      </c>
      <c r="G32" s="10" t="s">
        <v>557</v>
      </c>
      <c r="H32" s="10" t="s">
        <v>286</v>
      </c>
      <c r="I32" s="10" t="s">
        <v>558</v>
      </c>
      <c r="J32" s="10" t="s">
        <v>273</v>
      </c>
      <c r="K32" s="10" t="s">
        <v>274</v>
      </c>
      <c r="L32" s="10" t="s">
        <v>274</v>
      </c>
      <c r="M32" s="10" t="s">
        <v>274</v>
      </c>
      <c r="N32" s="10" t="s">
        <v>174</v>
      </c>
      <c r="O32" s="10" t="s">
        <v>559</v>
      </c>
      <c r="P32" s="10" t="s">
        <v>560</v>
      </c>
      <c r="Q32" s="10" t="s">
        <v>461</v>
      </c>
      <c r="R32" s="10" t="s">
        <v>561</v>
      </c>
      <c r="S32" s="10" t="s">
        <v>278</v>
      </c>
      <c r="T32" s="10" t="s">
        <v>301</v>
      </c>
      <c r="U32" s="10"/>
    </row>
    <row r="33" spans="1:21" ht="38" customHeight="1" x14ac:dyDescent="0.2">
      <c r="A33" s="10" t="s">
        <v>562</v>
      </c>
      <c r="B33" s="10" t="s">
        <v>171</v>
      </c>
      <c r="C33" s="10" t="s">
        <v>563</v>
      </c>
      <c r="D33" s="10" t="s">
        <v>564</v>
      </c>
      <c r="E33" s="10" t="s">
        <v>565</v>
      </c>
      <c r="F33" s="10" t="s">
        <v>566</v>
      </c>
      <c r="G33" s="10" t="s">
        <v>359</v>
      </c>
      <c r="H33" s="10" t="s">
        <v>166</v>
      </c>
      <c r="I33" s="10" t="s">
        <v>567</v>
      </c>
      <c r="J33" s="10" t="s">
        <v>568</v>
      </c>
      <c r="K33" s="10" t="s">
        <v>393</v>
      </c>
      <c r="L33" s="10" t="s">
        <v>393</v>
      </c>
      <c r="M33" s="10" t="s">
        <v>393</v>
      </c>
      <c r="N33" s="10" t="s">
        <v>174</v>
      </c>
      <c r="O33" s="10" t="s">
        <v>569</v>
      </c>
      <c r="P33" s="10" t="s">
        <v>570</v>
      </c>
      <c r="Q33" s="10" t="s">
        <v>461</v>
      </c>
      <c r="R33" s="10"/>
      <c r="S33" s="10" t="s">
        <v>278</v>
      </c>
      <c r="T33" s="10" t="s">
        <v>301</v>
      </c>
      <c r="U33" s="10"/>
    </row>
    <row r="34" spans="1:21" ht="38" customHeight="1" x14ac:dyDescent="0.2">
      <c r="A34" s="10" t="s">
        <v>571</v>
      </c>
      <c r="B34" s="10" t="s">
        <v>171</v>
      </c>
      <c r="C34" s="10" t="s">
        <v>572</v>
      </c>
      <c r="D34" s="10" t="s">
        <v>573</v>
      </c>
      <c r="E34" s="10" t="s">
        <v>574</v>
      </c>
      <c r="F34" s="10" t="s">
        <v>575</v>
      </c>
      <c r="G34" s="10" t="s">
        <v>576</v>
      </c>
      <c r="H34" s="10" t="s">
        <v>577</v>
      </c>
      <c r="I34" s="10" t="s">
        <v>578</v>
      </c>
      <c r="J34" s="10" t="s">
        <v>579</v>
      </c>
      <c r="K34" s="10" t="s">
        <v>393</v>
      </c>
      <c r="L34" s="10" t="s">
        <v>393</v>
      </c>
      <c r="M34" s="10" t="s">
        <v>393</v>
      </c>
      <c r="N34" s="10" t="s">
        <v>174</v>
      </c>
      <c r="O34" s="10" t="s">
        <v>580</v>
      </c>
      <c r="P34" s="10" t="s">
        <v>581</v>
      </c>
      <c r="Q34" s="10" t="s">
        <v>461</v>
      </c>
      <c r="R34" s="10" t="s">
        <v>582</v>
      </c>
      <c r="S34" s="10" t="s">
        <v>278</v>
      </c>
      <c r="T34" s="10" t="s">
        <v>301</v>
      </c>
      <c r="U34" s="10"/>
    </row>
    <row r="35" spans="1:21" ht="49" customHeight="1" x14ac:dyDescent="0.2">
      <c r="A35" s="10" t="s">
        <v>583</v>
      </c>
      <c r="B35" s="10" t="s">
        <v>171</v>
      </c>
      <c r="C35" s="10" t="s">
        <v>584</v>
      </c>
      <c r="D35" s="10" t="s">
        <v>585</v>
      </c>
      <c r="E35" s="10" t="s">
        <v>586</v>
      </c>
      <c r="F35" s="10" t="s">
        <v>587</v>
      </c>
      <c r="G35" s="10" t="s">
        <v>588</v>
      </c>
      <c r="H35" s="10" t="s">
        <v>189</v>
      </c>
      <c r="I35" s="10" t="s">
        <v>589</v>
      </c>
      <c r="J35" s="10" t="s">
        <v>590</v>
      </c>
      <c r="K35" s="10" t="s">
        <v>393</v>
      </c>
      <c r="L35" s="10" t="s">
        <v>393</v>
      </c>
      <c r="M35" s="10" t="s">
        <v>393</v>
      </c>
      <c r="N35" s="10" t="s">
        <v>174</v>
      </c>
      <c r="O35" s="10" t="s">
        <v>591</v>
      </c>
      <c r="P35" s="10" t="s">
        <v>592</v>
      </c>
      <c r="Q35" s="10" t="s">
        <v>461</v>
      </c>
      <c r="R35" s="10" t="s">
        <v>593</v>
      </c>
      <c r="S35" s="10" t="s">
        <v>278</v>
      </c>
      <c r="T35" s="10" t="s">
        <v>594</v>
      </c>
      <c r="U35" s="10" t="s">
        <v>595</v>
      </c>
    </row>
    <row r="36" spans="1:21" ht="38" customHeight="1" x14ac:dyDescent="0.2">
      <c r="A36" s="10" t="s">
        <v>596</v>
      </c>
      <c r="B36" s="10" t="s">
        <v>171</v>
      </c>
      <c r="C36" s="10" t="s">
        <v>597</v>
      </c>
      <c r="D36" s="10" t="s">
        <v>598</v>
      </c>
      <c r="E36" s="10" t="s">
        <v>599</v>
      </c>
      <c r="F36" s="10" t="s">
        <v>600</v>
      </c>
      <c r="G36" s="10" t="s">
        <v>380</v>
      </c>
      <c r="H36" s="10" t="s">
        <v>286</v>
      </c>
      <c r="I36" s="10" t="s">
        <v>601</v>
      </c>
      <c r="J36" s="10" t="s">
        <v>273</v>
      </c>
      <c r="K36" s="10" t="s">
        <v>274</v>
      </c>
      <c r="L36" s="10" t="s">
        <v>274</v>
      </c>
      <c r="M36" s="10" t="s">
        <v>274</v>
      </c>
      <c r="N36" s="10" t="s">
        <v>174</v>
      </c>
      <c r="O36" s="10" t="s">
        <v>602</v>
      </c>
      <c r="P36" s="10" t="s">
        <v>383</v>
      </c>
      <c r="Q36" s="10" t="s">
        <v>461</v>
      </c>
      <c r="R36" s="10" t="s">
        <v>603</v>
      </c>
      <c r="S36" s="10" t="s">
        <v>278</v>
      </c>
      <c r="T36" s="10" t="s">
        <v>301</v>
      </c>
      <c r="U36" s="10"/>
    </row>
    <row r="37" spans="1:21" ht="38" customHeight="1" x14ac:dyDescent="0.2">
      <c r="A37" s="10" t="s">
        <v>604</v>
      </c>
      <c r="B37" s="10" t="s">
        <v>171</v>
      </c>
      <c r="C37" s="10" t="s">
        <v>426</v>
      </c>
      <c r="D37" s="10" t="s">
        <v>605</v>
      </c>
      <c r="E37" s="10" t="s">
        <v>606</v>
      </c>
      <c r="F37" s="10" t="s">
        <v>607</v>
      </c>
      <c r="G37" s="10" t="s">
        <v>608</v>
      </c>
      <c r="H37" s="10" t="s">
        <v>166</v>
      </c>
      <c r="I37" s="10" t="s">
        <v>609</v>
      </c>
      <c r="J37" s="10" t="s">
        <v>273</v>
      </c>
      <c r="K37" s="10" t="s">
        <v>274</v>
      </c>
      <c r="L37" s="10" t="s">
        <v>274</v>
      </c>
      <c r="M37" s="10" t="s">
        <v>274</v>
      </c>
      <c r="N37" s="10" t="s">
        <v>174</v>
      </c>
      <c r="O37" s="10" t="s">
        <v>610</v>
      </c>
      <c r="P37" s="10" t="s">
        <v>611</v>
      </c>
      <c r="Q37" s="10" t="s">
        <v>461</v>
      </c>
      <c r="R37" s="10" t="s">
        <v>612</v>
      </c>
      <c r="S37" s="10" t="s">
        <v>278</v>
      </c>
      <c r="T37" s="10" t="s">
        <v>301</v>
      </c>
      <c r="U37" s="10"/>
    </row>
    <row r="38" spans="1:21" ht="38" customHeight="1" x14ac:dyDescent="0.2">
      <c r="A38" s="10" t="s">
        <v>613</v>
      </c>
      <c r="B38" s="10" t="s">
        <v>171</v>
      </c>
      <c r="C38" s="10" t="s">
        <v>614</v>
      </c>
      <c r="D38" s="10" t="s">
        <v>615</v>
      </c>
      <c r="E38" s="10" t="s">
        <v>616</v>
      </c>
      <c r="F38" s="10" t="s">
        <v>617</v>
      </c>
      <c r="G38" s="10" t="s">
        <v>618</v>
      </c>
      <c r="H38" s="10" t="s">
        <v>197</v>
      </c>
      <c r="I38" s="10" t="s">
        <v>619</v>
      </c>
      <c r="J38" s="10" t="s">
        <v>273</v>
      </c>
      <c r="K38" s="10" t="s">
        <v>274</v>
      </c>
      <c r="L38" s="10" t="s">
        <v>274</v>
      </c>
      <c r="M38" s="10" t="s">
        <v>274</v>
      </c>
      <c r="N38" s="10" t="s">
        <v>174</v>
      </c>
      <c r="O38" s="10" t="s">
        <v>620</v>
      </c>
      <c r="P38" s="10" t="s">
        <v>621</v>
      </c>
      <c r="Q38" s="10" t="s">
        <v>461</v>
      </c>
      <c r="R38" s="10" t="s">
        <v>622</v>
      </c>
      <c r="S38" s="10" t="s">
        <v>278</v>
      </c>
      <c r="T38" s="10" t="s">
        <v>301</v>
      </c>
      <c r="U38" s="10"/>
    </row>
    <row r="39" spans="1:21" ht="38" customHeight="1" x14ac:dyDescent="0.2">
      <c r="A39" s="10" t="s">
        <v>623</v>
      </c>
      <c r="B39" s="10" t="s">
        <v>171</v>
      </c>
      <c r="C39" s="10" t="s">
        <v>624</v>
      </c>
      <c r="D39" s="10" t="s">
        <v>625</v>
      </c>
      <c r="E39" s="10" t="s">
        <v>626</v>
      </c>
      <c r="F39" s="10" t="s">
        <v>627</v>
      </c>
      <c r="G39" s="10" t="s">
        <v>628</v>
      </c>
      <c r="H39" s="10" t="s">
        <v>286</v>
      </c>
      <c r="I39" s="10" t="s">
        <v>629</v>
      </c>
      <c r="J39" s="10" t="s">
        <v>273</v>
      </c>
      <c r="K39" s="10" t="s">
        <v>274</v>
      </c>
      <c r="L39" s="10" t="s">
        <v>274</v>
      </c>
      <c r="M39" s="10" t="s">
        <v>274</v>
      </c>
      <c r="N39" s="10" t="s">
        <v>174</v>
      </c>
      <c r="O39" s="10" t="s">
        <v>630</v>
      </c>
      <c r="P39" s="10" t="s">
        <v>631</v>
      </c>
      <c r="Q39" s="10" t="s">
        <v>461</v>
      </c>
      <c r="R39" s="10" t="s">
        <v>632</v>
      </c>
      <c r="S39" s="10" t="s">
        <v>278</v>
      </c>
      <c r="T39" s="10" t="s">
        <v>633</v>
      </c>
      <c r="U39" s="10" t="s">
        <v>634</v>
      </c>
    </row>
    <row r="40" spans="1:21" ht="38" customHeight="1" x14ac:dyDescent="0.2">
      <c r="A40" s="10" t="s">
        <v>635</v>
      </c>
      <c r="B40" s="10" t="s">
        <v>171</v>
      </c>
      <c r="C40" s="10" t="s">
        <v>174</v>
      </c>
      <c r="D40" s="10" t="s">
        <v>636</v>
      </c>
      <c r="E40" s="10" t="s">
        <v>637</v>
      </c>
      <c r="F40" s="10" t="s">
        <v>638</v>
      </c>
      <c r="G40" s="10" t="s">
        <v>271</v>
      </c>
      <c r="H40" s="10" t="s">
        <v>166</v>
      </c>
      <c r="I40" s="10" t="s">
        <v>639</v>
      </c>
      <c r="J40" s="10" t="s">
        <v>273</v>
      </c>
      <c r="K40" s="10" t="s">
        <v>274</v>
      </c>
      <c r="L40" s="10" t="s">
        <v>274</v>
      </c>
      <c r="M40" s="10" t="s">
        <v>274</v>
      </c>
      <c r="N40" s="10" t="s">
        <v>174</v>
      </c>
      <c r="O40" s="10" t="s">
        <v>640</v>
      </c>
      <c r="P40" s="10" t="s">
        <v>641</v>
      </c>
      <c r="Q40" s="10" t="s">
        <v>461</v>
      </c>
      <c r="R40" s="10" t="s">
        <v>642</v>
      </c>
      <c r="S40" s="10" t="s">
        <v>278</v>
      </c>
      <c r="T40" s="10" t="s">
        <v>301</v>
      </c>
      <c r="U40" s="10"/>
    </row>
    <row r="41" spans="1:21" ht="38" customHeight="1" x14ac:dyDescent="0.2">
      <c r="A41" s="11" t="s">
        <v>643</v>
      </c>
      <c r="B41" s="11" t="s">
        <v>178</v>
      </c>
      <c r="C41" s="11" t="s">
        <v>644</v>
      </c>
      <c r="D41" s="11" t="s">
        <v>645</v>
      </c>
      <c r="E41" s="11" t="s">
        <v>646</v>
      </c>
      <c r="F41" s="11" t="s">
        <v>647</v>
      </c>
      <c r="G41" s="11" t="s">
        <v>648</v>
      </c>
      <c r="H41" s="11" t="s">
        <v>189</v>
      </c>
      <c r="I41" s="11" t="s">
        <v>649</v>
      </c>
      <c r="J41" s="11" t="s">
        <v>273</v>
      </c>
      <c r="K41" s="11" t="s">
        <v>274</v>
      </c>
      <c r="L41" s="11" t="s">
        <v>274</v>
      </c>
      <c r="M41" s="11" t="s">
        <v>274</v>
      </c>
      <c r="N41" s="11" t="s">
        <v>181</v>
      </c>
      <c r="O41" s="11" t="s">
        <v>635</v>
      </c>
      <c r="P41" s="11" t="s">
        <v>650</v>
      </c>
      <c r="Q41" s="11" t="s">
        <v>651</v>
      </c>
      <c r="R41" s="11" t="s">
        <v>652</v>
      </c>
      <c r="S41" s="11" t="s">
        <v>278</v>
      </c>
      <c r="T41" s="11" t="s">
        <v>328</v>
      </c>
      <c r="U41" s="11" t="s">
        <v>329</v>
      </c>
    </row>
    <row r="42" spans="1:21" ht="38" customHeight="1" x14ac:dyDescent="0.2">
      <c r="A42" s="11" t="s">
        <v>653</v>
      </c>
      <c r="B42" s="11" t="s">
        <v>178</v>
      </c>
      <c r="C42" s="11" t="s">
        <v>654</v>
      </c>
      <c r="D42" s="11" t="s">
        <v>655</v>
      </c>
      <c r="E42" s="11" t="s">
        <v>656</v>
      </c>
      <c r="F42" s="11" t="s">
        <v>657</v>
      </c>
      <c r="G42" s="11" t="s">
        <v>658</v>
      </c>
      <c r="H42" s="11" t="s">
        <v>189</v>
      </c>
      <c r="I42" s="11" t="s">
        <v>659</v>
      </c>
      <c r="J42" s="11" t="s">
        <v>660</v>
      </c>
      <c r="K42" s="11" t="s">
        <v>393</v>
      </c>
      <c r="L42" s="11" t="s">
        <v>393</v>
      </c>
      <c r="M42" s="11" t="s">
        <v>393</v>
      </c>
      <c r="N42" s="11" t="s">
        <v>181</v>
      </c>
      <c r="O42" s="11" t="s">
        <v>661</v>
      </c>
      <c r="P42" s="11" t="s">
        <v>662</v>
      </c>
      <c r="Q42" s="11" t="s">
        <v>651</v>
      </c>
      <c r="R42" s="11" t="s">
        <v>663</v>
      </c>
      <c r="S42" s="11" t="s">
        <v>278</v>
      </c>
      <c r="T42" s="11" t="s">
        <v>301</v>
      </c>
      <c r="U42" s="11"/>
    </row>
    <row r="43" spans="1:21" ht="38" customHeight="1" x14ac:dyDescent="0.2">
      <c r="A43" s="11" t="s">
        <v>664</v>
      </c>
      <c r="B43" s="11" t="s">
        <v>178</v>
      </c>
      <c r="C43" s="11" t="s">
        <v>665</v>
      </c>
      <c r="D43" s="11" t="s">
        <v>666</v>
      </c>
      <c r="E43" s="11" t="s">
        <v>667</v>
      </c>
      <c r="F43" s="11" t="s">
        <v>668</v>
      </c>
      <c r="G43" s="11" t="s">
        <v>669</v>
      </c>
      <c r="H43" s="11" t="s">
        <v>336</v>
      </c>
      <c r="I43" s="11" t="s">
        <v>670</v>
      </c>
      <c r="J43" s="11" t="s">
        <v>273</v>
      </c>
      <c r="K43" s="11" t="s">
        <v>274</v>
      </c>
      <c r="L43" s="11" t="s">
        <v>274</v>
      </c>
      <c r="M43" s="11" t="s">
        <v>274</v>
      </c>
      <c r="N43" s="11" t="s">
        <v>181</v>
      </c>
      <c r="O43" s="11" t="s">
        <v>671</v>
      </c>
      <c r="P43" s="11" t="s">
        <v>672</v>
      </c>
      <c r="Q43" s="11" t="s">
        <v>651</v>
      </c>
      <c r="R43" s="11" t="s">
        <v>673</v>
      </c>
      <c r="S43" s="11" t="s">
        <v>278</v>
      </c>
      <c r="T43" s="11" t="s">
        <v>340</v>
      </c>
      <c r="U43" s="11" t="s">
        <v>341</v>
      </c>
    </row>
    <row r="44" spans="1:21" ht="38" customHeight="1" x14ac:dyDescent="0.2">
      <c r="A44" s="11" t="s">
        <v>674</v>
      </c>
      <c r="B44" s="11" t="s">
        <v>178</v>
      </c>
      <c r="C44" s="11" t="s">
        <v>675</v>
      </c>
      <c r="D44" s="11" t="s">
        <v>676</v>
      </c>
      <c r="E44" s="11" t="s">
        <v>677</v>
      </c>
      <c r="F44" s="11" t="s">
        <v>678</v>
      </c>
      <c r="G44" s="11" t="s">
        <v>679</v>
      </c>
      <c r="H44" s="11" t="s">
        <v>189</v>
      </c>
      <c r="I44" s="11" t="s">
        <v>680</v>
      </c>
      <c r="J44" s="11" t="s">
        <v>681</v>
      </c>
      <c r="K44" s="11" t="s">
        <v>393</v>
      </c>
      <c r="L44" s="11" t="s">
        <v>393</v>
      </c>
      <c r="M44" s="11" t="s">
        <v>393</v>
      </c>
      <c r="N44" s="11" t="s">
        <v>181</v>
      </c>
      <c r="O44" s="11" t="s">
        <v>682</v>
      </c>
      <c r="P44" s="11" t="s">
        <v>683</v>
      </c>
      <c r="Q44" s="11" t="s">
        <v>651</v>
      </c>
      <c r="R44" s="11" t="s">
        <v>684</v>
      </c>
      <c r="S44" s="11" t="s">
        <v>278</v>
      </c>
      <c r="T44" s="11" t="s">
        <v>301</v>
      </c>
      <c r="U44" s="11"/>
    </row>
    <row r="45" spans="1:21" ht="38" customHeight="1" x14ac:dyDescent="0.2">
      <c r="A45" s="11" t="s">
        <v>685</v>
      </c>
      <c r="B45" s="11" t="s">
        <v>178</v>
      </c>
      <c r="C45" s="11" t="s">
        <v>686</v>
      </c>
      <c r="D45" s="11" t="s">
        <v>687</v>
      </c>
      <c r="E45" s="11" t="s">
        <v>688</v>
      </c>
      <c r="F45" s="11" t="s">
        <v>689</v>
      </c>
      <c r="G45" s="11" t="s">
        <v>679</v>
      </c>
      <c r="H45" s="11" t="s">
        <v>189</v>
      </c>
      <c r="I45" s="11" t="s">
        <v>690</v>
      </c>
      <c r="J45" s="11" t="s">
        <v>691</v>
      </c>
      <c r="K45" s="11" t="s">
        <v>393</v>
      </c>
      <c r="L45" s="11" t="s">
        <v>393</v>
      </c>
      <c r="M45" s="11" t="s">
        <v>393</v>
      </c>
      <c r="N45" s="11" t="s">
        <v>181</v>
      </c>
      <c r="O45" s="11" t="s">
        <v>692</v>
      </c>
      <c r="P45" s="11" t="s">
        <v>693</v>
      </c>
      <c r="Q45" s="11" t="s">
        <v>651</v>
      </c>
      <c r="R45" s="11" t="s">
        <v>694</v>
      </c>
      <c r="S45" s="11" t="s">
        <v>278</v>
      </c>
      <c r="T45" s="11" t="s">
        <v>301</v>
      </c>
      <c r="U45" s="11"/>
    </row>
    <row r="46" spans="1:21" ht="49" customHeight="1" x14ac:dyDescent="0.2">
      <c r="A46" s="11" t="s">
        <v>695</v>
      </c>
      <c r="B46" s="11" t="s">
        <v>178</v>
      </c>
      <c r="C46" s="11" t="s">
        <v>696</v>
      </c>
      <c r="D46" s="11" t="s">
        <v>697</v>
      </c>
      <c r="E46" s="11" t="s">
        <v>698</v>
      </c>
      <c r="F46" s="11" t="s">
        <v>699</v>
      </c>
      <c r="G46" s="11" t="s">
        <v>700</v>
      </c>
      <c r="H46" s="11" t="s">
        <v>189</v>
      </c>
      <c r="I46" s="11" t="s">
        <v>701</v>
      </c>
      <c r="J46" s="11" t="s">
        <v>702</v>
      </c>
      <c r="K46" s="11" t="s">
        <v>393</v>
      </c>
      <c r="L46" s="11" t="s">
        <v>393</v>
      </c>
      <c r="M46" s="11" t="s">
        <v>393</v>
      </c>
      <c r="N46" s="11" t="s">
        <v>181</v>
      </c>
      <c r="O46" s="11" t="s">
        <v>703</v>
      </c>
      <c r="P46" s="11" t="s">
        <v>704</v>
      </c>
      <c r="Q46" s="11" t="s">
        <v>651</v>
      </c>
      <c r="R46" s="11" t="s">
        <v>705</v>
      </c>
      <c r="S46" s="11" t="s">
        <v>278</v>
      </c>
      <c r="T46" s="11" t="s">
        <v>706</v>
      </c>
      <c r="U46" s="11" t="s">
        <v>707</v>
      </c>
    </row>
    <row r="47" spans="1:21" ht="61" customHeight="1" x14ac:dyDescent="0.2">
      <c r="A47" s="11" t="s">
        <v>708</v>
      </c>
      <c r="B47" s="11" t="s">
        <v>178</v>
      </c>
      <c r="C47" s="11" t="s">
        <v>709</v>
      </c>
      <c r="D47" s="11" t="s">
        <v>710</v>
      </c>
      <c r="E47" s="11" t="s">
        <v>711</v>
      </c>
      <c r="F47" s="11" t="s">
        <v>712</v>
      </c>
      <c r="G47" s="11" t="s">
        <v>713</v>
      </c>
      <c r="H47" s="11" t="s">
        <v>714</v>
      </c>
      <c r="I47" s="11" t="s">
        <v>715</v>
      </c>
      <c r="J47" s="11" t="s">
        <v>273</v>
      </c>
      <c r="K47" s="11" t="s">
        <v>274</v>
      </c>
      <c r="L47" s="11" t="s">
        <v>274</v>
      </c>
      <c r="M47" s="11" t="s">
        <v>274</v>
      </c>
      <c r="N47" s="11" t="s">
        <v>181</v>
      </c>
      <c r="O47" s="11" t="s">
        <v>716</v>
      </c>
      <c r="P47" s="11" t="s">
        <v>717</v>
      </c>
      <c r="Q47" s="11" t="s">
        <v>651</v>
      </c>
      <c r="R47" s="11" t="s">
        <v>718</v>
      </c>
      <c r="S47" s="11" t="s">
        <v>278</v>
      </c>
      <c r="T47" s="11" t="s">
        <v>719</v>
      </c>
      <c r="U47" s="11" t="s">
        <v>720</v>
      </c>
    </row>
    <row r="48" spans="1:21" ht="38" customHeight="1" x14ac:dyDescent="0.2">
      <c r="A48" s="11" t="s">
        <v>721</v>
      </c>
      <c r="B48" s="11" t="s">
        <v>178</v>
      </c>
      <c r="C48" s="11" t="s">
        <v>722</v>
      </c>
      <c r="D48" s="11" t="s">
        <v>723</v>
      </c>
      <c r="E48" s="11" t="s">
        <v>724</v>
      </c>
      <c r="F48" s="11" t="s">
        <v>725</v>
      </c>
      <c r="G48" s="11" t="s">
        <v>726</v>
      </c>
      <c r="H48" s="11" t="s">
        <v>286</v>
      </c>
      <c r="I48" s="11" t="s">
        <v>727</v>
      </c>
      <c r="J48" s="11" t="s">
        <v>273</v>
      </c>
      <c r="K48" s="11" t="s">
        <v>274</v>
      </c>
      <c r="L48" s="11" t="s">
        <v>274</v>
      </c>
      <c r="M48" s="11" t="s">
        <v>274</v>
      </c>
      <c r="N48" s="11" t="s">
        <v>181</v>
      </c>
      <c r="O48" s="11" t="s">
        <v>728</v>
      </c>
      <c r="P48" s="11" t="s">
        <v>540</v>
      </c>
      <c r="Q48" s="11" t="s">
        <v>651</v>
      </c>
      <c r="R48" s="11" t="s">
        <v>729</v>
      </c>
      <c r="S48" s="11" t="s">
        <v>278</v>
      </c>
      <c r="T48" s="11" t="s">
        <v>301</v>
      </c>
      <c r="U48" s="11"/>
    </row>
    <row r="49" spans="1:21" ht="38" customHeight="1" x14ac:dyDescent="0.2">
      <c r="A49" s="11" t="s">
        <v>730</v>
      </c>
      <c r="B49" s="11" t="s">
        <v>178</v>
      </c>
      <c r="C49" s="11" t="s">
        <v>731</v>
      </c>
      <c r="D49" s="11" t="s">
        <v>732</v>
      </c>
      <c r="E49" s="11" t="s">
        <v>733</v>
      </c>
      <c r="F49" s="11" t="s">
        <v>734</v>
      </c>
      <c r="G49" s="11" t="s">
        <v>735</v>
      </c>
      <c r="H49" s="11" t="s">
        <v>189</v>
      </c>
      <c r="I49" s="11" t="s">
        <v>736</v>
      </c>
      <c r="J49" s="11" t="s">
        <v>273</v>
      </c>
      <c r="K49" s="11" t="s">
        <v>274</v>
      </c>
      <c r="L49" s="11" t="s">
        <v>274</v>
      </c>
      <c r="M49" s="11" t="s">
        <v>274</v>
      </c>
      <c r="N49" s="11" t="s">
        <v>181</v>
      </c>
      <c r="O49" s="11" t="s">
        <v>737</v>
      </c>
      <c r="P49" s="11" t="s">
        <v>738</v>
      </c>
      <c r="Q49" s="11" t="s">
        <v>651</v>
      </c>
      <c r="R49" s="11" t="s">
        <v>739</v>
      </c>
      <c r="S49" s="11" t="s">
        <v>278</v>
      </c>
      <c r="T49" s="11" t="s">
        <v>301</v>
      </c>
      <c r="U49" s="11"/>
    </row>
    <row r="50" spans="1:21" ht="38" customHeight="1" x14ac:dyDescent="0.2">
      <c r="A50" s="11" t="s">
        <v>740</v>
      </c>
      <c r="B50" s="11" t="s">
        <v>178</v>
      </c>
      <c r="C50" s="11" t="s">
        <v>741</v>
      </c>
      <c r="D50" s="11" t="s">
        <v>742</v>
      </c>
      <c r="E50" s="11" t="s">
        <v>743</v>
      </c>
      <c r="F50" s="11" t="s">
        <v>744</v>
      </c>
      <c r="G50" s="11" t="s">
        <v>745</v>
      </c>
      <c r="H50" s="11" t="s">
        <v>516</v>
      </c>
      <c r="I50" s="11" t="s">
        <v>746</v>
      </c>
      <c r="J50" s="11" t="s">
        <v>273</v>
      </c>
      <c r="K50" s="11" t="s">
        <v>274</v>
      </c>
      <c r="L50" s="11" t="s">
        <v>274</v>
      </c>
      <c r="M50" s="11" t="s">
        <v>274</v>
      </c>
      <c r="N50" s="11" t="s">
        <v>181</v>
      </c>
      <c r="O50" s="11" t="s">
        <v>747</v>
      </c>
      <c r="P50" s="11" t="s">
        <v>748</v>
      </c>
      <c r="Q50" s="11" t="s">
        <v>651</v>
      </c>
      <c r="R50" s="11" t="s">
        <v>749</v>
      </c>
      <c r="S50" s="11" t="s">
        <v>278</v>
      </c>
      <c r="T50" s="11" t="s">
        <v>750</v>
      </c>
      <c r="U50" s="11" t="s">
        <v>751</v>
      </c>
    </row>
    <row r="51" spans="1:21" ht="49" customHeight="1" x14ac:dyDescent="0.2">
      <c r="A51" s="11" t="s">
        <v>752</v>
      </c>
      <c r="B51" s="11" t="s">
        <v>178</v>
      </c>
      <c r="C51" s="11" t="s">
        <v>753</v>
      </c>
      <c r="D51" s="11" t="s">
        <v>754</v>
      </c>
      <c r="E51" s="11" t="s">
        <v>755</v>
      </c>
      <c r="F51" s="11" t="s">
        <v>756</v>
      </c>
      <c r="G51" s="11" t="s">
        <v>757</v>
      </c>
      <c r="H51" s="11" t="s">
        <v>189</v>
      </c>
      <c r="I51" s="11" t="s">
        <v>758</v>
      </c>
      <c r="J51" s="11" t="s">
        <v>273</v>
      </c>
      <c r="K51" s="11" t="s">
        <v>274</v>
      </c>
      <c r="L51" s="11" t="s">
        <v>274</v>
      </c>
      <c r="M51" s="11" t="s">
        <v>274</v>
      </c>
      <c r="N51" s="11" t="s">
        <v>181</v>
      </c>
      <c r="O51" s="11" t="s">
        <v>759</v>
      </c>
      <c r="P51" s="11" t="s">
        <v>760</v>
      </c>
      <c r="Q51" s="11" t="s">
        <v>651</v>
      </c>
      <c r="R51" s="11" t="s">
        <v>761</v>
      </c>
      <c r="S51" s="11" t="s">
        <v>278</v>
      </c>
      <c r="T51" s="11" t="s">
        <v>762</v>
      </c>
      <c r="U51" s="11" t="s">
        <v>763</v>
      </c>
    </row>
    <row r="52" spans="1:21" ht="38" customHeight="1" x14ac:dyDescent="0.2">
      <c r="A52" s="11" t="s">
        <v>764</v>
      </c>
      <c r="B52" s="11" t="s">
        <v>178</v>
      </c>
      <c r="C52" s="11" t="s">
        <v>765</v>
      </c>
      <c r="D52" s="11" t="s">
        <v>766</v>
      </c>
      <c r="E52" s="11" t="s">
        <v>767</v>
      </c>
      <c r="F52" s="11" t="s">
        <v>768</v>
      </c>
      <c r="G52" s="11" t="s">
        <v>769</v>
      </c>
      <c r="H52" s="11" t="s">
        <v>189</v>
      </c>
      <c r="I52" s="11" t="s">
        <v>770</v>
      </c>
      <c r="J52" s="11" t="s">
        <v>771</v>
      </c>
      <c r="K52" s="11" t="s">
        <v>393</v>
      </c>
      <c r="L52" s="11" t="s">
        <v>393</v>
      </c>
      <c r="M52" s="11" t="s">
        <v>393</v>
      </c>
      <c r="N52" s="11" t="s">
        <v>181</v>
      </c>
      <c r="O52" s="11" t="s">
        <v>772</v>
      </c>
      <c r="P52" s="11" t="s">
        <v>773</v>
      </c>
      <c r="Q52" s="11" t="s">
        <v>651</v>
      </c>
      <c r="R52" s="11"/>
      <c r="S52" s="11" t="s">
        <v>278</v>
      </c>
      <c r="T52" s="11" t="s">
        <v>774</v>
      </c>
      <c r="U52" s="11" t="s">
        <v>775</v>
      </c>
    </row>
    <row r="53" spans="1:21" ht="49" customHeight="1" x14ac:dyDescent="0.2">
      <c r="A53" s="11" t="s">
        <v>776</v>
      </c>
      <c r="B53" s="11" t="s">
        <v>178</v>
      </c>
      <c r="C53" s="11" t="s">
        <v>777</v>
      </c>
      <c r="D53" s="11" t="s">
        <v>778</v>
      </c>
      <c r="E53" s="11" t="s">
        <v>779</v>
      </c>
      <c r="F53" s="11" t="s">
        <v>780</v>
      </c>
      <c r="G53" s="11" t="s">
        <v>781</v>
      </c>
      <c r="H53" s="11" t="s">
        <v>714</v>
      </c>
      <c r="I53" s="11" t="s">
        <v>782</v>
      </c>
      <c r="J53" s="11" t="s">
        <v>783</v>
      </c>
      <c r="K53" s="11" t="s">
        <v>393</v>
      </c>
      <c r="L53" s="11" t="s">
        <v>393</v>
      </c>
      <c r="M53" s="11" t="s">
        <v>393</v>
      </c>
      <c r="N53" s="11" t="s">
        <v>181</v>
      </c>
      <c r="O53" s="11" t="s">
        <v>784</v>
      </c>
      <c r="P53" s="11" t="s">
        <v>785</v>
      </c>
      <c r="Q53" s="11" t="s">
        <v>651</v>
      </c>
      <c r="R53" s="11" t="s">
        <v>786</v>
      </c>
      <c r="S53" s="11" t="s">
        <v>278</v>
      </c>
      <c r="T53" s="11" t="s">
        <v>594</v>
      </c>
      <c r="U53" s="11" t="s">
        <v>595</v>
      </c>
    </row>
    <row r="54" spans="1:21" ht="49" customHeight="1" x14ac:dyDescent="0.2">
      <c r="A54" s="11" t="s">
        <v>787</v>
      </c>
      <c r="B54" s="11" t="s">
        <v>178</v>
      </c>
      <c r="C54" s="11" t="s">
        <v>788</v>
      </c>
      <c r="D54" s="11" t="s">
        <v>789</v>
      </c>
      <c r="E54" s="11" t="s">
        <v>790</v>
      </c>
      <c r="F54" s="11" t="s">
        <v>791</v>
      </c>
      <c r="G54" s="11" t="s">
        <v>792</v>
      </c>
      <c r="H54" s="11" t="s">
        <v>189</v>
      </c>
      <c r="I54" s="11" t="s">
        <v>793</v>
      </c>
      <c r="J54" s="11" t="s">
        <v>783</v>
      </c>
      <c r="K54" s="11" t="s">
        <v>393</v>
      </c>
      <c r="L54" s="11" t="s">
        <v>393</v>
      </c>
      <c r="M54" s="11" t="s">
        <v>393</v>
      </c>
      <c r="N54" s="11" t="s">
        <v>181</v>
      </c>
      <c r="O54" s="11" t="s">
        <v>794</v>
      </c>
      <c r="P54" s="11" t="s">
        <v>795</v>
      </c>
      <c r="Q54" s="11" t="s">
        <v>651</v>
      </c>
      <c r="R54" s="11"/>
      <c r="S54" s="11" t="s">
        <v>278</v>
      </c>
      <c r="T54" s="11" t="s">
        <v>796</v>
      </c>
      <c r="U54" s="11" t="s">
        <v>797</v>
      </c>
    </row>
    <row r="55" spans="1:21" ht="38" customHeight="1" x14ac:dyDescent="0.2">
      <c r="A55" s="11" t="s">
        <v>798</v>
      </c>
      <c r="B55" s="11" t="s">
        <v>178</v>
      </c>
      <c r="C55" s="11" t="s">
        <v>799</v>
      </c>
      <c r="D55" s="11" t="s">
        <v>800</v>
      </c>
      <c r="E55" s="11" t="s">
        <v>801</v>
      </c>
      <c r="F55" s="11" t="s">
        <v>802</v>
      </c>
      <c r="G55" s="11" t="s">
        <v>803</v>
      </c>
      <c r="H55" s="11" t="s">
        <v>197</v>
      </c>
      <c r="I55" s="11" t="s">
        <v>804</v>
      </c>
      <c r="J55" s="11" t="s">
        <v>273</v>
      </c>
      <c r="K55" s="11" t="s">
        <v>274</v>
      </c>
      <c r="L55" s="11" t="s">
        <v>274</v>
      </c>
      <c r="M55" s="11" t="s">
        <v>274</v>
      </c>
      <c r="N55" s="11" t="s">
        <v>181</v>
      </c>
      <c r="O55" s="11" t="s">
        <v>805</v>
      </c>
      <c r="P55" s="11" t="s">
        <v>806</v>
      </c>
      <c r="Q55" s="11" t="s">
        <v>651</v>
      </c>
      <c r="R55" s="11" t="s">
        <v>807</v>
      </c>
      <c r="S55" s="11" t="s">
        <v>278</v>
      </c>
      <c r="T55" s="11" t="s">
        <v>808</v>
      </c>
      <c r="U55" s="11" t="s">
        <v>809</v>
      </c>
    </row>
    <row r="56" spans="1:21" ht="38" customHeight="1" x14ac:dyDescent="0.2">
      <c r="A56" s="11" t="s">
        <v>810</v>
      </c>
      <c r="B56" s="11" t="s">
        <v>178</v>
      </c>
      <c r="C56" s="11" t="s">
        <v>811</v>
      </c>
      <c r="D56" s="11" t="s">
        <v>812</v>
      </c>
      <c r="E56" s="11" t="s">
        <v>813</v>
      </c>
      <c r="F56" s="11" t="s">
        <v>814</v>
      </c>
      <c r="G56" s="11" t="s">
        <v>815</v>
      </c>
      <c r="H56" s="11" t="s">
        <v>197</v>
      </c>
      <c r="I56" s="11" t="s">
        <v>816</v>
      </c>
      <c r="J56" s="11" t="s">
        <v>273</v>
      </c>
      <c r="K56" s="11" t="s">
        <v>274</v>
      </c>
      <c r="L56" s="11" t="s">
        <v>274</v>
      </c>
      <c r="M56" s="11" t="s">
        <v>274</v>
      </c>
      <c r="N56" s="11" t="s">
        <v>181</v>
      </c>
      <c r="O56" s="11" t="s">
        <v>817</v>
      </c>
      <c r="P56" s="11" t="s">
        <v>818</v>
      </c>
      <c r="Q56" s="11" t="s">
        <v>651</v>
      </c>
      <c r="R56" s="11" t="s">
        <v>819</v>
      </c>
      <c r="S56" s="11" t="s">
        <v>278</v>
      </c>
      <c r="T56" s="11" t="s">
        <v>301</v>
      </c>
      <c r="U56" s="11"/>
    </row>
    <row r="57" spans="1:21" ht="38" customHeight="1" x14ac:dyDescent="0.2">
      <c r="A57" s="11" t="s">
        <v>820</v>
      </c>
      <c r="B57" s="11" t="s">
        <v>178</v>
      </c>
      <c r="C57" s="11" t="s">
        <v>821</v>
      </c>
      <c r="D57" s="11" t="s">
        <v>822</v>
      </c>
      <c r="E57" s="11" t="s">
        <v>823</v>
      </c>
      <c r="F57" s="11" t="s">
        <v>824</v>
      </c>
      <c r="G57" s="11" t="s">
        <v>368</v>
      </c>
      <c r="H57" s="11" t="s">
        <v>166</v>
      </c>
      <c r="I57" s="11" t="s">
        <v>825</v>
      </c>
      <c r="J57" s="11" t="s">
        <v>273</v>
      </c>
      <c r="K57" s="11" t="s">
        <v>274</v>
      </c>
      <c r="L57" s="11" t="s">
        <v>274</v>
      </c>
      <c r="M57" s="11" t="s">
        <v>274</v>
      </c>
      <c r="N57" s="11" t="s">
        <v>181</v>
      </c>
      <c r="O57" s="11" t="s">
        <v>826</v>
      </c>
      <c r="P57" s="11" t="s">
        <v>827</v>
      </c>
      <c r="Q57" s="11" t="s">
        <v>651</v>
      </c>
      <c r="R57" s="11" t="s">
        <v>828</v>
      </c>
      <c r="S57" s="11" t="s">
        <v>278</v>
      </c>
      <c r="T57" s="11" t="s">
        <v>373</v>
      </c>
      <c r="U57" s="11" t="s">
        <v>374</v>
      </c>
    </row>
    <row r="58" spans="1:21" ht="38" customHeight="1" x14ac:dyDescent="0.2">
      <c r="A58" s="11" t="s">
        <v>829</v>
      </c>
      <c r="B58" s="11" t="s">
        <v>178</v>
      </c>
      <c r="C58" s="11" t="s">
        <v>830</v>
      </c>
      <c r="D58" s="11" t="s">
        <v>831</v>
      </c>
      <c r="E58" s="11" t="s">
        <v>832</v>
      </c>
      <c r="F58" s="11" t="s">
        <v>833</v>
      </c>
      <c r="G58" s="11" t="s">
        <v>834</v>
      </c>
      <c r="H58" s="11" t="s">
        <v>197</v>
      </c>
      <c r="I58" s="11" t="s">
        <v>835</v>
      </c>
      <c r="J58" s="11" t="s">
        <v>273</v>
      </c>
      <c r="K58" s="11" t="s">
        <v>274</v>
      </c>
      <c r="L58" s="11" t="s">
        <v>274</v>
      </c>
      <c r="M58" s="11" t="s">
        <v>274</v>
      </c>
      <c r="N58" s="11" t="s">
        <v>181</v>
      </c>
      <c r="O58" s="11" t="s">
        <v>836</v>
      </c>
      <c r="P58" s="11" t="s">
        <v>837</v>
      </c>
      <c r="Q58" s="11" t="s">
        <v>651</v>
      </c>
      <c r="R58" s="11" t="s">
        <v>838</v>
      </c>
      <c r="S58" s="11" t="s">
        <v>278</v>
      </c>
      <c r="T58" s="11" t="s">
        <v>301</v>
      </c>
      <c r="U58" s="11"/>
    </row>
    <row r="59" spans="1:21" ht="38" customHeight="1" x14ac:dyDescent="0.2">
      <c r="A59" s="11" t="s">
        <v>839</v>
      </c>
      <c r="B59" s="11" t="s">
        <v>178</v>
      </c>
      <c r="C59" s="11" t="s">
        <v>840</v>
      </c>
      <c r="D59" s="11" t="s">
        <v>841</v>
      </c>
      <c r="E59" s="11" t="s">
        <v>842</v>
      </c>
      <c r="F59" s="11" t="s">
        <v>843</v>
      </c>
      <c r="G59" s="11" t="s">
        <v>844</v>
      </c>
      <c r="H59" s="11" t="s">
        <v>189</v>
      </c>
      <c r="I59" s="11" t="s">
        <v>845</v>
      </c>
      <c r="J59" s="11" t="s">
        <v>273</v>
      </c>
      <c r="K59" s="11" t="s">
        <v>274</v>
      </c>
      <c r="L59" s="11" t="s">
        <v>274</v>
      </c>
      <c r="M59" s="11" t="s">
        <v>274</v>
      </c>
      <c r="N59" s="11" t="s">
        <v>181</v>
      </c>
      <c r="O59" s="11" t="s">
        <v>846</v>
      </c>
      <c r="P59" s="11" t="s">
        <v>847</v>
      </c>
      <c r="Q59" s="11" t="s">
        <v>651</v>
      </c>
      <c r="R59" s="11" t="s">
        <v>848</v>
      </c>
      <c r="S59" s="11" t="s">
        <v>278</v>
      </c>
      <c r="T59" s="11" t="s">
        <v>301</v>
      </c>
      <c r="U59" s="11"/>
    </row>
    <row r="60" spans="1:21" ht="38" customHeight="1" x14ac:dyDescent="0.2">
      <c r="A60" s="11" t="s">
        <v>849</v>
      </c>
      <c r="B60" s="11" t="s">
        <v>178</v>
      </c>
      <c r="C60" s="11" t="s">
        <v>181</v>
      </c>
      <c r="D60" s="11" t="s">
        <v>850</v>
      </c>
      <c r="E60" s="11" t="s">
        <v>851</v>
      </c>
      <c r="F60" s="11" t="s">
        <v>852</v>
      </c>
      <c r="G60" s="11" t="s">
        <v>853</v>
      </c>
      <c r="H60" s="11" t="s">
        <v>166</v>
      </c>
      <c r="I60" s="11" t="s">
        <v>854</v>
      </c>
      <c r="J60" s="11" t="s">
        <v>273</v>
      </c>
      <c r="K60" s="11" t="s">
        <v>274</v>
      </c>
      <c r="L60" s="11" t="s">
        <v>274</v>
      </c>
      <c r="M60" s="11" t="s">
        <v>274</v>
      </c>
      <c r="N60" s="11" t="s">
        <v>181</v>
      </c>
      <c r="O60" s="11" t="s">
        <v>855</v>
      </c>
      <c r="P60" s="11" t="s">
        <v>451</v>
      </c>
      <c r="Q60" s="11" t="s">
        <v>651</v>
      </c>
      <c r="R60" s="11" t="s">
        <v>856</v>
      </c>
      <c r="S60" s="11" t="s">
        <v>278</v>
      </c>
      <c r="T60" s="11" t="s">
        <v>301</v>
      </c>
      <c r="U60" s="11"/>
    </row>
    <row r="61" spans="1:21" ht="38" customHeight="1" x14ac:dyDescent="0.2">
      <c r="A61" s="12" t="s">
        <v>857</v>
      </c>
      <c r="B61" s="12" t="s">
        <v>185</v>
      </c>
      <c r="C61" s="12" t="s">
        <v>858</v>
      </c>
      <c r="D61" s="12" t="s">
        <v>859</v>
      </c>
      <c r="E61" s="12" t="s">
        <v>860</v>
      </c>
      <c r="F61" s="12" t="s">
        <v>861</v>
      </c>
      <c r="G61" s="12" t="s">
        <v>862</v>
      </c>
      <c r="H61" s="12" t="s">
        <v>189</v>
      </c>
      <c r="I61" s="12" t="s">
        <v>863</v>
      </c>
      <c r="J61" s="12" t="s">
        <v>273</v>
      </c>
      <c r="K61" s="12" t="s">
        <v>274</v>
      </c>
      <c r="L61" s="12" t="s">
        <v>274</v>
      </c>
      <c r="M61" s="12" t="s">
        <v>274</v>
      </c>
      <c r="N61" s="12" t="s">
        <v>196</v>
      </c>
      <c r="O61" s="12" t="s">
        <v>864</v>
      </c>
      <c r="P61" s="12" t="s">
        <v>865</v>
      </c>
      <c r="Q61" s="12" t="s">
        <v>866</v>
      </c>
      <c r="R61" s="12" t="s">
        <v>867</v>
      </c>
      <c r="S61" s="12" t="s">
        <v>278</v>
      </c>
      <c r="T61" s="12" t="s">
        <v>868</v>
      </c>
      <c r="U61" s="12" t="s">
        <v>869</v>
      </c>
    </row>
    <row r="62" spans="1:21" ht="38" customHeight="1" x14ac:dyDescent="0.2">
      <c r="A62" s="12" t="s">
        <v>870</v>
      </c>
      <c r="B62" s="12" t="s">
        <v>185</v>
      </c>
      <c r="C62" s="12" t="s">
        <v>871</v>
      </c>
      <c r="D62" s="12" t="s">
        <v>872</v>
      </c>
      <c r="E62" s="12" t="s">
        <v>873</v>
      </c>
      <c r="F62" s="12" t="s">
        <v>874</v>
      </c>
      <c r="G62" s="12" t="s">
        <v>875</v>
      </c>
      <c r="H62" s="12" t="s">
        <v>714</v>
      </c>
      <c r="I62" s="12" t="s">
        <v>876</v>
      </c>
      <c r="J62" s="12" t="s">
        <v>590</v>
      </c>
      <c r="K62" s="12" t="s">
        <v>393</v>
      </c>
      <c r="L62" s="12" t="s">
        <v>393</v>
      </c>
      <c r="M62" s="12" t="s">
        <v>393</v>
      </c>
      <c r="N62" s="12" t="s">
        <v>196</v>
      </c>
      <c r="O62" s="12" t="s">
        <v>877</v>
      </c>
      <c r="P62" s="12" t="s">
        <v>878</v>
      </c>
      <c r="Q62" s="12" t="s">
        <v>866</v>
      </c>
      <c r="R62" s="12" t="s">
        <v>593</v>
      </c>
      <c r="S62" s="12" t="s">
        <v>278</v>
      </c>
      <c r="T62" s="12" t="s">
        <v>879</v>
      </c>
      <c r="U62" s="12" t="s">
        <v>880</v>
      </c>
    </row>
    <row r="63" spans="1:21" ht="38" customHeight="1" x14ac:dyDescent="0.2">
      <c r="A63" s="12" t="s">
        <v>881</v>
      </c>
      <c r="B63" s="12" t="s">
        <v>185</v>
      </c>
      <c r="C63" s="12" t="s">
        <v>882</v>
      </c>
      <c r="D63" s="12" t="s">
        <v>883</v>
      </c>
      <c r="E63" s="12" t="s">
        <v>884</v>
      </c>
      <c r="F63" s="12" t="s">
        <v>885</v>
      </c>
      <c r="G63" s="12" t="s">
        <v>886</v>
      </c>
      <c r="H63" s="12" t="s">
        <v>189</v>
      </c>
      <c r="I63" s="12" t="s">
        <v>887</v>
      </c>
      <c r="J63" s="12" t="s">
        <v>888</v>
      </c>
      <c r="K63" s="12" t="s">
        <v>393</v>
      </c>
      <c r="L63" s="12" t="s">
        <v>393</v>
      </c>
      <c r="M63" s="12" t="s">
        <v>393</v>
      </c>
      <c r="N63" s="12" t="s">
        <v>196</v>
      </c>
      <c r="O63" s="12" t="s">
        <v>889</v>
      </c>
      <c r="P63" s="12" t="s">
        <v>890</v>
      </c>
      <c r="Q63" s="12" t="s">
        <v>866</v>
      </c>
      <c r="R63" s="12"/>
      <c r="S63" s="12" t="s">
        <v>278</v>
      </c>
      <c r="T63" s="12" t="s">
        <v>774</v>
      </c>
      <c r="U63" s="12" t="s">
        <v>775</v>
      </c>
    </row>
    <row r="64" spans="1:21" ht="49" customHeight="1" x14ac:dyDescent="0.2">
      <c r="A64" s="12" t="s">
        <v>891</v>
      </c>
      <c r="B64" s="12" t="s">
        <v>185</v>
      </c>
      <c r="C64" s="12" t="s">
        <v>892</v>
      </c>
      <c r="D64" s="12" t="s">
        <v>893</v>
      </c>
      <c r="E64" s="12" t="s">
        <v>894</v>
      </c>
      <c r="F64" s="12" t="s">
        <v>895</v>
      </c>
      <c r="G64" s="12" t="s">
        <v>896</v>
      </c>
      <c r="H64" s="12" t="s">
        <v>189</v>
      </c>
      <c r="I64" s="12" t="s">
        <v>897</v>
      </c>
      <c r="J64" s="12" t="s">
        <v>590</v>
      </c>
      <c r="K64" s="12" t="s">
        <v>393</v>
      </c>
      <c r="L64" s="12" t="s">
        <v>393</v>
      </c>
      <c r="M64" s="12" t="s">
        <v>393</v>
      </c>
      <c r="N64" s="12" t="s">
        <v>196</v>
      </c>
      <c r="O64" s="12" t="s">
        <v>898</v>
      </c>
      <c r="P64" s="12" t="s">
        <v>795</v>
      </c>
      <c r="Q64" s="12" t="s">
        <v>866</v>
      </c>
      <c r="R64" s="12" t="s">
        <v>899</v>
      </c>
      <c r="S64" s="12" t="s">
        <v>278</v>
      </c>
      <c r="T64" s="12" t="s">
        <v>796</v>
      </c>
      <c r="U64" s="12" t="s">
        <v>797</v>
      </c>
    </row>
    <row r="65" spans="1:21" ht="38" customHeight="1" x14ac:dyDescent="0.2">
      <c r="A65" s="12" t="s">
        <v>900</v>
      </c>
      <c r="B65" s="12" t="s">
        <v>185</v>
      </c>
      <c r="C65" s="12" t="s">
        <v>901</v>
      </c>
      <c r="D65" s="12" t="s">
        <v>902</v>
      </c>
      <c r="E65" s="12" t="s">
        <v>903</v>
      </c>
      <c r="F65" s="12" t="s">
        <v>904</v>
      </c>
      <c r="G65" s="12" t="s">
        <v>905</v>
      </c>
      <c r="H65" s="12" t="s">
        <v>189</v>
      </c>
      <c r="I65" s="12" t="s">
        <v>906</v>
      </c>
      <c r="J65" s="12" t="s">
        <v>907</v>
      </c>
      <c r="K65" s="12" t="s">
        <v>393</v>
      </c>
      <c r="L65" s="12" t="s">
        <v>393</v>
      </c>
      <c r="M65" s="12" t="s">
        <v>393</v>
      </c>
      <c r="N65" s="12" t="s">
        <v>196</v>
      </c>
      <c r="O65" s="12" t="s">
        <v>891</v>
      </c>
      <c r="P65" s="12" t="s">
        <v>908</v>
      </c>
      <c r="Q65" s="12" t="s">
        <v>866</v>
      </c>
      <c r="R65" s="12"/>
      <c r="S65" s="12" t="s">
        <v>278</v>
      </c>
      <c r="T65" s="12" t="s">
        <v>909</v>
      </c>
      <c r="U65" s="12" t="s">
        <v>910</v>
      </c>
    </row>
    <row r="66" spans="1:21" ht="38" customHeight="1" x14ac:dyDescent="0.2">
      <c r="A66" s="12" t="s">
        <v>911</v>
      </c>
      <c r="B66" s="12" t="s">
        <v>185</v>
      </c>
      <c r="C66" s="12" t="s">
        <v>912</v>
      </c>
      <c r="D66" s="12" t="s">
        <v>913</v>
      </c>
      <c r="E66" s="12" t="s">
        <v>914</v>
      </c>
      <c r="F66" s="12" t="s">
        <v>915</v>
      </c>
      <c r="G66" s="12" t="s">
        <v>916</v>
      </c>
      <c r="H66" s="12" t="s">
        <v>336</v>
      </c>
      <c r="I66" s="12" t="s">
        <v>917</v>
      </c>
      <c r="J66" s="12" t="s">
        <v>273</v>
      </c>
      <c r="K66" s="12" t="s">
        <v>274</v>
      </c>
      <c r="L66" s="12" t="s">
        <v>274</v>
      </c>
      <c r="M66" s="12" t="s">
        <v>274</v>
      </c>
      <c r="N66" s="12" t="s">
        <v>196</v>
      </c>
      <c r="O66" s="12" t="s">
        <v>918</v>
      </c>
      <c r="P66" s="12" t="s">
        <v>919</v>
      </c>
      <c r="Q66" s="12" t="s">
        <v>866</v>
      </c>
      <c r="R66" s="12" t="s">
        <v>920</v>
      </c>
      <c r="S66" s="12" t="s">
        <v>278</v>
      </c>
      <c r="T66" s="12" t="s">
        <v>301</v>
      </c>
      <c r="U66" s="12"/>
    </row>
    <row r="67" spans="1:21" ht="38" customHeight="1" x14ac:dyDescent="0.2">
      <c r="A67" s="12" t="s">
        <v>921</v>
      </c>
      <c r="B67" s="12" t="s">
        <v>185</v>
      </c>
      <c r="C67" s="12" t="s">
        <v>922</v>
      </c>
      <c r="D67" s="12" t="s">
        <v>923</v>
      </c>
      <c r="E67" s="12" t="s">
        <v>924</v>
      </c>
      <c r="F67" s="12" t="s">
        <v>925</v>
      </c>
      <c r="G67" s="12" t="s">
        <v>926</v>
      </c>
      <c r="H67" s="12" t="s">
        <v>516</v>
      </c>
      <c r="I67" s="12" t="s">
        <v>927</v>
      </c>
      <c r="J67" s="12" t="s">
        <v>273</v>
      </c>
      <c r="K67" s="12" t="s">
        <v>274</v>
      </c>
      <c r="L67" s="12" t="s">
        <v>274</v>
      </c>
      <c r="M67" s="12" t="s">
        <v>274</v>
      </c>
      <c r="N67" s="12" t="s">
        <v>196</v>
      </c>
      <c r="O67" s="12" t="s">
        <v>928</v>
      </c>
      <c r="P67" s="12" t="s">
        <v>929</v>
      </c>
      <c r="Q67" s="12" t="s">
        <v>866</v>
      </c>
      <c r="R67" s="12" t="s">
        <v>930</v>
      </c>
      <c r="S67" s="12" t="s">
        <v>278</v>
      </c>
      <c r="T67" s="12" t="s">
        <v>750</v>
      </c>
      <c r="U67" s="12" t="s">
        <v>751</v>
      </c>
    </row>
    <row r="68" spans="1:21" ht="38" customHeight="1" x14ac:dyDescent="0.2">
      <c r="A68" s="12" t="s">
        <v>931</v>
      </c>
      <c r="B68" s="12" t="s">
        <v>185</v>
      </c>
      <c r="C68" s="12" t="s">
        <v>932</v>
      </c>
      <c r="D68" s="12" t="s">
        <v>933</v>
      </c>
      <c r="E68" s="12" t="s">
        <v>934</v>
      </c>
      <c r="F68" s="12" t="s">
        <v>935</v>
      </c>
      <c r="G68" s="12" t="s">
        <v>936</v>
      </c>
      <c r="H68" s="12" t="s">
        <v>189</v>
      </c>
      <c r="I68" s="12" t="s">
        <v>937</v>
      </c>
      <c r="J68" s="12" t="s">
        <v>681</v>
      </c>
      <c r="K68" s="12" t="s">
        <v>393</v>
      </c>
      <c r="L68" s="12" t="s">
        <v>393</v>
      </c>
      <c r="M68" s="12" t="s">
        <v>393</v>
      </c>
      <c r="N68" s="12" t="s">
        <v>196</v>
      </c>
      <c r="O68" s="12" t="s">
        <v>938</v>
      </c>
      <c r="P68" s="12" t="s">
        <v>939</v>
      </c>
      <c r="Q68" s="12" t="s">
        <v>866</v>
      </c>
      <c r="R68" s="12" t="s">
        <v>940</v>
      </c>
      <c r="S68" s="12" t="s">
        <v>278</v>
      </c>
      <c r="T68" s="12" t="s">
        <v>301</v>
      </c>
      <c r="U68" s="12"/>
    </row>
    <row r="69" spans="1:21" ht="38" customHeight="1" x14ac:dyDescent="0.2">
      <c r="A69" s="12" t="s">
        <v>941</v>
      </c>
      <c r="B69" s="12" t="s">
        <v>185</v>
      </c>
      <c r="C69" s="12" t="s">
        <v>942</v>
      </c>
      <c r="D69" s="12" t="s">
        <v>943</v>
      </c>
      <c r="E69" s="12" t="s">
        <v>944</v>
      </c>
      <c r="F69" s="12" t="s">
        <v>945</v>
      </c>
      <c r="G69" s="12" t="s">
        <v>946</v>
      </c>
      <c r="H69" s="12" t="s">
        <v>189</v>
      </c>
      <c r="I69" s="12" t="s">
        <v>947</v>
      </c>
      <c r="J69" s="12" t="s">
        <v>691</v>
      </c>
      <c r="K69" s="12" t="s">
        <v>393</v>
      </c>
      <c r="L69" s="12" t="s">
        <v>393</v>
      </c>
      <c r="M69" s="12" t="s">
        <v>393</v>
      </c>
      <c r="N69" s="12" t="s">
        <v>196</v>
      </c>
      <c r="O69" s="12" t="s">
        <v>948</v>
      </c>
      <c r="P69" s="12" t="s">
        <v>949</v>
      </c>
      <c r="Q69" s="12" t="s">
        <v>866</v>
      </c>
      <c r="R69" s="12" t="s">
        <v>950</v>
      </c>
      <c r="S69" s="12" t="s">
        <v>278</v>
      </c>
      <c r="T69" s="12" t="s">
        <v>301</v>
      </c>
      <c r="U69" s="12"/>
    </row>
    <row r="70" spans="1:21" ht="38" customHeight="1" x14ac:dyDescent="0.2">
      <c r="A70" s="12" t="s">
        <v>951</v>
      </c>
      <c r="B70" s="12" t="s">
        <v>185</v>
      </c>
      <c r="C70" s="12" t="s">
        <v>952</v>
      </c>
      <c r="D70" s="12" t="s">
        <v>953</v>
      </c>
      <c r="E70" s="12" t="s">
        <v>954</v>
      </c>
      <c r="F70" s="12" t="s">
        <v>955</v>
      </c>
      <c r="G70" s="12" t="s">
        <v>956</v>
      </c>
      <c r="H70" s="12" t="s">
        <v>189</v>
      </c>
      <c r="I70" s="12" t="s">
        <v>957</v>
      </c>
      <c r="J70" s="12" t="s">
        <v>273</v>
      </c>
      <c r="K70" s="12" t="s">
        <v>274</v>
      </c>
      <c r="L70" s="12" t="s">
        <v>274</v>
      </c>
      <c r="M70" s="12" t="s">
        <v>274</v>
      </c>
      <c r="N70" s="12" t="s">
        <v>196</v>
      </c>
      <c r="O70" s="12" t="s">
        <v>958</v>
      </c>
      <c r="P70" s="12" t="s">
        <v>959</v>
      </c>
      <c r="Q70" s="12" t="s">
        <v>866</v>
      </c>
      <c r="R70" s="12" t="s">
        <v>960</v>
      </c>
      <c r="S70" s="12" t="s">
        <v>278</v>
      </c>
      <c r="T70" s="12" t="s">
        <v>301</v>
      </c>
      <c r="U70" s="12"/>
    </row>
    <row r="71" spans="1:21" ht="49" customHeight="1" x14ac:dyDescent="0.2">
      <c r="A71" s="12" t="s">
        <v>961</v>
      </c>
      <c r="B71" s="12" t="s">
        <v>185</v>
      </c>
      <c r="C71" s="12" t="s">
        <v>962</v>
      </c>
      <c r="D71" s="12" t="s">
        <v>963</v>
      </c>
      <c r="E71" s="12" t="s">
        <v>964</v>
      </c>
      <c r="F71" s="12" t="s">
        <v>965</v>
      </c>
      <c r="G71" s="12" t="s">
        <v>700</v>
      </c>
      <c r="H71" s="12" t="s">
        <v>714</v>
      </c>
      <c r="I71" s="12" t="s">
        <v>966</v>
      </c>
      <c r="J71" s="12" t="s">
        <v>702</v>
      </c>
      <c r="K71" s="12" t="s">
        <v>393</v>
      </c>
      <c r="L71" s="12" t="s">
        <v>393</v>
      </c>
      <c r="M71" s="12" t="s">
        <v>393</v>
      </c>
      <c r="N71" s="12" t="s">
        <v>196</v>
      </c>
      <c r="O71" s="12" t="s">
        <v>967</v>
      </c>
      <c r="P71" s="12" t="s">
        <v>704</v>
      </c>
      <c r="Q71" s="12" t="s">
        <v>866</v>
      </c>
      <c r="R71" s="12" t="s">
        <v>968</v>
      </c>
      <c r="S71" s="12" t="s">
        <v>278</v>
      </c>
      <c r="T71" s="12" t="s">
        <v>969</v>
      </c>
      <c r="U71" s="12" t="s">
        <v>970</v>
      </c>
    </row>
    <row r="72" spans="1:21" ht="38" customHeight="1" x14ac:dyDescent="0.2">
      <c r="A72" s="12" t="s">
        <v>971</v>
      </c>
      <c r="B72" s="12" t="s">
        <v>185</v>
      </c>
      <c r="C72" s="12" t="s">
        <v>972</v>
      </c>
      <c r="D72" s="12" t="s">
        <v>973</v>
      </c>
      <c r="E72" s="12" t="s">
        <v>974</v>
      </c>
      <c r="F72" s="12" t="s">
        <v>975</v>
      </c>
      <c r="G72" s="12" t="s">
        <v>976</v>
      </c>
      <c r="H72" s="12" t="s">
        <v>189</v>
      </c>
      <c r="I72" s="12" t="s">
        <v>977</v>
      </c>
      <c r="J72" s="12" t="s">
        <v>273</v>
      </c>
      <c r="K72" s="12" t="s">
        <v>274</v>
      </c>
      <c r="L72" s="12" t="s">
        <v>274</v>
      </c>
      <c r="M72" s="12" t="s">
        <v>274</v>
      </c>
      <c r="N72" s="12" t="s">
        <v>196</v>
      </c>
      <c r="O72" s="12" t="s">
        <v>978</v>
      </c>
      <c r="P72" s="12" t="s">
        <v>979</v>
      </c>
      <c r="Q72" s="12" t="s">
        <v>866</v>
      </c>
      <c r="R72" s="12" t="s">
        <v>980</v>
      </c>
      <c r="S72" s="12" t="s">
        <v>278</v>
      </c>
      <c r="T72" s="12" t="s">
        <v>301</v>
      </c>
      <c r="U72" s="12"/>
    </row>
    <row r="73" spans="1:21" ht="38" customHeight="1" x14ac:dyDescent="0.2">
      <c r="A73" s="12" t="s">
        <v>981</v>
      </c>
      <c r="B73" s="12" t="s">
        <v>185</v>
      </c>
      <c r="C73" s="12" t="s">
        <v>982</v>
      </c>
      <c r="D73" s="12" t="s">
        <v>983</v>
      </c>
      <c r="E73" s="12" t="s">
        <v>984</v>
      </c>
      <c r="F73" s="12" t="s">
        <v>985</v>
      </c>
      <c r="G73" s="12" t="s">
        <v>986</v>
      </c>
      <c r="H73" s="12" t="s">
        <v>286</v>
      </c>
      <c r="I73" s="12" t="s">
        <v>987</v>
      </c>
      <c r="J73" s="12" t="s">
        <v>273</v>
      </c>
      <c r="K73" s="12" t="s">
        <v>274</v>
      </c>
      <c r="L73" s="12" t="s">
        <v>274</v>
      </c>
      <c r="M73" s="12" t="s">
        <v>274</v>
      </c>
      <c r="N73" s="12" t="s">
        <v>196</v>
      </c>
      <c r="O73" s="12" t="s">
        <v>988</v>
      </c>
      <c r="P73" s="12" t="s">
        <v>989</v>
      </c>
      <c r="Q73" s="12" t="s">
        <v>866</v>
      </c>
      <c r="R73" s="12" t="s">
        <v>990</v>
      </c>
      <c r="S73" s="12" t="s">
        <v>278</v>
      </c>
      <c r="T73" s="12" t="s">
        <v>301</v>
      </c>
      <c r="U73" s="12"/>
    </row>
    <row r="74" spans="1:21" ht="38" customHeight="1" x14ac:dyDescent="0.2">
      <c r="A74" s="12" t="s">
        <v>991</v>
      </c>
      <c r="B74" s="12" t="s">
        <v>185</v>
      </c>
      <c r="C74" s="12" t="s">
        <v>992</v>
      </c>
      <c r="D74" s="12" t="s">
        <v>993</v>
      </c>
      <c r="E74" s="12" t="s">
        <v>994</v>
      </c>
      <c r="F74" s="12" t="s">
        <v>995</v>
      </c>
      <c r="G74" s="12" t="s">
        <v>996</v>
      </c>
      <c r="H74" s="12" t="s">
        <v>166</v>
      </c>
      <c r="I74" s="12" t="s">
        <v>997</v>
      </c>
      <c r="J74" s="12" t="s">
        <v>568</v>
      </c>
      <c r="K74" s="12" t="s">
        <v>393</v>
      </c>
      <c r="L74" s="12" t="s">
        <v>393</v>
      </c>
      <c r="M74" s="12" t="s">
        <v>393</v>
      </c>
      <c r="N74" s="12" t="s">
        <v>196</v>
      </c>
      <c r="O74" s="12" t="s">
        <v>998</v>
      </c>
      <c r="P74" s="12" t="s">
        <v>999</v>
      </c>
      <c r="Q74" s="12" t="s">
        <v>866</v>
      </c>
      <c r="R74" s="12"/>
      <c r="S74" s="12" t="s">
        <v>278</v>
      </c>
      <c r="T74" s="12" t="s">
        <v>301</v>
      </c>
      <c r="U74" s="12"/>
    </row>
    <row r="75" spans="1:21" ht="38" customHeight="1" x14ac:dyDescent="0.2">
      <c r="A75" s="12" t="s">
        <v>1000</v>
      </c>
      <c r="B75" s="12" t="s">
        <v>185</v>
      </c>
      <c r="C75" s="12" t="s">
        <v>1001</v>
      </c>
      <c r="D75" s="12" t="s">
        <v>1002</v>
      </c>
      <c r="E75" s="12" t="s">
        <v>1003</v>
      </c>
      <c r="F75" s="12" t="s">
        <v>1004</v>
      </c>
      <c r="G75" s="12" t="s">
        <v>1005</v>
      </c>
      <c r="H75" s="12" t="s">
        <v>197</v>
      </c>
      <c r="I75" s="12" t="s">
        <v>1006</v>
      </c>
      <c r="J75" s="12" t="s">
        <v>273</v>
      </c>
      <c r="K75" s="12" t="s">
        <v>274</v>
      </c>
      <c r="L75" s="12" t="s">
        <v>274</v>
      </c>
      <c r="M75" s="12" t="s">
        <v>274</v>
      </c>
      <c r="N75" s="12" t="s">
        <v>196</v>
      </c>
      <c r="O75" s="12" t="s">
        <v>1007</v>
      </c>
      <c r="P75" s="12" t="s">
        <v>806</v>
      </c>
      <c r="Q75" s="12" t="s">
        <v>866</v>
      </c>
      <c r="R75" s="12" t="s">
        <v>807</v>
      </c>
      <c r="S75" s="12" t="s">
        <v>278</v>
      </c>
      <c r="T75" s="12" t="s">
        <v>808</v>
      </c>
      <c r="U75" s="12" t="s">
        <v>809</v>
      </c>
    </row>
    <row r="76" spans="1:21" ht="38" customHeight="1" x14ac:dyDescent="0.2">
      <c r="A76" s="12" t="s">
        <v>1008</v>
      </c>
      <c r="B76" s="12" t="s">
        <v>185</v>
      </c>
      <c r="C76" s="12" t="s">
        <v>1009</v>
      </c>
      <c r="D76" s="12" t="s">
        <v>1010</v>
      </c>
      <c r="E76" s="12" t="s">
        <v>1011</v>
      </c>
      <c r="F76" s="12" t="s">
        <v>1012</v>
      </c>
      <c r="G76" s="12" t="s">
        <v>1013</v>
      </c>
      <c r="H76" s="12" t="s">
        <v>189</v>
      </c>
      <c r="I76" s="12" t="s">
        <v>1014</v>
      </c>
      <c r="J76" s="12" t="s">
        <v>273</v>
      </c>
      <c r="K76" s="12" t="s">
        <v>274</v>
      </c>
      <c r="L76" s="12" t="s">
        <v>274</v>
      </c>
      <c r="M76" s="12" t="s">
        <v>274</v>
      </c>
      <c r="N76" s="12" t="s">
        <v>196</v>
      </c>
      <c r="O76" s="12" t="s">
        <v>1015</v>
      </c>
      <c r="P76" s="12" t="s">
        <v>1016</v>
      </c>
      <c r="Q76" s="12" t="s">
        <v>866</v>
      </c>
      <c r="R76" s="12" t="s">
        <v>1017</v>
      </c>
      <c r="S76" s="12" t="s">
        <v>278</v>
      </c>
      <c r="T76" s="12" t="s">
        <v>868</v>
      </c>
      <c r="U76" s="12" t="s">
        <v>869</v>
      </c>
    </row>
    <row r="77" spans="1:21" ht="38" customHeight="1" x14ac:dyDescent="0.2">
      <c r="A77" s="12" t="s">
        <v>1018</v>
      </c>
      <c r="B77" s="12" t="s">
        <v>185</v>
      </c>
      <c r="C77" s="12" t="s">
        <v>1019</v>
      </c>
      <c r="D77" s="12" t="s">
        <v>1020</v>
      </c>
      <c r="E77" s="12" t="s">
        <v>1021</v>
      </c>
      <c r="F77" s="12" t="s">
        <v>1022</v>
      </c>
      <c r="G77" s="12" t="s">
        <v>1023</v>
      </c>
      <c r="H77" s="12" t="s">
        <v>516</v>
      </c>
      <c r="I77" s="12" t="s">
        <v>1024</v>
      </c>
      <c r="J77" s="12" t="s">
        <v>273</v>
      </c>
      <c r="K77" s="12" t="s">
        <v>274</v>
      </c>
      <c r="L77" s="12" t="s">
        <v>274</v>
      </c>
      <c r="M77" s="12" t="s">
        <v>274</v>
      </c>
      <c r="N77" s="12" t="s">
        <v>196</v>
      </c>
      <c r="O77" s="12" t="s">
        <v>1025</v>
      </c>
      <c r="P77" s="12" t="s">
        <v>1026</v>
      </c>
      <c r="Q77" s="12" t="s">
        <v>866</v>
      </c>
      <c r="R77" s="12" t="s">
        <v>1027</v>
      </c>
      <c r="S77" s="12" t="s">
        <v>278</v>
      </c>
      <c r="T77" s="12" t="s">
        <v>750</v>
      </c>
      <c r="U77" s="12" t="s">
        <v>751</v>
      </c>
    </row>
    <row r="78" spans="1:21" ht="49" customHeight="1" x14ac:dyDescent="0.2">
      <c r="A78" s="12" t="s">
        <v>1028</v>
      </c>
      <c r="B78" s="12" t="s">
        <v>185</v>
      </c>
      <c r="C78" s="12" t="s">
        <v>1029</v>
      </c>
      <c r="D78" s="12" t="s">
        <v>1030</v>
      </c>
      <c r="E78" s="12" t="s">
        <v>1031</v>
      </c>
      <c r="F78" s="12" t="s">
        <v>1032</v>
      </c>
      <c r="G78" s="12" t="s">
        <v>1033</v>
      </c>
      <c r="H78" s="12" t="s">
        <v>189</v>
      </c>
      <c r="I78" s="12" t="s">
        <v>1034</v>
      </c>
      <c r="J78" s="12" t="s">
        <v>273</v>
      </c>
      <c r="K78" s="12" t="s">
        <v>274</v>
      </c>
      <c r="L78" s="12" t="s">
        <v>274</v>
      </c>
      <c r="M78" s="12" t="s">
        <v>274</v>
      </c>
      <c r="N78" s="12" t="s">
        <v>196</v>
      </c>
      <c r="O78" s="12" t="s">
        <v>1035</v>
      </c>
      <c r="P78" s="12" t="s">
        <v>1036</v>
      </c>
      <c r="Q78" s="12" t="s">
        <v>866</v>
      </c>
      <c r="R78" s="12" t="s">
        <v>1037</v>
      </c>
      <c r="S78" s="12" t="s">
        <v>278</v>
      </c>
      <c r="T78" s="12" t="s">
        <v>1038</v>
      </c>
      <c r="U78" s="12" t="s">
        <v>1039</v>
      </c>
    </row>
    <row r="79" spans="1:21" ht="38" customHeight="1" x14ac:dyDescent="0.2">
      <c r="A79" s="12" t="s">
        <v>1040</v>
      </c>
      <c r="B79" s="12" t="s">
        <v>185</v>
      </c>
      <c r="C79" s="12" t="s">
        <v>1041</v>
      </c>
      <c r="D79" s="12" t="s">
        <v>1042</v>
      </c>
      <c r="E79" s="12" t="s">
        <v>1043</v>
      </c>
      <c r="F79" s="12" t="s">
        <v>1044</v>
      </c>
      <c r="G79" s="12" t="s">
        <v>1045</v>
      </c>
      <c r="H79" s="12" t="s">
        <v>197</v>
      </c>
      <c r="I79" s="12" t="s">
        <v>1046</v>
      </c>
      <c r="J79" s="12" t="s">
        <v>273</v>
      </c>
      <c r="K79" s="12" t="s">
        <v>274</v>
      </c>
      <c r="L79" s="12" t="s">
        <v>274</v>
      </c>
      <c r="M79" s="12" t="s">
        <v>274</v>
      </c>
      <c r="N79" s="12" t="s">
        <v>196</v>
      </c>
      <c r="O79" s="12" t="s">
        <v>1047</v>
      </c>
      <c r="P79" s="12" t="s">
        <v>1048</v>
      </c>
      <c r="Q79" s="12" t="s">
        <v>866</v>
      </c>
      <c r="R79" s="12" t="s">
        <v>819</v>
      </c>
      <c r="S79" s="12" t="s">
        <v>278</v>
      </c>
      <c r="T79" s="12" t="s">
        <v>301</v>
      </c>
      <c r="U79" s="12"/>
    </row>
    <row r="80" spans="1:21" ht="38" customHeight="1" x14ac:dyDescent="0.2">
      <c r="A80" s="12" t="s">
        <v>1049</v>
      </c>
      <c r="B80" s="12" t="s">
        <v>185</v>
      </c>
      <c r="C80" s="12" t="s">
        <v>1050</v>
      </c>
      <c r="D80" s="12" t="s">
        <v>1051</v>
      </c>
      <c r="E80" s="12" t="s">
        <v>1052</v>
      </c>
      <c r="F80" s="12" t="s">
        <v>1053</v>
      </c>
      <c r="G80" s="12" t="s">
        <v>557</v>
      </c>
      <c r="H80" s="12" t="s">
        <v>286</v>
      </c>
      <c r="I80" s="12" t="s">
        <v>1054</v>
      </c>
      <c r="J80" s="12" t="s">
        <v>273</v>
      </c>
      <c r="K80" s="12" t="s">
        <v>274</v>
      </c>
      <c r="L80" s="12" t="s">
        <v>274</v>
      </c>
      <c r="M80" s="12" t="s">
        <v>274</v>
      </c>
      <c r="N80" s="12" t="s">
        <v>196</v>
      </c>
      <c r="O80" s="12" t="s">
        <v>1055</v>
      </c>
      <c r="P80" s="12" t="s">
        <v>1056</v>
      </c>
      <c r="Q80" s="12" t="s">
        <v>866</v>
      </c>
      <c r="R80" s="12" t="s">
        <v>1057</v>
      </c>
      <c r="S80" s="12" t="s">
        <v>278</v>
      </c>
      <c r="T80" s="12" t="s">
        <v>301</v>
      </c>
      <c r="U80" s="12"/>
    </row>
    <row r="81" spans="1:21" ht="49" customHeight="1" x14ac:dyDescent="0.2">
      <c r="A81" s="12" t="s">
        <v>1058</v>
      </c>
      <c r="B81" s="12" t="s">
        <v>185</v>
      </c>
      <c r="C81" s="12" t="s">
        <v>1059</v>
      </c>
      <c r="D81" s="12" t="s">
        <v>1060</v>
      </c>
      <c r="E81" s="12" t="s">
        <v>1061</v>
      </c>
      <c r="F81" s="12" t="s">
        <v>1062</v>
      </c>
      <c r="G81" s="12" t="s">
        <v>1063</v>
      </c>
      <c r="H81" s="12" t="s">
        <v>189</v>
      </c>
      <c r="I81" s="12" t="s">
        <v>1064</v>
      </c>
      <c r="J81" s="12" t="s">
        <v>273</v>
      </c>
      <c r="K81" s="12" t="s">
        <v>274</v>
      </c>
      <c r="L81" s="12" t="s">
        <v>274</v>
      </c>
      <c r="M81" s="12" t="s">
        <v>274</v>
      </c>
      <c r="N81" s="12" t="s">
        <v>196</v>
      </c>
      <c r="O81" s="12" t="s">
        <v>1065</v>
      </c>
      <c r="P81" s="12" t="s">
        <v>1066</v>
      </c>
      <c r="Q81" s="12" t="s">
        <v>866</v>
      </c>
      <c r="R81" s="12" t="s">
        <v>415</v>
      </c>
      <c r="S81" s="12" t="s">
        <v>278</v>
      </c>
      <c r="T81" s="12" t="s">
        <v>762</v>
      </c>
      <c r="U81" s="12" t="s">
        <v>763</v>
      </c>
    </row>
    <row r="82" spans="1:21" ht="38" customHeight="1" x14ac:dyDescent="0.2">
      <c r="A82" s="12" t="s">
        <v>1067</v>
      </c>
      <c r="B82" s="12" t="s">
        <v>185</v>
      </c>
      <c r="C82" s="12" t="s">
        <v>1068</v>
      </c>
      <c r="D82" s="12" t="s">
        <v>1069</v>
      </c>
      <c r="E82" s="12" t="s">
        <v>1070</v>
      </c>
      <c r="F82" s="12" t="s">
        <v>1071</v>
      </c>
      <c r="G82" s="12" t="s">
        <v>1072</v>
      </c>
      <c r="H82" s="12" t="s">
        <v>189</v>
      </c>
      <c r="I82" s="12" t="s">
        <v>1073</v>
      </c>
      <c r="J82" s="12" t="s">
        <v>590</v>
      </c>
      <c r="K82" s="12" t="s">
        <v>393</v>
      </c>
      <c r="L82" s="12" t="s">
        <v>393</v>
      </c>
      <c r="M82" s="12" t="s">
        <v>393</v>
      </c>
      <c r="N82" s="12" t="s">
        <v>196</v>
      </c>
      <c r="O82" s="12" t="s">
        <v>1074</v>
      </c>
      <c r="P82" s="12" t="s">
        <v>1075</v>
      </c>
      <c r="Q82" s="12" t="s">
        <v>866</v>
      </c>
      <c r="R82" s="12" t="s">
        <v>632</v>
      </c>
      <c r="S82" s="12" t="s">
        <v>278</v>
      </c>
      <c r="T82" s="12" t="s">
        <v>633</v>
      </c>
      <c r="U82" s="12" t="s">
        <v>634</v>
      </c>
    </row>
    <row r="83" spans="1:21" ht="38" customHeight="1" x14ac:dyDescent="0.2">
      <c r="A83" s="12" t="s">
        <v>1076</v>
      </c>
      <c r="B83" s="12" t="s">
        <v>185</v>
      </c>
      <c r="C83" s="12" t="s">
        <v>1077</v>
      </c>
      <c r="D83" s="12" t="s">
        <v>1078</v>
      </c>
      <c r="E83" s="12" t="s">
        <v>1079</v>
      </c>
      <c r="F83" s="12" t="s">
        <v>1080</v>
      </c>
      <c r="G83" s="12" t="s">
        <v>1081</v>
      </c>
      <c r="H83" s="12" t="s">
        <v>189</v>
      </c>
      <c r="I83" s="12" t="s">
        <v>1082</v>
      </c>
      <c r="J83" s="12" t="s">
        <v>273</v>
      </c>
      <c r="K83" s="12" t="s">
        <v>274</v>
      </c>
      <c r="L83" s="12" t="s">
        <v>274</v>
      </c>
      <c r="M83" s="12" t="s">
        <v>274</v>
      </c>
      <c r="N83" s="12" t="s">
        <v>196</v>
      </c>
      <c r="O83" s="12" t="s">
        <v>1083</v>
      </c>
      <c r="P83" s="12" t="s">
        <v>1084</v>
      </c>
      <c r="Q83" s="12" t="s">
        <v>866</v>
      </c>
      <c r="R83" s="12" t="s">
        <v>1085</v>
      </c>
      <c r="S83" s="12" t="s">
        <v>278</v>
      </c>
      <c r="T83" s="12" t="s">
        <v>301</v>
      </c>
      <c r="U83" s="12"/>
    </row>
    <row r="84" spans="1:21" ht="38" customHeight="1" x14ac:dyDescent="0.2">
      <c r="A84" s="13" t="s">
        <v>1086</v>
      </c>
      <c r="B84" s="13" t="s">
        <v>193</v>
      </c>
      <c r="C84" s="13" t="s">
        <v>1087</v>
      </c>
      <c r="D84" s="13" t="s">
        <v>1088</v>
      </c>
      <c r="E84" s="13" t="s">
        <v>1089</v>
      </c>
      <c r="F84" s="13" t="s">
        <v>1090</v>
      </c>
      <c r="G84" s="13" t="s">
        <v>1091</v>
      </c>
      <c r="H84" s="13" t="s">
        <v>516</v>
      </c>
      <c r="I84" s="13" t="s">
        <v>1092</v>
      </c>
      <c r="J84" s="13" t="s">
        <v>273</v>
      </c>
      <c r="K84" s="13" t="s">
        <v>274</v>
      </c>
      <c r="L84" s="13" t="s">
        <v>274</v>
      </c>
      <c r="M84" s="13" t="s">
        <v>274</v>
      </c>
      <c r="N84" s="13" t="s">
        <v>196</v>
      </c>
      <c r="O84" s="13" t="s">
        <v>1093</v>
      </c>
      <c r="P84" s="13" t="s">
        <v>1094</v>
      </c>
      <c r="Q84" s="13" t="s">
        <v>1095</v>
      </c>
      <c r="R84" s="13" t="s">
        <v>1096</v>
      </c>
      <c r="S84" s="13" t="s">
        <v>278</v>
      </c>
      <c r="T84" s="13" t="s">
        <v>750</v>
      </c>
      <c r="U84" s="13" t="s">
        <v>751</v>
      </c>
    </row>
    <row r="85" spans="1:21" ht="38" customHeight="1" x14ac:dyDescent="0.2">
      <c r="A85" s="13" t="s">
        <v>1097</v>
      </c>
      <c r="B85" s="13" t="s">
        <v>193</v>
      </c>
      <c r="C85" s="13" t="s">
        <v>1098</v>
      </c>
      <c r="D85" s="13" t="s">
        <v>1099</v>
      </c>
      <c r="E85" s="13" t="s">
        <v>1100</v>
      </c>
      <c r="F85" s="13" t="s">
        <v>1101</v>
      </c>
      <c r="G85" s="13" t="s">
        <v>515</v>
      </c>
      <c r="H85" s="13" t="s">
        <v>516</v>
      </c>
      <c r="I85" s="13" t="s">
        <v>1102</v>
      </c>
      <c r="J85" s="13" t="s">
        <v>273</v>
      </c>
      <c r="K85" s="13" t="s">
        <v>274</v>
      </c>
      <c r="L85" s="13" t="s">
        <v>274</v>
      </c>
      <c r="M85" s="13" t="s">
        <v>274</v>
      </c>
      <c r="N85" s="13" t="s">
        <v>196</v>
      </c>
      <c r="O85" s="13" t="s">
        <v>1086</v>
      </c>
      <c r="P85" s="13" t="s">
        <v>1103</v>
      </c>
      <c r="Q85" s="13" t="s">
        <v>1095</v>
      </c>
      <c r="R85" s="13" t="s">
        <v>1104</v>
      </c>
      <c r="S85" s="13" t="s">
        <v>278</v>
      </c>
      <c r="T85" s="13" t="s">
        <v>301</v>
      </c>
      <c r="U85" s="13"/>
    </row>
    <row r="86" spans="1:21" ht="38" customHeight="1" x14ac:dyDescent="0.2">
      <c r="A86" s="13" t="s">
        <v>1105</v>
      </c>
      <c r="B86" s="13" t="s">
        <v>193</v>
      </c>
      <c r="C86" s="13" t="s">
        <v>1106</v>
      </c>
      <c r="D86" s="13" t="s">
        <v>1107</v>
      </c>
      <c r="E86" s="13" t="s">
        <v>1108</v>
      </c>
      <c r="F86" s="13" t="s">
        <v>1109</v>
      </c>
      <c r="G86" s="13" t="s">
        <v>1110</v>
      </c>
      <c r="H86" s="13" t="s">
        <v>516</v>
      </c>
      <c r="I86" s="13" t="s">
        <v>1111</v>
      </c>
      <c r="J86" s="13" t="s">
        <v>681</v>
      </c>
      <c r="K86" s="13" t="s">
        <v>393</v>
      </c>
      <c r="L86" s="13" t="s">
        <v>393</v>
      </c>
      <c r="M86" s="13" t="s">
        <v>393</v>
      </c>
      <c r="N86" s="13" t="s">
        <v>196</v>
      </c>
      <c r="O86" s="13" t="s">
        <v>1112</v>
      </c>
      <c r="P86" s="13" t="s">
        <v>1113</v>
      </c>
      <c r="Q86" s="13" t="s">
        <v>1095</v>
      </c>
      <c r="R86" s="13" t="s">
        <v>1114</v>
      </c>
      <c r="S86" s="13" t="s">
        <v>278</v>
      </c>
      <c r="T86" s="13" t="s">
        <v>301</v>
      </c>
      <c r="U86" s="13"/>
    </row>
    <row r="87" spans="1:21" ht="49" customHeight="1" x14ac:dyDescent="0.2">
      <c r="A87" s="13" t="s">
        <v>1115</v>
      </c>
      <c r="B87" s="13" t="s">
        <v>193</v>
      </c>
      <c r="C87" s="13" t="s">
        <v>1116</v>
      </c>
      <c r="D87" s="13" t="s">
        <v>1117</v>
      </c>
      <c r="E87" s="13" t="s">
        <v>1118</v>
      </c>
      <c r="F87" s="13" t="s">
        <v>1119</v>
      </c>
      <c r="G87" s="13" t="s">
        <v>1120</v>
      </c>
      <c r="H87" s="13" t="s">
        <v>516</v>
      </c>
      <c r="I87" s="13" t="s">
        <v>1121</v>
      </c>
      <c r="J87" s="13" t="s">
        <v>702</v>
      </c>
      <c r="K87" s="13" t="s">
        <v>393</v>
      </c>
      <c r="L87" s="13" t="s">
        <v>393</v>
      </c>
      <c r="M87" s="13" t="s">
        <v>393</v>
      </c>
      <c r="N87" s="13" t="s">
        <v>196</v>
      </c>
      <c r="O87" s="13" t="s">
        <v>1122</v>
      </c>
      <c r="P87" s="13" t="s">
        <v>1123</v>
      </c>
      <c r="Q87" s="13" t="s">
        <v>1095</v>
      </c>
      <c r="R87" s="13" t="s">
        <v>1114</v>
      </c>
      <c r="S87" s="13" t="s">
        <v>278</v>
      </c>
      <c r="T87" s="13" t="s">
        <v>1124</v>
      </c>
      <c r="U87" s="13" t="s">
        <v>1125</v>
      </c>
    </row>
    <row r="88" spans="1:21" ht="38" customHeight="1" x14ac:dyDescent="0.2">
      <c r="A88" s="13" t="s">
        <v>1126</v>
      </c>
      <c r="B88" s="13" t="s">
        <v>193</v>
      </c>
      <c r="C88" s="13" t="s">
        <v>1127</v>
      </c>
      <c r="D88" s="13" t="s">
        <v>1128</v>
      </c>
      <c r="E88" s="13" t="s">
        <v>1129</v>
      </c>
      <c r="F88" s="13" t="s">
        <v>1130</v>
      </c>
      <c r="G88" s="13" t="s">
        <v>1131</v>
      </c>
      <c r="H88" s="13" t="s">
        <v>516</v>
      </c>
      <c r="I88" s="13" t="s">
        <v>1132</v>
      </c>
      <c r="J88" s="13" t="s">
        <v>273</v>
      </c>
      <c r="K88" s="13" t="s">
        <v>274</v>
      </c>
      <c r="L88" s="13" t="s">
        <v>274</v>
      </c>
      <c r="M88" s="13" t="s">
        <v>274</v>
      </c>
      <c r="N88" s="13" t="s">
        <v>196</v>
      </c>
      <c r="O88" s="13" t="s">
        <v>1086</v>
      </c>
      <c r="P88" s="13" t="s">
        <v>1133</v>
      </c>
      <c r="Q88" s="13" t="s">
        <v>1095</v>
      </c>
      <c r="R88" s="13" t="s">
        <v>1134</v>
      </c>
      <c r="S88" s="13" t="s">
        <v>278</v>
      </c>
      <c r="T88" s="13" t="s">
        <v>1135</v>
      </c>
      <c r="U88" s="13" t="s">
        <v>1136</v>
      </c>
    </row>
    <row r="89" spans="1:21" ht="61" customHeight="1" x14ac:dyDescent="0.2">
      <c r="A89" s="13" t="s">
        <v>1137</v>
      </c>
      <c r="B89" s="13" t="s">
        <v>193</v>
      </c>
      <c r="C89" s="13" t="s">
        <v>1138</v>
      </c>
      <c r="D89" s="13" t="s">
        <v>1139</v>
      </c>
      <c r="E89" s="13" t="s">
        <v>1140</v>
      </c>
      <c r="F89" s="13" t="s">
        <v>1141</v>
      </c>
      <c r="G89" s="13" t="s">
        <v>1142</v>
      </c>
      <c r="H89" s="13" t="s">
        <v>714</v>
      </c>
      <c r="I89" s="13" t="s">
        <v>1143</v>
      </c>
      <c r="J89" s="13" t="s">
        <v>273</v>
      </c>
      <c r="K89" s="13" t="s">
        <v>274</v>
      </c>
      <c r="L89" s="13" t="s">
        <v>274</v>
      </c>
      <c r="M89" s="13" t="s">
        <v>274</v>
      </c>
      <c r="N89" s="13" t="s">
        <v>196</v>
      </c>
      <c r="O89" s="13" t="s">
        <v>1144</v>
      </c>
      <c r="P89" s="13" t="s">
        <v>1145</v>
      </c>
      <c r="Q89" s="13" t="s">
        <v>1095</v>
      </c>
      <c r="R89" s="13" t="s">
        <v>1037</v>
      </c>
      <c r="S89" s="13" t="s">
        <v>278</v>
      </c>
      <c r="T89" s="13" t="s">
        <v>719</v>
      </c>
      <c r="U89" s="13" t="s">
        <v>720</v>
      </c>
    </row>
    <row r="90" spans="1:21" ht="38" customHeight="1" x14ac:dyDescent="0.2">
      <c r="A90" s="13" t="s">
        <v>1146</v>
      </c>
      <c r="B90" s="13" t="s">
        <v>193</v>
      </c>
      <c r="C90" s="13" t="s">
        <v>1147</v>
      </c>
      <c r="D90" s="13" t="s">
        <v>1148</v>
      </c>
      <c r="E90" s="13" t="s">
        <v>1149</v>
      </c>
      <c r="F90" s="13" t="s">
        <v>1150</v>
      </c>
      <c r="G90" s="13" t="s">
        <v>1151</v>
      </c>
      <c r="H90" s="13" t="s">
        <v>487</v>
      </c>
      <c r="I90" s="13" t="s">
        <v>1152</v>
      </c>
      <c r="J90" s="13" t="s">
        <v>273</v>
      </c>
      <c r="K90" s="13" t="s">
        <v>274</v>
      </c>
      <c r="L90" s="13" t="s">
        <v>274</v>
      </c>
      <c r="M90" s="13" t="s">
        <v>274</v>
      </c>
      <c r="N90" s="13" t="s">
        <v>196</v>
      </c>
      <c r="O90" s="13" t="s">
        <v>1153</v>
      </c>
      <c r="P90" s="13" t="s">
        <v>490</v>
      </c>
      <c r="Q90" s="13" t="s">
        <v>1095</v>
      </c>
      <c r="R90" s="13" t="s">
        <v>1154</v>
      </c>
      <c r="S90" s="13" t="s">
        <v>278</v>
      </c>
      <c r="T90" s="13" t="s">
        <v>340</v>
      </c>
      <c r="U90" s="13" t="s">
        <v>341</v>
      </c>
    </row>
    <row r="91" spans="1:21" ht="38" customHeight="1" x14ac:dyDescent="0.2">
      <c r="A91" s="13" t="s">
        <v>1155</v>
      </c>
      <c r="B91" s="13" t="s">
        <v>193</v>
      </c>
      <c r="C91" s="13" t="s">
        <v>1156</v>
      </c>
      <c r="D91" s="13" t="s">
        <v>1157</v>
      </c>
      <c r="E91" s="13" t="s">
        <v>1158</v>
      </c>
      <c r="F91" s="13" t="s">
        <v>1159</v>
      </c>
      <c r="G91" s="13" t="s">
        <v>1160</v>
      </c>
      <c r="H91" s="13" t="s">
        <v>197</v>
      </c>
      <c r="I91" s="13" t="s">
        <v>1161</v>
      </c>
      <c r="J91" s="13" t="s">
        <v>273</v>
      </c>
      <c r="K91" s="13" t="s">
        <v>274</v>
      </c>
      <c r="L91" s="13" t="s">
        <v>274</v>
      </c>
      <c r="M91" s="13" t="s">
        <v>274</v>
      </c>
      <c r="N91" s="13" t="s">
        <v>196</v>
      </c>
      <c r="O91" s="13" t="s">
        <v>1162</v>
      </c>
      <c r="P91" s="13" t="s">
        <v>1163</v>
      </c>
      <c r="Q91" s="13" t="s">
        <v>1095</v>
      </c>
      <c r="R91" s="13" t="s">
        <v>1164</v>
      </c>
      <c r="S91" s="13" t="s">
        <v>278</v>
      </c>
      <c r="T91" s="13" t="s">
        <v>301</v>
      </c>
      <c r="U91" s="13"/>
    </row>
    <row r="92" spans="1:21" ht="38" customHeight="1" x14ac:dyDescent="0.2">
      <c r="A92" s="13" t="s">
        <v>1165</v>
      </c>
      <c r="B92" s="13" t="s">
        <v>193</v>
      </c>
      <c r="C92" s="13" t="s">
        <v>982</v>
      </c>
      <c r="D92" s="13" t="s">
        <v>1166</v>
      </c>
      <c r="E92" s="13" t="s">
        <v>1167</v>
      </c>
      <c r="F92" s="13" t="s">
        <v>1168</v>
      </c>
      <c r="G92" s="13" t="s">
        <v>1169</v>
      </c>
      <c r="H92" s="13" t="s">
        <v>286</v>
      </c>
      <c r="I92" s="13" t="s">
        <v>1170</v>
      </c>
      <c r="J92" s="13" t="s">
        <v>273</v>
      </c>
      <c r="K92" s="13" t="s">
        <v>274</v>
      </c>
      <c r="L92" s="13" t="s">
        <v>274</v>
      </c>
      <c r="M92" s="13" t="s">
        <v>274</v>
      </c>
      <c r="N92" s="13" t="s">
        <v>196</v>
      </c>
      <c r="O92" s="13" t="s">
        <v>1171</v>
      </c>
      <c r="P92" s="13" t="s">
        <v>1172</v>
      </c>
      <c r="Q92" s="13" t="s">
        <v>1095</v>
      </c>
      <c r="R92" s="13" t="s">
        <v>1173</v>
      </c>
      <c r="S92" s="13" t="s">
        <v>278</v>
      </c>
      <c r="T92" s="13" t="s">
        <v>301</v>
      </c>
      <c r="U92" s="13"/>
    </row>
    <row r="93" spans="1:21" ht="38" customHeight="1" x14ac:dyDescent="0.2">
      <c r="A93" s="13" t="s">
        <v>1174</v>
      </c>
      <c r="B93" s="13" t="s">
        <v>193</v>
      </c>
      <c r="C93" s="13" t="s">
        <v>1175</v>
      </c>
      <c r="D93" s="13" t="s">
        <v>1176</v>
      </c>
      <c r="E93" s="13" t="s">
        <v>1177</v>
      </c>
      <c r="F93" s="13" t="s">
        <v>1178</v>
      </c>
      <c r="G93" s="13" t="s">
        <v>1179</v>
      </c>
      <c r="H93" s="13" t="s">
        <v>166</v>
      </c>
      <c r="I93" s="13" t="s">
        <v>1180</v>
      </c>
      <c r="J93" s="13" t="s">
        <v>273</v>
      </c>
      <c r="K93" s="13" t="s">
        <v>274</v>
      </c>
      <c r="L93" s="13" t="s">
        <v>274</v>
      </c>
      <c r="M93" s="13" t="s">
        <v>274</v>
      </c>
      <c r="N93" s="13" t="s">
        <v>196</v>
      </c>
      <c r="O93" s="13" t="s">
        <v>1181</v>
      </c>
      <c r="P93" s="13" t="s">
        <v>1182</v>
      </c>
      <c r="Q93" s="13" t="s">
        <v>1095</v>
      </c>
      <c r="R93" s="13" t="s">
        <v>1183</v>
      </c>
      <c r="S93" s="13" t="s">
        <v>278</v>
      </c>
      <c r="T93" s="13" t="s">
        <v>373</v>
      </c>
      <c r="U93" s="13" t="s">
        <v>374</v>
      </c>
    </row>
    <row r="94" spans="1:21" ht="38" customHeight="1" x14ac:dyDescent="0.2">
      <c r="A94" s="13" t="s">
        <v>1184</v>
      </c>
      <c r="B94" s="13" t="s">
        <v>193</v>
      </c>
      <c r="C94" s="13" t="s">
        <v>1185</v>
      </c>
      <c r="D94" s="13" t="s">
        <v>1186</v>
      </c>
      <c r="E94" s="13" t="s">
        <v>1187</v>
      </c>
      <c r="F94" s="13" t="s">
        <v>1188</v>
      </c>
      <c r="G94" s="13" t="s">
        <v>1189</v>
      </c>
      <c r="H94" s="13" t="s">
        <v>197</v>
      </c>
      <c r="I94" s="13" t="s">
        <v>1190</v>
      </c>
      <c r="J94" s="13" t="s">
        <v>273</v>
      </c>
      <c r="K94" s="13" t="s">
        <v>274</v>
      </c>
      <c r="L94" s="13" t="s">
        <v>274</v>
      </c>
      <c r="M94" s="13" t="s">
        <v>274</v>
      </c>
      <c r="N94" s="13" t="s">
        <v>196</v>
      </c>
      <c r="O94" s="13" t="s">
        <v>1191</v>
      </c>
      <c r="P94" s="13" t="s">
        <v>1192</v>
      </c>
      <c r="Q94" s="13" t="s">
        <v>1095</v>
      </c>
      <c r="R94" s="13" t="s">
        <v>819</v>
      </c>
      <c r="S94" s="13" t="s">
        <v>278</v>
      </c>
      <c r="T94" s="13" t="s">
        <v>301</v>
      </c>
      <c r="U94" s="13"/>
    </row>
    <row r="95" spans="1:21" ht="38" customHeight="1" x14ac:dyDescent="0.2">
      <c r="A95" s="13" t="s">
        <v>1193</v>
      </c>
      <c r="B95" s="13" t="s">
        <v>193</v>
      </c>
      <c r="C95" s="13" t="s">
        <v>1194</v>
      </c>
      <c r="D95" s="13" t="s">
        <v>1195</v>
      </c>
      <c r="E95" s="13" t="s">
        <v>1196</v>
      </c>
      <c r="F95" s="13" t="s">
        <v>1197</v>
      </c>
      <c r="G95" s="13" t="s">
        <v>1198</v>
      </c>
      <c r="H95" s="13" t="s">
        <v>197</v>
      </c>
      <c r="I95" s="13" t="s">
        <v>1199</v>
      </c>
      <c r="J95" s="13" t="s">
        <v>273</v>
      </c>
      <c r="K95" s="13" t="s">
        <v>274</v>
      </c>
      <c r="L95" s="13" t="s">
        <v>274</v>
      </c>
      <c r="M95" s="13" t="s">
        <v>274</v>
      </c>
      <c r="N95" s="13" t="s">
        <v>196</v>
      </c>
      <c r="O95" s="13" t="s">
        <v>1200</v>
      </c>
      <c r="P95" s="13" t="s">
        <v>1201</v>
      </c>
      <c r="Q95" s="13" t="s">
        <v>1095</v>
      </c>
      <c r="R95" s="13" t="s">
        <v>1202</v>
      </c>
      <c r="S95" s="13" t="s">
        <v>278</v>
      </c>
      <c r="T95" s="13" t="s">
        <v>301</v>
      </c>
      <c r="U95" s="13"/>
    </row>
    <row r="96" spans="1:21" ht="38" customHeight="1" x14ac:dyDescent="0.2">
      <c r="A96" s="13" t="s">
        <v>1203</v>
      </c>
      <c r="B96" s="13" t="s">
        <v>193</v>
      </c>
      <c r="C96" s="13" t="s">
        <v>1204</v>
      </c>
      <c r="D96" s="13" t="s">
        <v>1205</v>
      </c>
      <c r="E96" s="13" t="s">
        <v>1206</v>
      </c>
      <c r="F96" s="13" t="s">
        <v>1207</v>
      </c>
      <c r="G96" s="13" t="s">
        <v>547</v>
      </c>
      <c r="H96" s="13" t="s">
        <v>516</v>
      </c>
      <c r="I96" s="13" t="s">
        <v>1208</v>
      </c>
      <c r="J96" s="13" t="s">
        <v>273</v>
      </c>
      <c r="K96" s="13" t="s">
        <v>274</v>
      </c>
      <c r="L96" s="13" t="s">
        <v>274</v>
      </c>
      <c r="M96" s="13" t="s">
        <v>274</v>
      </c>
      <c r="N96" s="13" t="s">
        <v>196</v>
      </c>
      <c r="O96" s="13" t="s">
        <v>1209</v>
      </c>
      <c r="P96" s="13" t="s">
        <v>1210</v>
      </c>
      <c r="Q96" s="13" t="s">
        <v>1095</v>
      </c>
      <c r="R96" s="13" t="s">
        <v>1211</v>
      </c>
      <c r="S96" s="13" t="s">
        <v>278</v>
      </c>
      <c r="T96" s="13" t="s">
        <v>301</v>
      </c>
      <c r="U96" s="13"/>
    </row>
    <row r="97" spans="1:21" ht="38" customHeight="1" x14ac:dyDescent="0.2">
      <c r="A97" s="13" t="s">
        <v>1212</v>
      </c>
      <c r="B97" s="13" t="s">
        <v>193</v>
      </c>
      <c r="C97" s="13" t="s">
        <v>196</v>
      </c>
      <c r="D97" s="13" t="s">
        <v>1213</v>
      </c>
      <c r="E97" s="13" t="s">
        <v>1214</v>
      </c>
      <c r="F97" s="13" t="s">
        <v>1215</v>
      </c>
      <c r="G97" s="13" t="s">
        <v>1216</v>
      </c>
      <c r="H97" s="13" t="s">
        <v>197</v>
      </c>
      <c r="I97" s="13" t="s">
        <v>1217</v>
      </c>
      <c r="J97" s="13" t="s">
        <v>273</v>
      </c>
      <c r="K97" s="13" t="s">
        <v>274</v>
      </c>
      <c r="L97" s="13" t="s">
        <v>274</v>
      </c>
      <c r="M97" s="13" t="s">
        <v>274</v>
      </c>
      <c r="N97" s="13" t="s">
        <v>196</v>
      </c>
      <c r="O97" s="13" t="s">
        <v>1218</v>
      </c>
      <c r="P97" s="13" t="s">
        <v>1219</v>
      </c>
      <c r="Q97" s="13" t="s">
        <v>1095</v>
      </c>
      <c r="R97" s="13" t="s">
        <v>1220</v>
      </c>
      <c r="S97" s="13" t="s">
        <v>278</v>
      </c>
      <c r="T97" s="13" t="s">
        <v>301</v>
      </c>
      <c r="U97" s="13"/>
    </row>
    <row r="98" spans="1:21" ht="38" customHeight="1" x14ac:dyDescent="0.2">
      <c r="A98" s="13" t="s">
        <v>1221</v>
      </c>
      <c r="B98" s="13" t="s">
        <v>193</v>
      </c>
      <c r="C98" s="13" t="s">
        <v>1222</v>
      </c>
      <c r="D98" s="13" t="s">
        <v>1223</v>
      </c>
      <c r="E98" s="13" t="s">
        <v>1224</v>
      </c>
      <c r="F98" s="13" t="s">
        <v>1225</v>
      </c>
      <c r="G98" s="13" t="s">
        <v>1226</v>
      </c>
      <c r="H98" s="13" t="s">
        <v>197</v>
      </c>
      <c r="I98" s="13" t="s">
        <v>1227</v>
      </c>
      <c r="J98" s="13" t="s">
        <v>273</v>
      </c>
      <c r="K98" s="13" t="s">
        <v>274</v>
      </c>
      <c r="L98" s="13" t="s">
        <v>274</v>
      </c>
      <c r="M98" s="13" t="s">
        <v>274</v>
      </c>
      <c r="N98" s="13" t="s">
        <v>196</v>
      </c>
      <c r="O98" s="13" t="s">
        <v>1212</v>
      </c>
      <c r="P98" s="13" t="s">
        <v>1228</v>
      </c>
      <c r="Q98" s="13" t="s">
        <v>1095</v>
      </c>
      <c r="R98" s="13" t="s">
        <v>1229</v>
      </c>
      <c r="S98" s="13" t="s">
        <v>278</v>
      </c>
      <c r="T98" s="13" t="s">
        <v>301</v>
      </c>
      <c r="U98" s="13"/>
    </row>
    <row r="99" spans="1:21" ht="38" customHeight="1" x14ac:dyDescent="0.2">
      <c r="A99" s="13" t="s">
        <v>1230</v>
      </c>
      <c r="B99" s="13" t="s">
        <v>193</v>
      </c>
      <c r="C99" s="13" t="s">
        <v>1231</v>
      </c>
      <c r="D99" s="13" t="s">
        <v>1232</v>
      </c>
      <c r="E99" s="13" t="s">
        <v>1233</v>
      </c>
      <c r="F99" s="13" t="s">
        <v>1234</v>
      </c>
      <c r="G99" s="13" t="s">
        <v>412</v>
      </c>
      <c r="H99" s="13" t="s">
        <v>166</v>
      </c>
      <c r="I99" s="13" t="s">
        <v>1235</v>
      </c>
      <c r="J99" s="13" t="s">
        <v>273</v>
      </c>
      <c r="K99" s="13" t="s">
        <v>274</v>
      </c>
      <c r="L99" s="13" t="s">
        <v>274</v>
      </c>
      <c r="M99" s="13" t="s">
        <v>274</v>
      </c>
      <c r="N99" s="13" t="s">
        <v>196</v>
      </c>
      <c r="O99" s="13" t="s">
        <v>1236</v>
      </c>
      <c r="P99" s="13" t="s">
        <v>1237</v>
      </c>
      <c r="Q99" s="13" t="s">
        <v>1095</v>
      </c>
      <c r="R99" s="13" t="s">
        <v>561</v>
      </c>
      <c r="S99" s="13" t="s">
        <v>278</v>
      </c>
      <c r="T99" s="13" t="s">
        <v>301</v>
      </c>
      <c r="U99" s="13"/>
    </row>
    <row r="100" spans="1:21" ht="38" customHeight="1" x14ac:dyDescent="0.2">
      <c r="A100" s="13" t="s">
        <v>1238</v>
      </c>
      <c r="B100" s="13" t="s">
        <v>193</v>
      </c>
      <c r="C100" s="13" t="s">
        <v>1239</v>
      </c>
      <c r="D100" s="13" t="s">
        <v>1240</v>
      </c>
      <c r="E100" s="13" t="s">
        <v>1241</v>
      </c>
      <c r="F100" s="13" t="s">
        <v>1242</v>
      </c>
      <c r="G100" s="13" t="s">
        <v>1243</v>
      </c>
      <c r="H100" s="13" t="s">
        <v>197</v>
      </c>
      <c r="I100" s="13" t="s">
        <v>1244</v>
      </c>
      <c r="J100" s="13" t="s">
        <v>273</v>
      </c>
      <c r="K100" s="13" t="s">
        <v>274</v>
      </c>
      <c r="L100" s="13" t="s">
        <v>274</v>
      </c>
      <c r="M100" s="13" t="s">
        <v>274</v>
      </c>
      <c r="N100" s="13" t="s">
        <v>196</v>
      </c>
      <c r="O100" s="13" t="s">
        <v>1245</v>
      </c>
      <c r="P100" s="13" t="s">
        <v>1246</v>
      </c>
      <c r="Q100" s="13" t="s">
        <v>1095</v>
      </c>
      <c r="R100" s="13" t="s">
        <v>1247</v>
      </c>
      <c r="S100" s="13" t="s">
        <v>278</v>
      </c>
      <c r="T100" s="13" t="s">
        <v>301</v>
      </c>
      <c r="U100" s="13"/>
    </row>
    <row r="101" spans="1:21" ht="38" customHeight="1" x14ac:dyDescent="0.2">
      <c r="A101" s="14" t="s">
        <v>1248</v>
      </c>
      <c r="B101" s="14" t="s">
        <v>201</v>
      </c>
      <c r="C101" s="14" t="s">
        <v>1249</v>
      </c>
      <c r="D101" s="14" t="s">
        <v>1250</v>
      </c>
      <c r="E101" s="14" t="s">
        <v>1251</v>
      </c>
      <c r="F101" s="14" t="s">
        <v>1252</v>
      </c>
      <c r="G101" s="14" t="s">
        <v>1253</v>
      </c>
      <c r="H101" s="14" t="s">
        <v>197</v>
      </c>
      <c r="I101" s="14" t="s">
        <v>1254</v>
      </c>
      <c r="J101" s="14" t="s">
        <v>273</v>
      </c>
      <c r="K101" s="14" t="s">
        <v>274</v>
      </c>
      <c r="L101" s="14" t="s">
        <v>274</v>
      </c>
      <c r="M101" s="14" t="s">
        <v>274</v>
      </c>
      <c r="N101" s="14" t="s">
        <v>204</v>
      </c>
      <c r="O101" s="14" t="s">
        <v>1238</v>
      </c>
      <c r="P101" s="14" t="s">
        <v>1255</v>
      </c>
      <c r="Q101" s="14" t="s">
        <v>1256</v>
      </c>
      <c r="R101" s="14" t="s">
        <v>1257</v>
      </c>
      <c r="S101" s="14" t="s">
        <v>278</v>
      </c>
      <c r="T101" s="14" t="s">
        <v>301</v>
      </c>
      <c r="U101" s="14"/>
    </row>
    <row r="102" spans="1:21" ht="38" customHeight="1" x14ac:dyDescent="0.2">
      <c r="A102" s="14" t="s">
        <v>1258</v>
      </c>
      <c r="B102" s="14" t="s">
        <v>201</v>
      </c>
      <c r="C102" s="14" t="s">
        <v>1259</v>
      </c>
      <c r="D102" s="14" t="s">
        <v>1260</v>
      </c>
      <c r="E102" s="14" t="s">
        <v>1261</v>
      </c>
      <c r="F102" s="14" t="s">
        <v>1262</v>
      </c>
      <c r="G102" s="14" t="s">
        <v>1263</v>
      </c>
      <c r="H102" s="14" t="s">
        <v>166</v>
      </c>
      <c r="I102" s="14" t="s">
        <v>1264</v>
      </c>
      <c r="J102" s="14" t="s">
        <v>273</v>
      </c>
      <c r="K102" s="14" t="s">
        <v>274</v>
      </c>
      <c r="L102" s="14" t="s">
        <v>274</v>
      </c>
      <c r="M102" s="14" t="s">
        <v>274</v>
      </c>
      <c r="N102" s="14" t="s">
        <v>204</v>
      </c>
      <c r="O102" s="14" t="s">
        <v>1248</v>
      </c>
      <c r="P102" s="14" t="s">
        <v>1265</v>
      </c>
      <c r="Q102" s="14" t="s">
        <v>1256</v>
      </c>
      <c r="R102" s="14" t="s">
        <v>1266</v>
      </c>
      <c r="S102" s="14" t="s">
        <v>278</v>
      </c>
      <c r="T102" s="14" t="s">
        <v>301</v>
      </c>
      <c r="U102" s="14"/>
    </row>
    <row r="103" spans="1:21" ht="38" customHeight="1" x14ac:dyDescent="0.2">
      <c r="A103" s="14" t="s">
        <v>1267</v>
      </c>
      <c r="B103" s="14" t="s">
        <v>201</v>
      </c>
      <c r="C103" s="14" t="s">
        <v>1156</v>
      </c>
      <c r="D103" s="14" t="s">
        <v>1268</v>
      </c>
      <c r="E103" s="14" t="s">
        <v>1269</v>
      </c>
      <c r="F103" s="14" t="s">
        <v>1270</v>
      </c>
      <c r="G103" s="14" t="s">
        <v>1271</v>
      </c>
      <c r="H103" s="14" t="s">
        <v>197</v>
      </c>
      <c r="I103" s="14" t="s">
        <v>1272</v>
      </c>
      <c r="J103" s="14" t="s">
        <v>273</v>
      </c>
      <c r="K103" s="14" t="s">
        <v>274</v>
      </c>
      <c r="L103" s="14" t="s">
        <v>274</v>
      </c>
      <c r="M103" s="14" t="s">
        <v>274</v>
      </c>
      <c r="N103" s="14" t="s">
        <v>204</v>
      </c>
      <c r="O103" s="14" t="s">
        <v>1248</v>
      </c>
      <c r="P103" s="14" t="s">
        <v>1273</v>
      </c>
      <c r="Q103" s="14" t="s">
        <v>1256</v>
      </c>
      <c r="R103" s="14" t="s">
        <v>1274</v>
      </c>
      <c r="S103" s="14" t="s">
        <v>278</v>
      </c>
      <c r="T103" s="14" t="s">
        <v>301</v>
      </c>
      <c r="U103" s="14"/>
    </row>
    <row r="104" spans="1:21" ht="38" customHeight="1" x14ac:dyDescent="0.2">
      <c r="A104" s="14" t="s">
        <v>1275</v>
      </c>
      <c r="B104" s="14" t="s">
        <v>201</v>
      </c>
      <c r="C104" s="14" t="s">
        <v>1276</v>
      </c>
      <c r="D104" s="14" t="s">
        <v>1277</v>
      </c>
      <c r="E104" s="14" t="s">
        <v>1278</v>
      </c>
      <c r="F104" s="14" t="s">
        <v>1279</v>
      </c>
      <c r="G104" s="14" t="s">
        <v>1280</v>
      </c>
      <c r="H104" s="14" t="s">
        <v>516</v>
      </c>
      <c r="I104" s="14" t="s">
        <v>1281</v>
      </c>
      <c r="J104" s="14" t="s">
        <v>273</v>
      </c>
      <c r="K104" s="14" t="s">
        <v>274</v>
      </c>
      <c r="L104" s="14" t="s">
        <v>274</v>
      </c>
      <c r="M104" s="14" t="s">
        <v>274</v>
      </c>
      <c r="N104" s="14" t="s">
        <v>204</v>
      </c>
      <c r="O104" s="14" t="s">
        <v>1248</v>
      </c>
      <c r="P104" s="14" t="s">
        <v>1282</v>
      </c>
      <c r="Q104" s="14" t="s">
        <v>1256</v>
      </c>
      <c r="R104" s="14" t="s">
        <v>1283</v>
      </c>
      <c r="S104" s="14" t="s">
        <v>278</v>
      </c>
      <c r="T104" s="14" t="s">
        <v>750</v>
      </c>
      <c r="U104" s="14" t="s">
        <v>751</v>
      </c>
    </row>
    <row r="105" spans="1:21" ht="38" customHeight="1" x14ac:dyDescent="0.2">
      <c r="A105" s="14" t="s">
        <v>1284</v>
      </c>
      <c r="B105" s="14" t="s">
        <v>201</v>
      </c>
      <c r="C105" s="14" t="s">
        <v>1285</v>
      </c>
      <c r="D105" s="14" t="s">
        <v>1286</v>
      </c>
      <c r="E105" s="14" t="s">
        <v>1287</v>
      </c>
      <c r="F105" s="14" t="s">
        <v>1288</v>
      </c>
      <c r="G105" s="14" t="s">
        <v>916</v>
      </c>
      <c r="H105" s="14" t="s">
        <v>336</v>
      </c>
      <c r="I105" s="14" t="s">
        <v>1289</v>
      </c>
      <c r="J105" s="14" t="s">
        <v>273</v>
      </c>
      <c r="K105" s="14" t="s">
        <v>274</v>
      </c>
      <c r="L105" s="14" t="s">
        <v>274</v>
      </c>
      <c r="M105" s="14" t="s">
        <v>274</v>
      </c>
      <c r="N105" s="14" t="s">
        <v>204</v>
      </c>
      <c r="O105" s="14" t="s">
        <v>1248</v>
      </c>
      <c r="P105" s="14" t="s">
        <v>1290</v>
      </c>
      <c r="Q105" s="14" t="s">
        <v>1256</v>
      </c>
      <c r="R105" s="14" t="s">
        <v>1291</v>
      </c>
      <c r="S105" s="14" t="s">
        <v>278</v>
      </c>
      <c r="T105" s="14" t="s">
        <v>301</v>
      </c>
      <c r="U105" s="14"/>
    </row>
    <row r="106" spans="1:21" ht="38" customHeight="1" x14ac:dyDescent="0.2">
      <c r="A106" s="14" t="s">
        <v>1292</v>
      </c>
      <c r="B106" s="14" t="s">
        <v>201</v>
      </c>
      <c r="C106" s="14" t="s">
        <v>1293</v>
      </c>
      <c r="D106" s="14" t="s">
        <v>1294</v>
      </c>
      <c r="E106" s="14" t="s">
        <v>1295</v>
      </c>
      <c r="F106" s="14" t="s">
        <v>1296</v>
      </c>
      <c r="G106" s="14" t="s">
        <v>1297</v>
      </c>
      <c r="H106" s="14" t="s">
        <v>166</v>
      </c>
      <c r="I106" s="14" t="s">
        <v>1298</v>
      </c>
      <c r="J106" s="14" t="s">
        <v>273</v>
      </c>
      <c r="K106" s="14" t="s">
        <v>274</v>
      </c>
      <c r="L106" s="14" t="s">
        <v>274</v>
      </c>
      <c r="M106" s="14" t="s">
        <v>274</v>
      </c>
      <c r="N106" s="14" t="s">
        <v>204</v>
      </c>
      <c r="O106" s="14" t="s">
        <v>1248</v>
      </c>
      <c r="P106" s="14" t="s">
        <v>827</v>
      </c>
      <c r="Q106" s="14" t="s">
        <v>1256</v>
      </c>
      <c r="R106" s="14" t="s">
        <v>828</v>
      </c>
      <c r="S106" s="14" t="s">
        <v>278</v>
      </c>
      <c r="T106" s="14" t="s">
        <v>373</v>
      </c>
      <c r="U106" s="14" t="s">
        <v>374</v>
      </c>
    </row>
    <row r="107" spans="1:21" ht="38" customHeight="1" x14ac:dyDescent="0.2">
      <c r="A107" s="14" t="s">
        <v>1299</v>
      </c>
      <c r="B107" s="14" t="s">
        <v>201</v>
      </c>
      <c r="C107" s="14" t="s">
        <v>1300</v>
      </c>
      <c r="D107" s="14" t="s">
        <v>1301</v>
      </c>
      <c r="E107" s="14" t="s">
        <v>1302</v>
      </c>
      <c r="F107" s="14" t="s">
        <v>1303</v>
      </c>
      <c r="G107" s="14" t="s">
        <v>1304</v>
      </c>
      <c r="H107" s="14" t="s">
        <v>197</v>
      </c>
      <c r="I107" s="14" t="s">
        <v>1305</v>
      </c>
      <c r="J107" s="14" t="s">
        <v>273</v>
      </c>
      <c r="K107" s="14" t="s">
        <v>274</v>
      </c>
      <c r="L107" s="14" t="s">
        <v>274</v>
      </c>
      <c r="M107" s="14" t="s">
        <v>274</v>
      </c>
      <c r="N107" s="14" t="s">
        <v>204</v>
      </c>
      <c r="O107" s="14" t="s">
        <v>1248</v>
      </c>
      <c r="P107" s="14" t="s">
        <v>1306</v>
      </c>
      <c r="Q107" s="14" t="s">
        <v>1256</v>
      </c>
      <c r="R107" s="14" t="s">
        <v>1266</v>
      </c>
      <c r="S107" s="14" t="s">
        <v>278</v>
      </c>
      <c r="T107" s="14" t="s">
        <v>301</v>
      </c>
      <c r="U107" s="14"/>
    </row>
    <row r="108" spans="1:21" ht="38" customHeight="1" x14ac:dyDescent="0.2">
      <c r="A108" s="14" t="s">
        <v>1307</v>
      </c>
      <c r="B108" s="14" t="s">
        <v>201</v>
      </c>
      <c r="C108" s="14" t="s">
        <v>1308</v>
      </c>
      <c r="D108" s="14" t="s">
        <v>1309</v>
      </c>
      <c r="E108" s="14" t="s">
        <v>1310</v>
      </c>
      <c r="F108" s="14" t="s">
        <v>1311</v>
      </c>
      <c r="G108" s="14" t="s">
        <v>1189</v>
      </c>
      <c r="H108" s="14" t="s">
        <v>197</v>
      </c>
      <c r="I108" s="14" t="s">
        <v>1312</v>
      </c>
      <c r="J108" s="14" t="s">
        <v>273</v>
      </c>
      <c r="K108" s="14" t="s">
        <v>274</v>
      </c>
      <c r="L108" s="14" t="s">
        <v>274</v>
      </c>
      <c r="M108" s="14" t="s">
        <v>274</v>
      </c>
      <c r="N108" s="14" t="s">
        <v>204</v>
      </c>
      <c r="O108" s="14" t="s">
        <v>1248</v>
      </c>
      <c r="P108" s="14" t="s">
        <v>1313</v>
      </c>
      <c r="Q108" s="14" t="s">
        <v>1256</v>
      </c>
      <c r="R108" s="14" t="s">
        <v>1314</v>
      </c>
      <c r="S108" s="14" t="s">
        <v>278</v>
      </c>
      <c r="T108" s="14" t="s">
        <v>301</v>
      </c>
      <c r="U108" s="14"/>
    </row>
    <row r="109" spans="1:21" ht="38" customHeight="1" x14ac:dyDescent="0.2">
      <c r="A109" s="14" t="s">
        <v>1315</v>
      </c>
      <c r="B109" s="14" t="s">
        <v>201</v>
      </c>
      <c r="C109" s="14" t="s">
        <v>1308</v>
      </c>
      <c r="D109" s="14" t="s">
        <v>1316</v>
      </c>
      <c r="E109" s="14" t="s">
        <v>1317</v>
      </c>
      <c r="F109" s="14" t="s">
        <v>1318</v>
      </c>
      <c r="G109" s="14" t="s">
        <v>1319</v>
      </c>
      <c r="H109" s="14" t="s">
        <v>197</v>
      </c>
      <c r="I109" s="14" t="s">
        <v>1320</v>
      </c>
      <c r="J109" s="14" t="s">
        <v>1321</v>
      </c>
      <c r="K109" s="14" t="s">
        <v>393</v>
      </c>
      <c r="L109" s="14" t="s">
        <v>393</v>
      </c>
      <c r="M109" s="14" t="s">
        <v>393</v>
      </c>
      <c r="N109" s="14" t="s">
        <v>204</v>
      </c>
      <c r="O109" s="14" t="s">
        <v>1307</v>
      </c>
      <c r="P109" s="14" t="s">
        <v>1322</v>
      </c>
      <c r="Q109" s="14" t="s">
        <v>1256</v>
      </c>
      <c r="R109" s="14" t="s">
        <v>1323</v>
      </c>
      <c r="S109" s="14" t="s">
        <v>278</v>
      </c>
      <c r="T109" s="14" t="s">
        <v>301</v>
      </c>
      <c r="U109" s="14"/>
    </row>
    <row r="110" spans="1:21" ht="38" customHeight="1" x14ac:dyDescent="0.2">
      <c r="A110" s="14" t="s">
        <v>1324</v>
      </c>
      <c r="B110" s="14" t="s">
        <v>201</v>
      </c>
      <c r="C110" s="14" t="s">
        <v>1325</v>
      </c>
      <c r="D110" s="14" t="s">
        <v>1326</v>
      </c>
      <c r="E110" s="14" t="s">
        <v>1327</v>
      </c>
      <c r="F110" s="14" t="s">
        <v>1328</v>
      </c>
      <c r="G110" s="14" t="s">
        <v>1329</v>
      </c>
      <c r="H110" s="14" t="s">
        <v>197</v>
      </c>
      <c r="I110" s="14" t="s">
        <v>1330</v>
      </c>
      <c r="J110" s="14" t="s">
        <v>579</v>
      </c>
      <c r="K110" s="14" t="s">
        <v>393</v>
      </c>
      <c r="L110" s="14" t="s">
        <v>393</v>
      </c>
      <c r="M110" s="14" t="s">
        <v>393</v>
      </c>
      <c r="N110" s="14" t="s">
        <v>204</v>
      </c>
      <c r="O110" s="14" t="s">
        <v>1248</v>
      </c>
      <c r="P110" s="14" t="s">
        <v>1331</v>
      </c>
      <c r="Q110" s="14" t="s">
        <v>1256</v>
      </c>
      <c r="R110" s="14" t="s">
        <v>1332</v>
      </c>
      <c r="S110" s="14" t="s">
        <v>278</v>
      </c>
      <c r="T110" s="14" t="s">
        <v>301</v>
      </c>
      <c r="U110" s="14"/>
    </row>
    <row r="111" spans="1:21" ht="38" customHeight="1" x14ac:dyDescent="0.2">
      <c r="A111" s="14" t="s">
        <v>1333</v>
      </c>
      <c r="B111" s="14" t="s">
        <v>201</v>
      </c>
      <c r="C111" s="14" t="s">
        <v>1334</v>
      </c>
      <c r="D111" s="14" t="s">
        <v>1335</v>
      </c>
      <c r="E111" s="14" t="s">
        <v>1336</v>
      </c>
      <c r="F111" s="14" t="s">
        <v>1337</v>
      </c>
      <c r="G111" s="14" t="s">
        <v>781</v>
      </c>
      <c r="H111" s="14" t="s">
        <v>197</v>
      </c>
      <c r="I111" s="14" t="s">
        <v>1338</v>
      </c>
      <c r="J111" s="14" t="s">
        <v>273</v>
      </c>
      <c r="K111" s="14" t="s">
        <v>274</v>
      </c>
      <c r="L111" s="14" t="s">
        <v>274</v>
      </c>
      <c r="M111" s="14" t="s">
        <v>274</v>
      </c>
      <c r="N111" s="14" t="s">
        <v>204</v>
      </c>
      <c r="O111" s="14" t="s">
        <v>1248</v>
      </c>
      <c r="P111" s="14" t="s">
        <v>1339</v>
      </c>
      <c r="Q111" s="14" t="s">
        <v>1256</v>
      </c>
      <c r="R111" s="14" t="s">
        <v>1340</v>
      </c>
      <c r="S111" s="14" t="s">
        <v>278</v>
      </c>
      <c r="T111" s="14" t="s">
        <v>301</v>
      </c>
      <c r="U111" s="14"/>
    </row>
    <row r="112" spans="1:21" ht="38" customHeight="1" x14ac:dyDescent="0.2">
      <c r="A112" s="14" t="s">
        <v>1341</v>
      </c>
      <c r="B112" s="14" t="s">
        <v>201</v>
      </c>
      <c r="C112" s="14" t="s">
        <v>1342</v>
      </c>
      <c r="D112" s="14" t="s">
        <v>1343</v>
      </c>
      <c r="E112" s="14" t="s">
        <v>1344</v>
      </c>
      <c r="F112" s="14" t="s">
        <v>1345</v>
      </c>
      <c r="G112" s="14" t="s">
        <v>1346</v>
      </c>
      <c r="H112" s="14" t="s">
        <v>197</v>
      </c>
      <c r="I112" s="14" t="s">
        <v>1347</v>
      </c>
      <c r="J112" s="14" t="s">
        <v>273</v>
      </c>
      <c r="K112" s="14" t="s">
        <v>274</v>
      </c>
      <c r="L112" s="14" t="s">
        <v>274</v>
      </c>
      <c r="M112" s="14" t="s">
        <v>274</v>
      </c>
      <c r="N112" s="14" t="s">
        <v>204</v>
      </c>
      <c r="O112" s="14" t="s">
        <v>1248</v>
      </c>
      <c r="P112" s="14" t="s">
        <v>1348</v>
      </c>
      <c r="Q112" s="14" t="s">
        <v>1256</v>
      </c>
      <c r="R112" s="14" t="s">
        <v>1349</v>
      </c>
      <c r="S112" s="14" t="s">
        <v>278</v>
      </c>
      <c r="T112" s="14" t="s">
        <v>301</v>
      </c>
      <c r="U112" s="14"/>
    </row>
    <row r="113" spans="1:21" ht="38" customHeight="1" x14ac:dyDescent="0.2">
      <c r="A113" s="14" t="s">
        <v>1350</v>
      </c>
      <c r="B113" s="14" t="s">
        <v>201</v>
      </c>
      <c r="C113" s="14" t="s">
        <v>1351</v>
      </c>
      <c r="D113" s="14" t="s">
        <v>1352</v>
      </c>
      <c r="E113" s="14" t="s">
        <v>1353</v>
      </c>
      <c r="F113" s="14" t="s">
        <v>1354</v>
      </c>
      <c r="G113" s="14" t="s">
        <v>1355</v>
      </c>
      <c r="H113" s="14" t="s">
        <v>286</v>
      </c>
      <c r="I113" s="14" t="s">
        <v>1356</v>
      </c>
      <c r="J113" s="14" t="s">
        <v>273</v>
      </c>
      <c r="K113" s="14" t="s">
        <v>274</v>
      </c>
      <c r="L113" s="14" t="s">
        <v>274</v>
      </c>
      <c r="M113" s="14" t="s">
        <v>274</v>
      </c>
      <c r="N113" s="14" t="s">
        <v>204</v>
      </c>
      <c r="O113" s="14" t="s">
        <v>1357</v>
      </c>
      <c r="P113" s="14" t="s">
        <v>1358</v>
      </c>
      <c r="Q113" s="14" t="s">
        <v>1256</v>
      </c>
      <c r="R113" s="14" t="s">
        <v>1359</v>
      </c>
      <c r="S113" s="14" t="s">
        <v>278</v>
      </c>
      <c r="T113" s="14" t="s">
        <v>301</v>
      </c>
      <c r="U113" s="14"/>
    </row>
    <row r="114" spans="1:21" ht="38" customHeight="1" x14ac:dyDescent="0.2">
      <c r="A114" s="14" t="s">
        <v>1360</v>
      </c>
      <c r="B114" s="14" t="s">
        <v>201</v>
      </c>
      <c r="C114" s="14" t="s">
        <v>1361</v>
      </c>
      <c r="D114" s="14" t="s">
        <v>1362</v>
      </c>
      <c r="E114" s="14" t="s">
        <v>1363</v>
      </c>
      <c r="F114" s="14" t="s">
        <v>1364</v>
      </c>
      <c r="G114" s="14" t="s">
        <v>1365</v>
      </c>
      <c r="H114" s="14" t="s">
        <v>166</v>
      </c>
      <c r="I114" s="14" t="s">
        <v>1366</v>
      </c>
      <c r="J114" s="14" t="s">
        <v>1367</v>
      </c>
      <c r="K114" s="14" t="s">
        <v>393</v>
      </c>
      <c r="L114" s="14" t="s">
        <v>393</v>
      </c>
      <c r="M114" s="14" t="s">
        <v>393</v>
      </c>
      <c r="N114" s="14" t="s">
        <v>204</v>
      </c>
      <c r="O114" s="14" t="s">
        <v>1368</v>
      </c>
      <c r="P114" s="14" t="s">
        <v>1369</v>
      </c>
      <c r="Q114" s="14" t="s">
        <v>1256</v>
      </c>
      <c r="R114" s="14"/>
      <c r="S114" s="14" t="s">
        <v>278</v>
      </c>
      <c r="T114" s="14" t="s">
        <v>301</v>
      </c>
      <c r="U114" s="14"/>
    </row>
    <row r="115" spans="1:21" ht="38" customHeight="1" x14ac:dyDescent="0.2">
      <c r="A115" s="14" t="s">
        <v>1370</v>
      </c>
      <c r="B115" s="14" t="s">
        <v>201</v>
      </c>
      <c r="C115" s="14" t="s">
        <v>1371</v>
      </c>
      <c r="D115" s="14" t="s">
        <v>1372</v>
      </c>
      <c r="E115" s="14" t="s">
        <v>1373</v>
      </c>
      <c r="F115" s="14" t="s">
        <v>1374</v>
      </c>
      <c r="G115" s="14" t="s">
        <v>1375</v>
      </c>
      <c r="H115" s="14" t="s">
        <v>189</v>
      </c>
      <c r="I115" s="14" t="s">
        <v>1376</v>
      </c>
      <c r="J115" s="14" t="s">
        <v>1377</v>
      </c>
      <c r="K115" s="14" t="s">
        <v>393</v>
      </c>
      <c r="L115" s="14" t="s">
        <v>393</v>
      </c>
      <c r="M115" s="14" t="s">
        <v>393</v>
      </c>
      <c r="N115" s="14" t="s">
        <v>204</v>
      </c>
      <c r="O115" s="14" t="s">
        <v>1378</v>
      </c>
      <c r="P115" s="14" t="s">
        <v>1379</v>
      </c>
      <c r="Q115" s="14" t="s">
        <v>1256</v>
      </c>
      <c r="R115" s="14" t="s">
        <v>1380</v>
      </c>
      <c r="S115" s="14" t="s">
        <v>278</v>
      </c>
      <c r="T115" s="14" t="s">
        <v>301</v>
      </c>
      <c r="U115" s="14"/>
    </row>
    <row r="116" spans="1:21" ht="38" customHeight="1" x14ac:dyDescent="0.2">
      <c r="A116" s="14" t="s">
        <v>1381</v>
      </c>
      <c r="B116" s="14" t="s">
        <v>201</v>
      </c>
      <c r="C116" s="14" t="s">
        <v>1382</v>
      </c>
      <c r="D116" s="14" t="s">
        <v>1383</v>
      </c>
      <c r="E116" s="14" t="s">
        <v>1384</v>
      </c>
      <c r="F116" s="14" t="s">
        <v>1385</v>
      </c>
      <c r="G116" s="14" t="s">
        <v>745</v>
      </c>
      <c r="H116" s="14" t="s">
        <v>516</v>
      </c>
      <c r="I116" s="14" t="s">
        <v>1386</v>
      </c>
      <c r="J116" s="14" t="s">
        <v>1387</v>
      </c>
      <c r="K116" s="14" t="s">
        <v>393</v>
      </c>
      <c r="L116" s="14" t="s">
        <v>393</v>
      </c>
      <c r="M116" s="14" t="s">
        <v>393</v>
      </c>
      <c r="N116" s="14" t="s">
        <v>204</v>
      </c>
      <c r="O116" s="14" t="s">
        <v>1341</v>
      </c>
      <c r="P116" s="14" t="s">
        <v>1388</v>
      </c>
      <c r="Q116" s="14" t="s">
        <v>1256</v>
      </c>
      <c r="R116" s="14" t="s">
        <v>1389</v>
      </c>
      <c r="S116" s="14" t="s">
        <v>278</v>
      </c>
      <c r="T116" s="14" t="s">
        <v>750</v>
      </c>
      <c r="U116" s="14" t="s">
        <v>751</v>
      </c>
    </row>
    <row r="117" spans="1:21" ht="38" customHeight="1" x14ac:dyDescent="0.2">
      <c r="A117" s="14" t="s">
        <v>1390</v>
      </c>
      <c r="B117" s="14" t="s">
        <v>201</v>
      </c>
      <c r="C117" s="14" t="s">
        <v>1391</v>
      </c>
      <c r="D117" s="14" t="s">
        <v>1392</v>
      </c>
      <c r="E117" s="14" t="s">
        <v>1393</v>
      </c>
      <c r="F117" s="14" t="s">
        <v>1394</v>
      </c>
      <c r="G117" s="14" t="s">
        <v>1395</v>
      </c>
      <c r="H117" s="14" t="s">
        <v>197</v>
      </c>
      <c r="I117" s="14" t="s">
        <v>1396</v>
      </c>
      <c r="J117" s="14" t="s">
        <v>1387</v>
      </c>
      <c r="K117" s="14" t="s">
        <v>393</v>
      </c>
      <c r="L117" s="14" t="s">
        <v>393</v>
      </c>
      <c r="M117" s="14" t="s">
        <v>393</v>
      </c>
      <c r="N117" s="14" t="s">
        <v>204</v>
      </c>
      <c r="O117" s="14" t="s">
        <v>1381</v>
      </c>
      <c r="P117" s="14" t="s">
        <v>1397</v>
      </c>
      <c r="Q117" s="14" t="s">
        <v>1256</v>
      </c>
      <c r="R117" s="14" t="s">
        <v>1398</v>
      </c>
      <c r="S117" s="14" t="s">
        <v>278</v>
      </c>
      <c r="T117" s="14" t="s">
        <v>301</v>
      </c>
      <c r="U117" s="14"/>
    </row>
    <row r="118" spans="1:21" ht="45.75" customHeight="1" x14ac:dyDescent="0.2">
      <c r="A118" s="14" t="s">
        <v>1399</v>
      </c>
      <c r="B118" s="14" t="s">
        <v>201</v>
      </c>
      <c r="C118" s="14" t="s">
        <v>1400</v>
      </c>
      <c r="D118" s="14" t="s">
        <v>1401</v>
      </c>
      <c r="E118" s="14" t="s">
        <v>1402</v>
      </c>
      <c r="F118" s="14" t="s">
        <v>1403</v>
      </c>
      <c r="G118" s="14" t="s">
        <v>1404</v>
      </c>
      <c r="H118" s="14" t="s">
        <v>189</v>
      </c>
      <c r="I118" s="14" t="s">
        <v>1405</v>
      </c>
      <c r="J118" s="14" t="s">
        <v>590</v>
      </c>
      <c r="K118" s="14" t="s">
        <v>393</v>
      </c>
      <c r="L118" s="14" t="s">
        <v>393</v>
      </c>
      <c r="M118" s="14" t="s">
        <v>393</v>
      </c>
      <c r="N118" s="14" t="s">
        <v>204</v>
      </c>
      <c r="O118" s="14" t="s">
        <v>1341</v>
      </c>
      <c r="P118" s="14" t="s">
        <v>1406</v>
      </c>
      <c r="Q118" s="14" t="s">
        <v>1256</v>
      </c>
      <c r="R118" s="14" t="s">
        <v>1407</v>
      </c>
      <c r="S118" s="14" t="s">
        <v>278</v>
      </c>
      <c r="T118" s="14" t="s">
        <v>1408</v>
      </c>
      <c r="U118" s="14" t="s">
        <v>1409</v>
      </c>
    </row>
    <row r="119" spans="1:21" ht="38" customHeight="1" x14ac:dyDescent="0.2">
      <c r="A119" s="14" t="s">
        <v>1410</v>
      </c>
      <c r="B119" s="14" t="s">
        <v>201</v>
      </c>
      <c r="C119" s="14" t="s">
        <v>1411</v>
      </c>
      <c r="D119" s="14" t="s">
        <v>1412</v>
      </c>
      <c r="E119" s="14" t="s">
        <v>1413</v>
      </c>
      <c r="F119" s="14" t="s">
        <v>1414</v>
      </c>
      <c r="G119" s="14" t="s">
        <v>1415</v>
      </c>
      <c r="H119" s="14" t="s">
        <v>189</v>
      </c>
      <c r="I119" s="14" t="s">
        <v>1416</v>
      </c>
      <c r="J119" s="14" t="s">
        <v>273</v>
      </c>
      <c r="K119" s="14" t="s">
        <v>274</v>
      </c>
      <c r="L119" s="14" t="s">
        <v>274</v>
      </c>
      <c r="M119" s="14" t="s">
        <v>274</v>
      </c>
      <c r="N119" s="14" t="s">
        <v>204</v>
      </c>
      <c r="O119" s="14" t="s">
        <v>1248</v>
      </c>
      <c r="P119" s="14" t="s">
        <v>1417</v>
      </c>
      <c r="Q119" s="14" t="s">
        <v>1256</v>
      </c>
      <c r="R119" s="14" t="s">
        <v>1418</v>
      </c>
      <c r="S119" s="14" t="s">
        <v>278</v>
      </c>
      <c r="T119" s="14" t="s">
        <v>633</v>
      </c>
      <c r="U119" s="14" t="s">
        <v>634</v>
      </c>
    </row>
    <row r="120" spans="1:21" ht="61" customHeight="1" x14ac:dyDescent="0.2">
      <c r="A120" s="14" t="s">
        <v>1419</v>
      </c>
      <c r="B120" s="14" t="s">
        <v>201</v>
      </c>
      <c r="C120" s="14" t="s">
        <v>1420</v>
      </c>
      <c r="D120" s="14" t="s">
        <v>1421</v>
      </c>
      <c r="E120" s="14" t="s">
        <v>1422</v>
      </c>
      <c r="F120" s="14" t="s">
        <v>1423</v>
      </c>
      <c r="G120" s="14" t="s">
        <v>1424</v>
      </c>
      <c r="H120" s="14" t="s">
        <v>166</v>
      </c>
      <c r="I120" s="14" t="s">
        <v>1425</v>
      </c>
      <c r="J120" s="14" t="s">
        <v>273</v>
      </c>
      <c r="K120" s="14" t="s">
        <v>274</v>
      </c>
      <c r="L120" s="14" t="s">
        <v>274</v>
      </c>
      <c r="M120" s="14" t="s">
        <v>274</v>
      </c>
      <c r="N120" s="14" t="s">
        <v>204</v>
      </c>
      <c r="O120" s="14" t="s">
        <v>1426</v>
      </c>
      <c r="P120" s="14" t="s">
        <v>1427</v>
      </c>
      <c r="Q120" s="14" t="s">
        <v>1256</v>
      </c>
      <c r="R120" s="14" t="s">
        <v>1428</v>
      </c>
      <c r="S120" s="14" t="s">
        <v>278</v>
      </c>
      <c r="T120" s="14" t="s">
        <v>1429</v>
      </c>
      <c r="U120" s="14" t="s">
        <v>1430</v>
      </c>
    </row>
    <row r="121" spans="1:21" ht="38" customHeight="1" x14ac:dyDescent="0.2">
      <c r="A121" s="14" t="s">
        <v>1431</v>
      </c>
      <c r="B121" s="14" t="s">
        <v>201</v>
      </c>
      <c r="C121" s="14" t="s">
        <v>204</v>
      </c>
      <c r="D121" s="14" t="s">
        <v>1432</v>
      </c>
      <c r="E121" s="14" t="s">
        <v>1433</v>
      </c>
      <c r="F121" s="14" t="s">
        <v>1434</v>
      </c>
      <c r="G121" s="14" t="s">
        <v>1435</v>
      </c>
      <c r="H121" s="14" t="s">
        <v>166</v>
      </c>
      <c r="I121" s="14" t="s">
        <v>1436</v>
      </c>
      <c r="J121" s="14" t="s">
        <v>273</v>
      </c>
      <c r="K121" s="14" t="s">
        <v>274</v>
      </c>
      <c r="L121" s="14" t="s">
        <v>274</v>
      </c>
      <c r="M121" s="14" t="s">
        <v>274</v>
      </c>
      <c r="N121" s="14" t="s">
        <v>204</v>
      </c>
      <c r="O121" s="14" t="s">
        <v>1437</v>
      </c>
      <c r="P121" s="14" t="s">
        <v>1438</v>
      </c>
      <c r="Q121" s="14" t="s">
        <v>1256</v>
      </c>
      <c r="R121" s="14" t="s">
        <v>1439</v>
      </c>
      <c r="S121" s="14" t="s">
        <v>278</v>
      </c>
      <c r="T121" s="14" t="s">
        <v>301</v>
      </c>
      <c r="U121" s="14"/>
    </row>
    <row r="122" spans="1:21" ht="38" customHeight="1" x14ac:dyDescent="0.2">
      <c r="A122" s="14" t="s">
        <v>1440</v>
      </c>
      <c r="B122" s="14" t="s">
        <v>201</v>
      </c>
      <c r="C122" s="14" t="s">
        <v>1441</v>
      </c>
      <c r="D122" s="14" t="s">
        <v>1442</v>
      </c>
      <c r="E122" s="14" t="s">
        <v>1443</v>
      </c>
      <c r="F122" s="14" t="s">
        <v>1444</v>
      </c>
      <c r="G122" s="14" t="s">
        <v>1445</v>
      </c>
      <c r="H122" s="14" t="s">
        <v>166</v>
      </c>
      <c r="I122" s="14" t="s">
        <v>1446</v>
      </c>
      <c r="J122" s="14" t="s">
        <v>1447</v>
      </c>
      <c r="K122" s="14" t="s">
        <v>393</v>
      </c>
      <c r="L122" s="14" t="s">
        <v>393</v>
      </c>
      <c r="M122" s="14" t="s">
        <v>393</v>
      </c>
      <c r="N122" s="14" t="s">
        <v>204</v>
      </c>
      <c r="O122" s="14" t="s">
        <v>1431</v>
      </c>
      <c r="P122" s="14" t="s">
        <v>1448</v>
      </c>
      <c r="Q122" s="14" t="s">
        <v>1256</v>
      </c>
      <c r="R122" s="14" t="s">
        <v>1439</v>
      </c>
      <c r="S122" s="14" t="s">
        <v>278</v>
      </c>
      <c r="T122" s="14" t="s">
        <v>1449</v>
      </c>
      <c r="U122" s="14" t="s">
        <v>1450</v>
      </c>
    </row>
    <row r="123" spans="1:21" ht="38" customHeight="1" x14ac:dyDescent="0.2">
      <c r="A123" s="14" t="s">
        <v>1451</v>
      </c>
      <c r="B123" s="14" t="s">
        <v>201</v>
      </c>
      <c r="C123" s="14" t="s">
        <v>1452</v>
      </c>
      <c r="D123" s="14" t="s">
        <v>1453</v>
      </c>
      <c r="E123" s="14" t="s">
        <v>1454</v>
      </c>
      <c r="F123" s="14" t="s">
        <v>1455</v>
      </c>
      <c r="G123" s="14" t="s">
        <v>1456</v>
      </c>
      <c r="H123" s="14" t="s">
        <v>166</v>
      </c>
      <c r="I123" s="14" t="s">
        <v>1457</v>
      </c>
      <c r="J123" s="14" t="s">
        <v>1458</v>
      </c>
      <c r="K123" s="14" t="s">
        <v>393</v>
      </c>
      <c r="L123" s="14" t="s">
        <v>393</v>
      </c>
      <c r="M123" s="14" t="s">
        <v>393</v>
      </c>
      <c r="N123" s="14" t="s">
        <v>204</v>
      </c>
      <c r="O123" s="14" t="s">
        <v>1431</v>
      </c>
      <c r="P123" s="14" t="s">
        <v>1459</v>
      </c>
      <c r="Q123" s="14" t="s">
        <v>1256</v>
      </c>
      <c r="R123" s="14" t="s">
        <v>1460</v>
      </c>
      <c r="S123" s="14" t="s">
        <v>278</v>
      </c>
      <c r="T123" s="14" t="s">
        <v>301</v>
      </c>
      <c r="U123" s="14"/>
    </row>
    <row r="124" spans="1:21" ht="38" customHeight="1" x14ac:dyDescent="0.2">
      <c r="A124" s="14" t="s">
        <v>1461</v>
      </c>
      <c r="B124" s="14" t="s">
        <v>201</v>
      </c>
      <c r="C124" s="14" t="s">
        <v>1462</v>
      </c>
      <c r="D124" s="14" t="s">
        <v>1463</v>
      </c>
      <c r="E124" s="14" t="s">
        <v>1464</v>
      </c>
      <c r="F124" s="14" t="s">
        <v>1465</v>
      </c>
      <c r="G124" s="14" t="s">
        <v>1466</v>
      </c>
      <c r="H124" s="14" t="s">
        <v>286</v>
      </c>
      <c r="I124" s="14" t="s">
        <v>1467</v>
      </c>
      <c r="J124" s="14" t="s">
        <v>273</v>
      </c>
      <c r="K124" s="14" t="s">
        <v>274</v>
      </c>
      <c r="L124" s="14" t="s">
        <v>274</v>
      </c>
      <c r="M124" s="14" t="s">
        <v>274</v>
      </c>
      <c r="N124" s="14" t="s">
        <v>204</v>
      </c>
      <c r="O124" s="14" t="s">
        <v>1468</v>
      </c>
      <c r="P124" s="14" t="s">
        <v>1469</v>
      </c>
      <c r="Q124" s="14" t="s">
        <v>1256</v>
      </c>
      <c r="R124" s="14" t="s">
        <v>415</v>
      </c>
      <c r="S124" s="14" t="s">
        <v>278</v>
      </c>
      <c r="T124" s="14" t="s">
        <v>301</v>
      </c>
      <c r="U124" s="14"/>
    </row>
    <row r="125" spans="1:21" ht="45.75" customHeight="1" x14ac:dyDescent="0.2">
      <c r="A125" s="15" t="s">
        <v>1470</v>
      </c>
      <c r="B125" s="15" t="s">
        <v>208</v>
      </c>
      <c r="C125" s="15" t="s">
        <v>1471</v>
      </c>
      <c r="D125" s="15" t="s">
        <v>1472</v>
      </c>
      <c r="E125" s="15" t="s">
        <v>1473</v>
      </c>
      <c r="F125" s="15" t="s">
        <v>1474</v>
      </c>
      <c r="G125" s="15" t="s">
        <v>1456</v>
      </c>
      <c r="H125" s="15" t="s">
        <v>166</v>
      </c>
      <c r="I125" s="15" t="s">
        <v>1475</v>
      </c>
      <c r="J125" s="15" t="s">
        <v>1476</v>
      </c>
      <c r="K125" s="15" t="s">
        <v>393</v>
      </c>
      <c r="L125" s="15" t="s">
        <v>393</v>
      </c>
      <c r="M125" s="15" t="s">
        <v>393</v>
      </c>
      <c r="N125" s="15" t="s">
        <v>211</v>
      </c>
      <c r="O125" s="15"/>
      <c r="P125" s="15" t="s">
        <v>1477</v>
      </c>
      <c r="Q125" s="15" t="s">
        <v>1478</v>
      </c>
      <c r="R125" s="15" t="s">
        <v>1460</v>
      </c>
      <c r="S125" s="15" t="s">
        <v>278</v>
      </c>
      <c r="T125" s="15" t="s">
        <v>301</v>
      </c>
      <c r="U125" s="15"/>
    </row>
    <row r="126" spans="1:21" ht="38" customHeight="1" x14ac:dyDescent="0.2">
      <c r="A126" s="15" t="s">
        <v>1479</v>
      </c>
      <c r="B126" s="15" t="s">
        <v>208</v>
      </c>
      <c r="C126" s="15" t="s">
        <v>1480</v>
      </c>
      <c r="D126" s="15" t="s">
        <v>1481</v>
      </c>
      <c r="E126" s="15" t="s">
        <v>1482</v>
      </c>
      <c r="F126" s="15" t="s">
        <v>1483</v>
      </c>
      <c r="G126" s="15" t="s">
        <v>1484</v>
      </c>
      <c r="H126" s="15" t="s">
        <v>197</v>
      </c>
      <c r="I126" s="15" t="s">
        <v>1485</v>
      </c>
      <c r="J126" s="15" t="s">
        <v>1476</v>
      </c>
      <c r="K126" s="15" t="s">
        <v>393</v>
      </c>
      <c r="L126" s="15" t="s">
        <v>393</v>
      </c>
      <c r="M126" s="15" t="s">
        <v>393</v>
      </c>
      <c r="N126" s="15" t="s">
        <v>211</v>
      </c>
      <c r="O126" s="15" t="s">
        <v>1470</v>
      </c>
      <c r="P126" s="15" t="s">
        <v>1486</v>
      </c>
      <c r="Q126" s="15" t="s">
        <v>1478</v>
      </c>
      <c r="R126" s="15" t="s">
        <v>1460</v>
      </c>
      <c r="S126" s="15" t="s">
        <v>278</v>
      </c>
      <c r="T126" s="15" t="s">
        <v>301</v>
      </c>
      <c r="U126" s="15"/>
    </row>
    <row r="127" spans="1:21" ht="38" customHeight="1" x14ac:dyDescent="0.2">
      <c r="A127" s="15" t="s">
        <v>1487</v>
      </c>
      <c r="B127" s="15" t="s">
        <v>208</v>
      </c>
      <c r="C127" s="15" t="s">
        <v>1488</v>
      </c>
      <c r="D127" s="15" t="s">
        <v>1489</v>
      </c>
      <c r="E127" s="15" t="s">
        <v>1490</v>
      </c>
      <c r="F127" s="15" t="s">
        <v>1491</v>
      </c>
      <c r="G127" s="15" t="s">
        <v>1492</v>
      </c>
      <c r="H127" s="15" t="s">
        <v>197</v>
      </c>
      <c r="I127" s="15" t="s">
        <v>1493</v>
      </c>
      <c r="J127" s="15" t="s">
        <v>1476</v>
      </c>
      <c r="K127" s="15" t="s">
        <v>393</v>
      </c>
      <c r="L127" s="15" t="s">
        <v>393</v>
      </c>
      <c r="M127" s="15" t="s">
        <v>393</v>
      </c>
      <c r="N127" s="15" t="s">
        <v>211</v>
      </c>
      <c r="O127" s="15" t="s">
        <v>1470</v>
      </c>
      <c r="P127" s="15" t="s">
        <v>1494</v>
      </c>
      <c r="Q127" s="15" t="s">
        <v>1478</v>
      </c>
      <c r="R127" s="15" t="s">
        <v>1460</v>
      </c>
      <c r="S127" s="15" t="s">
        <v>278</v>
      </c>
      <c r="T127" s="15" t="s">
        <v>301</v>
      </c>
      <c r="U127" s="15"/>
    </row>
    <row r="128" spans="1:21" ht="38" customHeight="1" x14ac:dyDescent="0.2">
      <c r="A128" s="15" t="s">
        <v>1495</v>
      </c>
      <c r="B128" s="15" t="s">
        <v>208</v>
      </c>
      <c r="C128" s="15" t="s">
        <v>1496</v>
      </c>
      <c r="D128" s="15" t="s">
        <v>1497</v>
      </c>
      <c r="E128" s="15" t="s">
        <v>1498</v>
      </c>
      <c r="F128" s="15" t="s">
        <v>1499</v>
      </c>
      <c r="G128" s="15" t="s">
        <v>1500</v>
      </c>
      <c r="H128" s="15" t="s">
        <v>336</v>
      </c>
      <c r="I128" s="15" t="s">
        <v>1501</v>
      </c>
      <c r="J128" s="15" t="s">
        <v>1476</v>
      </c>
      <c r="K128" s="15" t="s">
        <v>393</v>
      </c>
      <c r="L128" s="15" t="s">
        <v>393</v>
      </c>
      <c r="M128" s="15" t="s">
        <v>393</v>
      </c>
      <c r="N128" s="15" t="s">
        <v>211</v>
      </c>
      <c r="O128" s="15" t="s">
        <v>1487</v>
      </c>
      <c r="P128" s="15" t="s">
        <v>1502</v>
      </c>
      <c r="Q128" s="15" t="s">
        <v>1478</v>
      </c>
      <c r="R128" s="15" t="s">
        <v>1460</v>
      </c>
      <c r="S128" s="15" t="s">
        <v>278</v>
      </c>
      <c r="T128" s="15" t="s">
        <v>340</v>
      </c>
      <c r="U128" s="15" t="s">
        <v>341</v>
      </c>
    </row>
    <row r="129" spans="1:21" ht="38" customHeight="1" x14ac:dyDescent="0.2">
      <c r="A129" s="15" t="s">
        <v>1503</v>
      </c>
      <c r="B129" s="15" t="s">
        <v>208</v>
      </c>
      <c r="C129" s="15" t="s">
        <v>1504</v>
      </c>
      <c r="D129" s="15" t="s">
        <v>1505</v>
      </c>
      <c r="E129" s="15" t="s">
        <v>1506</v>
      </c>
      <c r="F129" s="15" t="s">
        <v>1507</v>
      </c>
      <c r="G129" s="15" t="s">
        <v>1508</v>
      </c>
      <c r="H129" s="15" t="s">
        <v>714</v>
      </c>
      <c r="I129" s="15" t="s">
        <v>1509</v>
      </c>
      <c r="J129" s="15" t="s">
        <v>1476</v>
      </c>
      <c r="K129" s="15" t="s">
        <v>393</v>
      </c>
      <c r="L129" s="15" t="s">
        <v>393</v>
      </c>
      <c r="M129" s="15" t="s">
        <v>393</v>
      </c>
      <c r="N129" s="15" t="s">
        <v>211</v>
      </c>
      <c r="O129" s="15" t="s">
        <v>1487</v>
      </c>
      <c r="P129" s="15" t="s">
        <v>1510</v>
      </c>
      <c r="Q129" s="15" t="s">
        <v>1478</v>
      </c>
      <c r="R129" s="15" t="s">
        <v>1460</v>
      </c>
      <c r="S129" s="15" t="s">
        <v>278</v>
      </c>
      <c r="T129" s="15" t="s">
        <v>879</v>
      </c>
      <c r="U129" s="15" t="s">
        <v>880</v>
      </c>
    </row>
    <row r="130" spans="1:21" ht="38" customHeight="1" x14ac:dyDescent="0.2">
      <c r="A130" s="15" t="s">
        <v>1511</v>
      </c>
      <c r="B130" s="15" t="s">
        <v>208</v>
      </c>
      <c r="C130" s="15" t="s">
        <v>1512</v>
      </c>
      <c r="D130" s="15" t="s">
        <v>1513</v>
      </c>
      <c r="E130" s="15" t="s">
        <v>1514</v>
      </c>
      <c r="F130" s="15" t="s">
        <v>1515</v>
      </c>
      <c r="G130" s="15" t="s">
        <v>1516</v>
      </c>
      <c r="H130" s="15" t="s">
        <v>197</v>
      </c>
      <c r="I130" s="15" t="s">
        <v>1517</v>
      </c>
      <c r="J130" s="15" t="s">
        <v>1476</v>
      </c>
      <c r="K130" s="15" t="s">
        <v>393</v>
      </c>
      <c r="L130" s="15" t="s">
        <v>393</v>
      </c>
      <c r="M130" s="15" t="s">
        <v>393</v>
      </c>
      <c r="N130" s="15" t="s">
        <v>211</v>
      </c>
      <c r="O130" s="15" t="s">
        <v>1518</v>
      </c>
      <c r="P130" s="15" t="s">
        <v>1519</v>
      </c>
      <c r="Q130" s="15" t="s">
        <v>1478</v>
      </c>
      <c r="R130" s="15" t="s">
        <v>1460</v>
      </c>
      <c r="S130" s="15" t="s">
        <v>278</v>
      </c>
      <c r="T130" s="15" t="s">
        <v>301</v>
      </c>
      <c r="U130" s="15"/>
    </row>
    <row r="131" spans="1:21" ht="38" customHeight="1" x14ac:dyDescent="0.2">
      <c r="A131" s="15" t="s">
        <v>1520</v>
      </c>
      <c r="B131" s="15" t="s">
        <v>208</v>
      </c>
      <c r="C131" s="15" t="s">
        <v>1521</v>
      </c>
      <c r="D131" s="15" t="s">
        <v>1522</v>
      </c>
      <c r="E131" s="15" t="s">
        <v>1523</v>
      </c>
      <c r="F131" s="15" t="s">
        <v>1524</v>
      </c>
      <c r="G131" s="15" t="s">
        <v>1525</v>
      </c>
      <c r="H131" s="15" t="s">
        <v>577</v>
      </c>
      <c r="I131" s="15" t="s">
        <v>1526</v>
      </c>
      <c r="J131" s="15" t="s">
        <v>1476</v>
      </c>
      <c r="K131" s="15" t="s">
        <v>393</v>
      </c>
      <c r="L131" s="15" t="s">
        <v>393</v>
      </c>
      <c r="M131" s="15" t="s">
        <v>393</v>
      </c>
      <c r="N131" s="15" t="s">
        <v>211</v>
      </c>
      <c r="O131" s="15" t="s">
        <v>1527</v>
      </c>
      <c r="P131" s="15" t="s">
        <v>1528</v>
      </c>
      <c r="Q131" s="15" t="s">
        <v>1478</v>
      </c>
      <c r="R131" s="15" t="s">
        <v>1460</v>
      </c>
      <c r="S131" s="15" t="s">
        <v>278</v>
      </c>
      <c r="T131" s="15" t="s">
        <v>301</v>
      </c>
      <c r="U131" s="15"/>
    </row>
    <row r="132" spans="1:21" ht="38" customHeight="1" x14ac:dyDescent="0.2">
      <c r="A132" s="15" t="s">
        <v>1529</v>
      </c>
      <c r="B132" s="15" t="s">
        <v>208</v>
      </c>
      <c r="C132" s="15" t="s">
        <v>1530</v>
      </c>
      <c r="D132" s="15" t="s">
        <v>1531</v>
      </c>
      <c r="E132" s="15" t="s">
        <v>1532</v>
      </c>
      <c r="F132" s="15" t="s">
        <v>1533</v>
      </c>
      <c r="G132" s="15" t="s">
        <v>1534</v>
      </c>
      <c r="H132" s="15" t="s">
        <v>516</v>
      </c>
      <c r="I132" s="15" t="s">
        <v>1535</v>
      </c>
      <c r="J132" s="15" t="s">
        <v>1476</v>
      </c>
      <c r="K132" s="15" t="s">
        <v>393</v>
      </c>
      <c r="L132" s="15" t="s">
        <v>393</v>
      </c>
      <c r="M132" s="15" t="s">
        <v>393</v>
      </c>
      <c r="N132" s="15" t="s">
        <v>211</v>
      </c>
      <c r="O132" s="15" t="s">
        <v>1536</v>
      </c>
      <c r="P132" s="15" t="s">
        <v>1537</v>
      </c>
      <c r="Q132" s="15" t="s">
        <v>1478</v>
      </c>
      <c r="R132" s="15" t="s">
        <v>1460</v>
      </c>
      <c r="S132" s="15" t="s">
        <v>278</v>
      </c>
      <c r="T132" s="15" t="s">
        <v>301</v>
      </c>
      <c r="U132" s="15"/>
    </row>
    <row r="133" spans="1:21" ht="38" customHeight="1" x14ac:dyDescent="0.2">
      <c r="A133" s="15" t="s">
        <v>1538</v>
      </c>
      <c r="B133" s="15" t="s">
        <v>208</v>
      </c>
      <c r="C133" s="15" t="s">
        <v>942</v>
      </c>
      <c r="D133" s="15" t="s">
        <v>1539</v>
      </c>
      <c r="E133" s="15" t="s">
        <v>1540</v>
      </c>
      <c r="F133" s="15" t="s">
        <v>1541</v>
      </c>
      <c r="G133" s="15" t="s">
        <v>1542</v>
      </c>
      <c r="H133" s="15" t="s">
        <v>166</v>
      </c>
      <c r="I133" s="15" t="s">
        <v>1543</v>
      </c>
      <c r="J133" s="15" t="s">
        <v>1476</v>
      </c>
      <c r="K133" s="15" t="s">
        <v>393</v>
      </c>
      <c r="L133" s="15" t="s">
        <v>393</v>
      </c>
      <c r="M133" s="15" t="s">
        <v>393</v>
      </c>
      <c r="N133" s="15" t="s">
        <v>211</v>
      </c>
      <c r="O133" s="15" t="s">
        <v>1529</v>
      </c>
      <c r="P133" s="15" t="s">
        <v>1544</v>
      </c>
      <c r="Q133" s="15" t="s">
        <v>1478</v>
      </c>
      <c r="R133" s="15" t="s">
        <v>1545</v>
      </c>
      <c r="S133" s="15" t="s">
        <v>278</v>
      </c>
      <c r="T133" s="15" t="s">
        <v>301</v>
      </c>
      <c r="U133" s="15"/>
    </row>
    <row r="134" spans="1:21" ht="38" customHeight="1" x14ac:dyDescent="0.2">
      <c r="A134" s="15" t="s">
        <v>1546</v>
      </c>
      <c r="B134" s="15" t="s">
        <v>208</v>
      </c>
      <c r="C134" s="15" t="s">
        <v>211</v>
      </c>
      <c r="D134" s="15" t="s">
        <v>1547</v>
      </c>
      <c r="E134" s="15" t="s">
        <v>1548</v>
      </c>
      <c r="F134" s="15" t="s">
        <v>1549</v>
      </c>
      <c r="G134" s="15" t="s">
        <v>1253</v>
      </c>
      <c r="H134" s="15" t="s">
        <v>166</v>
      </c>
      <c r="I134" s="15" t="s">
        <v>1550</v>
      </c>
      <c r="J134" s="15" t="s">
        <v>1476</v>
      </c>
      <c r="K134" s="15" t="s">
        <v>393</v>
      </c>
      <c r="L134" s="15" t="s">
        <v>393</v>
      </c>
      <c r="M134" s="15" t="s">
        <v>393</v>
      </c>
      <c r="N134" s="15" t="s">
        <v>211</v>
      </c>
      <c r="O134" s="15" t="s">
        <v>1551</v>
      </c>
      <c r="P134" s="15" t="s">
        <v>1552</v>
      </c>
      <c r="Q134" s="15" t="s">
        <v>1478</v>
      </c>
      <c r="R134" s="15" t="s">
        <v>1460</v>
      </c>
      <c r="S134" s="15" t="s">
        <v>278</v>
      </c>
      <c r="T134" s="15" t="s">
        <v>301</v>
      </c>
      <c r="U134" s="15"/>
    </row>
    <row r="135" spans="1:21" ht="38" customHeight="1" x14ac:dyDescent="0.2">
      <c r="A135" s="15" t="s">
        <v>1553</v>
      </c>
      <c r="B135" s="15" t="s">
        <v>208</v>
      </c>
      <c r="C135" s="15" t="s">
        <v>1554</v>
      </c>
      <c r="D135" s="15" t="s">
        <v>1555</v>
      </c>
      <c r="E135" s="15" t="s">
        <v>1556</v>
      </c>
      <c r="F135" s="15" t="s">
        <v>1557</v>
      </c>
      <c r="G135" s="15" t="s">
        <v>1558</v>
      </c>
      <c r="H135" s="15" t="s">
        <v>197</v>
      </c>
      <c r="I135" s="15" t="s">
        <v>1559</v>
      </c>
      <c r="J135" s="15" t="s">
        <v>1560</v>
      </c>
      <c r="K135" s="15" t="s">
        <v>393</v>
      </c>
      <c r="L135" s="15" t="s">
        <v>393</v>
      </c>
      <c r="M135" s="15" t="s">
        <v>393</v>
      </c>
      <c r="N135" s="15" t="s">
        <v>211</v>
      </c>
      <c r="O135" s="15" t="s">
        <v>1546</v>
      </c>
      <c r="P135" s="15" t="s">
        <v>1561</v>
      </c>
      <c r="Q135" s="15" t="s">
        <v>1478</v>
      </c>
      <c r="R135" s="15" t="s">
        <v>1460</v>
      </c>
      <c r="S135" s="15" t="s">
        <v>278</v>
      </c>
      <c r="T135" s="15" t="s">
        <v>301</v>
      </c>
      <c r="U135" s="15"/>
    </row>
  </sheetData>
  <autoFilter ref="A3:U135" xr:uid="{00000000-0009-0000-0000-000002000000}"/>
  <mergeCells count="2">
    <mergeCell ref="A2:I2"/>
    <mergeCell ref="A1:G1"/>
  </mergeCells>
  <phoneticPr fontId="12"/>
  <pageMargins left="0.25" right="0.25" top="0.4" bottom="0.4" header="0.5" footer="0.5"/>
  <pageSetup paperSize="8" fitToHeight="0" orientation="landscape"/>
  <headerFooter>
    <oddFooter>&amp;CAI自社事業PJ v1.0 | &amp;A&amp;R&amp;P / &amp;N</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B5E"/>
    <outlinePr summaryRight="0"/>
    <pageSetUpPr fitToPage="1"/>
  </sheetPr>
  <dimension ref="A1:F38"/>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6" width="22" customWidth="1"/>
  </cols>
  <sheetData>
    <row r="1" spans="1:6" ht="34" customHeight="1" x14ac:dyDescent="0.55000000000000004">
      <c r="A1" s="44" t="s">
        <v>1562</v>
      </c>
      <c r="B1" s="45"/>
      <c r="C1" s="45"/>
      <c r="D1" s="45"/>
      <c r="E1" s="45"/>
      <c r="F1" s="45"/>
    </row>
    <row r="2" spans="1:6" ht="43" customHeight="1" x14ac:dyDescent="0.2">
      <c r="A2" s="47" t="s">
        <v>1563</v>
      </c>
      <c r="B2" s="45"/>
      <c r="C2" s="45"/>
      <c r="D2" s="45"/>
      <c r="E2" s="45"/>
      <c r="F2" s="45"/>
    </row>
    <row r="3" spans="1:6" ht="34" customHeight="1" x14ac:dyDescent="0.2">
      <c r="A3" s="1" t="s">
        <v>1564</v>
      </c>
      <c r="B3" s="1" t="s">
        <v>1565</v>
      </c>
      <c r="C3" s="1" t="s">
        <v>1566</v>
      </c>
      <c r="D3" s="1" t="s">
        <v>1567</v>
      </c>
      <c r="E3" s="1" t="s">
        <v>1568</v>
      </c>
      <c r="F3" s="1" t="s">
        <v>160</v>
      </c>
    </row>
    <row r="4" spans="1:6" ht="45.75" customHeight="1" x14ac:dyDescent="0.2">
      <c r="A4" s="2" t="s">
        <v>1569</v>
      </c>
      <c r="B4" s="2" t="s">
        <v>1570</v>
      </c>
      <c r="C4" s="2" t="s">
        <v>1571</v>
      </c>
      <c r="D4" s="2" t="s">
        <v>1572</v>
      </c>
      <c r="E4" s="2" t="s">
        <v>1573</v>
      </c>
      <c r="F4" s="2" t="s">
        <v>301</v>
      </c>
    </row>
    <row r="5" spans="1:6" ht="38" customHeight="1" x14ac:dyDescent="0.2">
      <c r="A5" s="4" t="s">
        <v>1574</v>
      </c>
      <c r="B5" s="4" t="s">
        <v>1575</v>
      </c>
      <c r="C5" s="4" t="s">
        <v>1576</v>
      </c>
      <c r="D5" s="4" t="s">
        <v>1577</v>
      </c>
      <c r="E5" s="4" t="s">
        <v>1578</v>
      </c>
      <c r="F5" s="4" t="s">
        <v>301</v>
      </c>
    </row>
    <row r="6" spans="1:6" ht="45.75" customHeight="1" x14ac:dyDescent="0.2">
      <c r="A6" s="2" t="s">
        <v>1579</v>
      </c>
      <c r="B6" s="2" t="s">
        <v>1580</v>
      </c>
      <c r="C6" s="2" t="s">
        <v>1581</v>
      </c>
      <c r="D6" s="2" t="s">
        <v>1582</v>
      </c>
      <c r="E6" s="2" t="s">
        <v>1583</v>
      </c>
      <c r="F6" s="2" t="s">
        <v>301</v>
      </c>
    </row>
    <row r="7" spans="1:6" ht="45.75" customHeight="1" x14ac:dyDescent="0.2">
      <c r="A7" s="4" t="s">
        <v>1584</v>
      </c>
      <c r="B7" s="4" t="s">
        <v>1585</v>
      </c>
      <c r="C7" s="4" t="s">
        <v>1586</v>
      </c>
      <c r="D7" s="4" t="s">
        <v>1587</v>
      </c>
      <c r="E7" s="4" t="s">
        <v>1588</v>
      </c>
      <c r="F7" s="4" t="s">
        <v>301</v>
      </c>
    </row>
    <row r="11" spans="1:6" ht="30" customHeight="1" x14ac:dyDescent="0.2">
      <c r="A11" s="46" t="s">
        <v>1589</v>
      </c>
      <c r="B11" s="45"/>
      <c r="C11" s="45"/>
      <c r="D11" s="45"/>
      <c r="E11" s="45"/>
      <c r="F11" s="45"/>
    </row>
    <row r="12" spans="1:6" ht="36" customHeight="1" x14ac:dyDescent="0.2">
      <c r="A12" s="1" t="s">
        <v>1590</v>
      </c>
      <c r="B12" s="1" t="s">
        <v>1591</v>
      </c>
      <c r="C12" s="1" t="s">
        <v>1592</v>
      </c>
      <c r="D12" s="1" t="s">
        <v>1593</v>
      </c>
      <c r="E12" s="1" t="s">
        <v>1594</v>
      </c>
      <c r="F12" s="1" t="s">
        <v>1595</v>
      </c>
    </row>
    <row r="13" spans="1:6" ht="49" customHeight="1" x14ac:dyDescent="0.2">
      <c r="A13" s="2" t="s">
        <v>1596</v>
      </c>
      <c r="B13" s="2" t="s">
        <v>1597</v>
      </c>
      <c r="C13" s="6"/>
      <c r="D13" s="6"/>
      <c r="E13" s="6"/>
      <c r="F13" s="6" t="s">
        <v>1598</v>
      </c>
    </row>
    <row r="14" spans="1:6" ht="49" customHeight="1" x14ac:dyDescent="0.2">
      <c r="A14" s="4" t="s">
        <v>1599</v>
      </c>
      <c r="B14" s="4" t="s">
        <v>1600</v>
      </c>
      <c r="C14" s="6"/>
      <c r="D14" s="6"/>
      <c r="E14" s="6"/>
      <c r="F14" s="6" t="s">
        <v>1598</v>
      </c>
    </row>
    <row r="15" spans="1:6" ht="49" customHeight="1" x14ac:dyDescent="0.2">
      <c r="A15" s="2" t="s">
        <v>912</v>
      </c>
      <c r="B15" s="2" t="s">
        <v>1601</v>
      </c>
      <c r="C15" s="6"/>
      <c r="D15" s="6"/>
      <c r="E15" s="6"/>
      <c r="F15" s="6" t="s">
        <v>1598</v>
      </c>
    </row>
    <row r="16" spans="1:6" ht="61" customHeight="1" x14ac:dyDescent="0.2">
      <c r="A16" s="4" t="s">
        <v>1602</v>
      </c>
      <c r="B16" s="4" t="s">
        <v>1603</v>
      </c>
      <c r="C16" s="6"/>
      <c r="D16" s="6"/>
      <c r="E16" s="6"/>
      <c r="F16" s="6" t="s">
        <v>1598</v>
      </c>
    </row>
    <row r="17" spans="1:6" ht="49" customHeight="1" x14ac:dyDescent="0.2">
      <c r="A17" s="2" t="s">
        <v>1604</v>
      </c>
      <c r="B17" s="2" t="s">
        <v>1605</v>
      </c>
      <c r="C17" s="6"/>
      <c r="D17" s="6"/>
      <c r="E17" s="6"/>
      <c r="F17" s="6" t="s">
        <v>1598</v>
      </c>
    </row>
    <row r="18" spans="1:6" ht="49" customHeight="1" x14ac:dyDescent="0.2">
      <c r="A18" s="4" t="s">
        <v>1606</v>
      </c>
      <c r="B18" s="4" t="s">
        <v>1607</v>
      </c>
      <c r="C18" s="6"/>
      <c r="D18" s="6"/>
      <c r="E18" s="6"/>
      <c r="F18" s="6" t="s">
        <v>1598</v>
      </c>
    </row>
    <row r="19" spans="1:6" ht="61" customHeight="1" x14ac:dyDescent="0.2">
      <c r="A19" s="2" t="s">
        <v>1608</v>
      </c>
      <c r="B19" s="2" t="s">
        <v>1609</v>
      </c>
      <c r="C19" s="6"/>
      <c r="D19" s="6"/>
      <c r="E19" s="6"/>
      <c r="F19" s="6" t="s">
        <v>1598</v>
      </c>
    </row>
    <row r="20" spans="1:6" ht="49" customHeight="1" x14ac:dyDescent="0.2">
      <c r="A20" s="4" t="s">
        <v>1610</v>
      </c>
      <c r="B20" s="4" t="s">
        <v>1611</v>
      </c>
      <c r="C20" s="6"/>
      <c r="D20" s="6"/>
      <c r="E20" s="6"/>
      <c r="F20" s="6" t="s">
        <v>1598</v>
      </c>
    </row>
    <row r="21" spans="1:6" ht="49" customHeight="1" x14ac:dyDescent="0.2">
      <c r="A21" s="2" t="s">
        <v>1612</v>
      </c>
      <c r="B21" s="2" t="s">
        <v>1613</v>
      </c>
      <c r="C21" s="6"/>
      <c r="D21" s="6"/>
      <c r="E21" s="6"/>
      <c r="F21" s="6" t="s">
        <v>1598</v>
      </c>
    </row>
    <row r="22" spans="1:6" ht="49" customHeight="1" x14ac:dyDescent="0.2">
      <c r="A22" s="4" t="s">
        <v>1614</v>
      </c>
      <c r="B22" s="4" t="s">
        <v>1615</v>
      </c>
      <c r="C22" s="6"/>
      <c r="D22" s="6"/>
      <c r="E22" s="6"/>
      <c r="F22" s="6" t="s">
        <v>1598</v>
      </c>
    </row>
    <row r="24" spans="1:6" ht="16" x14ac:dyDescent="0.35">
      <c r="A24" s="30" t="s">
        <v>1616</v>
      </c>
    </row>
    <row r="26" spans="1:6" ht="22" customHeight="1" x14ac:dyDescent="0.2">
      <c r="A26" s="1" t="s">
        <v>1617</v>
      </c>
      <c r="B26" s="1" t="s">
        <v>1618</v>
      </c>
      <c r="C26" s="1" t="s">
        <v>1619</v>
      </c>
      <c r="D26" s="1" t="s">
        <v>1620</v>
      </c>
      <c r="E26" s="1" t="s">
        <v>1621</v>
      </c>
      <c r="F26" s="1" t="s">
        <v>1622</v>
      </c>
    </row>
    <row r="27" spans="1:6" ht="78" customHeight="1" x14ac:dyDescent="0.2">
      <c r="A27" s="28" t="s">
        <v>932</v>
      </c>
      <c r="B27" s="29" t="s">
        <v>1598</v>
      </c>
      <c r="C27" s="28" t="s">
        <v>1623</v>
      </c>
      <c r="D27" s="28" t="s">
        <v>1624</v>
      </c>
      <c r="E27" s="29"/>
      <c r="F27" s="29"/>
    </row>
    <row r="28" spans="1:6" ht="78" customHeight="1" x14ac:dyDescent="0.2">
      <c r="A28" s="28" t="s">
        <v>962</v>
      </c>
      <c r="B28" s="29" t="s">
        <v>1598</v>
      </c>
      <c r="C28" s="28" t="s">
        <v>1625</v>
      </c>
      <c r="D28" s="28" t="s">
        <v>1626</v>
      </c>
      <c r="E28" s="29"/>
      <c r="F28" s="29"/>
    </row>
    <row r="29" spans="1:6" ht="78" customHeight="1" x14ac:dyDescent="0.2">
      <c r="A29" s="28" t="s">
        <v>1627</v>
      </c>
      <c r="B29" s="29" t="s">
        <v>1598</v>
      </c>
      <c r="C29" s="28" t="s">
        <v>1628</v>
      </c>
      <c r="D29" s="28" t="s">
        <v>1629</v>
      </c>
      <c r="E29" s="29"/>
      <c r="F29" s="29"/>
    </row>
    <row r="30" spans="1:6" ht="78" customHeight="1" x14ac:dyDescent="0.2">
      <c r="A30" s="28" t="s">
        <v>1630</v>
      </c>
      <c r="B30" s="29" t="s">
        <v>1598</v>
      </c>
      <c r="C30" s="28" t="s">
        <v>1631</v>
      </c>
      <c r="D30" s="28" t="s">
        <v>1632</v>
      </c>
      <c r="E30" s="29"/>
      <c r="F30" s="29"/>
    </row>
    <row r="31" spans="1:6" ht="78" customHeight="1" x14ac:dyDescent="0.2">
      <c r="A31" s="28" t="s">
        <v>1633</v>
      </c>
      <c r="B31" s="29" t="s">
        <v>1598</v>
      </c>
      <c r="C31" s="28" t="s">
        <v>1634</v>
      </c>
      <c r="D31" s="28" t="s">
        <v>1635</v>
      </c>
      <c r="E31" s="29"/>
      <c r="F31" s="29"/>
    </row>
    <row r="32" spans="1:6" ht="78" customHeight="1" x14ac:dyDescent="0.2">
      <c r="A32" s="28" t="s">
        <v>1636</v>
      </c>
      <c r="B32" s="29" t="s">
        <v>1598</v>
      </c>
      <c r="C32" s="28" t="s">
        <v>1637</v>
      </c>
      <c r="D32" s="28" t="s">
        <v>1638</v>
      </c>
      <c r="E32" s="29"/>
      <c r="F32" s="29"/>
    </row>
    <row r="35" spans="1:3" ht="84" customHeight="1" x14ac:dyDescent="0.2">
      <c r="A35" s="28" t="s">
        <v>1639</v>
      </c>
      <c r="B35" s="28" t="s">
        <v>1640</v>
      </c>
      <c r="C35" s="28" t="s">
        <v>1641</v>
      </c>
    </row>
    <row r="36" spans="1:3" ht="84" customHeight="1" x14ac:dyDescent="0.2">
      <c r="A36" s="28" t="s">
        <v>1642</v>
      </c>
      <c r="B36" s="28" t="s">
        <v>1643</v>
      </c>
      <c r="C36" s="28" t="s">
        <v>1644</v>
      </c>
    </row>
    <row r="37" spans="1:3" ht="84" customHeight="1" x14ac:dyDescent="0.2">
      <c r="A37" s="28" t="s">
        <v>1630</v>
      </c>
      <c r="B37" s="28" t="s">
        <v>1645</v>
      </c>
      <c r="C37" s="28" t="s">
        <v>1646</v>
      </c>
    </row>
    <row r="38" spans="1:3" ht="84" customHeight="1" x14ac:dyDescent="0.2">
      <c r="A38" s="28" t="s">
        <v>1647</v>
      </c>
      <c r="B38" s="28" t="s">
        <v>1648</v>
      </c>
      <c r="C38" s="28" t="s">
        <v>1649</v>
      </c>
    </row>
  </sheetData>
  <autoFilter ref="A3:F7" xr:uid="{00000000-0009-0000-0000-000003000000}"/>
  <mergeCells count="3">
    <mergeCell ref="A2:F2"/>
    <mergeCell ref="A11:F11"/>
    <mergeCell ref="A1:F1"/>
  </mergeCells>
  <phoneticPr fontId="12"/>
  <dataValidations count="2">
    <dataValidation type="list" allowBlank="1" showErrorMessage="1" errorTitle="入力値を確認" error="選択肢から入力してください。" sqref="F13:F22" xr:uid="{00000000-0002-0000-0300-000000000000}">
      <formula1>"未判定,確認済,該当なし,要追加審査"</formula1>
    </dataValidation>
    <dataValidation type="list" allowBlank="1" showErrorMessage="1" errorTitle="入力値を確認" error="候補・値域を確認してください。貼付や外部取込後も点検が必要です。" sqref="B27:B32" xr:uid="{00000000-0002-0000-0300-000001000000}">
      <formula1>"未判定,使用,不使用"</formula1>
    </dataValidation>
  </dataValidations>
  <pageMargins left="0.25" right="0.25" top="0.4" bottom="0.4" header="0.5" footer="0.5"/>
  <pageSetup paperSize="8" fitToHeight="0" orientation="landscape"/>
  <headerFooter>
    <oddFooter>&amp;CAI自社事業PJ v1.0 | &amp;A&amp;R&amp;P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B5E"/>
    <outlinePr summaryRight="0"/>
    <pageSetUpPr fitToPage="1"/>
  </sheetPr>
  <dimension ref="A1:H22"/>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2" customWidth="1"/>
    <col min="2" max="2" width="24" customWidth="1"/>
    <col min="3" max="3" width="64" customWidth="1"/>
    <col min="4" max="4" width="70" customWidth="1"/>
    <col min="5" max="5" width="82" customWidth="1"/>
    <col min="6" max="6" width="19" customWidth="1"/>
    <col min="7" max="7" width="18" customWidth="1"/>
    <col min="8" max="8" width="69" customWidth="1"/>
  </cols>
  <sheetData>
    <row r="1" spans="1:8" ht="34" customHeight="1" x14ac:dyDescent="0.55000000000000004">
      <c r="A1" s="44" t="s">
        <v>1650</v>
      </c>
      <c r="B1" s="45"/>
      <c r="C1" s="45"/>
      <c r="D1" s="45"/>
      <c r="E1" s="45"/>
      <c r="F1" s="45"/>
    </row>
    <row r="2" spans="1:8" ht="43" customHeight="1" x14ac:dyDescent="0.2">
      <c r="A2" s="47" t="s">
        <v>1651</v>
      </c>
      <c r="B2" s="45"/>
      <c r="C2" s="45"/>
      <c r="D2" s="45"/>
      <c r="E2" s="45"/>
      <c r="F2" s="45"/>
    </row>
    <row r="3" spans="1:8" ht="34" customHeight="1" x14ac:dyDescent="0.2">
      <c r="A3" s="1" t="s">
        <v>1652</v>
      </c>
      <c r="B3" s="1" t="s">
        <v>215</v>
      </c>
      <c r="C3" s="1" t="s">
        <v>1653</v>
      </c>
      <c r="D3" s="1" t="s">
        <v>1654</v>
      </c>
      <c r="E3" s="1" t="s">
        <v>1655</v>
      </c>
      <c r="F3" s="1" t="s">
        <v>160</v>
      </c>
    </row>
    <row r="4" spans="1:8" ht="38" customHeight="1" x14ac:dyDescent="0.2">
      <c r="A4" s="2" t="s">
        <v>256</v>
      </c>
      <c r="B4" s="2" t="s">
        <v>1656</v>
      </c>
      <c r="C4" s="2" t="s">
        <v>1657</v>
      </c>
      <c r="D4" s="2" t="s">
        <v>1658</v>
      </c>
      <c r="E4" s="2" t="s">
        <v>1659</v>
      </c>
      <c r="F4" s="2" t="s">
        <v>301</v>
      </c>
    </row>
    <row r="5" spans="1:8" ht="38" customHeight="1" x14ac:dyDescent="0.2">
      <c r="A5" s="4" t="s">
        <v>257</v>
      </c>
      <c r="B5" s="4" t="s">
        <v>1656</v>
      </c>
      <c r="C5" s="4" t="s">
        <v>1660</v>
      </c>
      <c r="D5" s="4" t="s">
        <v>1661</v>
      </c>
      <c r="E5" s="4" t="s">
        <v>1662</v>
      </c>
      <c r="F5" s="4" t="s">
        <v>301</v>
      </c>
    </row>
    <row r="6" spans="1:8" ht="38" customHeight="1" x14ac:dyDescent="0.2">
      <c r="A6" s="2" t="s">
        <v>258</v>
      </c>
      <c r="B6" s="2" t="s">
        <v>1656</v>
      </c>
      <c r="C6" s="2" t="s">
        <v>1663</v>
      </c>
      <c r="D6" s="2" t="s">
        <v>1664</v>
      </c>
      <c r="E6" s="2" t="s">
        <v>1665</v>
      </c>
      <c r="F6" s="2" t="s">
        <v>301</v>
      </c>
    </row>
    <row r="7" spans="1:8" ht="38" customHeight="1" x14ac:dyDescent="0.2">
      <c r="A7" s="4" t="s">
        <v>273</v>
      </c>
      <c r="B7" s="4" t="s">
        <v>1666</v>
      </c>
      <c r="C7" s="4" t="s">
        <v>1667</v>
      </c>
      <c r="D7" s="4" t="s">
        <v>1668</v>
      </c>
      <c r="E7" s="4" t="s">
        <v>1669</v>
      </c>
      <c r="F7" s="4" t="s">
        <v>301</v>
      </c>
    </row>
    <row r="8" spans="1:8" ht="38" customHeight="1" x14ac:dyDescent="0.2">
      <c r="A8" s="2" t="s">
        <v>273</v>
      </c>
      <c r="B8" s="2" t="s">
        <v>1670</v>
      </c>
      <c r="C8" s="2" t="s">
        <v>1671</v>
      </c>
      <c r="D8" s="2" t="s">
        <v>1672</v>
      </c>
      <c r="E8" s="2" t="s">
        <v>1673</v>
      </c>
      <c r="F8" s="2" t="s">
        <v>301</v>
      </c>
    </row>
    <row r="9" spans="1:8" ht="38" customHeight="1" x14ac:dyDescent="0.2">
      <c r="A9" s="4" t="s">
        <v>273</v>
      </c>
      <c r="B9" s="4" t="s">
        <v>1674</v>
      </c>
      <c r="C9" s="4" t="s">
        <v>1675</v>
      </c>
      <c r="D9" s="4" t="s">
        <v>1676</v>
      </c>
      <c r="E9" s="4" t="s">
        <v>1677</v>
      </c>
      <c r="F9" s="4" t="s">
        <v>169</v>
      </c>
    </row>
    <row r="13" spans="1:8" ht="30" customHeight="1" x14ac:dyDescent="0.2">
      <c r="A13" s="46" t="s">
        <v>1678</v>
      </c>
      <c r="B13" s="45"/>
      <c r="C13" s="45"/>
      <c r="D13" s="45"/>
      <c r="E13" s="45"/>
      <c r="F13" s="45"/>
      <c r="G13" s="45"/>
      <c r="H13" s="45"/>
    </row>
    <row r="14" spans="1:8" ht="32" customHeight="1" x14ac:dyDescent="0.2">
      <c r="A14" s="1" t="s">
        <v>153</v>
      </c>
      <c r="B14" s="1" t="s">
        <v>1679</v>
      </c>
      <c r="C14" s="1" t="s">
        <v>1680</v>
      </c>
      <c r="D14" s="1" t="s">
        <v>1681</v>
      </c>
      <c r="E14" s="1" t="s">
        <v>1682</v>
      </c>
      <c r="F14" s="1" t="s">
        <v>1683</v>
      </c>
      <c r="G14" s="1" t="s">
        <v>1684</v>
      </c>
      <c r="H14" s="1" t="s">
        <v>1685</v>
      </c>
    </row>
    <row r="15" spans="1:8" ht="38" customHeight="1" x14ac:dyDescent="0.2">
      <c r="A15" s="2" t="s">
        <v>162</v>
      </c>
      <c r="B15" s="2">
        <v>10</v>
      </c>
      <c r="C15" s="2">
        <v>20</v>
      </c>
      <c r="D15" s="2">
        <v>25</v>
      </c>
      <c r="E15" s="2">
        <v>50</v>
      </c>
      <c r="F15" s="2">
        <v>50</v>
      </c>
      <c r="G15" s="2">
        <v>100</v>
      </c>
      <c r="H15" s="2" t="s">
        <v>1686</v>
      </c>
    </row>
    <row r="16" spans="1:8" ht="38" customHeight="1" x14ac:dyDescent="0.2">
      <c r="A16" s="4" t="s">
        <v>171</v>
      </c>
      <c r="B16" s="4">
        <v>15</v>
      </c>
      <c r="C16" s="4">
        <v>30</v>
      </c>
      <c r="D16" s="4">
        <v>35</v>
      </c>
      <c r="E16" s="4">
        <v>75</v>
      </c>
      <c r="F16" s="4">
        <v>80</v>
      </c>
      <c r="G16" s="4">
        <v>160</v>
      </c>
      <c r="H16" s="4" t="s">
        <v>1687</v>
      </c>
    </row>
    <row r="17" spans="1:8" ht="38" customHeight="1" x14ac:dyDescent="0.2">
      <c r="A17" s="2" t="s">
        <v>178</v>
      </c>
      <c r="B17" s="2">
        <v>20</v>
      </c>
      <c r="C17" s="2">
        <v>45</v>
      </c>
      <c r="D17" s="2">
        <v>50</v>
      </c>
      <c r="E17" s="2">
        <v>110</v>
      </c>
      <c r="F17" s="2">
        <v>120</v>
      </c>
      <c r="G17" s="2">
        <v>250</v>
      </c>
      <c r="H17" s="2" t="s">
        <v>1687</v>
      </c>
    </row>
    <row r="18" spans="1:8" ht="38" customHeight="1" x14ac:dyDescent="0.2">
      <c r="A18" s="4" t="s">
        <v>185</v>
      </c>
      <c r="B18" s="4">
        <v>45</v>
      </c>
      <c r="C18" s="4">
        <v>110</v>
      </c>
      <c r="D18" s="4">
        <v>140</v>
      </c>
      <c r="E18" s="4">
        <v>350</v>
      </c>
      <c r="F18" s="4">
        <v>350</v>
      </c>
      <c r="G18" s="4">
        <v>900</v>
      </c>
      <c r="H18" s="4" t="s">
        <v>1687</v>
      </c>
    </row>
    <row r="19" spans="1:8" ht="38" customHeight="1" x14ac:dyDescent="0.2">
      <c r="A19" s="2" t="s">
        <v>193</v>
      </c>
      <c r="B19" s="2">
        <v>25</v>
      </c>
      <c r="C19" s="2">
        <v>60</v>
      </c>
      <c r="D19" s="2">
        <v>80</v>
      </c>
      <c r="E19" s="2">
        <v>180</v>
      </c>
      <c r="F19" s="2">
        <v>200</v>
      </c>
      <c r="G19" s="2">
        <v>500</v>
      </c>
      <c r="H19" s="2" t="s">
        <v>1687</v>
      </c>
    </row>
    <row r="20" spans="1:8" ht="38" customHeight="1" x14ac:dyDescent="0.2">
      <c r="A20" s="4" t="s">
        <v>1688</v>
      </c>
      <c r="B20" s="4">
        <v>20</v>
      </c>
      <c r="C20" s="4">
        <v>45</v>
      </c>
      <c r="D20" s="4">
        <v>60</v>
      </c>
      <c r="E20" s="4">
        <v>140</v>
      </c>
      <c r="F20" s="4">
        <v>150</v>
      </c>
      <c r="G20" s="4">
        <v>350</v>
      </c>
      <c r="H20" s="4" t="s">
        <v>1689</v>
      </c>
    </row>
    <row r="21" spans="1:8" ht="38" customHeight="1" x14ac:dyDescent="0.2">
      <c r="A21" s="2" t="s">
        <v>208</v>
      </c>
      <c r="B21" s="2">
        <v>5</v>
      </c>
      <c r="C21" s="2">
        <v>15</v>
      </c>
      <c r="D21" s="2">
        <v>15</v>
      </c>
      <c r="E21" s="2">
        <v>40</v>
      </c>
      <c r="F21" s="2">
        <v>40</v>
      </c>
      <c r="G21" s="2">
        <v>100</v>
      </c>
      <c r="H21" s="2" t="s">
        <v>1690</v>
      </c>
    </row>
    <row r="22" spans="1:8" ht="38" customHeight="1" x14ac:dyDescent="0.2">
      <c r="A22" s="4" t="s">
        <v>1691</v>
      </c>
      <c r="B22" s="4">
        <v>5</v>
      </c>
      <c r="C22" s="4">
        <v>12</v>
      </c>
      <c r="D22" s="4">
        <v>15</v>
      </c>
      <c r="E22" s="4">
        <v>40</v>
      </c>
      <c r="F22" s="4">
        <v>40</v>
      </c>
      <c r="G22" s="4">
        <v>100</v>
      </c>
      <c r="H22" s="4" t="s">
        <v>1692</v>
      </c>
    </row>
  </sheetData>
  <autoFilter ref="A3:F9" xr:uid="{00000000-0009-0000-0000-000004000000}"/>
  <mergeCells count="3">
    <mergeCell ref="A2:F2"/>
    <mergeCell ref="A13:H13"/>
    <mergeCell ref="A1:F1"/>
  </mergeCells>
  <phoneticPr fontId="12"/>
  <pageMargins left="0.25" right="0.25" top="0.4" bottom="0.4" header="0.5" footer="0.5"/>
  <pageSetup paperSize="8" fitToHeight="0" orientation="landscape"/>
  <headerFooter>
    <oddFooter>&amp;CAI自社事業PJ v1.0 | &amp;A&amp;R&amp;P / &amp;N</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B5E"/>
    <outlinePr summaryRight="0"/>
    <pageSetUpPr fitToPage="1"/>
  </sheetPr>
  <dimension ref="A1:H14"/>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2" customWidth="1"/>
    <col min="2" max="2" width="40" customWidth="1"/>
    <col min="3" max="3" width="23" customWidth="1"/>
    <col min="4" max="4" width="18" customWidth="1"/>
    <col min="5" max="5" width="31" customWidth="1"/>
    <col min="6" max="6" width="26" customWidth="1"/>
    <col min="7" max="7" width="28" customWidth="1"/>
    <col min="8" max="8" width="66" customWidth="1"/>
  </cols>
  <sheetData>
    <row r="1" spans="1:8" ht="34" customHeight="1" x14ac:dyDescent="0.55000000000000004">
      <c r="A1" s="44" t="s">
        <v>1693</v>
      </c>
      <c r="B1" s="45"/>
      <c r="C1" s="45"/>
      <c r="D1" s="45"/>
      <c r="E1" s="45"/>
      <c r="F1" s="45"/>
      <c r="G1" s="45"/>
    </row>
    <row r="2" spans="1:8" ht="43" customHeight="1" x14ac:dyDescent="0.2">
      <c r="A2" s="47" t="s">
        <v>1694</v>
      </c>
      <c r="B2" s="45"/>
      <c r="C2" s="45"/>
      <c r="D2" s="45"/>
      <c r="E2" s="45"/>
      <c r="F2" s="45"/>
      <c r="G2" s="45"/>
      <c r="H2" s="45"/>
    </row>
    <row r="3" spans="1:8" ht="34" customHeight="1" x14ac:dyDescent="0.2">
      <c r="A3" s="1" t="s">
        <v>1695</v>
      </c>
      <c r="B3" s="1" t="s">
        <v>1696</v>
      </c>
      <c r="C3" s="1" t="s">
        <v>1697</v>
      </c>
      <c r="D3" s="1" t="s">
        <v>1698</v>
      </c>
      <c r="E3" s="1" t="s">
        <v>1699</v>
      </c>
      <c r="F3" s="1" t="s">
        <v>1700</v>
      </c>
      <c r="G3" s="1" t="s">
        <v>1701</v>
      </c>
      <c r="H3" s="1" t="s">
        <v>1702</v>
      </c>
    </row>
    <row r="4" spans="1:8" ht="38" customHeight="1" x14ac:dyDescent="0.2">
      <c r="A4" s="2" t="s">
        <v>1703</v>
      </c>
      <c r="B4" s="2" t="s">
        <v>1704</v>
      </c>
      <c r="C4" s="2" t="s">
        <v>1705</v>
      </c>
      <c r="D4" s="2" t="s">
        <v>166</v>
      </c>
      <c r="E4" s="2" t="s">
        <v>1706</v>
      </c>
      <c r="F4" s="2" t="s">
        <v>1707</v>
      </c>
      <c r="G4" s="2" t="s">
        <v>1708</v>
      </c>
      <c r="H4" s="2" t="s">
        <v>1709</v>
      </c>
    </row>
    <row r="5" spans="1:8" ht="38" customHeight="1" x14ac:dyDescent="0.2">
      <c r="A5" s="4" t="s">
        <v>1710</v>
      </c>
      <c r="B5" s="4" t="s">
        <v>1711</v>
      </c>
      <c r="C5" s="4" t="s">
        <v>1712</v>
      </c>
      <c r="D5" s="4" t="s">
        <v>166</v>
      </c>
      <c r="E5" s="4" t="s">
        <v>1713</v>
      </c>
      <c r="F5" s="4" t="s">
        <v>1714</v>
      </c>
      <c r="G5" s="4" t="s">
        <v>1715</v>
      </c>
      <c r="H5" s="4" t="s">
        <v>1716</v>
      </c>
    </row>
    <row r="6" spans="1:8" ht="38" customHeight="1" x14ac:dyDescent="0.2">
      <c r="A6" s="2" t="s">
        <v>1717</v>
      </c>
      <c r="B6" s="2" t="s">
        <v>1718</v>
      </c>
      <c r="C6" s="2" t="s">
        <v>336</v>
      </c>
      <c r="D6" s="2" t="s">
        <v>487</v>
      </c>
      <c r="E6" s="2" t="s">
        <v>1719</v>
      </c>
      <c r="F6" s="2" t="s">
        <v>1720</v>
      </c>
      <c r="G6" s="2" t="s">
        <v>1721</v>
      </c>
      <c r="H6" s="2" t="s">
        <v>1722</v>
      </c>
    </row>
    <row r="7" spans="1:8" ht="38" customHeight="1" x14ac:dyDescent="0.2">
      <c r="A7" s="4" t="s">
        <v>1723</v>
      </c>
      <c r="B7" s="4" t="s">
        <v>1724</v>
      </c>
      <c r="C7" s="4" t="s">
        <v>189</v>
      </c>
      <c r="D7" s="4" t="s">
        <v>189</v>
      </c>
      <c r="E7" s="4" t="s">
        <v>1725</v>
      </c>
      <c r="F7" s="4" t="s">
        <v>1726</v>
      </c>
      <c r="G7" s="4" t="s">
        <v>1727</v>
      </c>
      <c r="H7" s="4" t="s">
        <v>1728</v>
      </c>
    </row>
    <row r="8" spans="1:8" ht="38" customHeight="1" x14ac:dyDescent="0.2">
      <c r="A8" s="2" t="s">
        <v>1729</v>
      </c>
      <c r="B8" s="2" t="s">
        <v>1730</v>
      </c>
      <c r="C8" s="2" t="s">
        <v>1091</v>
      </c>
      <c r="D8" s="2" t="s">
        <v>516</v>
      </c>
      <c r="E8" s="2" t="s">
        <v>1731</v>
      </c>
      <c r="F8" s="2" t="s">
        <v>1732</v>
      </c>
      <c r="G8" s="2" t="s">
        <v>1733</v>
      </c>
      <c r="H8" s="2" t="s">
        <v>1734</v>
      </c>
    </row>
    <row r="9" spans="1:8" ht="38" customHeight="1" x14ac:dyDescent="0.2">
      <c r="A9" s="4" t="s">
        <v>1735</v>
      </c>
      <c r="B9" s="4" t="s">
        <v>1736</v>
      </c>
      <c r="C9" s="4" t="s">
        <v>1271</v>
      </c>
      <c r="D9" s="4" t="s">
        <v>197</v>
      </c>
      <c r="E9" s="4" t="s">
        <v>1737</v>
      </c>
      <c r="F9" s="4" t="s">
        <v>1738</v>
      </c>
      <c r="G9" s="4" t="s">
        <v>1739</v>
      </c>
      <c r="H9" s="4" t="s">
        <v>1740</v>
      </c>
    </row>
    <row r="10" spans="1:8" ht="38" customHeight="1" x14ac:dyDescent="0.2">
      <c r="A10" s="2" t="s">
        <v>1741</v>
      </c>
      <c r="B10" s="2" t="s">
        <v>1742</v>
      </c>
      <c r="C10" s="2" t="s">
        <v>197</v>
      </c>
      <c r="D10" s="2" t="s">
        <v>166</v>
      </c>
      <c r="E10" s="2" t="s">
        <v>1743</v>
      </c>
      <c r="F10" s="2" t="s">
        <v>1705</v>
      </c>
      <c r="G10" s="2" t="s">
        <v>1744</v>
      </c>
      <c r="H10" s="2" t="s">
        <v>1745</v>
      </c>
    </row>
    <row r="11" spans="1:8" ht="38" customHeight="1" x14ac:dyDescent="0.2">
      <c r="A11" s="4" t="s">
        <v>1746</v>
      </c>
      <c r="B11" s="4" t="s">
        <v>1747</v>
      </c>
      <c r="C11" s="4" t="s">
        <v>577</v>
      </c>
      <c r="D11" s="4" t="s">
        <v>577</v>
      </c>
      <c r="E11" s="4" t="s">
        <v>1748</v>
      </c>
      <c r="F11" s="4" t="s">
        <v>1726</v>
      </c>
      <c r="G11" s="4" t="s">
        <v>1749</v>
      </c>
      <c r="H11" s="4" t="s">
        <v>1750</v>
      </c>
    </row>
    <row r="12" spans="1:8" ht="38" customHeight="1" x14ac:dyDescent="0.2">
      <c r="A12" s="2" t="s">
        <v>1751</v>
      </c>
      <c r="B12" s="2" t="s">
        <v>1752</v>
      </c>
      <c r="C12" s="2" t="s">
        <v>1753</v>
      </c>
      <c r="D12" s="2" t="s">
        <v>166</v>
      </c>
      <c r="E12" s="2" t="s">
        <v>1754</v>
      </c>
      <c r="F12" s="2" t="s">
        <v>1755</v>
      </c>
      <c r="G12" s="2" t="s">
        <v>204</v>
      </c>
      <c r="H12" s="2" t="s">
        <v>1756</v>
      </c>
    </row>
    <row r="13" spans="1:8" ht="38" customHeight="1" x14ac:dyDescent="0.2">
      <c r="A13" s="4" t="s">
        <v>1757</v>
      </c>
      <c r="B13" s="4" t="s">
        <v>1758</v>
      </c>
      <c r="C13" s="4" t="s">
        <v>197</v>
      </c>
      <c r="D13" s="4" t="s">
        <v>166</v>
      </c>
      <c r="E13" s="4" t="s">
        <v>1759</v>
      </c>
      <c r="F13" s="4" t="s">
        <v>1760</v>
      </c>
      <c r="G13" s="4" t="s">
        <v>211</v>
      </c>
      <c r="H13" s="4" t="s">
        <v>1761</v>
      </c>
    </row>
    <row r="14" spans="1:8" ht="38" customHeight="1" x14ac:dyDescent="0.2">
      <c r="A14" s="2" t="s">
        <v>1762</v>
      </c>
      <c r="B14" s="2" t="s">
        <v>1763</v>
      </c>
      <c r="C14" s="2" t="s">
        <v>1764</v>
      </c>
      <c r="D14" s="2" t="s">
        <v>189</v>
      </c>
      <c r="E14" s="2" t="s">
        <v>1765</v>
      </c>
      <c r="F14" s="2" t="s">
        <v>1766</v>
      </c>
      <c r="G14" s="2" t="s">
        <v>1767</v>
      </c>
      <c r="H14" s="2" t="s">
        <v>1768</v>
      </c>
    </row>
  </sheetData>
  <autoFilter ref="A3:H14" xr:uid="{00000000-0009-0000-0000-000005000000}"/>
  <mergeCells count="2">
    <mergeCell ref="A2:H2"/>
    <mergeCell ref="A1:G1"/>
  </mergeCells>
  <phoneticPr fontId="12"/>
  <pageMargins left="0.25" right="0.25" top="0.4" bottom="0.4" header="0.5" footer="0.5"/>
  <pageSetup paperSize="8" fitToHeight="0" orientation="landscape"/>
  <headerFooter>
    <oddFooter>&amp;CAI自社事業PJ v1.0 | &amp;A&amp;R&amp;P /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B5E"/>
    <outlinePr summaryRight="0"/>
    <pageSetUpPr fitToPage="1"/>
  </sheetPr>
  <dimension ref="A1:U30"/>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2" customWidth="1"/>
    <col min="2" max="2" width="44" customWidth="1"/>
    <col min="3" max="3" width="67" customWidth="1"/>
    <col min="4" max="4" width="60" customWidth="1"/>
    <col min="5" max="5" width="80" customWidth="1"/>
    <col min="6" max="6" width="41" customWidth="1"/>
    <col min="7" max="7" width="23" customWidth="1"/>
    <col min="8" max="8" width="22" customWidth="1"/>
    <col min="9" max="9" width="24" customWidth="1"/>
    <col min="10" max="12" width="18" customWidth="1"/>
    <col min="13" max="13" width="25" customWidth="1"/>
    <col min="14" max="15" width="55" customWidth="1"/>
    <col min="16" max="20" width="21" customWidth="1"/>
    <col min="21" max="21" width="26" customWidth="1"/>
  </cols>
  <sheetData>
    <row r="1" spans="1:21" ht="34" customHeight="1" x14ac:dyDescent="0.55000000000000004">
      <c r="A1" s="44" t="s">
        <v>1769</v>
      </c>
      <c r="B1" s="45"/>
      <c r="C1" s="45"/>
      <c r="D1" s="45"/>
      <c r="E1" s="45"/>
      <c r="F1" s="45"/>
      <c r="G1" s="45"/>
    </row>
    <row r="2" spans="1:21" ht="43" customHeight="1" x14ac:dyDescent="0.2">
      <c r="A2" s="47" t="s">
        <v>1770</v>
      </c>
      <c r="B2" s="45"/>
      <c r="C2" s="45"/>
      <c r="D2" s="45"/>
      <c r="E2" s="45"/>
      <c r="F2" s="45"/>
      <c r="G2" s="45"/>
      <c r="H2" s="45"/>
      <c r="I2" s="45"/>
    </row>
    <row r="3" spans="1:21" ht="34" customHeight="1" x14ac:dyDescent="0.2">
      <c r="A3" s="1" t="s">
        <v>1771</v>
      </c>
      <c r="B3" s="1" t="s">
        <v>1772</v>
      </c>
      <c r="C3" s="1" t="s">
        <v>1773</v>
      </c>
      <c r="D3" s="1" t="s">
        <v>1774</v>
      </c>
      <c r="E3" s="1" t="s">
        <v>1775</v>
      </c>
      <c r="F3" s="1" t="s">
        <v>1776</v>
      </c>
      <c r="G3" s="1" t="s">
        <v>1777</v>
      </c>
      <c r="H3" s="1" t="s">
        <v>1778</v>
      </c>
      <c r="I3" s="1" t="s">
        <v>1779</v>
      </c>
      <c r="J3" s="1" t="s">
        <v>1780</v>
      </c>
      <c r="K3" s="1" t="s">
        <v>1781</v>
      </c>
      <c r="L3" s="1" t="s">
        <v>1782</v>
      </c>
      <c r="M3" s="1" t="s">
        <v>1783</v>
      </c>
      <c r="N3" s="1" t="s">
        <v>1784</v>
      </c>
      <c r="O3" s="1" t="s">
        <v>1785</v>
      </c>
      <c r="P3" s="1" t="s">
        <v>1786</v>
      </c>
      <c r="Q3" s="1" t="s">
        <v>1787</v>
      </c>
      <c r="R3" s="1" t="s">
        <v>1788</v>
      </c>
      <c r="S3" s="1" t="s">
        <v>1789</v>
      </c>
      <c r="T3" s="1" t="s">
        <v>1790</v>
      </c>
      <c r="U3" s="1" t="s">
        <v>1791</v>
      </c>
    </row>
    <row r="4" spans="1:21" ht="38" customHeight="1" x14ac:dyDescent="0.2">
      <c r="A4" s="2" t="s">
        <v>166</v>
      </c>
      <c r="B4" s="2" t="s">
        <v>1792</v>
      </c>
      <c r="C4" s="2" t="s">
        <v>1793</v>
      </c>
      <c r="D4" s="2" t="s">
        <v>1794</v>
      </c>
      <c r="E4" s="2" t="s">
        <v>1795</v>
      </c>
      <c r="F4" s="2" t="s">
        <v>1796</v>
      </c>
      <c r="G4" s="6"/>
      <c r="H4" s="6"/>
      <c r="I4" s="6"/>
      <c r="J4" s="16"/>
      <c r="K4" s="16"/>
      <c r="L4" s="31" t="str">
        <f t="shared" ref="L4:L23" si="0">IF(COUNT(J4:K4)&lt;2,"",MAX(0,J4-K4))</f>
        <v/>
      </c>
      <c r="M4" s="6"/>
      <c r="N4" s="6"/>
      <c r="O4" s="6"/>
      <c r="P4" s="29"/>
      <c r="Q4" s="32"/>
      <c r="R4" s="32"/>
      <c r="S4" s="28" t="str">
        <f t="shared" ref="S4:S23" si="1">IF(OR(P4="",COUNT(Q4:R4)&lt;2),"",SUMIFS($K$4:$K$23,$P$4:$P$23,P4,$Q$4:$Q$23,"&lt;="&amp;AsOfDate,$R$4:$R$23,"&gt;="&amp;AsOfDate))</f>
        <v/>
      </c>
      <c r="T4" s="29">
        <v>1</v>
      </c>
      <c r="U4" s="28" t="str">
        <f t="shared" ref="U4:U23" si="2">IF(P4="","Person未割当",IF(OR(G4="",COUNT(Q4,R4,K4,T4)&lt;4),"配置期間・FTE不足",IF(OR(Q4&gt;R4,K4&lt;0,T4&lt;0),"配置値不正",IF(S4&gt;T4,"当日FTE超過","当日稼働記録あり"))))</f>
        <v>Person未割当</v>
      </c>
    </row>
    <row r="5" spans="1:21" ht="38" customHeight="1" x14ac:dyDescent="0.2">
      <c r="A5" s="4" t="s">
        <v>286</v>
      </c>
      <c r="B5" s="4" t="s">
        <v>1797</v>
      </c>
      <c r="C5" s="4" t="s">
        <v>1798</v>
      </c>
      <c r="D5" s="4" t="s">
        <v>1799</v>
      </c>
      <c r="E5" s="4" t="s">
        <v>1800</v>
      </c>
      <c r="F5" s="4" t="s">
        <v>1801</v>
      </c>
      <c r="G5" s="6"/>
      <c r="H5" s="6"/>
      <c r="I5" s="6"/>
      <c r="J5" s="16"/>
      <c r="K5" s="16"/>
      <c r="L5" s="33" t="str">
        <f t="shared" si="0"/>
        <v/>
      </c>
      <c r="M5" s="6"/>
      <c r="N5" s="6"/>
      <c r="O5" s="6"/>
      <c r="P5" s="29"/>
      <c r="Q5" s="32"/>
      <c r="R5" s="32"/>
      <c r="S5" s="28" t="str">
        <f t="shared" si="1"/>
        <v/>
      </c>
      <c r="T5" s="29">
        <v>1</v>
      </c>
      <c r="U5" s="28" t="str">
        <f t="shared" si="2"/>
        <v>Person未割当</v>
      </c>
    </row>
    <row r="6" spans="1:21" ht="38" customHeight="1" x14ac:dyDescent="0.2">
      <c r="A6" s="2" t="s">
        <v>1802</v>
      </c>
      <c r="B6" s="2" t="s">
        <v>1803</v>
      </c>
      <c r="C6" s="2" t="s">
        <v>1804</v>
      </c>
      <c r="D6" s="2" t="s">
        <v>1805</v>
      </c>
      <c r="E6" s="2" t="s">
        <v>1806</v>
      </c>
      <c r="F6" s="2" t="s">
        <v>1807</v>
      </c>
      <c r="G6" s="6"/>
      <c r="H6" s="6"/>
      <c r="I6" s="6"/>
      <c r="J6" s="16"/>
      <c r="K6" s="16"/>
      <c r="L6" s="31" t="str">
        <f t="shared" si="0"/>
        <v/>
      </c>
      <c r="M6" s="6"/>
      <c r="N6" s="6"/>
      <c r="O6" s="6"/>
      <c r="P6" s="29"/>
      <c r="Q6" s="32"/>
      <c r="R6" s="32"/>
      <c r="S6" s="28" t="str">
        <f t="shared" si="1"/>
        <v/>
      </c>
      <c r="T6" s="29">
        <v>1</v>
      </c>
      <c r="U6" s="28" t="str">
        <f t="shared" si="2"/>
        <v>Person未割当</v>
      </c>
    </row>
    <row r="7" spans="1:21" ht="38" customHeight="1" x14ac:dyDescent="0.2">
      <c r="A7" s="4" t="s">
        <v>1808</v>
      </c>
      <c r="B7" s="4" t="s">
        <v>1809</v>
      </c>
      <c r="C7" s="4" t="s">
        <v>1810</v>
      </c>
      <c r="D7" s="4" t="s">
        <v>1811</v>
      </c>
      <c r="E7" s="4" t="s">
        <v>1812</v>
      </c>
      <c r="F7" s="4" t="s">
        <v>1813</v>
      </c>
      <c r="G7" s="6"/>
      <c r="H7" s="6"/>
      <c r="I7" s="6"/>
      <c r="J7" s="16"/>
      <c r="K7" s="16"/>
      <c r="L7" s="33" t="str">
        <f t="shared" si="0"/>
        <v/>
      </c>
      <c r="M7" s="6"/>
      <c r="N7" s="6"/>
      <c r="O7" s="6"/>
      <c r="P7" s="29"/>
      <c r="Q7" s="32"/>
      <c r="R7" s="32"/>
      <c r="S7" s="28" t="str">
        <f t="shared" si="1"/>
        <v/>
      </c>
      <c r="T7" s="29">
        <v>1</v>
      </c>
      <c r="U7" s="28" t="str">
        <f t="shared" si="2"/>
        <v>Person未割当</v>
      </c>
    </row>
    <row r="8" spans="1:21" ht="38" customHeight="1" x14ac:dyDescent="0.2">
      <c r="A8" s="2" t="s">
        <v>1814</v>
      </c>
      <c r="B8" s="2" t="s">
        <v>1815</v>
      </c>
      <c r="C8" s="2" t="s">
        <v>1816</v>
      </c>
      <c r="D8" s="2" t="s">
        <v>1817</v>
      </c>
      <c r="E8" s="2" t="s">
        <v>1818</v>
      </c>
      <c r="F8" s="2" t="s">
        <v>1819</v>
      </c>
      <c r="G8" s="6"/>
      <c r="H8" s="6"/>
      <c r="I8" s="6"/>
      <c r="J8" s="16"/>
      <c r="K8" s="16"/>
      <c r="L8" s="31" t="str">
        <f t="shared" si="0"/>
        <v/>
      </c>
      <c r="M8" s="6"/>
      <c r="N8" s="6"/>
      <c r="O8" s="6"/>
      <c r="P8" s="29"/>
      <c r="Q8" s="32"/>
      <c r="R8" s="32"/>
      <c r="S8" s="28" t="str">
        <f t="shared" si="1"/>
        <v/>
      </c>
      <c r="T8" s="29">
        <v>1</v>
      </c>
      <c r="U8" s="28" t="str">
        <f t="shared" si="2"/>
        <v>Person未割当</v>
      </c>
    </row>
    <row r="9" spans="1:21" ht="38" customHeight="1" x14ac:dyDescent="0.2">
      <c r="A9" s="4" t="s">
        <v>189</v>
      </c>
      <c r="B9" s="4" t="s">
        <v>1820</v>
      </c>
      <c r="C9" s="4" t="s">
        <v>1821</v>
      </c>
      <c r="D9" s="4" t="s">
        <v>1822</v>
      </c>
      <c r="E9" s="4" t="s">
        <v>1823</v>
      </c>
      <c r="F9" s="4" t="s">
        <v>1824</v>
      </c>
      <c r="G9" s="6"/>
      <c r="H9" s="6"/>
      <c r="I9" s="6"/>
      <c r="J9" s="16"/>
      <c r="K9" s="16"/>
      <c r="L9" s="33" t="str">
        <f t="shared" si="0"/>
        <v/>
      </c>
      <c r="M9" s="6"/>
      <c r="N9" s="6"/>
      <c r="O9" s="6"/>
      <c r="P9" s="29"/>
      <c r="Q9" s="32"/>
      <c r="R9" s="32"/>
      <c r="S9" s="28" t="str">
        <f t="shared" si="1"/>
        <v/>
      </c>
      <c r="T9" s="29">
        <v>1</v>
      </c>
      <c r="U9" s="28" t="str">
        <f t="shared" si="2"/>
        <v>Person未割当</v>
      </c>
    </row>
    <row r="10" spans="1:21" ht="38" customHeight="1" x14ac:dyDescent="0.2">
      <c r="A10" s="2" t="s">
        <v>976</v>
      </c>
      <c r="B10" s="2" t="s">
        <v>1825</v>
      </c>
      <c r="C10" s="2" t="s">
        <v>1826</v>
      </c>
      <c r="D10" s="2" t="s">
        <v>1827</v>
      </c>
      <c r="E10" s="2" t="s">
        <v>1828</v>
      </c>
      <c r="F10" s="2" t="s">
        <v>1829</v>
      </c>
      <c r="G10" s="6"/>
      <c r="H10" s="6"/>
      <c r="I10" s="6"/>
      <c r="J10" s="16"/>
      <c r="K10" s="16"/>
      <c r="L10" s="31" t="str">
        <f t="shared" si="0"/>
        <v/>
      </c>
      <c r="M10" s="6"/>
      <c r="N10" s="6"/>
      <c r="O10" s="6"/>
      <c r="P10" s="29"/>
      <c r="Q10" s="32"/>
      <c r="R10" s="32"/>
      <c r="S10" s="28" t="str">
        <f t="shared" si="1"/>
        <v/>
      </c>
      <c r="T10" s="29">
        <v>1</v>
      </c>
      <c r="U10" s="28" t="str">
        <f t="shared" si="2"/>
        <v>Person未割当</v>
      </c>
    </row>
    <row r="11" spans="1:21" ht="38" customHeight="1" x14ac:dyDescent="0.2">
      <c r="A11" s="4" t="s">
        <v>1830</v>
      </c>
      <c r="B11" s="4" t="s">
        <v>1831</v>
      </c>
      <c r="C11" s="4" t="s">
        <v>1832</v>
      </c>
      <c r="D11" s="4" t="s">
        <v>1833</v>
      </c>
      <c r="E11" s="4" t="s">
        <v>1834</v>
      </c>
      <c r="F11" s="4" t="s">
        <v>1835</v>
      </c>
      <c r="G11" s="6"/>
      <c r="H11" s="6"/>
      <c r="I11" s="6"/>
      <c r="J11" s="16"/>
      <c r="K11" s="16"/>
      <c r="L11" s="33" t="str">
        <f t="shared" si="0"/>
        <v/>
      </c>
      <c r="M11" s="6"/>
      <c r="N11" s="6"/>
      <c r="O11" s="6"/>
      <c r="P11" s="29"/>
      <c r="Q11" s="32"/>
      <c r="R11" s="32"/>
      <c r="S11" s="28" t="str">
        <f t="shared" si="1"/>
        <v/>
      </c>
      <c r="T11" s="29">
        <v>1</v>
      </c>
      <c r="U11" s="28" t="str">
        <f t="shared" si="2"/>
        <v>Person未割当</v>
      </c>
    </row>
    <row r="12" spans="1:21" ht="38" customHeight="1" x14ac:dyDescent="0.2">
      <c r="A12" s="2" t="s">
        <v>1836</v>
      </c>
      <c r="B12" s="2" t="s">
        <v>1837</v>
      </c>
      <c r="C12" s="2" t="s">
        <v>1838</v>
      </c>
      <c r="D12" s="2" t="s">
        <v>1839</v>
      </c>
      <c r="E12" s="2" t="s">
        <v>1840</v>
      </c>
      <c r="F12" s="2" t="s">
        <v>1841</v>
      </c>
      <c r="G12" s="6"/>
      <c r="H12" s="6"/>
      <c r="I12" s="6"/>
      <c r="J12" s="16"/>
      <c r="K12" s="16"/>
      <c r="L12" s="31" t="str">
        <f t="shared" si="0"/>
        <v/>
      </c>
      <c r="M12" s="6"/>
      <c r="N12" s="6"/>
      <c r="O12" s="6"/>
      <c r="P12" s="29"/>
      <c r="Q12" s="32"/>
      <c r="R12" s="32"/>
      <c r="S12" s="28" t="str">
        <f t="shared" si="1"/>
        <v/>
      </c>
      <c r="T12" s="29">
        <v>1</v>
      </c>
      <c r="U12" s="28" t="str">
        <f t="shared" si="2"/>
        <v>Person未割当</v>
      </c>
    </row>
    <row r="13" spans="1:21" ht="38" customHeight="1" x14ac:dyDescent="0.2">
      <c r="A13" s="4" t="s">
        <v>336</v>
      </c>
      <c r="B13" s="4" t="s">
        <v>1842</v>
      </c>
      <c r="C13" s="4" t="s">
        <v>1843</v>
      </c>
      <c r="D13" s="4" t="s">
        <v>1844</v>
      </c>
      <c r="E13" s="4" t="s">
        <v>1845</v>
      </c>
      <c r="F13" s="4" t="s">
        <v>1846</v>
      </c>
      <c r="G13" s="6"/>
      <c r="H13" s="6"/>
      <c r="I13" s="6"/>
      <c r="J13" s="16"/>
      <c r="K13" s="16"/>
      <c r="L13" s="33" t="str">
        <f t="shared" si="0"/>
        <v/>
      </c>
      <c r="M13" s="6"/>
      <c r="N13" s="6"/>
      <c r="O13" s="6"/>
      <c r="P13" s="29"/>
      <c r="Q13" s="32"/>
      <c r="R13" s="32"/>
      <c r="S13" s="28" t="str">
        <f t="shared" si="1"/>
        <v/>
      </c>
      <c r="T13" s="29">
        <v>1</v>
      </c>
      <c r="U13" s="28" t="str">
        <f t="shared" si="2"/>
        <v>Person未割当</v>
      </c>
    </row>
    <row r="14" spans="1:21" ht="38" customHeight="1" x14ac:dyDescent="0.2">
      <c r="A14" s="2" t="s">
        <v>1091</v>
      </c>
      <c r="B14" s="2" t="s">
        <v>1847</v>
      </c>
      <c r="C14" s="2" t="s">
        <v>1848</v>
      </c>
      <c r="D14" s="2" t="s">
        <v>1849</v>
      </c>
      <c r="E14" s="2" t="s">
        <v>1850</v>
      </c>
      <c r="F14" s="2" t="s">
        <v>1851</v>
      </c>
      <c r="G14" s="6"/>
      <c r="H14" s="6"/>
      <c r="I14" s="6"/>
      <c r="J14" s="16"/>
      <c r="K14" s="16"/>
      <c r="L14" s="31" t="str">
        <f t="shared" si="0"/>
        <v/>
      </c>
      <c r="M14" s="6"/>
      <c r="N14" s="6"/>
      <c r="O14" s="6"/>
      <c r="P14" s="29"/>
      <c r="Q14" s="32"/>
      <c r="R14" s="32"/>
      <c r="S14" s="28" t="str">
        <f t="shared" si="1"/>
        <v/>
      </c>
      <c r="T14" s="29">
        <v>1</v>
      </c>
      <c r="U14" s="28" t="str">
        <f t="shared" si="2"/>
        <v>Person未割当</v>
      </c>
    </row>
    <row r="15" spans="1:21" ht="38" customHeight="1" x14ac:dyDescent="0.2">
      <c r="A15" s="4" t="s">
        <v>1271</v>
      </c>
      <c r="B15" s="4" t="s">
        <v>1852</v>
      </c>
      <c r="C15" s="4" t="s">
        <v>1853</v>
      </c>
      <c r="D15" s="4" t="s">
        <v>1854</v>
      </c>
      <c r="E15" s="4" t="s">
        <v>1855</v>
      </c>
      <c r="F15" s="4" t="s">
        <v>1856</v>
      </c>
      <c r="G15" s="6"/>
      <c r="H15" s="6"/>
      <c r="I15" s="6"/>
      <c r="J15" s="16"/>
      <c r="K15" s="16"/>
      <c r="L15" s="33" t="str">
        <f t="shared" si="0"/>
        <v/>
      </c>
      <c r="M15" s="6"/>
      <c r="N15" s="6"/>
      <c r="O15" s="6"/>
      <c r="P15" s="29"/>
      <c r="Q15" s="32"/>
      <c r="R15" s="32"/>
      <c r="S15" s="28" t="str">
        <f t="shared" si="1"/>
        <v/>
      </c>
      <c r="T15" s="29">
        <v>1</v>
      </c>
      <c r="U15" s="28" t="str">
        <f t="shared" si="2"/>
        <v>Person未割当</v>
      </c>
    </row>
    <row r="16" spans="1:21" ht="38" customHeight="1" x14ac:dyDescent="0.2">
      <c r="A16" s="2" t="s">
        <v>714</v>
      </c>
      <c r="B16" s="2" t="s">
        <v>1857</v>
      </c>
      <c r="C16" s="2" t="s">
        <v>1858</v>
      </c>
      <c r="D16" s="2" t="s">
        <v>1859</v>
      </c>
      <c r="E16" s="2" t="s">
        <v>1860</v>
      </c>
      <c r="F16" s="2" t="s">
        <v>1861</v>
      </c>
      <c r="G16" s="6"/>
      <c r="H16" s="6"/>
      <c r="I16" s="6"/>
      <c r="J16" s="16"/>
      <c r="K16" s="16"/>
      <c r="L16" s="31" t="str">
        <f t="shared" si="0"/>
        <v/>
      </c>
      <c r="M16" s="6"/>
      <c r="N16" s="6"/>
      <c r="O16" s="6"/>
      <c r="P16" s="29"/>
      <c r="Q16" s="32"/>
      <c r="R16" s="32"/>
      <c r="S16" s="28" t="str">
        <f t="shared" si="1"/>
        <v/>
      </c>
      <c r="T16" s="29">
        <v>1</v>
      </c>
      <c r="U16" s="28" t="str">
        <f t="shared" si="2"/>
        <v>Person未割当</v>
      </c>
    </row>
    <row r="17" spans="1:21" ht="38" customHeight="1" x14ac:dyDescent="0.2">
      <c r="A17" s="4" t="s">
        <v>487</v>
      </c>
      <c r="B17" s="4" t="s">
        <v>1862</v>
      </c>
      <c r="C17" s="4" t="s">
        <v>1863</v>
      </c>
      <c r="D17" s="4" t="s">
        <v>1864</v>
      </c>
      <c r="E17" s="4" t="s">
        <v>1865</v>
      </c>
      <c r="F17" s="4" t="s">
        <v>1866</v>
      </c>
      <c r="G17" s="6"/>
      <c r="H17" s="6"/>
      <c r="I17" s="6"/>
      <c r="J17" s="16"/>
      <c r="K17" s="16"/>
      <c r="L17" s="33" t="str">
        <f t="shared" si="0"/>
        <v/>
      </c>
      <c r="M17" s="6"/>
      <c r="N17" s="6"/>
      <c r="O17" s="6"/>
      <c r="P17" s="29"/>
      <c r="Q17" s="32"/>
      <c r="R17" s="32"/>
      <c r="S17" s="28" t="str">
        <f t="shared" si="1"/>
        <v/>
      </c>
      <c r="T17" s="29">
        <v>1</v>
      </c>
      <c r="U17" s="28" t="str">
        <f t="shared" si="2"/>
        <v>Person未割当</v>
      </c>
    </row>
    <row r="18" spans="1:21" ht="38" customHeight="1" x14ac:dyDescent="0.2">
      <c r="A18" s="2" t="s">
        <v>1867</v>
      </c>
      <c r="B18" s="2" t="s">
        <v>1868</v>
      </c>
      <c r="C18" s="2" t="s">
        <v>1869</v>
      </c>
      <c r="D18" s="2" t="s">
        <v>1870</v>
      </c>
      <c r="E18" s="2" t="s">
        <v>1871</v>
      </c>
      <c r="F18" s="2" t="s">
        <v>1872</v>
      </c>
      <c r="G18" s="6"/>
      <c r="H18" s="6"/>
      <c r="I18" s="6"/>
      <c r="J18" s="16"/>
      <c r="K18" s="16"/>
      <c r="L18" s="31" t="str">
        <f t="shared" si="0"/>
        <v/>
      </c>
      <c r="M18" s="6"/>
      <c r="N18" s="6"/>
      <c r="O18" s="6"/>
      <c r="P18" s="29"/>
      <c r="Q18" s="32"/>
      <c r="R18" s="32"/>
      <c r="S18" s="28" t="str">
        <f t="shared" si="1"/>
        <v/>
      </c>
      <c r="T18" s="29">
        <v>1</v>
      </c>
      <c r="U18" s="28" t="str">
        <f t="shared" si="2"/>
        <v>Person未割当</v>
      </c>
    </row>
    <row r="19" spans="1:21" ht="38" customHeight="1" x14ac:dyDescent="0.2">
      <c r="A19" s="4" t="s">
        <v>1873</v>
      </c>
      <c r="B19" s="4" t="s">
        <v>1874</v>
      </c>
      <c r="C19" s="4" t="s">
        <v>1875</v>
      </c>
      <c r="D19" s="4" t="s">
        <v>1876</v>
      </c>
      <c r="E19" s="4" t="s">
        <v>1877</v>
      </c>
      <c r="F19" s="4" t="s">
        <v>1878</v>
      </c>
      <c r="G19" s="6"/>
      <c r="H19" s="6"/>
      <c r="I19" s="6"/>
      <c r="J19" s="16"/>
      <c r="K19" s="16"/>
      <c r="L19" s="33" t="str">
        <f t="shared" si="0"/>
        <v/>
      </c>
      <c r="M19" s="6"/>
      <c r="N19" s="6"/>
      <c r="O19" s="6"/>
      <c r="P19" s="29"/>
      <c r="Q19" s="32"/>
      <c r="R19" s="32"/>
      <c r="S19" s="28" t="str">
        <f t="shared" si="1"/>
        <v/>
      </c>
      <c r="T19" s="29">
        <v>1</v>
      </c>
      <c r="U19" s="28" t="str">
        <f t="shared" si="2"/>
        <v>Person未割当</v>
      </c>
    </row>
    <row r="20" spans="1:21" ht="38" customHeight="1" x14ac:dyDescent="0.2">
      <c r="A20" s="2" t="s">
        <v>1879</v>
      </c>
      <c r="B20" s="2" t="s">
        <v>1880</v>
      </c>
      <c r="C20" s="2" t="s">
        <v>1881</v>
      </c>
      <c r="D20" s="2" t="s">
        <v>1882</v>
      </c>
      <c r="E20" s="2" t="s">
        <v>1883</v>
      </c>
      <c r="F20" s="2" t="s">
        <v>1884</v>
      </c>
      <c r="G20" s="6"/>
      <c r="H20" s="6"/>
      <c r="I20" s="6"/>
      <c r="J20" s="16"/>
      <c r="K20" s="16"/>
      <c r="L20" s="31" t="str">
        <f t="shared" si="0"/>
        <v/>
      </c>
      <c r="M20" s="6"/>
      <c r="N20" s="6"/>
      <c r="O20" s="6"/>
      <c r="P20" s="29"/>
      <c r="Q20" s="32"/>
      <c r="R20" s="32"/>
      <c r="S20" s="28" t="str">
        <f t="shared" si="1"/>
        <v/>
      </c>
      <c r="T20" s="29">
        <v>1</v>
      </c>
      <c r="U20" s="28" t="str">
        <f t="shared" si="2"/>
        <v>Person未割当</v>
      </c>
    </row>
    <row r="21" spans="1:21" ht="38" customHeight="1" x14ac:dyDescent="0.2">
      <c r="A21" s="4" t="s">
        <v>197</v>
      </c>
      <c r="B21" s="4" t="s">
        <v>1885</v>
      </c>
      <c r="C21" s="4" t="s">
        <v>1886</v>
      </c>
      <c r="D21" s="4" t="s">
        <v>1887</v>
      </c>
      <c r="E21" s="4" t="s">
        <v>1888</v>
      </c>
      <c r="F21" s="4" t="s">
        <v>1889</v>
      </c>
      <c r="G21" s="6"/>
      <c r="H21" s="6"/>
      <c r="I21" s="6"/>
      <c r="J21" s="16"/>
      <c r="K21" s="16"/>
      <c r="L21" s="33" t="str">
        <f t="shared" si="0"/>
        <v/>
      </c>
      <c r="M21" s="6"/>
      <c r="N21" s="6"/>
      <c r="O21" s="6"/>
      <c r="P21" s="29"/>
      <c r="Q21" s="32"/>
      <c r="R21" s="32"/>
      <c r="S21" s="28" t="str">
        <f t="shared" si="1"/>
        <v/>
      </c>
      <c r="T21" s="29">
        <v>1</v>
      </c>
      <c r="U21" s="28" t="str">
        <f t="shared" si="2"/>
        <v>Person未割当</v>
      </c>
    </row>
    <row r="22" spans="1:21" ht="38" customHeight="1" x14ac:dyDescent="0.2">
      <c r="A22" s="2" t="s">
        <v>516</v>
      </c>
      <c r="B22" s="2" t="s">
        <v>1890</v>
      </c>
      <c r="C22" s="2" t="s">
        <v>1891</v>
      </c>
      <c r="D22" s="2" t="s">
        <v>1892</v>
      </c>
      <c r="E22" s="2" t="s">
        <v>1893</v>
      </c>
      <c r="F22" s="2" t="s">
        <v>1894</v>
      </c>
      <c r="G22" s="6"/>
      <c r="H22" s="6"/>
      <c r="I22" s="6"/>
      <c r="J22" s="16"/>
      <c r="K22" s="16"/>
      <c r="L22" s="31" t="str">
        <f t="shared" si="0"/>
        <v/>
      </c>
      <c r="M22" s="6"/>
      <c r="N22" s="6"/>
      <c r="O22" s="6"/>
      <c r="P22" s="29"/>
      <c r="Q22" s="32"/>
      <c r="R22" s="32"/>
      <c r="S22" s="28" t="str">
        <f t="shared" si="1"/>
        <v/>
      </c>
      <c r="T22" s="29">
        <v>1</v>
      </c>
      <c r="U22" s="28" t="str">
        <f t="shared" si="2"/>
        <v>Person未割当</v>
      </c>
    </row>
    <row r="23" spans="1:21" ht="38" customHeight="1" x14ac:dyDescent="0.2">
      <c r="A23" s="4" t="s">
        <v>577</v>
      </c>
      <c r="B23" s="4" t="s">
        <v>1895</v>
      </c>
      <c r="C23" s="4" t="s">
        <v>1896</v>
      </c>
      <c r="D23" s="4" t="s">
        <v>1897</v>
      </c>
      <c r="E23" s="4" t="s">
        <v>1898</v>
      </c>
      <c r="F23" s="4" t="s">
        <v>1899</v>
      </c>
      <c r="G23" s="6"/>
      <c r="H23" s="6"/>
      <c r="I23" s="6"/>
      <c r="J23" s="16"/>
      <c r="K23" s="16"/>
      <c r="L23" s="33" t="str">
        <f t="shared" si="0"/>
        <v/>
      </c>
      <c r="M23" s="6"/>
      <c r="N23" s="6"/>
      <c r="O23" s="6"/>
      <c r="P23" s="29"/>
      <c r="Q23" s="32"/>
      <c r="R23" s="32"/>
      <c r="S23" s="28" t="str">
        <f t="shared" si="1"/>
        <v/>
      </c>
      <c r="T23" s="29">
        <v>1</v>
      </c>
      <c r="U23" s="28" t="str">
        <f t="shared" si="2"/>
        <v>Person未割当</v>
      </c>
    </row>
    <row r="26" spans="1:21" ht="30" customHeight="1" x14ac:dyDescent="0.2">
      <c r="A26" s="46" t="s">
        <v>1900</v>
      </c>
      <c r="B26" s="45"/>
      <c r="C26" s="45"/>
    </row>
    <row r="27" spans="1:21" ht="32" customHeight="1" x14ac:dyDescent="0.2">
      <c r="A27" s="1" t="s">
        <v>2</v>
      </c>
      <c r="B27" s="1" t="s">
        <v>1901</v>
      </c>
      <c r="C27" s="1" t="s">
        <v>1568</v>
      </c>
    </row>
    <row r="28" spans="1:21" ht="38" customHeight="1" x14ac:dyDescent="0.2">
      <c r="A28" s="2" t="s">
        <v>1902</v>
      </c>
      <c r="B28" s="2" t="s">
        <v>1903</v>
      </c>
      <c r="C28" s="2" t="s">
        <v>1904</v>
      </c>
      <c r="D28" s="2"/>
      <c r="E28" s="2"/>
      <c r="F28" s="2"/>
      <c r="G28" s="2"/>
      <c r="H28" s="2"/>
      <c r="I28" s="2"/>
      <c r="J28" s="2"/>
      <c r="K28" s="2"/>
      <c r="L28" s="2"/>
      <c r="M28" s="2"/>
      <c r="N28" s="2"/>
      <c r="O28" s="2"/>
    </row>
    <row r="29" spans="1:21" ht="38" customHeight="1" x14ac:dyDescent="0.2">
      <c r="A29" s="4" t="s">
        <v>1905</v>
      </c>
      <c r="B29" s="4" t="s">
        <v>1906</v>
      </c>
      <c r="C29" s="4" t="s">
        <v>1907</v>
      </c>
      <c r="D29" s="4"/>
      <c r="E29" s="4"/>
      <c r="F29" s="4"/>
      <c r="G29" s="4"/>
      <c r="H29" s="4"/>
      <c r="I29" s="4"/>
      <c r="J29" s="4"/>
      <c r="K29" s="4"/>
      <c r="L29" s="4"/>
      <c r="M29" s="4"/>
      <c r="N29" s="4"/>
      <c r="O29" s="4"/>
    </row>
    <row r="30" spans="1:21" ht="38" customHeight="1" x14ac:dyDescent="0.2">
      <c r="A30" s="2" t="s">
        <v>1908</v>
      </c>
      <c r="B30" s="2" t="s">
        <v>1909</v>
      </c>
      <c r="C30" s="2" t="s">
        <v>1910</v>
      </c>
      <c r="D30" s="2"/>
      <c r="E30" s="2"/>
      <c r="F30" s="2"/>
      <c r="G30" s="2"/>
      <c r="H30" s="2"/>
      <c r="I30" s="2"/>
      <c r="J30" s="2"/>
      <c r="K30" s="2"/>
      <c r="L30" s="2"/>
      <c r="M30" s="2"/>
      <c r="N30" s="2"/>
      <c r="O30" s="2"/>
    </row>
  </sheetData>
  <autoFilter ref="A3:U23" xr:uid="{00000000-0009-0000-0000-000006000000}"/>
  <mergeCells count="3">
    <mergeCell ref="A2:I2"/>
    <mergeCell ref="A26:C26"/>
    <mergeCell ref="A1:G1"/>
  </mergeCells>
  <phoneticPr fontId="12"/>
  <dataValidations count="1">
    <dataValidation type="decimal" operator="greaterThanOrEqual" allowBlank="1" showErrorMessage="1" error="0以上の数値を入力してください。未測定は空欄です。" sqref="J4:J23 K4:K23" xr:uid="{00000000-0002-0000-0600-000000000000}">
      <formula1>0</formula1>
    </dataValidation>
  </dataValidations>
  <pageMargins left="0.25" right="0.25" top="0.4" bottom="0.4" header="0.5" footer="0.5"/>
  <pageSetup paperSize="8" fitToHeight="0" orientation="landscape"/>
  <headerFooter>
    <oddFooter>&amp;CAI自社事業PJ v1.0 | &amp;A&amp;R&amp;P / &amp;N</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B5E"/>
    <outlinePr summaryRight="0"/>
    <pageSetUpPr fitToPage="1"/>
  </sheetPr>
  <dimension ref="A1:M109"/>
  <sheetViews>
    <sheetView showGridLines="0" zoomScale="85" workbookViewId="0">
      <pane xSplit="4" ySplit="3" topLeftCell="E4" activePane="bottomRight" state="frozen"/>
      <selection pane="topRight"/>
      <selection pane="bottomLeft"/>
      <selection pane="bottomRight"/>
    </sheetView>
  </sheetViews>
  <sheetFormatPr defaultRowHeight="13" x14ac:dyDescent="0.2"/>
  <cols>
    <col min="1" max="1" width="12" customWidth="1"/>
    <col min="2" max="2" width="21" customWidth="1"/>
    <col min="3" max="3" width="23" customWidth="1"/>
    <col min="4" max="4" width="43" customWidth="1"/>
    <col min="5" max="5" width="71" customWidth="1"/>
    <col min="6" max="6" width="61" customWidth="1"/>
    <col min="7" max="7" width="66" customWidth="1"/>
    <col min="8" max="8" width="70" customWidth="1"/>
    <col min="9" max="9" width="50" customWidth="1"/>
    <col min="10" max="10" width="55" customWidth="1"/>
    <col min="11" max="11" width="16" customWidth="1"/>
    <col min="12" max="12" width="23" customWidth="1"/>
    <col min="13" max="13" width="61" customWidth="1"/>
  </cols>
  <sheetData>
    <row r="1" spans="1:13" ht="34" customHeight="1" x14ac:dyDescent="0.55000000000000004">
      <c r="A1" s="44" t="s">
        <v>1911</v>
      </c>
      <c r="B1" s="45"/>
      <c r="C1" s="45"/>
      <c r="D1" s="45"/>
      <c r="E1" s="45"/>
      <c r="F1" s="45"/>
      <c r="G1" s="45"/>
    </row>
    <row r="2" spans="1:13" ht="43" customHeight="1" x14ac:dyDescent="0.2">
      <c r="A2" s="47" t="s">
        <v>1912</v>
      </c>
      <c r="B2" s="45"/>
      <c r="C2" s="45"/>
      <c r="D2" s="45"/>
      <c r="E2" s="45"/>
      <c r="F2" s="45"/>
      <c r="G2" s="45"/>
      <c r="H2" s="45"/>
      <c r="I2" s="45"/>
    </row>
    <row r="3" spans="1:13" ht="34" customHeight="1" x14ac:dyDescent="0.2">
      <c r="A3" s="1" t="s">
        <v>1913</v>
      </c>
      <c r="B3" s="1" t="s">
        <v>1914</v>
      </c>
      <c r="C3" s="1" t="s">
        <v>1915</v>
      </c>
      <c r="D3" s="1" t="s">
        <v>1916</v>
      </c>
      <c r="E3" s="1" t="s">
        <v>216</v>
      </c>
      <c r="F3" s="1" t="s">
        <v>1917</v>
      </c>
      <c r="G3" s="1" t="s">
        <v>1918</v>
      </c>
      <c r="H3" s="1" t="s">
        <v>1919</v>
      </c>
      <c r="I3" s="1" t="s">
        <v>1920</v>
      </c>
      <c r="J3" s="1" t="s">
        <v>1921</v>
      </c>
      <c r="K3" s="1" t="s">
        <v>1922</v>
      </c>
      <c r="L3" s="1" t="s">
        <v>264</v>
      </c>
      <c r="M3" s="1" t="s">
        <v>1923</v>
      </c>
    </row>
    <row r="4" spans="1:13" ht="38" customHeight="1" x14ac:dyDescent="0.2">
      <c r="A4" s="2" t="s">
        <v>1924</v>
      </c>
      <c r="B4" s="2" t="s">
        <v>1925</v>
      </c>
      <c r="C4" s="2" t="s">
        <v>1926</v>
      </c>
      <c r="D4" s="2" t="s">
        <v>1927</v>
      </c>
      <c r="E4" s="2" t="s">
        <v>1928</v>
      </c>
      <c r="F4" s="2" t="s">
        <v>1929</v>
      </c>
      <c r="G4" s="2" t="s">
        <v>1930</v>
      </c>
      <c r="H4" s="2" t="s">
        <v>1931</v>
      </c>
      <c r="I4" s="2" t="s">
        <v>1932</v>
      </c>
      <c r="J4" s="2" t="s">
        <v>1933</v>
      </c>
      <c r="K4" s="2" t="s">
        <v>1934</v>
      </c>
      <c r="L4" s="2" t="s">
        <v>279</v>
      </c>
      <c r="M4" s="2" t="s">
        <v>1935</v>
      </c>
    </row>
    <row r="5" spans="1:13" ht="61" customHeight="1" x14ac:dyDescent="0.2">
      <c r="A5" s="4" t="s">
        <v>1936</v>
      </c>
      <c r="B5" s="4" t="s">
        <v>1925</v>
      </c>
      <c r="C5" s="4" t="s">
        <v>1937</v>
      </c>
      <c r="D5" s="4" t="s">
        <v>1938</v>
      </c>
      <c r="E5" s="4" t="s">
        <v>1939</v>
      </c>
      <c r="F5" s="4" t="s">
        <v>1940</v>
      </c>
      <c r="G5" s="4" t="s">
        <v>1941</v>
      </c>
      <c r="H5" s="4" t="s">
        <v>1942</v>
      </c>
      <c r="I5" s="4" t="s">
        <v>1943</v>
      </c>
      <c r="J5" s="4" t="s">
        <v>1944</v>
      </c>
      <c r="K5" s="4" t="s">
        <v>1945</v>
      </c>
      <c r="L5" s="4" t="s">
        <v>1946</v>
      </c>
      <c r="M5" s="4" t="s">
        <v>1947</v>
      </c>
    </row>
    <row r="6" spans="1:13" ht="61" customHeight="1" x14ac:dyDescent="0.2">
      <c r="A6" s="2" t="s">
        <v>1948</v>
      </c>
      <c r="B6" s="2" t="s">
        <v>1925</v>
      </c>
      <c r="C6" s="2" t="s">
        <v>1937</v>
      </c>
      <c r="D6" s="2" t="s">
        <v>1949</v>
      </c>
      <c r="E6" s="2" t="s">
        <v>1950</v>
      </c>
      <c r="F6" s="2" t="s">
        <v>1951</v>
      </c>
      <c r="G6" s="2" t="s">
        <v>1952</v>
      </c>
      <c r="H6" s="2" t="s">
        <v>1953</v>
      </c>
      <c r="I6" s="2" t="s">
        <v>1954</v>
      </c>
      <c r="J6" s="2" t="s">
        <v>1955</v>
      </c>
      <c r="K6" s="2" t="s">
        <v>1956</v>
      </c>
      <c r="L6" s="2" t="s">
        <v>1946</v>
      </c>
      <c r="M6" s="2" t="s">
        <v>1947</v>
      </c>
    </row>
    <row r="7" spans="1:13" ht="49" customHeight="1" x14ac:dyDescent="0.2">
      <c r="A7" s="4" t="s">
        <v>1957</v>
      </c>
      <c r="B7" s="4" t="s">
        <v>1925</v>
      </c>
      <c r="C7" s="4" t="s">
        <v>1958</v>
      </c>
      <c r="D7" s="4" t="s">
        <v>1959</v>
      </c>
      <c r="E7" s="4" t="s">
        <v>1960</v>
      </c>
      <c r="F7" s="4" t="s">
        <v>1961</v>
      </c>
      <c r="G7" s="4" t="s">
        <v>1962</v>
      </c>
      <c r="H7" s="4" t="s">
        <v>1963</v>
      </c>
      <c r="I7" s="4" t="s">
        <v>1964</v>
      </c>
      <c r="J7" s="4" t="s">
        <v>1965</v>
      </c>
      <c r="K7" s="4" t="s">
        <v>1966</v>
      </c>
      <c r="L7" s="4" t="s">
        <v>1946</v>
      </c>
      <c r="M7" s="4" t="s">
        <v>1947</v>
      </c>
    </row>
    <row r="8" spans="1:13" ht="49" customHeight="1" x14ac:dyDescent="0.2">
      <c r="A8" s="2" t="s">
        <v>1967</v>
      </c>
      <c r="B8" s="2" t="s">
        <v>1925</v>
      </c>
      <c r="C8" s="2" t="s">
        <v>1958</v>
      </c>
      <c r="D8" s="2" t="s">
        <v>1968</v>
      </c>
      <c r="E8" s="2" t="s">
        <v>1969</v>
      </c>
      <c r="F8" s="2" t="s">
        <v>1970</v>
      </c>
      <c r="G8" s="2" t="s">
        <v>1971</v>
      </c>
      <c r="H8" s="2" t="s">
        <v>1972</v>
      </c>
      <c r="I8" s="2" t="s">
        <v>1973</v>
      </c>
      <c r="J8" s="2" t="s">
        <v>435</v>
      </c>
      <c r="K8" s="2" t="s">
        <v>1974</v>
      </c>
      <c r="L8" s="2" t="s">
        <v>1946</v>
      </c>
      <c r="M8" s="2" t="s">
        <v>1947</v>
      </c>
    </row>
    <row r="9" spans="1:13" ht="49" customHeight="1" x14ac:dyDescent="0.2">
      <c r="A9" s="4" t="s">
        <v>1975</v>
      </c>
      <c r="B9" s="4" t="s">
        <v>1925</v>
      </c>
      <c r="C9" s="4" t="s">
        <v>1958</v>
      </c>
      <c r="D9" s="4" t="s">
        <v>1976</v>
      </c>
      <c r="E9" s="4" t="s">
        <v>1977</v>
      </c>
      <c r="F9" s="4" t="s">
        <v>1978</v>
      </c>
      <c r="G9" s="4" t="s">
        <v>1979</v>
      </c>
      <c r="H9" s="4" t="s">
        <v>1980</v>
      </c>
      <c r="I9" s="4" t="s">
        <v>1981</v>
      </c>
      <c r="J9" s="4" t="s">
        <v>1982</v>
      </c>
      <c r="K9" s="4" t="s">
        <v>1983</v>
      </c>
      <c r="L9" s="4" t="s">
        <v>1946</v>
      </c>
      <c r="M9" s="4" t="s">
        <v>1947</v>
      </c>
    </row>
    <row r="10" spans="1:13" ht="49" customHeight="1" x14ac:dyDescent="0.2">
      <c r="A10" s="2" t="s">
        <v>1984</v>
      </c>
      <c r="B10" s="2" t="s">
        <v>1925</v>
      </c>
      <c r="C10" s="2" t="s">
        <v>1958</v>
      </c>
      <c r="D10" s="2" t="s">
        <v>1985</v>
      </c>
      <c r="E10" s="2" t="s">
        <v>1986</v>
      </c>
      <c r="F10" s="2" t="s">
        <v>1987</v>
      </c>
      <c r="G10" s="2" t="s">
        <v>1988</v>
      </c>
      <c r="H10" s="2" t="s">
        <v>1989</v>
      </c>
      <c r="I10" s="2" t="s">
        <v>1990</v>
      </c>
      <c r="J10" s="2" t="s">
        <v>280</v>
      </c>
      <c r="K10" s="2" t="s">
        <v>1991</v>
      </c>
      <c r="L10" s="2" t="s">
        <v>1946</v>
      </c>
      <c r="M10" s="2" t="s">
        <v>1947</v>
      </c>
    </row>
    <row r="11" spans="1:13" ht="61" customHeight="1" x14ac:dyDescent="0.2">
      <c r="A11" s="4" t="s">
        <v>1992</v>
      </c>
      <c r="B11" s="4" t="s">
        <v>1925</v>
      </c>
      <c r="C11" s="4" t="s">
        <v>1993</v>
      </c>
      <c r="D11" s="4" t="s">
        <v>1994</v>
      </c>
      <c r="E11" s="4" t="s">
        <v>1995</v>
      </c>
      <c r="F11" s="4" t="s">
        <v>1996</v>
      </c>
      <c r="G11" s="4" t="s">
        <v>1997</v>
      </c>
      <c r="H11" s="4" t="s">
        <v>1998</v>
      </c>
      <c r="I11" s="4" t="s">
        <v>1999</v>
      </c>
      <c r="J11" s="4" t="s">
        <v>2000</v>
      </c>
      <c r="K11" s="4" t="s">
        <v>2001</v>
      </c>
      <c r="L11" s="4" t="s">
        <v>1946</v>
      </c>
      <c r="M11" s="4" t="s">
        <v>1947</v>
      </c>
    </row>
    <row r="12" spans="1:13" ht="49" customHeight="1" x14ac:dyDescent="0.2">
      <c r="A12" s="2" t="s">
        <v>2002</v>
      </c>
      <c r="B12" s="2" t="s">
        <v>1925</v>
      </c>
      <c r="C12" s="2" t="s">
        <v>1993</v>
      </c>
      <c r="D12" s="2" t="s">
        <v>2003</v>
      </c>
      <c r="E12" s="2" t="s">
        <v>2004</v>
      </c>
      <c r="F12" s="2" t="s">
        <v>2005</v>
      </c>
      <c r="G12" s="2" t="s">
        <v>2006</v>
      </c>
      <c r="H12" s="2" t="s">
        <v>2007</v>
      </c>
      <c r="I12" s="2" t="s">
        <v>2008</v>
      </c>
      <c r="J12" s="2" t="s">
        <v>2009</v>
      </c>
      <c r="K12" s="2" t="s">
        <v>2010</v>
      </c>
      <c r="L12" s="2" t="s">
        <v>1946</v>
      </c>
      <c r="M12" s="2" t="s">
        <v>1947</v>
      </c>
    </row>
    <row r="13" spans="1:13" ht="61" customHeight="1" x14ac:dyDescent="0.2">
      <c r="A13" s="4" t="s">
        <v>2011</v>
      </c>
      <c r="B13" s="4" t="s">
        <v>1925</v>
      </c>
      <c r="C13" s="4" t="s">
        <v>1993</v>
      </c>
      <c r="D13" s="4" t="s">
        <v>2012</v>
      </c>
      <c r="E13" s="4" t="s">
        <v>2013</v>
      </c>
      <c r="F13" s="4" t="s">
        <v>2014</v>
      </c>
      <c r="G13" s="4" t="s">
        <v>2015</v>
      </c>
      <c r="H13" s="4" t="s">
        <v>2016</v>
      </c>
      <c r="I13" s="4" t="s">
        <v>2017</v>
      </c>
      <c r="J13" s="4" t="s">
        <v>2018</v>
      </c>
      <c r="K13" s="4" t="s">
        <v>2019</v>
      </c>
      <c r="L13" s="4" t="s">
        <v>1946</v>
      </c>
      <c r="M13" s="4" t="s">
        <v>1947</v>
      </c>
    </row>
    <row r="14" spans="1:13" ht="61" customHeight="1" x14ac:dyDescent="0.2">
      <c r="A14" s="2" t="s">
        <v>2020</v>
      </c>
      <c r="B14" s="2" t="s">
        <v>1925</v>
      </c>
      <c r="C14" s="2" t="s">
        <v>1993</v>
      </c>
      <c r="D14" s="2" t="s">
        <v>2021</v>
      </c>
      <c r="E14" s="2" t="s">
        <v>2022</v>
      </c>
      <c r="F14" s="2" t="s">
        <v>2023</v>
      </c>
      <c r="G14" s="2" t="s">
        <v>2024</v>
      </c>
      <c r="H14" s="2" t="s">
        <v>2025</v>
      </c>
      <c r="I14" s="2" t="s">
        <v>2026</v>
      </c>
      <c r="J14" s="2" t="s">
        <v>2027</v>
      </c>
      <c r="K14" s="2" t="s">
        <v>2028</v>
      </c>
      <c r="L14" s="2" t="s">
        <v>1946</v>
      </c>
      <c r="M14" s="2" t="s">
        <v>1947</v>
      </c>
    </row>
    <row r="15" spans="1:13" ht="38" customHeight="1" x14ac:dyDescent="0.2">
      <c r="A15" s="4" t="s">
        <v>2029</v>
      </c>
      <c r="B15" s="4" t="s">
        <v>1925</v>
      </c>
      <c r="C15" s="4" t="s">
        <v>2030</v>
      </c>
      <c r="D15" s="4" t="s">
        <v>2031</v>
      </c>
      <c r="E15" s="4" t="s">
        <v>2032</v>
      </c>
      <c r="F15" s="4" t="s">
        <v>2033</v>
      </c>
      <c r="G15" s="4" t="s">
        <v>2034</v>
      </c>
      <c r="H15" s="4" t="s">
        <v>2035</v>
      </c>
      <c r="I15" s="4" t="s">
        <v>2036</v>
      </c>
      <c r="J15" s="4" t="s">
        <v>363</v>
      </c>
      <c r="K15" s="4" t="s">
        <v>2037</v>
      </c>
      <c r="L15" s="4" t="s">
        <v>279</v>
      </c>
      <c r="M15" s="4" t="s">
        <v>1935</v>
      </c>
    </row>
    <row r="16" spans="1:13" ht="38" customHeight="1" x14ac:dyDescent="0.2">
      <c r="A16" s="2" t="s">
        <v>2038</v>
      </c>
      <c r="B16" s="2" t="s">
        <v>1925</v>
      </c>
      <c r="C16" s="2" t="s">
        <v>2030</v>
      </c>
      <c r="D16" s="2" t="s">
        <v>2039</v>
      </c>
      <c r="E16" s="2" t="s">
        <v>2040</v>
      </c>
      <c r="F16" s="2" t="s">
        <v>2041</v>
      </c>
      <c r="G16" s="2" t="s">
        <v>2042</v>
      </c>
      <c r="H16" s="2" t="s">
        <v>2043</v>
      </c>
      <c r="I16" s="2" t="s">
        <v>2044</v>
      </c>
      <c r="J16" s="2" t="s">
        <v>1230</v>
      </c>
      <c r="K16" s="2" t="s">
        <v>2045</v>
      </c>
      <c r="L16" s="2" t="s">
        <v>279</v>
      </c>
      <c r="M16" s="2" t="s">
        <v>1935</v>
      </c>
    </row>
    <row r="17" spans="1:13" ht="38" customHeight="1" x14ac:dyDescent="0.2">
      <c r="A17" s="4" t="s">
        <v>2046</v>
      </c>
      <c r="B17" s="4" t="s">
        <v>1925</v>
      </c>
      <c r="C17" s="4" t="s">
        <v>2030</v>
      </c>
      <c r="D17" s="4" t="s">
        <v>2047</v>
      </c>
      <c r="E17" s="4" t="s">
        <v>2048</v>
      </c>
      <c r="F17" s="4" t="s">
        <v>2049</v>
      </c>
      <c r="G17" s="4" t="s">
        <v>2050</v>
      </c>
      <c r="H17" s="4" t="s">
        <v>2051</v>
      </c>
      <c r="I17" s="4" t="s">
        <v>2052</v>
      </c>
      <c r="J17" s="4" t="s">
        <v>2053</v>
      </c>
      <c r="K17" s="4" t="s">
        <v>2054</v>
      </c>
      <c r="L17" s="4" t="s">
        <v>279</v>
      </c>
      <c r="M17" s="4" t="s">
        <v>1935</v>
      </c>
    </row>
    <row r="18" spans="1:13" ht="49" customHeight="1" x14ac:dyDescent="0.2">
      <c r="A18" s="2" t="s">
        <v>2055</v>
      </c>
      <c r="B18" s="2" t="s">
        <v>1925</v>
      </c>
      <c r="C18" s="2" t="s">
        <v>2030</v>
      </c>
      <c r="D18" s="2" t="s">
        <v>2056</v>
      </c>
      <c r="E18" s="2" t="s">
        <v>2057</v>
      </c>
      <c r="F18" s="2" t="s">
        <v>2058</v>
      </c>
      <c r="G18" s="2" t="s">
        <v>2059</v>
      </c>
      <c r="H18" s="2" t="s">
        <v>2060</v>
      </c>
      <c r="I18" s="2" t="s">
        <v>2061</v>
      </c>
      <c r="J18" s="2" t="s">
        <v>2062</v>
      </c>
      <c r="K18" s="2" t="s">
        <v>2063</v>
      </c>
      <c r="L18" s="2" t="s">
        <v>1946</v>
      </c>
      <c r="M18" s="2" t="s">
        <v>1947</v>
      </c>
    </row>
    <row r="19" spans="1:13" ht="49" customHeight="1" x14ac:dyDescent="0.2">
      <c r="A19" s="4" t="s">
        <v>2064</v>
      </c>
      <c r="B19" s="4" t="s">
        <v>1925</v>
      </c>
      <c r="C19" s="4" t="s">
        <v>2065</v>
      </c>
      <c r="D19" s="4" t="s">
        <v>2066</v>
      </c>
      <c r="E19" s="4" t="s">
        <v>2067</v>
      </c>
      <c r="F19" s="4" t="s">
        <v>2068</v>
      </c>
      <c r="G19" s="4" t="s">
        <v>2069</v>
      </c>
      <c r="H19" s="4" t="s">
        <v>2070</v>
      </c>
      <c r="I19" s="4" t="s">
        <v>2071</v>
      </c>
      <c r="J19" s="4" t="s">
        <v>2072</v>
      </c>
      <c r="K19" s="4" t="s">
        <v>2073</v>
      </c>
      <c r="L19" s="4" t="s">
        <v>1946</v>
      </c>
      <c r="M19" s="4" t="s">
        <v>1947</v>
      </c>
    </row>
    <row r="20" spans="1:13" ht="73" customHeight="1" x14ac:dyDescent="0.2">
      <c r="A20" s="2" t="s">
        <v>2074</v>
      </c>
      <c r="B20" s="2" t="s">
        <v>1925</v>
      </c>
      <c r="C20" s="2" t="s">
        <v>2065</v>
      </c>
      <c r="D20" s="2" t="s">
        <v>2075</v>
      </c>
      <c r="E20" s="2" t="s">
        <v>2076</v>
      </c>
      <c r="F20" s="2" t="s">
        <v>2077</v>
      </c>
      <c r="G20" s="2" t="s">
        <v>2078</v>
      </c>
      <c r="H20" s="2" t="s">
        <v>2079</v>
      </c>
      <c r="I20" s="2" t="s">
        <v>2080</v>
      </c>
      <c r="J20" s="2" t="s">
        <v>2081</v>
      </c>
      <c r="K20" s="2" t="s">
        <v>2082</v>
      </c>
      <c r="L20" s="2" t="s">
        <v>1946</v>
      </c>
      <c r="M20" s="2" t="s">
        <v>1947</v>
      </c>
    </row>
    <row r="21" spans="1:13" ht="38" customHeight="1" x14ac:dyDescent="0.2">
      <c r="A21" s="4" t="s">
        <v>2083</v>
      </c>
      <c r="B21" s="4" t="s">
        <v>1925</v>
      </c>
      <c r="C21" s="4" t="s">
        <v>2065</v>
      </c>
      <c r="D21" s="4" t="s">
        <v>2084</v>
      </c>
      <c r="E21" s="4" t="s">
        <v>2085</v>
      </c>
      <c r="F21" s="4" t="s">
        <v>2086</v>
      </c>
      <c r="G21" s="4" t="s">
        <v>2087</v>
      </c>
      <c r="H21" s="4" t="s">
        <v>2088</v>
      </c>
      <c r="I21" s="4" t="s">
        <v>2089</v>
      </c>
      <c r="J21" s="4" t="s">
        <v>2090</v>
      </c>
      <c r="K21" s="4" t="s">
        <v>2091</v>
      </c>
      <c r="L21" s="4" t="s">
        <v>279</v>
      </c>
      <c r="M21" s="4" t="s">
        <v>1935</v>
      </c>
    </row>
    <row r="22" spans="1:13" ht="49" customHeight="1" x14ac:dyDescent="0.2">
      <c r="A22" s="2" t="s">
        <v>2092</v>
      </c>
      <c r="B22" s="2" t="s">
        <v>1925</v>
      </c>
      <c r="C22" s="2" t="s">
        <v>2093</v>
      </c>
      <c r="D22" s="2" t="s">
        <v>2094</v>
      </c>
      <c r="E22" s="2" t="s">
        <v>2095</v>
      </c>
      <c r="F22" s="2" t="s">
        <v>2096</v>
      </c>
      <c r="G22" s="2" t="s">
        <v>2097</v>
      </c>
      <c r="H22" s="2" t="s">
        <v>2098</v>
      </c>
      <c r="I22" s="2" t="s">
        <v>2099</v>
      </c>
      <c r="J22" s="2" t="s">
        <v>2100</v>
      </c>
      <c r="K22" s="2" t="s">
        <v>2101</v>
      </c>
      <c r="L22" s="2" t="s">
        <v>1946</v>
      </c>
      <c r="M22" s="2" t="s">
        <v>1947</v>
      </c>
    </row>
    <row r="23" spans="1:13" ht="49" customHeight="1" x14ac:dyDescent="0.2">
      <c r="A23" s="4" t="s">
        <v>2102</v>
      </c>
      <c r="B23" s="4" t="s">
        <v>1925</v>
      </c>
      <c r="C23" s="4" t="s">
        <v>2093</v>
      </c>
      <c r="D23" s="4" t="s">
        <v>2103</v>
      </c>
      <c r="E23" s="4" t="s">
        <v>2104</v>
      </c>
      <c r="F23" s="4" t="s">
        <v>2105</v>
      </c>
      <c r="G23" s="4" t="s">
        <v>2106</v>
      </c>
      <c r="H23" s="4" t="s">
        <v>2107</v>
      </c>
      <c r="I23" s="4" t="s">
        <v>2108</v>
      </c>
      <c r="J23" s="4" t="s">
        <v>472</v>
      </c>
      <c r="K23" s="4" t="s">
        <v>2109</v>
      </c>
      <c r="L23" s="4" t="s">
        <v>1946</v>
      </c>
      <c r="M23" s="4" t="s">
        <v>1947</v>
      </c>
    </row>
    <row r="24" spans="1:13" ht="49" customHeight="1" x14ac:dyDescent="0.2">
      <c r="A24" s="2" t="s">
        <v>2110</v>
      </c>
      <c r="B24" s="2" t="s">
        <v>1925</v>
      </c>
      <c r="C24" s="2" t="s">
        <v>2093</v>
      </c>
      <c r="D24" s="2" t="s">
        <v>2111</v>
      </c>
      <c r="E24" s="2" t="s">
        <v>2112</v>
      </c>
      <c r="F24" s="2" t="s">
        <v>2113</v>
      </c>
      <c r="G24" s="2" t="s">
        <v>2114</v>
      </c>
      <c r="H24" s="2" t="s">
        <v>2115</v>
      </c>
      <c r="I24" s="2" t="s">
        <v>2116</v>
      </c>
      <c r="J24" s="2" t="s">
        <v>2117</v>
      </c>
      <c r="K24" s="2" t="s">
        <v>2118</v>
      </c>
      <c r="L24" s="2" t="s">
        <v>1946</v>
      </c>
      <c r="M24" s="2" t="s">
        <v>1947</v>
      </c>
    </row>
    <row r="25" spans="1:13" ht="49" customHeight="1" x14ac:dyDescent="0.2">
      <c r="A25" s="4" t="s">
        <v>2119</v>
      </c>
      <c r="B25" s="4" t="s">
        <v>1925</v>
      </c>
      <c r="C25" s="4" t="s">
        <v>2093</v>
      </c>
      <c r="D25" s="4" t="s">
        <v>2120</v>
      </c>
      <c r="E25" s="4" t="s">
        <v>2121</v>
      </c>
      <c r="F25" s="4" t="s">
        <v>2122</v>
      </c>
      <c r="G25" s="4" t="s">
        <v>2123</v>
      </c>
      <c r="H25" s="4" t="s">
        <v>2124</v>
      </c>
      <c r="I25" s="4" t="s">
        <v>2125</v>
      </c>
      <c r="J25" s="4" t="s">
        <v>2126</v>
      </c>
      <c r="K25" s="4" t="s">
        <v>2127</v>
      </c>
      <c r="L25" s="4" t="s">
        <v>1946</v>
      </c>
      <c r="M25" s="4" t="s">
        <v>1947</v>
      </c>
    </row>
    <row r="26" spans="1:13" ht="38" customHeight="1" x14ac:dyDescent="0.2">
      <c r="A26" s="2" t="s">
        <v>2128</v>
      </c>
      <c r="B26" s="2" t="s">
        <v>1925</v>
      </c>
      <c r="C26" s="2" t="s">
        <v>2129</v>
      </c>
      <c r="D26" s="2" t="s">
        <v>2130</v>
      </c>
      <c r="E26" s="2" t="s">
        <v>2131</v>
      </c>
      <c r="F26" s="2" t="s">
        <v>2132</v>
      </c>
      <c r="G26" s="2" t="s">
        <v>2133</v>
      </c>
      <c r="H26" s="2" t="s">
        <v>2134</v>
      </c>
      <c r="I26" s="2" t="s">
        <v>2135</v>
      </c>
      <c r="J26" s="2" t="s">
        <v>2136</v>
      </c>
      <c r="K26" s="2" t="s">
        <v>2137</v>
      </c>
      <c r="L26" s="2" t="s">
        <v>1946</v>
      </c>
      <c r="M26" s="2" t="s">
        <v>1947</v>
      </c>
    </row>
    <row r="27" spans="1:13" ht="49" customHeight="1" x14ac:dyDescent="0.2">
      <c r="A27" s="4" t="s">
        <v>2138</v>
      </c>
      <c r="B27" s="4" t="s">
        <v>2139</v>
      </c>
      <c r="C27" s="4" t="s">
        <v>1926</v>
      </c>
      <c r="D27" s="4" t="s">
        <v>2140</v>
      </c>
      <c r="E27" s="4" t="s">
        <v>2141</v>
      </c>
      <c r="F27" s="4" t="s">
        <v>2142</v>
      </c>
      <c r="G27" s="4" t="s">
        <v>2143</v>
      </c>
      <c r="H27" s="4" t="s">
        <v>2144</v>
      </c>
      <c r="I27" s="4" t="s">
        <v>2145</v>
      </c>
      <c r="J27" s="4" t="s">
        <v>911</v>
      </c>
      <c r="K27" s="4" t="s">
        <v>2146</v>
      </c>
      <c r="L27" s="4" t="s">
        <v>1946</v>
      </c>
      <c r="M27" s="4" t="s">
        <v>1947</v>
      </c>
    </row>
    <row r="28" spans="1:13" ht="49" customHeight="1" x14ac:dyDescent="0.2">
      <c r="A28" s="2" t="s">
        <v>2147</v>
      </c>
      <c r="B28" s="2" t="s">
        <v>2139</v>
      </c>
      <c r="C28" s="2" t="s">
        <v>1926</v>
      </c>
      <c r="D28" s="2" t="s">
        <v>2148</v>
      </c>
      <c r="E28" s="2" t="s">
        <v>2149</v>
      </c>
      <c r="F28" s="2" t="s">
        <v>2150</v>
      </c>
      <c r="G28" s="2" t="s">
        <v>2151</v>
      </c>
      <c r="H28" s="2" t="s">
        <v>2152</v>
      </c>
      <c r="I28" s="2" t="s">
        <v>2153</v>
      </c>
      <c r="J28" s="2" t="s">
        <v>2154</v>
      </c>
      <c r="K28" s="2" t="s">
        <v>2155</v>
      </c>
      <c r="L28" s="2" t="s">
        <v>1946</v>
      </c>
      <c r="M28" s="2" t="s">
        <v>1947</v>
      </c>
    </row>
    <row r="29" spans="1:13" ht="49" customHeight="1" x14ac:dyDescent="0.2">
      <c r="A29" s="4" t="s">
        <v>2156</v>
      </c>
      <c r="B29" s="4" t="s">
        <v>2139</v>
      </c>
      <c r="C29" s="4" t="s">
        <v>1926</v>
      </c>
      <c r="D29" s="4" t="s">
        <v>2157</v>
      </c>
      <c r="E29" s="4" t="s">
        <v>2158</v>
      </c>
      <c r="F29" s="4" t="s">
        <v>2159</v>
      </c>
      <c r="G29" s="4" t="s">
        <v>2160</v>
      </c>
      <c r="H29" s="4" t="s">
        <v>2161</v>
      </c>
      <c r="I29" s="4" t="s">
        <v>2162</v>
      </c>
      <c r="J29" s="4" t="s">
        <v>643</v>
      </c>
      <c r="K29" s="4" t="s">
        <v>2163</v>
      </c>
      <c r="L29" s="4" t="s">
        <v>1946</v>
      </c>
      <c r="M29" s="4" t="s">
        <v>1947</v>
      </c>
    </row>
    <row r="30" spans="1:13" ht="49" customHeight="1" x14ac:dyDescent="0.2">
      <c r="A30" s="2" t="s">
        <v>2164</v>
      </c>
      <c r="B30" s="2" t="s">
        <v>2139</v>
      </c>
      <c r="C30" s="2" t="s">
        <v>1926</v>
      </c>
      <c r="D30" s="2" t="s">
        <v>2165</v>
      </c>
      <c r="E30" s="2" t="s">
        <v>2166</v>
      </c>
      <c r="F30" s="2" t="s">
        <v>2167</v>
      </c>
      <c r="G30" s="2" t="s">
        <v>2168</v>
      </c>
      <c r="H30" s="2" t="s">
        <v>2169</v>
      </c>
      <c r="I30" s="2" t="s">
        <v>2170</v>
      </c>
      <c r="J30" s="2" t="s">
        <v>2171</v>
      </c>
      <c r="K30" s="2" t="s">
        <v>2172</v>
      </c>
      <c r="L30" s="2" t="s">
        <v>1946</v>
      </c>
      <c r="M30" s="2" t="s">
        <v>1947</v>
      </c>
    </row>
    <row r="31" spans="1:13" ht="49" customHeight="1" x14ac:dyDescent="0.2">
      <c r="A31" s="4" t="s">
        <v>2173</v>
      </c>
      <c r="B31" s="4" t="s">
        <v>2139</v>
      </c>
      <c r="C31" s="4" t="s">
        <v>1926</v>
      </c>
      <c r="D31" s="4" t="s">
        <v>2174</v>
      </c>
      <c r="E31" s="4" t="s">
        <v>2175</v>
      </c>
      <c r="F31" s="4" t="s">
        <v>2176</v>
      </c>
      <c r="G31" s="4" t="s">
        <v>2177</v>
      </c>
      <c r="H31" s="4" t="s">
        <v>2178</v>
      </c>
      <c r="I31" s="4" t="s">
        <v>2179</v>
      </c>
      <c r="J31" s="4" t="s">
        <v>2180</v>
      </c>
      <c r="K31" s="4" t="s">
        <v>2181</v>
      </c>
      <c r="L31" s="4" t="s">
        <v>1946</v>
      </c>
      <c r="M31" s="4" t="s">
        <v>1947</v>
      </c>
    </row>
    <row r="32" spans="1:13" ht="49" customHeight="1" x14ac:dyDescent="0.2">
      <c r="A32" s="2" t="s">
        <v>2182</v>
      </c>
      <c r="B32" s="2" t="s">
        <v>2139</v>
      </c>
      <c r="C32" s="2" t="s">
        <v>2183</v>
      </c>
      <c r="D32" s="2" t="s">
        <v>2184</v>
      </c>
      <c r="E32" s="2" t="s">
        <v>2185</v>
      </c>
      <c r="F32" s="2" t="s">
        <v>2186</v>
      </c>
      <c r="G32" s="2" t="s">
        <v>2187</v>
      </c>
      <c r="H32" s="2" t="s">
        <v>2188</v>
      </c>
      <c r="I32" s="2" t="s">
        <v>2189</v>
      </c>
      <c r="J32" s="2" t="s">
        <v>2190</v>
      </c>
      <c r="K32" s="2" t="s">
        <v>2191</v>
      </c>
      <c r="L32" s="2" t="s">
        <v>1946</v>
      </c>
      <c r="M32" s="2" t="s">
        <v>1947</v>
      </c>
    </row>
    <row r="33" spans="1:13" ht="49" customHeight="1" x14ac:dyDescent="0.2">
      <c r="A33" s="4" t="s">
        <v>2192</v>
      </c>
      <c r="B33" s="4" t="s">
        <v>2139</v>
      </c>
      <c r="C33" s="4" t="s">
        <v>2183</v>
      </c>
      <c r="D33" s="4" t="s">
        <v>2193</v>
      </c>
      <c r="E33" s="4" t="s">
        <v>2194</v>
      </c>
      <c r="F33" s="4" t="s">
        <v>2195</v>
      </c>
      <c r="G33" s="4" t="s">
        <v>2196</v>
      </c>
      <c r="H33" s="4" t="s">
        <v>2197</v>
      </c>
      <c r="I33" s="4" t="s">
        <v>2198</v>
      </c>
      <c r="J33" s="4" t="s">
        <v>2199</v>
      </c>
      <c r="K33" s="4" t="s">
        <v>2200</v>
      </c>
      <c r="L33" s="4" t="s">
        <v>1946</v>
      </c>
      <c r="M33" s="4" t="s">
        <v>1947</v>
      </c>
    </row>
    <row r="34" spans="1:13" ht="61" customHeight="1" x14ac:dyDescent="0.2">
      <c r="A34" s="2" t="s">
        <v>2201</v>
      </c>
      <c r="B34" s="2" t="s">
        <v>2139</v>
      </c>
      <c r="C34" s="2" t="s">
        <v>2183</v>
      </c>
      <c r="D34" s="2" t="s">
        <v>2202</v>
      </c>
      <c r="E34" s="2" t="s">
        <v>2203</v>
      </c>
      <c r="F34" s="2" t="s">
        <v>2204</v>
      </c>
      <c r="G34" s="2" t="s">
        <v>2205</v>
      </c>
      <c r="H34" s="2" t="s">
        <v>2206</v>
      </c>
      <c r="I34" s="2" t="s">
        <v>2207</v>
      </c>
      <c r="J34" s="2" t="s">
        <v>2208</v>
      </c>
      <c r="K34" s="2" t="s">
        <v>2209</v>
      </c>
      <c r="L34" s="2" t="s">
        <v>1946</v>
      </c>
      <c r="M34" s="2" t="s">
        <v>1947</v>
      </c>
    </row>
    <row r="35" spans="1:13" ht="49" customHeight="1" x14ac:dyDescent="0.2">
      <c r="A35" s="4" t="s">
        <v>2210</v>
      </c>
      <c r="B35" s="4" t="s">
        <v>2139</v>
      </c>
      <c r="C35" s="4" t="s">
        <v>2183</v>
      </c>
      <c r="D35" s="4" t="s">
        <v>2211</v>
      </c>
      <c r="E35" s="4" t="s">
        <v>2212</v>
      </c>
      <c r="F35" s="4" t="s">
        <v>2213</v>
      </c>
      <c r="G35" s="4" t="s">
        <v>2214</v>
      </c>
      <c r="H35" s="4" t="s">
        <v>2215</v>
      </c>
      <c r="I35" s="4" t="s">
        <v>2216</v>
      </c>
      <c r="J35" s="4" t="s">
        <v>2217</v>
      </c>
      <c r="K35" s="4" t="s">
        <v>2218</v>
      </c>
      <c r="L35" s="4" t="s">
        <v>1946</v>
      </c>
      <c r="M35" s="4" t="s">
        <v>1947</v>
      </c>
    </row>
    <row r="36" spans="1:13" ht="49" customHeight="1" x14ac:dyDescent="0.2">
      <c r="A36" s="2" t="s">
        <v>2219</v>
      </c>
      <c r="B36" s="2" t="s">
        <v>2139</v>
      </c>
      <c r="C36" s="2" t="s">
        <v>2220</v>
      </c>
      <c r="D36" s="2" t="s">
        <v>2221</v>
      </c>
      <c r="E36" s="2" t="s">
        <v>2222</v>
      </c>
      <c r="F36" s="2" t="s">
        <v>2223</v>
      </c>
      <c r="G36" s="2" t="s">
        <v>2224</v>
      </c>
      <c r="H36" s="2" t="s">
        <v>2225</v>
      </c>
      <c r="I36" s="2" t="s">
        <v>2226</v>
      </c>
      <c r="J36" s="2" t="s">
        <v>2227</v>
      </c>
      <c r="K36" s="2" t="s">
        <v>2228</v>
      </c>
      <c r="L36" s="2" t="s">
        <v>1946</v>
      </c>
      <c r="M36" s="2" t="s">
        <v>1947</v>
      </c>
    </row>
    <row r="37" spans="1:13" ht="49" customHeight="1" x14ac:dyDescent="0.2">
      <c r="A37" s="4" t="s">
        <v>2229</v>
      </c>
      <c r="B37" s="4" t="s">
        <v>2139</v>
      </c>
      <c r="C37" s="4" t="s">
        <v>2220</v>
      </c>
      <c r="D37" s="4" t="s">
        <v>2230</v>
      </c>
      <c r="E37" s="4" t="s">
        <v>2231</v>
      </c>
      <c r="F37" s="4" t="s">
        <v>2232</v>
      </c>
      <c r="G37" s="4" t="s">
        <v>2233</v>
      </c>
      <c r="H37" s="4" t="s">
        <v>2234</v>
      </c>
      <c r="I37" s="4" t="s">
        <v>2235</v>
      </c>
      <c r="J37" s="4" t="s">
        <v>857</v>
      </c>
      <c r="K37" s="4" t="s">
        <v>2236</v>
      </c>
      <c r="L37" s="4" t="s">
        <v>1946</v>
      </c>
      <c r="M37" s="4" t="s">
        <v>1947</v>
      </c>
    </row>
    <row r="38" spans="1:13" ht="61" customHeight="1" x14ac:dyDescent="0.2">
      <c r="A38" s="2" t="s">
        <v>2237</v>
      </c>
      <c r="B38" s="2" t="s">
        <v>2139</v>
      </c>
      <c r="C38" s="2" t="s">
        <v>2220</v>
      </c>
      <c r="D38" s="2" t="s">
        <v>2238</v>
      </c>
      <c r="E38" s="2" t="s">
        <v>2239</v>
      </c>
      <c r="F38" s="2" t="s">
        <v>2240</v>
      </c>
      <c r="G38" s="2" t="s">
        <v>2241</v>
      </c>
      <c r="H38" s="2" t="s">
        <v>2242</v>
      </c>
      <c r="I38" s="2" t="s">
        <v>2243</v>
      </c>
      <c r="J38" s="2" t="s">
        <v>2244</v>
      </c>
      <c r="K38" s="2" t="s">
        <v>2245</v>
      </c>
      <c r="L38" s="2" t="s">
        <v>1946</v>
      </c>
      <c r="M38" s="2" t="s">
        <v>1947</v>
      </c>
    </row>
    <row r="39" spans="1:13" ht="49" customHeight="1" x14ac:dyDescent="0.2">
      <c r="A39" s="4" t="s">
        <v>2246</v>
      </c>
      <c r="B39" s="4" t="s">
        <v>2139</v>
      </c>
      <c r="C39" s="4" t="s">
        <v>2220</v>
      </c>
      <c r="D39" s="4" t="s">
        <v>2247</v>
      </c>
      <c r="E39" s="4" t="s">
        <v>2248</v>
      </c>
      <c r="F39" s="4" t="s">
        <v>2249</v>
      </c>
      <c r="G39" s="4" t="s">
        <v>2250</v>
      </c>
      <c r="H39" s="4" t="s">
        <v>2251</v>
      </c>
      <c r="I39" s="4" t="s">
        <v>2252</v>
      </c>
      <c r="J39" s="4" t="s">
        <v>2253</v>
      </c>
      <c r="K39" s="4" t="s">
        <v>2254</v>
      </c>
      <c r="L39" s="4" t="s">
        <v>1946</v>
      </c>
      <c r="M39" s="4" t="s">
        <v>1947</v>
      </c>
    </row>
    <row r="40" spans="1:13" ht="49" customHeight="1" x14ac:dyDescent="0.2">
      <c r="A40" s="2" t="s">
        <v>2255</v>
      </c>
      <c r="B40" s="2" t="s">
        <v>2139</v>
      </c>
      <c r="C40" s="2" t="s">
        <v>2256</v>
      </c>
      <c r="D40" s="2" t="s">
        <v>2257</v>
      </c>
      <c r="E40" s="2" t="s">
        <v>2258</v>
      </c>
      <c r="F40" s="2" t="s">
        <v>2259</v>
      </c>
      <c r="G40" s="2" t="s">
        <v>2260</v>
      </c>
      <c r="H40" s="2" t="s">
        <v>2261</v>
      </c>
      <c r="I40" s="2" t="s">
        <v>2262</v>
      </c>
      <c r="J40" s="2" t="s">
        <v>2263</v>
      </c>
      <c r="K40" s="2" t="s">
        <v>2264</v>
      </c>
      <c r="L40" s="2" t="s">
        <v>1946</v>
      </c>
      <c r="M40" s="2" t="s">
        <v>1947</v>
      </c>
    </row>
    <row r="41" spans="1:13" ht="49" customHeight="1" x14ac:dyDescent="0.2">
      <c r="A41" s="4" t="s">
        <v>2265</v>
      </c>
      <c r="B41" s="4" t="s">
        <v>2139</v>
      </c>
      <c r="C41" s="4" t="s">
        <v>2256</v>
      </c>
      <c r="D41" s="4" t="s">
        <v>2266</v>
      </c>
      <c r="E41" s="4" t="s">
        <v>2267</v>
      </c>
      <c r="F41" s="4" t="s">
        <v>2268</v>
      </c>
      <c r="G41" s="4" t="s">
        <v>2269</v>
      </c>
      <c r="H41" s="4" t="s">
        <v>2270</v>
      </c>
      <c r="I41" s="4" t="s">
        <v>2271</v>
      </c>
      <c r="J41" s="4" t="s">
        <v>951</v>
      </c>
      <c r="K41" s="4" t="s">
        <v>2272</v>
      </c>
      <c r="L41" s="4" t="s">
        <v>1946</v>
      </c>
      <c r="M41" s="4" t="s">
        <v>1947</v>
      </c>
    </row>
    <row r="42" spans="1:13" ht="61" customHeight="1" x14ac:dyDescent="0.2">
      <c r="A42" s="2" t="s">
        <v>2273</v>
      </c>
      <c r="B42" s="2" t="s">
        <v>2139</v>
      </c>
      <c r="C42" s="2" t="s">
        <v>2256</v>
      </c>
      <c r="D42" s="2" t="s">
        <v>2274</v>
      </c>
      <c r="E42" s="2" t="s">
        <v>2275</v>
      </c>
      <c r="F42" s="2" t="s">
        <v>2276</v>
      </c>
      <c r="G42" s="2" t="s">
        <v>2277</v>
      </c>
      <c r="H42" s="2" t="s">
        <v>2278</v>
      </c>
      <c r="I42" s="2" t="s">
        <v>2279</v>
      </c>
      <c r="J42" s="2" t="s">
        <v>2280</v>
      </c>
      <c r="K42" s="2" t="s">
        <v>2281</v>
      </c>
      <c r="L42" s="2" t="s">
        <v>1946</v>
      </c>
      <c r="M42" s="2" t="s">
        <v>1947</v>
      </c>
    </row>
    <row r="43" spans="1:13" ht="49" customHeight="1" x14ac:dyDescent="0.2">
      <c r="A43" s="4" t="s">
        <v>2282</v>
      </c>
      <c r="B43" s="4" t="s">
        <v>2139</v>
      </c>
      <c r="C43" s="4" t="s">
        <v>2256</v>
      </c>
      <c r="D43" s="4" t="s">
        <v>2283</v>
      </c>
      <c r="E43" s="4" t="s">
        <v>2284</v>
      </c>
      <c r="F43" s="4" t="s">
        <v>2285</v>
      </c>
      <c r="G43" s="4" t="s">
        <v>2286</v>
      </c>
      <c r="H43" s="4" t="s">
        <v>2287</v>
      </c>
      <c r="I43" s="4" t="s">
        <v>2288</v>
      </c>
      <c r="J43" s="4" t="s">
        <v>981</v>
      </c>
      <c r="K43" s="4" t="s">
        <v>2289</v>
      </c>
      <c r="L43" s="4" t="s">
        <v>1946</v>
      </c>
      <c r="M43" s="4" t="s">
        <v>1947</v>
      </c>
    </row>
    <row r="44" spans="1:13" ht="49" customHeight="1" x14ac:dyDescent="0.2">
      <c r="A44" s="2" t="s">
        <v>2290</v>
      </c>
      <c r="B44" s="2" t="s">
        <v>2139</v>
      </c>
      <c r="C44" s="2" t="s">
        <v>2256</v>
      </c>
      <c r="D44" s="2" t="s">
        <v>2291</v>
      </c>
      <c r="E44" s="2" t="s">
        <v>2292</v>
      </c>
      <c r="F44" s="2" t="s">
        <v>2293</v>
      </c>
      <c r="G44" s="2" t="s">
        <v>2294</v>
      </c>
      <c r="H44" s="2" t="s">
        <v>2295</v>
      </c>
      <c r="I44" s="2" t="s">
        <v>2296</v>
      </c>
      <c r="J44" s="2" t="s">
        <v>2297</v>
      </c>
      <c r="K44" s="2" t="s">
        <v>2298</v>
      </c>
      <c r="L44" s="2" t="s">
        <v>1946</v>
      </c>
      <c r="M44" s="2" t="s">
        <v>1947</v>
      </c>
    </row>
    <row r="45" spans="1:13" ht="49" customHeight="1" x14ac:dyDescent="0.2">
      <c r="A45" s="4" t="s">
        <v>2299</v>
      </c>
      <c r="B45" s="4" t="s">
        <v>2139</v>
      </c>
      <c r="C45" s="4" t="s">
        <v>2300</v>
      </c>
      <c r="D45" s="4" t="s">
        <v>2301</v>
      </c>
      <c r="E45" s="4" t="s">
        <v>2302</v>
      </c>
      <c r="F45" s="4" t="s">
        <v>2303</v>
      </c>
      <c r="G45" s="4" t="s">
        <v>2304</v>
      </c>
      <c r="H45" s="4" t="s">
        <v>2305</v>
      </c>
      <c r="I45" s="4" t="s">
        <v>2306</v>
      </c>
      <c r="J45" s="4" t="s">
        <v>2307</v>
      </c>
      <c r="K45" s="4" t="s">
        <v>2308</v>
      </c>
      <c r="L45" s="4" t="s">
        <v>1946</v>
      </c>
      <c r="M45" s="4" t="s">
        <v>1947</v>
      </c>
    </row>
    <row r="46" spans="1:13" ht="61" customHeight="1" x14ac:dyDescent="0.2">
      <c r="A46" s="2" t="s">
        <v>2309</v>
      </c>
      <c r="B46" s="2" t="s">
        <v>2139</v>
      </c>
      <c r="C46" s="2" t="s">
        <v>2300</v>
      </c>
      <c r="D46" s="2" t="s">
        <v>2310</v>
      </c>
      <c r="E46" s="2" t="s">
        <v>2311</v>
      </c>
      <c r="F46" s="2" t="s">
        <v>2312</v>
      </c>
      <c r="G46" s="2" t="s">
        <v>2313</v>
      </c>
      <c r="H46" s="2" t="s">
        <v>2314</v>
      </c>
      <c r="I46" s="2" t="s">
        <v>2315</v>
      </c>
      <c r="J46" s="2" t="s">
        <v>2316</v>
      </c>
      <c r="K46" s="2" t="s">
        <v>2317</v>
      </c>
      <c r="L46" s="2" t="s">
        <v>1946</v>
      </c>
      <c r="M46" s="2" t="s">
        <v>1947</v>
      </c>
    </row>
    <row r="47" spans="1:13" ht="49" customHeight="1" x14ac:dyDescent="0.2">
      <c r="A47" s="4" t="s">
        <v>2318</v>
      </c>
      <c r="B47" s="4" t="s">
        <v>2139</v>
      </c>
      <c r="C47" s="4" t="s">
        <v>2300</v>
      </c>
      <c r="D47" s="4" t="s">
        <v>2319</v>
      </c>
      <c r="E47" s="4" t="s">
        <v>2320</v>
      </c>
      <c r="F47" s="4" t="s">
        <v>2321</v>
      </c>
      <c r="G47" s="4" t="s">
        <v>2322</v>
      </c>
      <c r="H47" s="4" t="s">
        <v>2323</v>
      </c>
      <c r="I47" s="4" t="s">
        <v>2324</v>
      </c>
      <c r="J47" s="4" t="s">
        <v>2325</v>
      </c>
      <c r="K47" s="4" t="s">
        <v>2326</v>
      </c>
      <c r="L47" s="4" t="s">
        <v>1946</v>
      </c>
      <c r="M47" s="4" t="s">
        <v>1947</v>
      </c>
    </row>
    <row r="48" spans="1:13" ht="61" customHeight="1" x14ac:dyDescent="0.2">
      <c r="A48" s="2" t="s">
        <v>2327</v>
      </c>
      <c r="B48" s="2" t="s">
        <v>2139</v>
      </c>
      <c r="C48" s="2" t="s">
        <v>201</v>
      </c>
      <c r="D48" s="2" t="s">
        <v>2328</v>
      </c>
      <c r="E48" s="2" t="s">
        <v>2329</v>
      </c>
      <c r="F48" s="2" t="s">
        <v>2330</v>
      </c>
      <c r="G48" s="2" t="s">
        <v>2331</v>
      </c>
      <c r="H48" s="2" t="s">
        <v>2332</v>
      </c>
      <c r="I48" s="2" t="s">
        <v>2333</v>
      </c>
      <c r="J48" s="2" t="s">
        <v>2334</v>
      </c>
      <c r="K48" s="2" t="s">
        <v>2335</v>
      </c>
      <c r="L48" s="2" t="s">
        <v>1946</v>
      </c>
      <c r="M48" s="2" t="s">
        <v>1947</v>
      </c>
    </row>
    <row r="49" spans="1:13" ht="49" customHeight="1" x14ac:dyDescent="0.2">
      <c r="A49" s="4" t="s">
        <v>2336</v>
      </c>
      <c r="B49" s="4" t="s">
        <v>2139</v>
      </c>
      <c r="C49" s="4" t="s">
        <v>201</v>
      </c>
      <c r="D49" s="4" t="s">
        <v>2337</v>
      </c>
      <c r="E49" s="4" t="s">
        <v>2338</v>
      </c>
      <c r="F49" s="4" t="s">
        <v>2339</v>
      </c>
      <c r="G49" s="4" t="s">
        <v>2340</v>
      </c>
      <c r="H49" s="4" t="s">
        <v>2341</v>
      </c>
      <c r="I49" s="4" t="s">
        <v>2342</v>
      </c>
      <c r="J49" s="4" t="s">
        <v>2343</v>
      </c>
      <c r="K49" s="4" t="s">
        <v>2344</v>
      </c>
      <c r="L49" s="4" t="s">
        <v>1946</v>
      </c>
      <c r="M49" s="4" t="s">
        <v>1947</v>
      </c>
    </row>
    <row r="50" spans="1:13" ht="61" customHeight="1" x14ac:dyDescent="0.2">
      <c r="A50" s="2" t="s">
        <v>2345</v>
      </c>
      <c r="B50" s="2" t="s">
        <v>2139</v>
      </c>
      <c r="C50" s="2" t="s">
        <v>201</v>
      </c>
      <c r="D50" s="2" t="s">
        <v>2346</v>
      </c>
      <c r="E50" s="2" t="s">
        <v>2347</v>
      </c>
      <c r="F50" s="2" t="s">
        <v>2348</v>
      </c>
      <c r="G50" s="2" t="s">
        <v>2349</v>
      </c>
      <c r="H50" s="2" t="s">
        <v>2350</v>
      </c>
      <c r="I50" s="2" t="s">
        <v>2351</v>
      </c>
      <c r="J50" s="2" t="s">
        <v>1315</v>
      </c>
      <c r="K50" s="2" t="s">
        <v>2352</v>
      </c>
      <c r="L50" s="2" t="s">
        <v>1946</v>
      </c>
      <c r="M50" s="2" t="s">
        <v>1947</v>
      </c>
    </row>
    <row r="51" spans="1:13" ht="49" customHeight="1" x14ac:dyDescent="0.2">
      <c r="A51" s="4" t="s">
        <v>2353</v>
      </c>
      <c r="B51" s="4" t="s">
        <v>2139</v>
      </c>
      <c r="C51" s="4" t="s">
        <v>201</v>
      </c>
      <c r="D51" s="4" t="s">
        <v>2354</v>
      </c>
      <c r="E51" s="4" t="s">
        <v>2355</v>
      </c>
      <c r="F51" s="4" t="s">
        <v>2356</v>
      </c>
      <c r="G51" s="4" t="s">
        <v>2357</v>
      </c>
      <c r="H51" s="4" t="s">
        <v>2358</v>
      </c>
      <c r="I51" s="4" t="s">
        <v>2359</v>
      </c>
      <c r="J51" s="4" t="s">
        <v>2360</v>
      </c>
      <c r="K51" s="4" t="s">
        <v>2361</v>
      </c>
      <c r="L51" s="4" t="s">
        <v>1946</v>
      </c>
      <c r="M51" s="4" t="s">
        <v>1947</v>
      </c>
    </row>
    <row r="52" spans="1:13" ht="49" customHeight="1" x14ac:dyDescent="0.2">
      <c r="A52" s="2" t="s">
        <v>2362</v>
      </c>
      <c r="B52" s="2" t="s">
        <v>2139</v>
      </c>
      <c r="C52" s="2" t="s">
        <v>201</v>
      </c>
      <c r="D52" s="2" t="s">
        <v>2363</v>
      </c>
      <c r="E52" s="2" t="s">
        <v>2364</v>
      </c>
      <c r="F52" s="2" t="s">
        <v>2365</v>
      </c>
      <c r="G52" s="2" t="s">
        <v>2366</v>
      </c>
      <c r="H52" s="2" t="s">
        <v>2367</v>
      </c>
      <c r="I52" s="2" t="s">
        <v>2368</v>
      </c>
      <c r="J52" s="2" t="s">
        <v>2369</v>
      </c>
      <c r="K52" s="2" t="s">
        <v>2370</v>
      </c>
      <c r="L52" s="2" t="s">
        <v>1946</v>
      </c>
      <c r="M52" s="2" t="s">
        <v>1947</v>
      </c>
    </row>
    <row r="53" spans="1:13" ht="49" customHeight="1" x14ac:dyDescent="0.2">
      <c r="A53" s="4" t="s">
        <v>2371</v>
      </c>
      <c r="B53" s="4" t="s">
        <v>2139</v>
      </c>
      <c r="C53" s="4" t="s">
        <v>201</v>
      </c>
      <c r="D53" s="4" t="s">
        <v>2372</v>
      </c>
      <c r="E53" s="4" t="s">
        <v>2373</v>
      </c>
      <c r="F53" s="4" t="s">
        <v>2374</v>
      </c>
      <c r="G53" s="4" t="s">
        <v>2375</v>
      </c>
      <c r="H53" s="4" t="s">
        <v>2376</v>
      </c>
      <c r="I53" s="4" t="s">
        <v>2377</v>
      </c>
      <c r="J53" s="4" t="s">
        <v>2378</v>
      </c>
      <c r="K53" s="4" t="s">
        <v>2379</v>
      </c>
      <c r="L53" s="4" t="s">
        <v>1946</v>
      </c>
      <c r="M53" s="4" t="s">
        <v>1947</v>
      </c>
    </row>
    <row r="54" spans="1:13" ht="49" customHeight="1" x14ac:dyDescent="0.2">
      <c r="A54" s="2" t="s">
        <v>2380</v>
      </c>
      <c r="B54" s="2" t="s">
        <v>2139</v>
      </c>
      <c r="C54" s="2" t="s">
        <v>201</v>
      </c>
      <c r="D54" s="2" t="s">
        <v>2381</v>
      </c>
      <c r="E54" s="2" t="s">
        <v>2382</v>
      </c>
      <c r="F54" s="2" t="s">
        <v>2383</v>
      </c>
      <c r="G54" s="2" t="s">
        <v>2384</v>
      </c>
      <c r="H54" s="2" t="s">
        <v>2385</v>
      </c>
      <c r="I54" s="2" t="s">
        <v>2386</v>
      </c>
      <c r="J54" s="2" t="s">
        <v>2387</v>
      </c>
      <c r="K54" s="2" t="s">
        <v>2388</v>
      </c>
      <c r="L54" s="2" t="s">
        <v>1946</v>
      </c>
      <c r="M54" s="2" t="s">
        <v>1947</v>
      </c>
    </row>
    <row r="55" spans="1:13" ht="49" customHeight="1" x14ac:dyDescent="0.2">
      <c r="A55" s="4" t="s">
        <v>2389</v>
      </c>
      <c r="B55" s="4" t="s">
        <v>2390</v>
      </c>
      <c r="C55" s="4" t="s">
        <v>1926</v>
      </c>
      <c r="D55" s="4" t="s">
        <v>2391</v>
      </c>
      <c r="E55" s="4" t="s">
        <v>2392</v>
      </c>
      <c r="F55" s="4" t="s">
        <v>2393</v>
      </c>
      <c r="G55" s="4" t="s">
        <v>2394</v>
      </c>
      <c r="H55" s="4" t="s">
        <v>2395</v>
      </c>
      <c r="I55" s="4" t="s">
        <v>2396</v>
      </c>
      <c r="J55" s="4" t="s">
        <v>2397</v>
      </c>
      <c r="K55" s="4" t="s">
        <v>2398</v>
      </c>
      <c r="L55" s="4" t="s">
        <v>1946</v>
      </c>
      <c r="M55" s="4" t="s">
        <v>1947</v>
      </c>
    </row>
    <row r="56" spans="1:13" ht="49" customHeight="1" x14ac:dyDescent="0.2">
      <c r="A56" s="2" t="s">
        <v>2399</v>
      </c>
      <c r="B56" s="2" t="s">
        <v>2390</v>
      </c>
      <c r="C56" s="2" t="s">
        <v>1926</v>
      </c>
      <c r="D56" s="2" t="s">
        <v>2400</v>
      </c>
      <c r="E56" s="2" t="s">
        <v>2401</v>
      </c>
      <c r="F56" s="2" t="s">
        <v>2402</v>
      </c>
      <c r="G56" s="2" t="s">
        <v>2403</v>
      </c>
      <c r="H56" s="2" t="s">
        <v>2404</v>
      </c>
      <c r="I56" s="2" t="s">
        <v>2405</v>
      </c>
      <c r="J56" s="2" t="s">
        <v>2406</v>
      </c>
      <c r="K56" s="2" t="s">
        <v>2407</v>
      </c>
      <c r="L56" s="2" t="s">
        <v>1946</v>
      </c>
      <c r="M56" s="2" t="s">
        <v>1947</v>
      </c>
    </row>
    <row r="57" spans="1:13" ht="61" customHeight="1" x14ac:dyDescent="0.2">
      <c r="A57" s="4" t="s">
        <v>2408</v>
      </c>
      <c r="B57" s="4" t="s">
        <v>2390</v>
      </c>
      <c r="C57" s="4" t="s">
        <v>1926</v>
      </c>
      <c r="D57" s="4" t="s">
        <v>2409</v>
      </c>
      <c r="E57" s="4" t="s">
        <v>2410</v>
      </c>
      <c r="F57" s="4" t="s">
        <v>2411</v>
      </c>
      <c r="G57" s="4" t="s">
        <v>2412</v>
      </c>
      <c r="H57" s="4" t="s">
        <v>2413</v>
      </c>
      <c r="I57" s="4" t="s">
        <v>2414</v>
      </c>
      <c r="J57" s="4" t="s">
        <v>2415</v>
      </c>
      <c r="K57" s="4" t="s">
        <v>2416</v>
      </c>
      <c r="L57" s="4" t="s">
        <v>1946</v>
      </c>
      <c r="M57" s="4" t="s">
        <v>1947</v>
      </c>
    </row>
    <row r="58" spans="1:13" ht="49" customHeight="1" x14ac:dyDescent="0.2">
      <c r="A58" s="2" t="s">
        <v>2417</v>
      </c>
      <c r="B58" s="2" t="s">
        <v>2390</v>
      </c>
      <c r="C58" s="2" t="s">
        <v>912</v>
      </c>
      <c r="D58" s="2" t="s">
        <v>2418</v>
      </c>
      <c r="E58" s="2" t="s">
        <v>2419</v>
      </c>
      <c r="F58" s="2" t="s">
        <v>2420</v>
      </c>
      <c r="G58" s="2" t="s">
        <v>2421</v>
      </c>
      <c r="H58" s="2" t="s">
        <v>2422</v>
      </c>
      <c r="I58" s="2" t="s">
        <v>2423</v>
      </c>
      <c r="J58" s="2" t="s">
        <v>2424</v>
      </c>
      <c r="K58" s="2" t="s">
        <v>2425</v>
      </c>
      <c r="L58" s="2" t="s">
        <v>1946</v>
      </c>
      <c r="M58" s="2" t="s">
        <v>1947</v>
      </c>
    </row>
    <row r="59" spans="1:13" ht="61" customHeight="1" x14ac:dyDescent="0.2">
      <c r="A59" s="4" t="s">
        <v>2426</v>
      </c>
      <c r="B59" s="4" t="s">
        <v>2390</v>
      </c>
      <c r="C59" s="4" t="s">
        <v>912</v>
      </c>
      <c r="D59" s="4" t="s">
        <v>2427</v>
      </c>
      <c r="E59" s="4" t="s">
        <v>2428</v>
      </c>
      <c r="F59" s="4" t="s">
        <v>2429</v>
      </c>
      <c r="G59" s="4" t="s">
        <v>2430</v>
      </c>
      <c r="H59" s="4" t="s">
        <v>2431</v>
      </c>
      <c r="I59" s="4" t="s">
        <v>2432</v>
      </c>
      <c r="J59" s="4" t="s">
        <v>2433</v>
      </c>
      <c r="K59" s="4" t="s">
        <v>2434</v>
      </c>
      <c r="L59" s="4" t="s">
        <v>1946</v>
      </c>
      <c r="M59" s="4" t="s">
        <v>1947</v>
      </c>
    </row>
    <row r="60" spans="1:13" ht="61" customHeight="1" x14ac:dyDescent="0.2">
      <c r="A60" s="2" t="s">
        <v>2435</v>
      </c>
      <c r="B60" s="2" t="s">
        <v>2390</v>
      </c>
      <c r="C60" s="2" t="s">
        <v>912</v>
      </c>
      <c r="D60" s="2" t="s">
        <v>2436</v>
      </c>
      <c r="E60" s="2" t="s">
        <v>2437</v>
      </c>
      <c r="F60" s="2" t="s">
        <v>2438</v>
      </c>
      <c r="G60" s="2" t="s">
        <v>2439</v>
      </c>
      <c r="H60" s="2" t="s">
        <v>2440</v>
      </c>
      <c r="I60" s="2" t="s">
        <v>2441</v>
      </c>
      <c r="J60" s="2" t="s">
        <v>2442</v>
      </c>
      <c r="K60" s="2" t="s">
        <v>2443</v>
      </c>
      <c r="L60" s="2" t="s">
        <v>1946</v>
      </c>
      <c r="M60" s="2" t="s">
        <v>1947</v>
      </c>
    </row>
    <row r="61" spans="1:13" ht="49" customHeight="1" x14ac:dyDescent="0.2">
      <c r="A61" s="4" t="s">
        <v>2444</v>
      </c>
      <c r="B61" s="4" t="s">
        <v>2390</v>
      </c>
      <c r="C61" s="4" t="s">
        <v>912</v>
      </c>
      <c r="D61" s="4" t="s">
        <v>2445</v>
      </c>
      <c r="E61" s="4" t="s">
        <v>2446</v>
      </c>
      <c r="F61" s="4" t="s">
        <v>2447</v>
      </c>
      <c r="G61" s="4" t="s">
        <v>2448</v>
      </c>
      <c r="H61" s="4" t="s">
        <v>2449</v>
      </c>
      <c r="I61" s="4" t="s">
        <v>2450</v>
      </c>
      <c r="J61" s="4" t="s">
        <v>2451</v>
      </c>
      <c r="K61" s="4" t="s">
        <v>2452</v>
      </c>
      <c r="L61" s="4" t="s">
        <v>1946</v>
      </c>
      <c r="M61" s="4" t="s">
        <v>1947</v>
      </c>
    </row>
    <row r="62" spans="1:13" ht="49" customHeight="1" x14ac:dyDescent="0.2">
      <c r="A62" s="2" t="s">
        <v>2453</v>
      </c>
      <c r="B62" s="2" t="s">
        <v>2390</v>
      </c>
      <c r="C62" s="2" t="s">
        <v>912</v>
      </c>
      <c r="D62" s="2" t="s">
        <v>2454</v>
      </c>
      <c r="E62" s="2" t="s">
        <v>2455</v>
      </c>
      <c r="F62" s="2" t="s">
        <v>2456</v>
      </c>
      <c r="G62" s="2" t="s">
        <v>2457</v>
      </c>
      <c r="H62" s="2" t="s">
        <v>2458</v>
      </c>
      <c r="I62" s="2" t="s">
        <v>2459</v>
      </c>
      <c r="J62" s="2" t="s">
        <v>2460</v>
      </c>
      <c r="K62" s="2" t="s">
        <v>2461</v>
      </c>
      <c r="L62" s="2" t="s">
        <v>1946</v>
      </c>
      <c r="M62" s="2" t="s">
        <v>1947</v>
      </c>
    </row>
    <row r="63" spans="1:13" ht="49" customHeight="1" x14ac:dyDescent="0.2">
      <c r="A63" s="4" t="s">
        <v>2462</v>
      </c>
      <c r="B63" s="4" t="s">
        <v>2390</v>
      </c>
      <c r="C63" s="4" t="s">
        <v>912</v>
      </c>
      <c r="D63" s="4" t="s">
        <v>2463</v>
      </c>
      <c r="E63" s="4" t="s">
        <v>2464</v>
      </c>
      <c r="F63" s="4" t="s">
        <v>2465</v>
      </c>
      <c r="G63" s="4" t="s">
        <v>2466</v>
      </c>
      <c r="H63" s="4" t="s">
        <v>2467</v>
      </c>
      <c r="I63" s="4" t="s">
        <v>2468</v>
      </c>
      <c r="J63" s="4" t="s">
        <v>2469</v>
      </c>
      <c r="K63" s="4" t="s">
        <v>2470</v>
      </c>
      <c r="L63" s="4" t="s">
        <v>1946</v>
      </c>
      <c r="M63" s="4" t="s">
        <v>1947</v>
      </c>
    </row>
    <row r="64" spans="1:13" ht="61" customHeight="1" x14ac:dyDescent="0.2">
      <c r="A64" s="2" t="s">
        <v>2471</v>
      </c>
      <c r="B64" s="2" t="s">
        <v>2390</v>
      </c>
      <c r="C64" s="2" t="s">
        <v>912</v>
      </c>
      <c r="D64" s="2" t="s">
        <v>2472</v>
      </c>
      <c r="E64" s="2" t="s">
        <v>2473</v>
      </c>
      <c r="F64" s="2" t="s">
        <v>2474</v>
      </c>
      <c r="G64" s="2" t="s">
        <v>2475</v>
      </c>
      <c r="H64" s="2" t="s">
        <v>2476</v>
      </c>
      <c r="I64" s="2" t="s">
        <v>2477</v>
      </c>
      <c r="J64" s="2" t="s">
        <v>2478</v>
      </c>
      <c r="K64" s="2" t="s">
        <v>2479</v>
      </c>
      <c r="L64" s="2" t="s">
        <v>1946</v>
      </c>
      <c r="M64" s="2" t="s">
        <v>1947</v>
      </c>
    </row>
    <row r="65" spans="1:13" ht="49" customHeight="1" x14ac:dyDescent="0.2">
      <c r="A65" s="4" t="s">
        <v>2480</v>
      </c>
      <c r="B65" s="4" t="s">
        <v>2390</v>
      </c>
      <c r="C65" s="4" t="s">
        <v>2481</v>
      </c>
      <c r="D65" s="4" t="s">
        <v>2482</v>
      </c>
      <c r="E65" s="4" t="s">
        <v>2483</v>
      </c>
      <c r="F65" s="4" t="s">
        <v>2484</v>
      </c>
      <c r="G65" s="4" t="s">
        <v>2485</v>
      </c>
      <c r="H65" s="4" t="s">
        <v>2486</v>
      </c>
      <c r="I65" s="4" t="s">
        <v>2487</v>
      </c>
      <c r="J65" s="4" t="s">
        <v>2488</v>
      </c>
      <c r="K65" s="4" t="s">
        <v>2489</v>
      </c>
      <c r="L65" s="4" t="s">
        <v>1946</v>
      </c>
      <c r="M65" s="4" t="s">
        <v>1947</v>
      </c>
    </row>
    <row r="66" spans="1:13" ht="49" customHeight="1" x14ac:dyDescent="0.2">
      <c r="A66" s="2" t="s">
        <v>2490</v>
      </c>
      <c r="B66" s="2" t="s">
        <v>2390</v>
      </c>
      <c r="C66" s="2" t="s">
        <v>2481</v>
      </c>
      <c r="D66" s="2" t="s">
        <v>2491</v>
      </c>
      <c r="E66" s="2" t="s">
        <v>2492</v>
      </c>
      <c r="F66" s="2" t="s">
        <v>2493</v>
      </c>
      <c r="G66" s="2" t="s">
        <v>2494</v>
      </c>
      <c r="H66" s="2" t="s">
        <v>2495</v>
      </c>
      <c r="I66" s="2" t="s">
        <v>2496</v>
      </c>
      <c r="J66" s="2" t="s">
        <v>2469</v>
      </c>
      <c r="K66" s="2" t="s">
        <v>2497</v>
      </c>
      <c r="L66" s="2" t="s">
        <v>1946</v>
      </c>
      <c r="M66" s="2" t="s">
        <v>1947</v>
      </c>
    </row>
    <row r="67" spans="1:13" ht="49" customHeight="1" x14ac:dyDescent="0.2">
      <c r="A67" s="4" t="s">
        <v>2498</v>
      </c>
      <c r="B67" s="4" t="s">
        <v>2390</v>
      </c>
      <c r="C67" s="4" t="s">
        <v>2481</v>
      </c>
      <c r="D67" s="4" t="s">
        <v>2499</v>
      </c>
      <c r="E67" s="4" t="s">
        <v>2500</v>
      </c>
      <c r="F67" s="4" t="s">
        <v>2501</v>
      </c>
      <c r="G67" s="4" t="s">
        <v>2502</v>
      </c>
      <c r="H67" s="4" t="s">
        <v>2503</v>
      </c>
      <c r="I67" s="4" t="s">
        <v>2504</v>
      </c>
      <c r="J67" s="4" t="s">
        <v>951</v>
      </c>
      <c r="K67" s="4" t="s">
        <v>2505</v>
      </c>
      <c r="L67" s="4" t="s">
        <v>1946</v>
      </c>
      <c r="M67" s="4" t="s">
        <v>1947</v>
      </c>
    </row>
    <row r="68" spans="1:13" ht="49" customHeight="1" x14ac:dyDescent="0.2">
      <c r="A68" s="2" t="s">
        <v>2506</v>
      </c>
      <c r="B68" s="2" t="s">
        <v>2390</v>
      </c>
      <c r="C68" s="2" t="s">
        <v>2481</v>
      </c>
      <c r="D68" s="2" t="s">
        <v>2507</v>
      </c>
      <c r="E68" s="2" t="s">
        <v>2508</v>
      </c>
      <c r="F68" s="2" t="s">
        <v>2509</v>
      </c>
      <c r="G68" s="2" t="s">
        <v>2510</v>
      </c>
      <c r="H68" s="2" t="s">
        <v>2511</v>
      </c>
      <c r="I68" s="2" t="s">
        <v>2512</v>
      </c>
      <c r="J68" s="2" t="s">
        <v>2513</v>
      </c>
      <c r="K68" s="2" t="s">
        <v>2514</v>
      </c>
      <c r="L68" s="2" t="s">
        <v>1946</v>
      </c>
      <c r="M68" s="2" t="s">
        <v>1947</v>
      </c>
    </row>
    <row r="69" spans="1:13" ht="49" customHeight="1" x14ac:dyDescent="0.2">
      <c r="A69" s="4" t="s">
        <v>2515</v>
      </c>
      <c r="B69" s="4" t="s">
        <v>2390</v>
      </c>
      <c r="C69" s="4" t="s">
        <v>2481</v>
      </c>
      <c r="D69" s="4" t="s">
        <v>2516</v>
      </c>
      <c r="E69" s="4" t="s">
        <v>2517</v>
      </c>
      <c r="F69" s="4" t="s">
        <v>2518</v>
      </c>
      <c r="G69" s="4" t="s">
        <v>2519</v>
      </c>
      <c r="H69" s="4" t="s">
        <v>2520</v>
      </c>
      <c r="I69" s="4" t="s">
        <v>2521</v>
      </c>
      <c r="J69" s="4" t="s">
        <v>2522</v>
      </c>
      <c r="K69" s="4" t="s">
        <v>2523</v>
      </c>
      <c r="L69" s="4" t="s">
        <v>1946</v>
      </c>
      <c r="M69" s="4" t="s">
        <v>1947</v>
      </c>
    </row>
    <row r="70" spans="1:13" ht="49" customHeight="1" x14ac:dyDescent="0.2">
      <c r="A70" s="2" t="s">
        <v>2524</v>
      </c>
      <c r="B70" s="2" t="s">
        <v>2390</v>
      </c>
      <c r="C70" s="2" t="s">
        <v>193</v>
      </c>
      <c r="D70" s="2" t="s">
        <v>2525</v>
      </c>
      <c r="E70" s="2" t="s">
        <v>2526</v>
      </c>
      <c r="F70" s="2" t="s">
        <v>2527</v>
      </c>
      <c r="G70" s="2" t="s">
        <v>2528</v>
      </c>
      <c r="H70" s="2" t="s">
        <v>2529</v>
      </c>
      <c r="I70" s="2" t="s">
        <v>2530</v>
      </c>
      <c r="J70" s="2" t="s">
        <v>2531</v>
      </c>
      <c r="K70" s="2" t="s">
        <v>2532</v>
      </c>
      <c r="L70" s="2" t="s">
        <v>1946</v>
      </c>
      <c r="M70" s="2" t="s">
        <v>1947</v>
      </c>
    </row>
    <row r="71" spans="1:13" ht="49" customHeight="1" x14ac:dyDescent="0.2">
      <c r="A71" s="4" t="s">
        <v>2533</v>
      </c>
      <c r="B71" s="4" t="s">
        <v>2390</v>
      </c>
      <c r="C71" s="4" t="s">
        <v>193</v>
      </c>
      <c r="D71" s="4" t="s">
        <v>2534</v>
      </c>
      <c r="E71" s="4" t="s">
        <v>2535</v>
      </c>
      <c r="F71" s="4" t="s">
        <v>2536</v>
      </c>
      <c r="G71" s="4" t="s">
        <v>2537</v>
      </c>
      <c r="H71" s="4" t="s">
        <v>2538</v>
      </c>
      <c r="I71" s="4" t="s">
        <v>2539</v>
      </c>
      <c r="J71" s="4" t="s">
        <v>2540</v>
      </c>
      <c r="K71" s="4" t="s">
        <v>2541</v>
      </c>
      <c r="L71" s="4" t="s">
        <v>1946</v>
      </c>
      <c r="M71" s="4" t="s">
        <v>1947</v>
      </c>
    </row>
    <row r="72" spans="1:13" ht="49" customHeight="1" x14ac:dyDescent="0.2">
      <c r="A72" s="2" t="s">
        <v>2542</v>
      </c>
      <c r="B72" s="2" t="s">
        <v>2390</v>
      </c>
      <c r="C72" s="2" t="s">
        <v>193</v>
      </c>
      <c r="D72" s="2" t="s">
        <v>2543</v>
      </c>
      <c r="E72" s="2" t="s">
        <v>2544</v>
      </c>
      <c r="F72" s="2" t="s">
        <v>2545</v>
      </c>
      <c r="G72" s="2" t="s">
        <v>2546</v>
      </c>
      <c r="H72" s="2" t="s">
        <v>2547</v>
      </c>
      <c r="I72" s="2" t="s">
        <v>2548</v>
      </c>
      <c r="J72" s="2" t="s">
        <v>2549</v>
      </c>
      <c r="K72" s="2" t="s">
        <v>2550</v>
      </c>
      <c r="L72" s="2" t="s">
        <v>1946</v>
      </c>
      <c r="M72" s="2" t="s">
        <v>1947</v>
      </c>
    </row>
    <row r="73" spans="1:13" ht="49" customHeight="1" x14ac:dyDescent="0.2">
      <c r="A73" s="4" t="s">
        <v>2551</v>
      </c>
      <c r="B73" s="4" t="s">
        <v>2390</v>
      </c>
      <c r="C73" s="4" t="s">
        <v>193</v>
      </c>
      <c r="D73" s="4" t="s">
        <v>2552</v>
      </c>
      <c r="E73" s="4" t="s">
        <v>2553</v>
      </c>
      <c r="F73" s="4" t="s">
        <v>2554</v>
      </c>
      <c r="G73" s="4" t="s">
        <v>2555</v>
      </c>
      <c r="H73" s="4" t="s">
        <v>2556</v>
      </c>
      <c r="I73" s="4" t="s">
        <v>2557</v>
      </c>
      <c r="J73" s="4" t="s">
        <v>2558</v>
      </c>
      <c r="K73" s="4" t="s">
        <v>2559</v>
      </c>
      <c r="L73" s="4" t="s">
        <v>1946</v>
      </c>
      <c r="M73" s="4" t="s">
        <v>1947</v>
      </c>
    </row>
    <row r="74" spans="1:13" ht="61" customHeight="1" x14ac:dyDescent="0.2">
      <c r="A74" s="2" t="s">
        <v>2560</v>
      </c>
      <c r="B74" s="2" t="s">
        <v>2390</v>
      </c>
      <c r="C74" s="2" t="s">
        <v>193</v>
      </c>
      <c r="D74" s="2" t="s">
        <v>2561</v>
      </c>
      <c r="E74" s="2" t="s">
        <v>2562</v>
      </c>
      <c r="F74" s="2" t="s">
        <v>2563</v>
      </c>
      <c r="G74" s="2" t="s">
        <v>2564</v>
      </c>
      <c r="H74" s="2" t="s">
        <v>2565</v>
      </c>
      <c r="I74" s="2" t="s">
        <v>2566</v>
      </c>
      <c r="J74" s="2" t="s">
        <v>2567</v>
      </c>
      <c r="K74" s="2" t="s">
        <v>2568</v>
      </c>
      <c r="L74" s="2" t="s">
        <v>1946</v>
      </c>
      <c r="M74" s="2" t="s">
        <v>1947</v>
      </c>
    </row>
    <row r="75" spans="1:13" ht="49" customHeight="1" x14ac:dyDescent="0.2">
      <c r="A75" s="4" t="s">
        <v>2569</v>
      </c>
      <c r="B75" s="4" t="s">
        <v>2390</v>
      </c>
      <c r="C75" s="4" t="s">
        <v>193</v>
      </c>
      <c r="D75" s="4" t="s">
        <v>2570</v>
      </c>
      <c r="E75" s="4" t="s">
        <v>2571</v>
      </c>
      <c r="F75" s="4" t="s">
        <v>2572</v>
      </c>
      <c r="G75" s="4" t="s">
        <v>2573</v>
      </c>
      <c r="H75" s="4" t="s">
        <v>2574</v>
      </c>
      <c r="I75" s="4" t="s">
        <v>2575</v>
      </c>
      <c r="J75" s="4" t="s">
        <v>2576</v>
      </c>
      <c r="K75" s="4" t="s">
        <v>2577</v>
      </c>
      <c r="L75" s="4" t="s">
        <v>1946</v>
      </c>
      <c r="M75" s="4" t="s">
        <v>1947</v>
      </c>
    </row>
    <row r="76" spans="1:13" ht="61" customHeight="1" x14ac:dyDescent="0.2">
      <c r="A76" s="2" t="s">
        <v>2578</v>
      </c>
      <c r="B76" s="2" t="s">
        <v>2390</v>
      </c>
      <c r="C76" s="2" t="s">
        <v>193</v>
      </c>
      <c r="D76" s="2" t="s">
        <v>2579</v>
      </c>
      <c r="E76" s="2" t="s">
        <v>2580</v>
      </c>
      <c r="F76" s="2" t="s">
        <v>2581</v>
      </c>
      <c r="G76" s="2" t="s">
        <v>2582</v>
      </c>
      <c r="H76" s="2" t="s">
        <v>2583</v>
      </c>
      <c r="I76" s="2" t="s">
        <v>2584</v>
      </c>
      <c r="J76" s="2" t="s">
        <v>2585</v>
      </c>
      <c r="K76" s="2" t="s">
        <v>2586</v>
      </c>
      <c r="L76" s="2" t="s">
        <v>1946</v>
      </c>
      <c r="M76" s="2" t="s">
        <v>1947</v>
      </c>
    </row>
    <row r="77" spans="1:13" ht="49" customHeight="1" x14ac:dyDescent="0.2">
      <c r="A77" s="4" t="s">
        <v>2587</v>
      </c>
      <c r="B77" s="4" t="s">
        <v>2390</v>
      </c>
      <c r="C77" s="4" t="s">
        <v>193</v>
      </c>
      <c r="D77" s="4" t="s">
        <v>2588</v>
      </c>
      <c r="E77" s="4" t="s">
        <v>2589</v>
      </c>
      <c r="F77" s="4" t="s">
        <v>2590</v>
      </c>
      <c r="G77" s="4" t="s">
        <v>2591</v>
      </c>
      <c r="H77" s="4" t="s">
        <v>2592</v>
      </c>
      <c r="I77" s="4" t="s">
        <v>2593</v>
      </c>
      <c r="J77" s="4" t="s">
        <v>2594</v>
      </c>
      <c r="K77" s="4" t="s">
        <v>2595</v>
      </c>
      <c r="L77" s="4" t="s">
        <v>1946</v>
      </c>
      <c r="M77" s="4" t="s">
        <v>1947</v>
      </c>
    </row>
    <row r="78" spans="1:13" ht="49" customHeight="1" x14ac:dyDescent="0.2">
      <c r="A78" s="2" t="s">
        <v>2596</v>
      </c>
      <c r="B78" s="2" t="s">
        <v>2390</v>
      </c>
      <c r="C78" s="2" t="s">
        <v>193</v>
      </c>
      <c r="D78" s="2" t="s">
        <v>2597</v>
      </c>
      <c r="E78" s="2" t="s">
        <v>2598</v>
      </c>
      <c r="F78" s="2" t="s">
        <v>2599</v>
      </c>
      <c r="G78" s="2" t="s">
        <v>2600</v>
      </c>
      <c r="H78" s="2" t="s">
        <v>2601</v>
      </c>
      <c r="I78" s="2" t="s">
        <v>2602</v>
      </c>
      <c r="J78" s="2" t="s">
        <v>1076</v>
      </c>
      <c r="K78" s="2" t="s">
        <v>2603</v>
      </c>
      <c r="L78" s="2" t="s">
        <v>1946</v>
      </c>
      <c r="M78" s="2" t="s">
        <v>1947</v>
      </c>
    </row>
    <row r="79" spans="1:13" ht="38" customHeight="1" x14ac:dyDescent="0.2">
      <c r="A79" s="4" t="s">
        <v>2604</v>
      </c>
      <c r="B79" s="4" t="s">
        <v>2139</v>
      </c>
      <c r="C79" s="4" t="s">
        <v>2605</v>
      </c>
      <c r="D79" s="4" t="s">
        <v>2606</v>
      </c>
      <c r="E79" s="4" t="s">
        <v>2607</v>
      </c>
      <c r="F79" s="4" t="s">
        <v>2608</v>
      </c>
      <c r="G79" s="4" t="s">
        <v>2609</v>
      </c>
      <c r="H79" s="4" t="s">
        <v>2610</v>
      </c>
      <c r="I79" s="4" t="s">
        <v>2611</v>
      </c>
      <c r="J79" s="4" t="s">
        <v>2612</v>
      </c>
      <c r="K79" s="4" t="s">
        <v>2613</v>
      </c>
      <c r="L79" s="4" t="s">
        <v>1946</v>
      </c>
      <c r="M79" s="4" t="s">
        <v>1947</v>
      </c>
    </row>
    <row r="80" spans="1:13" ht="38" customHeight="1" x14ac:dyDescent="0.2">
      <c r="A80" s="2" t="s">
        <v>2614</v>
      </c>
      <c r="B80" s="2" t="s">
        <v>2390</v>
      </c>
      <c r="C80" s="2" t="s">
        <v>2605</v>
      </c>
      <c r="D80" s="2" t="s">
        <v>2615</v>
      </c>
      <c r="E80" s="2" t="s">
        <v>2616</v>
      </c>
      <c r="F80" s="2" t="s">
        <v>2617</v>
      </c>
      <c r="G80" s="2" t="s">
        <v>2618</v>
      </c>
      <c r="H80" s="2" t="s">
        <v>2619</v>
      </c>
      <c r="I80" s="2" t="s">
        <v>2620</v>
      </c>
      <c r="J80" s="2" t="s">
        <v>2621</v>
      </c>
      <c r="K80" s="2" t="s">
        <v>2622</v>
      </c>
      <c r="L80" s="2" t="s">
        <v>279</v>
      </c>
      <c r="M80" s="2" t="s">
        <v>1935</v>
      </c>
    </row>
    <row r="81" spans="1:13" ht="38" customHeight="1" x14ac:dyDescent="0.2">
      <c r="A81" s="4" t="s">
        <v>2623</v>
      </c>
      <c r="B81" s="4" t="s">
        <v>2139</v>
      </c>
      <c r="C81" s="4" t="s">
        <v>2605</v>
      </c>
      <c r="D81" s="4" t="s">
        <v>2624</v>
      </c>
      <c r="E81" s="4" t="s">
        <v>2625</v>
      </c>
      <c r="F81" s="4" t="s">
        <v>2626</v>
      </c>
      <c r="G81" s="4" t="s">
        <v>2627</v>
      </c>
      <c r="H81" s="4" t="s">
        <v>2628</v>
      </c>
      <c r="I81" s="4" t="s">
        <v>2629</v>
      </c>
      <c r="J81" s="4" t="s">
        <v>2630</v>
      </c>
      <c r="K81" s="4" t="s">
        <v>2631</v>
      </c>
      <c r="L81" s="4" t="s">
        <v>1946</v>
      </c>
      <c r="M81" s="4" t="s">
        <v>1947</v>
      </c>
    </row>
    <row r="82" spans="1:13" ht="38" customHeight="1" x14ac:dyDescent="0.2">
      <c r="A82" s="2" t="s">
        <v>2632</v>
      </c>
      <c r="B82" s="2" t="s">
        <v>1925</v>
      </c>
      <c r="C82" s="2" t="s">
        <v>2605</v>
      </c>
      <c r="D82" s="2" t="s">
        <v>2633</v>
      </c>
      <c r="E82" s="2" t="s">
        <v>2634</v>
      </c>
      <c r="F82" s="2" t="s">
        <v>2635</v>
      </c>
      <c r="G82" s="2" t="s">
        <v>2636</v>
      </c>
      <c r="H82" s="2" t="s">
        <v>2637</v>
      </c>
      <c r="I82" s="2" t="s">
        <v>2638</v>
      </c>
      <c r="J82" s="2" t="s">
        <v>2639</v>
      </c>
      <c r="K82" s="2" t="s">
        <v>2640</v>
      </c>
      <c r="L82" s="2" t="s">
        <v>1946</v>
      </c>
      <c r="M82" s="2" t="s">
        <v>1947</v>
      </c>
    </row>
    <row r="83" spans="1:13" ht="38" customHeight="1" x14ac:dyDescent="0.2">
      <c r="A83" s="4" t="s">
        <v>2641</v>
      </c>
      <c r="B83" s="4" t="s">
        <v>2139</v>
      </c>
      <c r="C83" s="4" t="s">
        <v>2642</v>
      </c>
      <c r="D83" s="4" t="s">
        <v>2643</v>
      </c>
      <c r="E83" s="4" t="s">
        <v>2644</v>
      </c>
      <c r="F83" s="4" t="s">
        <v>2645</v>
      </c>
      <c r="G83" s="4" t="s">
        <v>2646</v>
      </c>
      <c r="H83" s="4" t="s">
        <v>2647</v>
      </c>
      <c r="I83" s="4" t="s">
        <v>2648</v>
      </c>
      <c r="J83" s="4" t="s">
        <v>2649</v>
      </c>
      <c r="K83" s="4" t="s">
        <v>2650</v>
      </c>
      <c r="L83" s="4" t="s">
        <v>1946</v>
      </c>
      <c r="M83" s="4" t="s">
        <v>1947</v>
      </c>
    </row>
    <row r="84" spans="1:13" ht="38" customHeight="1" x14ac:dyDescent="0.2">
      <c r="A84" s="2" t="s">
        <v>2651</v>
      </c>
      <c r="B84" s="2" t="s">
        <v>1925</v>
      </c>
      <c r="C84" s="2" t="s">
        <v>2652</v>
      </c>
      <c r="D84" s="2" t="s">
        <v>2653</v>
      </c>
      <c r="E84" s="2" t="s">
        <v>2654</v>
      </c>
      <c r="F84" s="2" t="s">
        <v>2655</v>
      </c>
      <c r="G84" s="2" t="s">
        <v>2656</v>
      </c>
      <c r="H84" s="2" t="s">
        <v>2657</v>
      </c>
      <c r="I84" s="2" t="s">
        <v>2658</v>
      </c>
      <c r="J84" s="2" t="s">
        <v>2659</v>
      </c>
      <c r="K84" s="2" t="s">
        <v>2660</v>
      </c>
      <c r="L84" s="2" t="s">
        <v>279</v>
      </c>
      <c r="M84" s="2" t="s">
        <v>1935</v>
      </c>
    </row>
    <row r="85" spans="1:13" ht="38" customHeight="1" x14ac:dyDescent="0.2">
      <c r="A85" s="4" t="s">
        <v>2661</v>
      </c>
      <c r="B85" s="4" t="s">
        <v>2662</v>
      </c>
      <c r="C85" s="4" t="s">
        <v>2663</v>
      </c>
      <c r="D85" s="4" t="s">
        <v>2664</v>
      </c>
      <c r="E85" s="4" t="s">
        <v>2665</v>
      </c>
      <c r="F85" s="4" t="s">
        <v>2666</v>
      </c>
      <c r="G85" s="4" t="s">
        <v>2667</v>
      </c>
      <c r="H85" s="4" t="s">
        <v>2668</v>
      </c>
      <c r="I85" s="4" t="s">
        <v>2669</v>
      </c>
      <c r="J85" s="4" t="s">
        <v>2670</v>
      </c>
      <c r="K85" s="4"/>
      <c r="L85" s="4" t="s">
        <v>301</v>
      </c>
      <c r="M85" s="4" t="s">
        <v>2671</v>
      </c>
    </row>
    <row r="86" spans="1:13" ht="38" customHeight="1" x14ac:dyDescent="0.2">
      <c r="A86" s="2" t="s">
        <v>2672</v>
      </c>
      <c r="B86" s="2" t="s">
        <v>2662</v>
      </c>
      <c r="C86" s="2" t="s">
        <v>992</v>
      </c>
      <c r="D86" s="2" t="s">
        <v>2673</v>
      </c>
      <c r="E86" s="2" t="s">
        <v>2674</v>
      </c>
      <c r="F86" s="2" t="s">
        <v>2675</v>
      </c>
      <c r="G86" s="2" t="s">
        <v>2676</v>
      </c>
      <c r="H86" s="2" t="s">
        <v>2677</v>
      </c>
      <c r="I86" s="2" t="s">
        <v>2678</v>
      </c>
      <c r="J86" s="2" t="s">
        <v>2679</v>
      </c>
      <c r="K86" s="2"/>
      <c r="L86" s="2" t="s">
        <v>301</v>
      </c>
      <c r="M86" s="2" t="s">
        <v>2671</v>
      </c>
    </row>
    <row r="87" spans="1:13" ht="38" customHeight="1" x14ac:dyDescent="0.2">
      <c r="A87" s="4" t="s">
        <v>2680</v>
      </c>
      <c r="B87" s="4" t="s">
        <v>2662</v>
      </c>
      <c r="C87" s="4" t="s">
        <v>2681</v>
      </c>
      <c r="D87" s="4" t="s">
        <v>2682</v>
      </c>
      <c r="E87" s="4" t="s">
        <v>2683</v>
      </c>
      <c r="F87" s="4" t="s">
        <v>2684</v>
      </c>
      <c r="G87" s="4" t="s">
        <v>2685</v>
      </c>
      <c r="H87" s="4" t="s">
        <v>2686</v>
      </c>
      <c r="I87" s="4" t="s">
        <v>2687</v>
      </c>
      <c r="J87" s="4" t="s">
        <v>354</v>
      </c>
      <c r="K87" s="4"/>
      <c r="L87" s="4" t="s">
        <v>301</v>
      </c>
      <c r="M87" s="4" t="s">
        <v>2671</v>
      </c>
    </row>
    <row r="88" spans="1:13" ht="38" customHeight="1" x14ac:dyDescent="0.2">
      <c r="A88" s="2" t="s">
        <v>2688</v>
      </c>
      <c r="B88" s="2" t="s">
        <v>2662</v>
      </c>
      <c r="C88" s="2" t="s">
        <v>2689</v>
      </c>
      <c r="D88" s="2" t="s">
        <v>2690</v>
      </c>
      <c r="E88" s="2" t="s">
        <v>2691</v>
      </c>
      <c r="F88" s="2" t="s">
        <v>2692</v>
      </c>
      <c r="G88" s="2" t="s">
        <v>2693</v>
      </c>
      <c r="H88" s="2" t="s">
        <v>2694</v>
      </c>
      <c r="I88" s="2" t="s">
        <v>2695</v>
      </c>
      <c r="J88" s="2" t="s">
        <v>2696</v>
      </c>
      <c r="K88" s="2"/>
      <c r="L88" s="2" t="s">
        <v>301</v>
      </c>
      <c r="M88" s="2" t="s">
        <v>2671</v>
      </c>
    </row>
    <row r="89" spans="1:13" ht="38" customHeight="1" x14ac:dyDescent="0.2">
      <c r="A89" s="4" t="s">
        <v>2697</v>
      </c>
      <c r="B89" s="4" t="s">
        <v>2662</v>
      </c>
      <c r="C89" s="4" t="s">
        <v>1361</v>
      </c>
      <c r="D89" s="4" t="s">
        <v>2698</v>
      </c>
      <c r="E89" s="4" t="s">
        <v>2699</v>
      </c>
      <c r="F89" s="4" t="s">
        <v>2700</v>
      </c>
      <c r="G89" s="4" t="s">
        <v>2701</v>
      </c>
      <c r="H89" s="4" t="s">
        <v>2702</v>
      </c>
      <c r="I89" s="4" t="s">
        <v>2703</v>
      </c>
      <c r="J89" s="4" t="s">
        <v>2704</v>
      </c>
      <c r="K89" s="4"/>
      <c r="L89" s="4" t="s">
        <v>301</v>
      </c>
      <c r="M89" s="4" t="s">
        <v>2671</v>
      </c>
    </row>
    <row r="90" spans="1:13" ht="38" customHeight="1" x14ac:dyDescent="0.2">
      <c r="A90" s="2" t="s">
        <v>2705</v>
      </c>
      <c r="B90" s="2" t="s">
        <v>2662</v>
      </c>
      <c r="C90" s="2" t="s">
        <v>2706</v>
      </c>
      <c r="D90" s="2" t="s">
        <v>2707</v>
      </c>
      <c r="E90" s="2" t="s">
        <v>2708</v>
      </c>
      <c r="F90" s="2" t="s">
        <v>2709</v>
      </c>
      <c r="G90" s="2" t="s">
        <v>2710</v>
      </c>
      <c r="H90" s="2" t="s">
        <v>2711</v>
      </c>
      <c r="I90" s="2" t="s">
        <v>2712</v>
      </c>
      <c r="J90" s="2" t="s">
        <v>2713</v>
      </c>
      <c r="K90" s="2"/>
      <c r="L90" s="2" t="s">
        <v>301</v>
      </c>
      <c r="M90" s="2" t="s">
        <v>2671</v>
      </c>
    </row>
    <row r="91" spans="1:13" ht="38" customHeight="1" x14ac:dyDescent="0.2">
      <c r="A91" s="4" t="s">
        <v>2714</v>
      </c>
      <c r="B91" s="4" t="s">
        <v>2715</v>
      </c>
      <c r="C91" s="4" t="s">
        <v>417</v>
      </c>
      <c r="D91" s="4" t="s">
        <v>2716</v>
      </c>
      <c r="E91" s="4" t="s">
        <v>2717</v>
      </c>
      <c r="F91" s="4" t="s">
        <v>2718</v>
      </c>
      <c r="G91" s="4" t="s">
        <v>2719</v>
      </c>
      <c r="H91" s="4" t="s">
        <v>2720</v>
      </c>
      <c r="I91" s="4" t="s">
        <v>2721</v>
      </c>
      <c r="J91" s="4" t="s">
        <v>2722</v>
      </c>
      <c r="K91" s="4"/>
      <c r="L91" s="4" t="s">
        <v>301</v>
      </c>
      <c r="M91" s="4" t="s">
        <v>2671</v>
      </c>
    </row>
    <row r="92" spans="1:13" ht="38" customHeight="1" x14ac:dyDescent="0.2">
      <c r="A92" s="2" t="s">
        <v>2723</v>
      </c>
      <c r="B92" s="2" t="s">
        <v>2724</v>
      </c>
      <c r="C92" s="2" t="s">
        <v>1300</v>
      </c>
      <c r="D92" s="2" t="s">
        <v>2725</v>
      </c>
      <c r="E92" s="2" t="s">
        <v>2726</v>
      </c>
      <c r="F92" s="2" t="s">
        <v>2727</v>
      </c>
      <c r="G92" s="2" t="s">
        <v>2728</v>
      </c>
      <c r="H92" s="2" t="s">
        <v>2729</v>
      </c>
      <c r="I92" s="2" t="s">
        <v>2730</v>
      </c>
      <c r="J92" s="2" t="s">
        <v>2731</v>
      </c>
      <c r="K92" s="2"/>
      <c r="L92" s="2" t="s">
        <v>301</v>
      </c>
      <c r="M92" s="2" t="s">
        <v>2671</v>
      </c>
    </row>
    <row r="93" spans="1:13" ht="38" customHeight="1" x14ac:dyDescent="0.2">
      <c r="A93" s="4" t="s">
        <v>2732</v>
      </c>
      <c r="B93" s="4" t="s">
        <v>2733</v>
      </c>
      <c r="C93" s="4" t="s">
        <v>2734</v>
      </c>
      <c r="D93" s="4" t="s">
        <v>2735</v>
      </c>
      <c r="E93" s="4" t="s">
        <v>2736</v>
      </c>
      <c r="F93" s="4" t="s">
        <v>2737</v>
      </c>
      <c r="G93" s="4" t="s">
        <v>2738</v>
      </c>
      <c r="H93" s="4" t="s">
        <v>2739</v>
      </c>
      <c r="I93" s="4" t="s">
        <v>2740</v>
      </c>
      <c r="J93" s="4" t="s">
        <v>2741</v>
      </c>
      <c r="K93" s="4"/>
      <c r="L93" s="4" t="s">
        <v>301</v>
      </c>
      <c r="M93" s="4" t="s">
        <v>2671</v>
      </c>
    </row>
    <row r="94" spans="1:13" ht="38" customHeight="1" x14ac:dyDescent="0.2">
      <c r="A94" s="2" t="s">
        <v>2742</v>
      </c>
      <c r="B94" s="2" t="s">
        <v>2743</v>
      </c>
      <c r="C94" s="2" t="s">
        <v>2744</v>
      </c>
      <c r="D94" s="2" t="s">
        <v>2745</v>
      </c>
      <c r="E94" s="2" t="s">
        <v>2746</v>
      </c>
      <c r="F94" s="2" t="s">
        <v>2747</v>
      </c>
      <c r="G94" s="2" t="s">
        <v>2748</v>
      </c>
      <c r="H94" s="2" t="s">
        <v>2749</v>
      </c>
      <c r="I94" s="2" t="s">
        <v>2750</v>
      </c>
      <c r="J94" s="2" t="s">
        <v>2751</v>
      </c>
      <c r="K94" s="2"/>
      <c r="L94" s="2" t="s">
        <v>2752</v>
      </c>
      <c r="M94" s="2" t="s">
        <v>2671</v>
      </c>
    </row>
    <row r="95" spans="1:13" ht="38" customHeight="1" x14ac:dyDescent="0.2">
      <c r="A95" s="4" t="s">
        <v>2753</v>
      </c>
      <c r="B95" s="4" t="s">
        <v>2724</v>
      </c>
      <c r="C95" s="4" t="s">
        <v>2754</v>
      </c>
      <c r="D95" s="4" t="s">
        <v>2755</v>
      </c>
      <c r="E95" s="4" t="s">
        <v>2756</v>
      </c>
      <c r="F95" s="4" t="s">
        <v>2757</v>
      </c>
      <c r="G95" s="4" t="s">
        <v>2758</v>
      </c>
      <c r="H95" s="4" t="s">
        <v>2759</v>
      </c>
      <c r="I95" s="4" t="s">
        <v>2760</v>
      </c>
      <c r="J95" s="4" t="s">
        <v>571</v>
      </c>
      <c r="K95" s="4"/>
      <c r="L95" s="4" t="s">
        <v>301</v>
      </c>
      <c r="M95" s="4" t="s">
        <v>2671</v>
      </c>
    </row>
    <row r="96" spans="1:13" ht="38" customHeight="1" x14ac:dyDescent="0.2">
      <c r="A96" s="2" t="s">
        <v>2761</v>
      </c>
      <c r="B96" s="2" t="s">
        <v>2762</v>
      </c>
      <c r="C96" s="2" t="s">
        <v>2763</v>
      </c>
      <c r="D96" s="2" t="s">
        <v>2764</v>
      </c>
      <c r="E96" s="2" t="s">
        <v>2765</v>
      </c>
      <c r="F96" s="2" t="s">
        <v>2766</v>
      </c>
      <c r="G96" s="2" t="s">
        <v>2767</v>
      </c>
      <c r="H96" s="2" t="s">
        <v>2768</v>
      </c>
      <c r="I96" s="2" t="s">
        <v>2769</v>
      </c>
      <c r="J96" s="2" t="s">
        <v>2770</v>
      </c>
      <c r="K96" s="2"/>
      <c r="L96" s="2" t="s">
        <v>373</v>
      </c>
      <c r="M96" s="2" t="s">
        <v>2671</v>
      </c>
    </row>
    <row r="97" spans="1:13" ht="38" customHeight="1" x14ac:dyDescent="0.2">
      <c r="A97" s="4" t="s">
        <v>2771</v>
      </c>
      <c r="B97" s="4" t="s">
        <v>2772</v>
      </c>
      <c r="C97" s="4" t="s">
        <v>1325</v>
      </c>
      <c r="D97" s="4" t="s">
        <v>2773</v>
      </c>
      <c r="E97" s="4" t="s">
        <v>2774</v>
      </c>
      <c r="F97" s="4" t="s">
        <v>2775</v>
      </c>
      <c r="G97" s="4" t="s">
        <v>2776</v>
      </c>
      <c r="H97" s="4" t="s">
        <v>2777</v>
      </c>
      <c r="I97" s="4" t="s">
        <v>2778</v>
      </c>
      <c r="J97" s="4" t="s">
        <v>2779</v>
      </c>
      <c r="K97" s="4"/>
      <c r="L97" s="4" t="s">
        <v>301</v>
      </c>
      <c r="M97" s="4" t="s">
        <v>2671</v>
      </c>
    </row>
    <row r="98" spans="1:13" ht="38" customHeight="1" x14ac:dyDescent="0.2">
      <c r="A98" s="2" t="s">
        <v>2780</v>
      </c>
      <c r="B98" s="2" t="s">
        <v>2781</v>
      </c>
      <c r="C98" s="2" t="s">
        <v>2782</v>
      </c>
      <c r="D98" s="2" t="s">
        <v>2783</v>
      </c>
      <c r="E98" s="2" t="s">
        <v>2784</v>
      </c>
      <c r="F98" s="2" t="s">
        <v>2785</v>
      </c>
      <c r="G98" s="2" t="s">
        <v>2786</v>
      </c>
      <c r="H98" s="2" t="s">
        <v>2787</v>
      </c>
      <c r="I98" s="2" t="s">
        <v>2788</v>
      </c>
      <c r="J98" s="2" t="s">
        <v>2789</v>
      </c>
      <c r="K98" s="2"/>
      <c r="L98" s="2" t="s">
        <v>301</v>
      </c>
      <c r="M98" s="2" t="s">
        <v>2671</v>
      </c>
    </row>
    <row r="99" spans="1:13" ht="38" customHeight="1" x14ac:dyDescent="0.2">
      <c r="A99" s="4" t="s">
        <v>2790</v>
      </c>
      <c r="B99" s="4" t="s">
        <v>2781</v>
      </c>
      <c r="C99" s="4" t="s">
        <v>2791</v>
      </c>
      <c r="D99" s="4" t="s">
        <v>2792</v>
      </c>
      <c r="E99" s="4" t="s">
        <v>2793</v>
      </c>
      <c r="F99" s="4" t="s">
        <v>2794</v>
      </c>
      <c r="G99" s="4" t="s">
        <v>2795</v>
      </c>
      <c r="H99" s="4" t="s">
        <v>2796</v>
      </c>
      <c r="I99" s="4" t="s">
        <v>2797</v>
      </c>
      <c r="J99" s="4" t="s">
        <v>2798</v>
      </c>
      <c r="K99" s="4"/>
      <c r="L99" s="4" t="s">
        <v>2752</v>
      </c>
      <c r="M99" s="4" t="s">
        <v>2671</v>
      </c>
    </row>
    <row r="100" spans="1:13" ht="38" customHeight="1" x14ac:dyDescent="0.2">
      <c r="A100" s="2" t="s">
        <v>2799</v>
      </c>
      <c r="B100" s="2" t="s">
        <v>2605</v>
      </c>
      <c r="C100" s="2" t="s">
        <v>2800</v>
      </c>
      <c r="D100" s="2" t="s">
        <v>2801</v>
      </c>
      <c r="E100" s="2" t="s">
        <v>2802</v>
      </c>
      <c r="F100" s="2" t="s">
        <v>2803</v>
      </c>
      <c r="G100" s="2" t="s">
        <v>2804</v>
      </c>
      <c r="H100" s="2" t="s">
        <v>2805</v>
      </c>
      <c r="I100" s="2" t="s">
        <v>2806</v>
      </c>
      <c r="J100" s="2" t="s">
        <v>2807</v>
      </c>
      <c r="K100" s="2"/>
      <c r="L100" s="2" t="s">
        <v>2808</v>
      </c>
      <c r="M100" s="2" t="s">
        <v>2671</v>
      </c>
    </row>
    <row r="101" spans="1:13" ht="38" customHeight="1" x14ac:dyDescent="0.2">
      <c r="A101" s="4" t="s">
        <v>2809</v>
      </c>
      <c r="B101" s="4" t="s">
        <v>2605</v>
      </c>
      <c r="C101" s="4" t="s">
        <v>2810</v>
      </c>
      <c r="D101" s="4" t="s">
        <v>2811</v>
      </c>
      <c r="E101" s="4" t="s">
        <v>2812</v>
      </c>
      <c r="F101" s="4" t="s">
        <v>2813</v>
      </c>
      <c r="G101" s="4" t="s">
        <v>2814</v>
      </c>
      <c r="H101" s="4" t="s">
        <v>2815</v>
      </c>
      <c r="I101" s="4" t="s">
        <v>2816</v>
      </c>
      <c r="J101" s="4" t="s">
        <v>2817</v>
      </c>
      <c r="K101" s="4"/>
      <c r="L101" s="4" t="s">
        <v>868</v>
      </c>
      <c r="M101" s="4" t="s">
        <v>2671</v>
      </c>
    </row>
    <row r="102" spans="1:13" ht="38" customHeight="1" x14ac:dyDescent="0.2">
      <c r="A102" s="2" t="s">
        <v>2818</v>
      </c>
      <c r="B102" s="2" t="s">
        <v>1138</v>
      </c>
      <c r="C102" s="2" t="s">
        <v>2819</v>
      </c>
      <c r="D102" s="2" t="s">
        <v>2820</v>
      </c>
      <c r="E102" s="2" t="s">
        <v>2821</v>
      </c>
      <c r="F102" s="2" t="s">
        <v>2822</v>
      </c>
      <c r="G102" s="2" t="s">
        <v>2823</v>
      </c>
      <c r="H102" s="2" t="s">
        <v>2824</v>
      </c>
      <c r="I102" s="2" t="s">
        <v>2825</v>
      </c>
      <c r="J102" s="2" t="s">
        <v>2826</v>
      </c>
      <c r="K102" s="2"/>
      <c r="L102" s="2" t="s">
        <v>969</v>
      </c>
      <c r="M102" s="2" t="s">
        <v>2671</v>
      </c>
    </row>
    <row r="103" spans="1:13" ht="38" customHeight="1" x14ac:dyDescent="0.2">
      <c r="A103" s="4" t="s">
        <v>2827</v>
      </c>
      <c r="B103" s="4" t="s">
        <v>2605</v>
      </c>
      <c r="C103" s="4" t="s">
        <v>2828</v>
      </c>
      <c r="D103" s="4" t="s">
        <v>2829</v>
      </c>
      <c r="E103" s="4" t="s">
        <v>2830</v>
      </c>
      <c r="F103" s="4" t="s">
        <v>2831</v>
      </c>
      <c r="G103" s="4" t="s">
        <v>2832</v>
      </c>
      <c r="H103" s="4" t="s">
        <v>2833</v>
      </c>
      <c r="I103" s="4" t="s">
        <v>2834</v>
      </c>
      <c r="J103" s="4" t="s">
        <v>2835</v>
      </c>
      <c r="K103" s="4"/>
      <c r="L103" s="4" t="s">
        <v>762</v>
      </c>
      <c r="M103" s="4" t="s">
        <v>2671</v>
      </c>
    </row>
    <row r="104" spans="1:13" ht="38" customHeight="1" x14ac:dyDescent="0.2">
      <c r="A104" s="2" t="s">
        <v>2836</v>
      </c>
      <c r="B104" s="2" t="s">
        <v>2605</v>
      </c>
      <c r="C104" s="2" t="s">
        <v>2837</v>
      </c>
      <c r="D104" s="2" t="s">
        <v>2838</v>
      </c>
      <c r="E104" s="2" t="s">
        <v>2839</v>
      </c>
      <c r="F104" s="2" t="s">
        <v>2840</v>
      </c>
      <c r="G104" s="2" t="s">
        <v>2841</v>
      </c>
      <c r="H104" s="2" t="s">
        <v>2842</v>
      </c>
      <c r="I104" s="2" t="s">
        <v>2843</v>
      </c>
      <c r="J104" s="2" t="s">
        <v>2844</v>
      </c>
      <c r="K104" s="2"/>
      <c r="L104" s="2" t="s">
        <v>909</v>
      </c>
      <c r="M104" s="2" t="s">
        <v>2671</v>
      </c>
    </row>
    <row r="105" spans="1:13" ht="38" customHeight="1" x14ac:dyDescent="0.2">
      <c r="A105" s="4" t="s">
        <v>2845</v>
      </c>
      <c r="B105" s="4" t="s">
        <v>2724</v>
      </c>
      <c r="C105" s="4" t="s">
        <v>2846</v>
      </c>
      <c r="D105" s="4" t="s">
        <v>2847</v>
      </c>
      <c r="E105" s="4" t="s">
        <v>2848</v>
      </c>
      <c r="F105" s="4" t="s">
        <v>2849</v>
      </c>
      <c r="G105" s="4" t="s">
        <v>2850</v>
      </c>
      <c r="H105" s="4" t="s">
        <v>2851</v>
      </c>
      <c r="I105" s="4" t="s">
        <v>2852</v>
      </c>
      <c r="J105" s="4" t="s">
        <v>2853</v>
      </c>
      <c r="K105" s="4"/>
      <c r="L105" s="4" t="s">
        <v>301</v>
      </c>
      <c r="M105" s="4" t="s">
        <v>2671</v>
      </c>
    </row>
    <row r="106" spans="1:13" ht="38" customHeight="1" x14ac:dyDescent="0.2">
      <c r="A106" s="2" t="s">
        <v>2854</v>
      </c>
      <c r="B106" s="2" t="s">
        <v>2724</v>
      </c>
      <c r="C106" s="2" t="s">
        <v>2855</v>
      </c>
      <c r="D106" s="2" t="s">
        <v>2856</v>
      </c>
      <c r="E106" s="2" t="s">
        <v>2857</v>
      </c>
      <c r="F106" s="2" t="s">
        <v>2858</v>
      </c>
      <c r="G106" s="2" t="s">
        <v>2859</v>
      </c>
      <c r="H106" s="2" t="s">
        <v>2860</v>
      </c>
      <c r="I106" s="2" t="s">
        <v>2861</v>
      </c>
      <c r="J106" s="2" t="s">
        <v>2862</v>
      </c>
      <c r="K106" s="2"/>
      <c r="L106" s="2" t="s">
        <v>301</v>
      </c>
      <c r="M106" s="2" t="s">
        <v>2671</v>
      </c>
    </row>
    <row r="107" spans="1:13" ht="38" customHeight="1" x14ac:dyDescent="0.2">
      <c r="A107" s="4" t="s">
        <v>2863</v>
      </c>
      <c r="B107" s="4" t="s">
        <v>2864</v>
      </c>
      <c r="C107" s="4" t="s">
        <v>2865</v>
      </c>
      <c r="D107" s="4" t="s">
        <v>2866</v>
      </c>
      <c r="E107" s="4" t="s">
        <v>2867</v>
      </c>
      <c r="F107" s="4" t="s">
        <v>2868</v>
      </c>
      <c r="G107" s="4" t="s">
        <v>2869</v>
      </c>
      <c r="H107" s="4" t="s">
        <v>2870</v>
      </c>
      <c r="I107" s="4" t="s">
        <v>2871</v>
      </c>
      <c r="J107" s="4" t="s">
        <v>2872</v>
      </c>
      <c r="K107" s="4"/>
      <c r="L107" s="4" t="s">
        <v>301</v>
      </c>
      <c r="M107" s="4" t="s">
        <v>2671</v>
      </c>
    </row>
    <row r="108" spans="1:13" ht="38" customHeight="1" x14ac:dyDescent="0.2">
      <c r="A108" s="2" t="s">
        <v>2873</v>
      </c>
      <c r="B108" s="2" t="s">
        <v>1138</v>
      </c>
      <c r="C108" s="2" t="s">
        <v>2874</v>
      </c>
      <c r="D108" s="2" t="s">
        <v>2875</v>
      </c>
      <c r="E108" s="2" t="s">
        <v>2876</v>
      </c>
      <c r="F108" s="2" t="s">
        <v>2877</v>
      </c>
      <c r="G108" s="2" t="s">
        <v>2878</v>
      </c>
      <c r="H108" s="2" t="s">
        <v>2879</v>
      </c>
      <c r="I108" s="2" t="s">
        <v>2880</v>
      </c>
      <c r="J108" s="2" t="s">
        <v>2881</v>
      </c>
      <c r="K108" s="2"/>
      <c r="L108" s="2" t="s">
        <v>2882</v>
      </c>
      <c r="M108" s="2" t="s">
        <v>2671</v>
      </c>
    </row>
    <row r="109" spans="1:13" ht="38" customHeight="1" x14ac:dyDescent="0.2">
      <c r="A109" s="4" t="s">
        <v>2883</v>
      </c>
      <c r="B109" s="4" t="s">
        <v>2715</v>
      </c>
      <c r="C109" s="4" t="s">
        <v>2884</v>
      </c>
      <c r="D109" s="4" t="s">
        <v>2885</v>
      </c>
      <c r="E109" s="4" t="s">
        <v>2886</v>
      </c>
      <c r="F109" s="4" t="s">
        <v>2887</v>
      </c>
      <c r="G109" s="4" t="s">
        <v>2888</v>
      </c>
      <c r="H109" s="4" t="s">
        <v>2889</v>
      </c>
      <c r="I109" s="4" t="s">
        <v>2890</v>
      </c>
      <c r="J109" s="4" t="s">
        <v>2891</v>
      </c>
      <c r="K109" s="4"/>
      <c r="L109" s="4" t="s">
        <v>633</v>
      </c>
      <c r="M109" s="4" t="s">
        <v>2671</v>
      </c>
    </row>
  </sheetData>
  <autoFilter ref="A3:M109" xr:uid="{00000000-0009-0000-0000-000007000000}"/>
  <mergeCells count="2">
    <mergeCell ref="A2:I2"/>
    <mergeCell ref="A1:G1"/>
  </mergeCells>
  <phoneticPr fontId="12"/>
  <pageMargins left="0.25" right="0.25" top="0.4" bottom="0.4" header="0.5" footer="0.5"/>
  <pageSetup paperSize="8" fitToHeight="0" orientation="landscape"/>
  <headerFooter>
    <oddFooter>&amp;CAI自社事業PJ v1.0 | &amp;A&amp;R&amp;P / &amp;N</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3877F"/>
    <outlinePr summaryRight="0"/>
    <pageSetUpPr fitToPage="1"/>
  </sheetPr>
  <dimension ref="A1:I430"/>
  <sheetViews>
    <sheetView showGridLines="0" zoomScale="85" workbookViewId="0">
      <pane xSplit="2" ySplit="3" topLeftCell="C4" activePane="bottomRight" state="frozen"/>
      <selection pane="topRight"/>
      <selection pane="bottomLeft"/>
      <selection pane="bottomRight"/>
    </sheetView>
  </sheetViews>
  <sheetFormatPr defaultRowHeight="13" x14ac:dyDescent="0.2"/>
  <cols>
    <col min="1" max="1" width="12" customWidth="1"/>
    <col min="2" max="2" width="42" customWidth="1"/>
    <col min="3" max="3" width="25" customWidth="1"/>
    <col min="4" max="4" width="13" customWidth="1"/>
    <col min="5" max="5" width="12" customWidth="1"/>
    <col min="6" max="6" width="46" customWidth="1"/>
    <col min="7" max="7" width="12" customWidth="1"/>
    <col min="8" max="8" width="63" customWidth="1"/>
    <col min="9" max="9" width="65" customWidth="1"/>
  </cols>
  <sheetData>
    <row r="1" spans="1:9" ht="34" customHeight="1" x14ac:dyDescent="0.55000000000000004">
      <c r="A1" s="44" t="s">
        <v>2892</v>
      </c>
      <c r="B1" s="45"/>
      <c r="C1" s="45"/>
      <c r="D1" s="45"/>
      <c r="E1" s="45"/>
      <c r="F1" s="45"/>
      <c r="G1" s="45"/>
    </row>
    <row r="2" spans="1:9" ht="43" customHeight="1" x14ac:dyDescent="0.2">
      <c r="A2" s="47" t="s">
        <v>2893</v>
      </c>
      <c r="B2" s="45"/>
      <c r="C2" s="45"/>
      <c r="D2" s="45"/>
      <c r="E2" s="45"/>
      <c r="F2" s="45"/>
      <c r="G2" s="45"/>
      <c r="H2" s="45"/>
      <c r="I2" s="45"/>
    </row>
    <row r="3" spans="1:9" ht="34" customHeight="1" x14ac:dyDescent="0.2">
      <c r="A3" s="1" t="s">
        <v>2894</v>
      </c>
      <c r="B3" s="1" t="s">
        <v>2895</v>
      </c>
      <c r="C3" s="1" t="s">
        <v>252</v>
      </c>
      <c r="D3" s="1" t="s">
        <v>253</v>
      </c>
      <c r="E3" s="1" t="s">
        <v>1913</v>
      </c>
      <c r="F3" s="1" t="s">
        <v>2896</v>
      </c>
      <c r="G3" s="1" t="s">
        <v>2897</v>
      </c>
      <c r="H3" s="1" t="s">
        <v>2898</v>
      </c>
      <c r="I3" s="1" t="s">
        <v>2899</v>
      </c>
    </row>
    <row r="4" spans="1:9" ht="38" customHeight="1" x14ac:dyDescent="0.2">
      <c r="A4" s="2" t="s">
        <v>266</v>
      </c>
      <c r="B4" s="28" t="str">
        <f>IF(COUNTIF('02_工程タスク'!$A$4:$A$135,A4)&lt;&gt;1,"参照ID不正",IF(INDEX('02_工程タスク'!$D$4:$D$135,MATCH(A4,'02_工程タスク'!$A$4:$A$135,0))="","",INDEX('02_工程タスク'!$D$4:$D$135,MATCH(A4,'02_工程タスク'!$A$4:$A$135,0))))</f>
        <v>探索責任者・初期枠の設定</v>
      </c>
      <c r="C4" s="28" t="str">
        <f>IF(COUNTIF('02_工程タスク'!$A$4:$A$135,A4)&lt;&gt;1,"参照ID不正",IF(INDEX('02_工程タスク'!$G$4:$G$135,MATCH(A4,'02_工程タスク'!$A$4:$A$135,0))="","",INDEX('02_工程タスク'!$G$4:$G$135,MATCH(A4,'02_工程タスク'!$A$4:$A$135,0))))</f>
        <v>R02, R03</v>
      </c>
      <c r="D4" s="28" t="str">
        <f>IF(COUNTIF('02_工程タスク'!$A$4:$A$135,A4)&lt;&gt;1,"参照ID不正",IF(INDEX('02_工程タスク'!$H$4:$H$135,MATCH(A4,'02_工程タスク'!$A$4:$A$135,0))="","",INDEX('02_工程タスク'!$H$4:$H$135,MATCH(A4,'02_工程タスク'!$A$4:$A$135,0))))</f>
        <v>R01</v>
      </c>
      <c r="E4" s="2" t="s">
        <v>1924</v>
      </c>
      <c r="F4" s="28" t="str">
        <f>IF(COUNTIF('07_スキル辞書'!$A$4:$A$109,E4)&lt;&gt;1,"参照ID不正",IF(INDEX('07_スキル辞書'!$D$4:$D$109,MATCH(E4,'07_スキル辞書'!$A$4:$A$109,0))="","",INDEX('07_スキル辞書'!$D$4:$D$109,MATCH(E4,'07_スキル辞書'!$A$4:$A$109,0))))</f>
        <v>七工程と事業投資・公開ゲートの運用</v>
      </c>
      <c r="G4" s="2">
        <v>2</v>
      </c>
      <c r="H4" s="28" t="str">
        <f>IF(COUNTIF('07_スキル辞書'!$A$4:$A$109,E4)&lt;&gt;1,"参照ID不正",IF(INDEX('07_スキル辞書'!$I$4:$I$109,MATCH(E4,'07_スキル辞書'!$A$4:$A$109,0))="","",INDEX('07_スキル辞書'!$I$4:$I$109,MATCH(E4,'07_スキル辞書'!$A$4:$A$109,0))))</f>
        <v>G0〜G5判断記録・再Gate計画</v>
      </c>
      <c r="I4" s="2" t="s">
        <v>2900</v>
      </c>
    </row>
    <row r="5" spans="1:9" ht="38" customHeight="1" x14ac:dyDescent="0.2">
      <c r="A5" s="4" t="s">
        <v>266</v>
      </c>
      <c r="B5" s="28" t="str">
        <f>IF(COUNTIF('02_工程タスク'!$A$4:$A$135,A5)&lt;&gt;1,"参照ID不正",IF(INDEX('02_工程タスク'!$D$4:$D$135,MATCH(A5,'02_工程タスク'!$A$4:$A$135,0))="","",INDEX('02_工程タスク'!$D$4:$D$135,MATCH(A5,'02_工程タスク'!$A$4:$A$135,0))))</f>
        <v>探索責任者・初期枠の設定</v>
      </c>
      <c r="C5" s="28" t="str">
        <f>IF(COUNTIF('02_工程タスク'!$A$4:$A$135,A5)&lt;&gt;1,"参照ID不正",IF(INDEX('02_工程タスク'!$G$4:$G$135,MATCH(A5,'02_工程タスク'!$A$4:$A$135,0))="","",INDEX('02_工程タスク'!$G$4:$G$135,MATCH(A5,'02_工程タスク'!$A$4:$A$135,0))))</f>
        <v>R02, R03</v>
      </c>
      <c r="D5" s="28" t="str">
        <f>IF(COUNTIF('02_工程タスク'!$A$4:$A$135,A5)&lt;&gt;1,"参照ID不正",IF(INDEX('02_工程タスク'!$H$4:$H$135,MATCH(A5,'02_工程タスク'!$A$4:$A$135,0))="","",INDEX('02_工程タスク'!$H$4:$H$135,MATCH(A5,'02_工程タスク'!$A$4:$A$135,0))))</f>
        <v>R01</v>
      </c>
      <c r="E5" s="4" t="s">
        <v>1975</v>
      </c>
      <c r="F5" s="28" t="str">
        <f>IF(COUNTIF('07_スキル辞書'!$A$4:$A$109,E5)&lt;&gt;1,"参照ID不正",IF(INDEX('07_スキル辞書'!$D$4:$D$109,MATCH(E5,'07_スキル辞書'!$A$4:$A$109,0))="","",INDEX('07_スキル辞書'!$D$4:$D$109,MATCH(E5,'07_スキル辞書'!$A$4:$A$109,0))))</f>
        <v>ステークホルダー分析とRACI運用</v>
      </c>
      <c r="G5" s="4">
        <v>2</v>
      </c>
      <c r="H5" s="28" t="str">
        <f>IF(COUNTIF('07_スキル辞書'!$A$4:$A$109,E5)&lt;&gt;1,"参照ID不正",IF(INDEX('07_スキル辞書'!$I$4:$I$109,MATCH(E5,'07_スキル辞書'!$A$4:$A$109,0))="","",INDEX('07_スキル辞書'!$I$4:$I$109,MATCH(E5,'07_スキル辞書'!$A$4:$A$109,0))))</f>
        <v>ステークホルダーマップ、RACIチャート v1、RACIチャート v2、利用部門の責任・権限一覧、運用体制図</v>
      </c>
      <c r="I5" s="4" t="s">
        <v>2900</v>
      </c>
    </row>
    <row r="6" spans="1:9" ht="38" customHeight="1" x14ac:dyDescent="0.2">
      <c r="A6" s="2" t="s">
        <v>266</v>
      </c>
      <c r="B6" s="28" t="str">
        <f>IF(COUNTIF('02_工程タスク'!$A$4:$A$135,A6)&lt;&gt;1,"参照ID不正",IF(INDEX('02_工程タスク'!$D$4:$D$135,MATCH(A6,'02_工程タスク'!$A$4:$A$135,0))="","",INDEX('02_工程タスク'!$D$4:$D$135,MATCH(A6,'02_工程タスク'!$A$4:$A$135,0))))</f>
        <v>探索責任者・初期枠の設定</v>
      </c>
      <c r="C6" s="28" t="str">
        <f>IF(COUNTIF('02_工程タスク'!$A$4:$A$135,A6)&lt;&gt;1,"参照ID不正",IF(INDEX('02_工程タスク'!$G$4:$G$135,MATCH(A6,'02_工程タスク'!$A$4:$A$135,0))="","",INDEX('02_工程タスク'!$G$4:$G$135,MATCH(A6,'02_工程タスク'!$A$4:$A$135,0))))</f>
        <v>R02, R03</v>
      </c>
      <c r="D6" s="28" t="str">
        <f>IF(COUNTIF('02_工程タスク'!$A$4:$A$135,A6)&lt;&gt;1,"参照ID不正",IF(INDEX('02_工程タスク'!$H$4:$H$135,MATCH(A6,'02_工程タスク'!$A$4:$A$135,0))="","",INDEX('02_工程タスク'!$H$4:$H$135,MATCH(A6,'02_工程タスク'!$A$4:$A$135,0))))</f>
        <v>R01</v>
      </c>
      <c r="E6" s="2" t="s">
        <v>2661</v>
      </c>
      <c r="F6" s="28" t="str">
        <f>IF(COUNTIF('07_スキル辞書'!$A$4:$A$109,E6)&lt;&gt;1,"参照ID不正",IF(INDEX('07_スキル辞書'!$D$4:$D$109,MATCH(E6,'07_スキル辞書'!$A$4:$A$109,0))="","",INDEX('07_スキル辞書'!$D$4:$D$109,MATCH(E6,'07_スキル辞書'!$A$4:$A$109,0))))</f>
        <v>課題発見と需要の反証</v>
      </c>
      <c r="G6" s="2">
        <v>2</v>
      </c>
      <c r="H6" s="28" t="str">
        <f>IF(COUNTIF('07_スキル辞書'!$A$4:$A$109,E6)&lt;&gt;1,"参照ID不正",IF(INDEX('07_スキル辞書'!$I$4:$I$109,MATCH(E6,'07_スキル辞書'!$A$4:$A$109,0))="","",INDEX('07_スキル辞書'!$I$4:$I$109,MATCH(E6,'07_スキル辞書'!$A$4:$A$109,0))))</f>
        <v>観察記録・Opportunity Brief</v>
      </c>
      <c r="I6" s="2" t="s">
        <v>2900</v>
      </c>
    </row>
    <row r="7" spans="1:9" ht="38" customHeight="1" x14ac:dyDescent="0.2">
      <c r="A7" s="4" t="s">
        <v>280</v>
      </c>
      <c r="B7" s="28" t="str">
        <f>IF(COUNTIF('02_工程タスク'!$A$4:$A$135,A7)&lt;&gt;1,"参照ID不正",IF(INDEX('02_工程タスク'!$D$4:$D$135,MATCH(A7,'02_工程タスク'!$A$4:$A$135,0))="","",INDEX('02_工程タスク'!$D$4:$D$135,MATCH(A7,'02_工程タスク'!$A$4:$A$135,0))))</f>
        <v>市場・競合・規制候補の調査</v>
      </c>
      <c r="C7" s="28" t="str">
        <f>IF(COUNTIF('02_工程タスク'!$A$4:$A$135,A7)&lt;&gt;1,"参照ID不正",IF(INDEX('02_工程タスク'!$G$4:$G$135,MATCH(A7,'02_工程タスク'!$A$4:$A$135,0))="","",INDEX('02_工程タスク'!$G$4:$G$135,MATCH(A7,'02_工程タスク'!$A$4:$A$135,0))))</f>
        <v>R02, R04, R16</v>
      </c>
      <c r="D7" s="28" t="str">
        <f>IF(COUNTIF('02_工程タスク'!$A$4:$A$135,A7)&lt;&gt;1,"参照ID不正",IF(INDEX('02_工程タスク'!$H$4:$H$135,MATCH(A7,'02_工程タスク'!$A$4:$A$135,0))="","",INDEX('02_工程タスク'!$H$4:$H$135,MATCH(A7,'02_工程タスク'!$A$4:$A$135,0))))</f>
        <v>R02</v>
      </c>
      <c r="E7" s="4" t="s">
        <v>1936</v>
      </c>
      <c r="F7" s="28" t="str">
        <f>IF(COUNTIF('07_スキル辞書'!$A$4:$A$109,E7)&lt;&gt;1,"参照ID不正",IF(INDEX('07_スキル辞書'!$D$4:$D$109,MATCH(E7,'07_スキル辞書'!$A$4:$A$109,0))="","",INDEX('07_スキル辞書'!$D$4:$D$109,MATCH(E7,'07_スキル辞書'!$A$4:$A$109,0))))</f>
        <v>AIガバナンスと関連法規の適用</v>
      </c>
      <c r="G7" s="4">
        <v>2</v>
      </c>
      <c r="H7" s="28" t="str">
        <f>IF(COUNTIF('07_スキル辞書'!$A$4:$A$109,E7)&lt;&gt;1,"参照ID不正",IF(INDEX('07_スキル辞書'!$I$4:$I$109,MATCH(E7,'07_スキル辞書'!$A$4:$A$109,0))="","",INDEX('07_スキル辞書'!$I$4:$I$109,MATCH(E7,'07_スキル辞書'!$A$4:$A$109,0))))</f>
        <v>リサーチ資料、リスク管理台帳 v1、責任あるAI評価レポート、モデルカード、AIインシデント対応手順書</v>
      </c>
      <c r="I7" s="4" t="s">
        <v>2900</v>
      </c>
    </row>
    <row r="8" spans="1:9" ht="38" customHeight="1" x14ac:dyDescent="0.2">
      <c r="A8" s="2" t="s">
        <v>280</v>
      </c>
      <c r="B8" s="28" t="str">
        <f>IF(COUNTIF('02_工程タスク'!$A$4:$A$135,A8)&lt;&gt;1,"参照ID不正",IF(INDEX('02_工程タスク'!$D$4:$D$135,MATCH(A8,'02_工程タスク'!$A$4:$A$135,0))="","",INDEX('02_工程タスク'!$D$4:$D$135,MATCH(A8,'02_工程タスク'!$A$4:$A$135,0))))</f>
        <v>市場・競合・規制候補の調査</v>
      </c>
      <c r="C8" s="28" t="str">
        <f>IF(COUNTIF('02_工程タスク'!$A$4:$A$135,A8)&lt;&gt;1,"参照ID不正",IF(INDEX('02_工程タスク'!$G$4:$G$135,MATCH(A8,'02_工程タスク'!$A$4:$A$135,0))="","",INDEX('02_工程タスク'!$G$4:$G$135,MATCH(A8,'02_工程タスク'!$A$4:$A$135,0))))</f>
        <v>R02, R04, R16</v>
      </c>
      <c r="D8" s="28" t="str">
        <f>IF(COUNTIF('02_工程タスク'!$A$4:$A$135,A8)&lt;&gt;1,"参照ID不正",IF(INDEX('02_工程タスク'!$H$4:$H$135,MATCH(A8,'02_工程タスク'!$A$4:$A$135,0))="","",INDEX('02_工程タスク'!$H$4:$H$135,MATCH(A8,'02_工程タスク'!$A$4:$A$135,0))))</f>
        <v>R02</v>
      </c>
      <c r="E8" s="2" t="s">
        <v>1984</v>
      </c>
      <c r="F8" s="28" t="str">
        <f>IF(COUNTIF('07_スキル辞書'!$A$4:$A$109,E8)&lt;&gt;1,"参照ID不正",IF(INDEX('07_スキル辞書'!$D$4:$D$109,MATCH(E8,'07_スキル辞書'!$A$4:$A$109,0))="","",INDEX('07_スキル辞書'!$D$4:$D$109,MATCH(E8,'07_スキル辞書'!$A$4:$A$109,0))))</f>
        <v>ドメイン知識の獲得と活用</v>
      </c>
      <c r="G8" s="2">
        <v>2</v>
      </c>
      <c r="H8" s="28" t="str">
        <f>IF(COUNTIF('07_スキル辞書'!$A$4:$A$109,E8)&lt;&gt;1,"参照ID不正",IF(INDEX('07_スキル辞書'!$I$4:$I$109,MATCH(E8,'07_スキル辞書'!$A$4:$A$109,0))="","",INDEX('07_スキル辞書'!$I$4:$I$109,MATCH(E8,'07_スキル辞書'!$A$4:$A$109,0))))</f>
        <v>リサーチ資料、As-Is業務フロー図、業務適合性評価レポート、ヒアリング議事録</v>
      </c>
      <c r="I8" s="2" t="s">
        <v>2900</v>
      </c>
    </row>
    <row r="9" spans="1:9" ht="38" customHeight="1" x14ac:dyDescent="0.2">
      <c r="A9" s="4" t="s">
        <v>280</v>
      </c>
      <c r="B9" s="28" t="str">
        <f>IF(COUNTIF('02_工程タスク'!$A$4:$A$135,A9)&lt;&gt;1,"参照ID不正",IF(INDEX('02_工程タスク'!$D$4:$D$135,MATCH(A9,'02_工程タスク'!$A$4:$A$135,0))="","",INDEX('02_工程タスク'!$D$4:$D$135,MATCH(A9,'02_工程タスク'!$A$4:$A$135,0))))</f>
        <v>市場・競合・規制候補の調査</v>
      </c>
      <c r="C9" s="28" t="str">
        <f>IF(COUNTIF('02_工程タスク'!$A$4:$A$135,A9)&lt;&gt;1,"参照ID不正",IF(INDEX('02_工程タスク'!$G$4:$G$135,MATCH(A9,'02_工程タスク'!$A$4:$A$135,0))="","",INDEX('02_工程タスク'!$G$4:$G$135,MATCH(A9,'02_工程タスク'!$A$4:$A$135,0))))</f>
        <v>R02, R04, R16</v>
      </c>
      <c r="D9" s="28" t="str">
        <f>IF(COUNTIF('02_工程タスク'!$A$4:$A$135,A9)&lt;&gt;1,"参照ID不正",IF(INDEX('02_工程タスク'!$H$4:$H$135,MATCH(A9,'02_工程タスク'!$A$4:$A$135,0))="","",INDEX('02_工程タスク'!$H$4:$H$135,MATCH(A9,'02_工程タスク'!$A$4:$A$135,0))))</f>
        <v>R02</v>
      </c>
      <c r="E9" s="4" t="s">
        <v>1992</v>
      </c>
      <c r="F9" s="28" t="str">
        <f>IF(COUNTIF('07_スキル辞書'!$A$4:$A$109,E9)&lt;&gt;1,"参照ID不正",IF(INDEX('07_スキル辞書'!$D$4:$D$109,MATCH(E9,'07_スキル辞書'!$A$4:$A$109,0))="","",INDEX('07_スキル辞書'!$D$4:$D$109,MATCH(E9,'07_スキル辞書'!$A$4:$A$109,0))))</f>
        <v>事業戦略理解とビジネス分析フレームワークの活用</v>
      </c>
      <c r="G9" s="4">
        <v>2</v>
      </c>
      <c r="H9" s="28" t="str">
        <f>IF(COUNTIF('07_スキル辞書'!$A$4:$A$109,E9)&lt;&gt;1,"参照ID不正",IF(INDEX('07_スキル辞書'!$I$4:$I$109,MATCH(E9,'07_スキル辞書'!$A$4:$A$109,0))="","",INDEX('07_スキル辞書'!$I$4:$I$109,MATCH(E9,'07_スキル辞書'!$A$4:$A$109,0))))</f>
        <v>リサーチ資料、実現可能性評価レポート、QBR資料、次期提案、提案書</v>
      </c>
      <c r="I9" s="4" t="s">
        <v>2900</v>
      </c>
    </row>
    <row r="10" spans="1:9" ht="38" customHeight="1" x14ac:dyDescent="0.2">
      <c r="A10" s="2" t="s">
        <v>292</v>
      </c>
      <c r="B10" s="28" t="str">
        <f>IF(COUNTIF('02_工程タスク'!$A$4:$A$135,A10)&lt;&gt;1,"参照ID不正",IF(INDEX('02_工程タスク'!$D$4:$D$135,MATCH(A10,'02_工程タスク'!$A$4:$A$135,0))="","",INDEX('02_工程タスク'!$D$4:$D$135,MATCH(A10,'02_工程タスク'!$A$4:$A$135,0))))</f>
        <v>利用者・購買者の仮説分解</v>
      </c>
      <c r="C10" s="28" t="str">
        <f>IF(COUNTIF('02_工程タスク'!$A$4:$A$135,A10)&lt;&gt;1,"参照ID不正",IF(INDEX('02_工程タスク'!$G$4:$G$135,MATCH(A10,'02_工程タスク'!$A$4:$A$135,0))="","",INDEX('02_工程タスク'!$G$4:$G$135,MATCH(A10,'02_工程タスク'!$A$4:$A$135,0))))</f>
        <v>R02, R05</v>
      </c>
      <c r="D10" s="28" t="str">
        <f>IF(COUNTIF('02_工程タスク'!$A$4:$A$135,A10)&lt;&gt;1,"参照ID不正",IF(INDEX('02_工程タスク'!$H$4:$H$135,MATCH(A10,'02_工程タスク'!$A$4:$A$135,0))="","",INDEX('02_工程タスク'!$H$4:$H$135,MATCH(A10,'02_工程タスク'!$A$4:$A$135,0))))</f>
        <v>R02</v>
      </c>
      <c r="E10" s="2" t="s">
        <v>1957</v>
      </c>
      <c r="F10" s="28" t="str">
        <f>IF(COUNTIF('07_スキル辞書'!$A$4:$A$109,E10)&lt;&gt;1,"参照ID不正",IF(INDEX('07_スキル辞書'!$D$4:$D$109,MATCH(E10,'07_スキル辞書'!$A$4:$A$109,0))="","",INDEX('07_スキル辞書'!$D$4:$D$109,MATCH(E10,'07_スキル辞書'!$A$4:$A$109,0))))</f>
        <v>ヒアリングと課題定義</v>
      </c>
      <c r="G10" s="2">
        <v>2</v>
      </c>
      <c r="H10" s="28" t="str">
        <f>IF(COUNTIF('07_スキル辞書'!$A$4:$A$109,E10)&lt;&gt;1,"参照ID不正",IF(INDEX('07_スキル辞書'!$I$4:$I$109,MATCH(E10,'07_スキル辞書'!$A$4:$A$109,0))="","",INDEX('07_スキル辞書'!$I$4:$I$109,MATCH(E10,'07_スキル辞書'!$A$4:$A$109,0))))</f>
        <v>ヒアリングリスト、ヒアリング記録、課題リスト（優先順位付き）、ヒアリング議事録、課題定義書</v>
      </c>
      <c r="I10" s="2" t="s">
        <v>2900</v>
      </c>
    </row>
    <row r="11" spans="1:9" ht="38" customHeight="1" x14ac:dyDescent="0.2">
      <c r="A11" s="4" t="s">
        <v>292</v>
      </c>
      <c r="B11" s="28" t="str">
        <f>IF(COUNTIF('02_工程タスク'!$A$4:$A$135,A11)&lt;&gt;1,"参照ID不正",IF(INDEX('02_工程タスク'!$D$4:$D$135,MATCH(A11,'02_工程タスク'!$A$4:$A$135,0))="","",INDEX('02_工程タスク'!$D$4:$D$135,MATCH(A11,'02_工程タスク'!$A$4:$A$135,0))))</f>
        <v>利用者・購買者の仮説分解</v>
      </c>
      <c r="C11" s="28" t="str">
        <f>IF(COUNTIF('02_工程タスク'!$A$4:$A$135,A11)&lt;&gt;1,"参照ID不正",IF(INDEX('02_工程タスク'!$G$4:$G$135,MATCH(A11,'02_工程タスク'!$A$4:$A$135,0))="","",INDEX('02_工程タスク'!$G$4:$G$135,MATCH(A11,'02_工程タスク'!$A$4:$A$135,0))))</f>
        <v>R02, R05</v>
      </c>
      <c r="D11" s="28" t="str">
        <f>IF(COUNTIF('02_工程タスク'!$A$4:$A$135,A11)&lt;&gt;1,"参照ID不正",IF(INDEX('02_工程タスク'!$H$4:$H$135,MATCH(A11,'02_工程タスク'!$A$4:$A$135,0))="","",INDEX('02_工程タスク'!$H$4:$H$135,MATCH(A11,'02_工程タスク'!$A$4:$A$135,0))))</f>
        <v>R02</v>
      </c>
      <c r="E11" s="4" t="s">
        <v>2661</v>
      </c>
      <c r="F11" s="28" t="str">
        <f>IF(COUNTIF('07_スキル辞書'!$A$4:$A$109,E11)&lt;&gt;1,"参照ID不正",IF(INDEX('07_スキル辞書'!$D$4:$D$109,MATCH(E11,'07_スキル辞書'!$A$4:$A$109,0))="","",INDEX('07_スキル辞書'!$D$4:$D$109,MATCH(E11,'07_スキル辞書'!$A$4:$A$109,0))))</f>
        <v>課題発見と需要の反証</v>
      </c>
      <c r="G11" s="4">
        <v>2</v>
      </c>
      <c r="H11" s="28" t="str">
        <f>IF(COUNTIF('07_スキル辞書'!$A$4:$A$109,E11)&lt;&gt;1,"参照ID不正",IF(INDEX('07_スキル辞書'!$I$4:$I$109,MATCH(E11,'07_スキル辞書'!$A$4:$A$109,0))="","",INDEX('07_スキル辞書'!$I$4:$I$109,MATCH(E11,'07_スキル辞書'!$A$4:$A$109,0))))</f>
        <v>観察記録・Opportunity Brief</v>
      </c>
      <c r="I11" s="4" t="s">
        <v>2900</v>
      </c>
    </row>
    <row r="12" spans="1:9" ht="38" customHeight="1" x14ac:dyDescent="0.2">
      <c r="A12" s="2" t="s">
        <v>292</v>
      </c>
      <c r="B12" s="28" t="str">
        <f>IF(COUNTIF('02_工程タスク'!$A$4:$A$135,A12)&lt;&gt;1,"参照ID不正",IF(INDEX('02_工程タスク'!$D$4:$D$135,MATCH(A12,'02_工程タスク'!$A$4:$A$135,0))="","",INDEX('02_工程タスク'!$D$4:$D$135,MATCH(A12,'02_工程タスク'!$A$4:$A$135,0))))</f>
        <v>利用者・購買者の仮説分解</v>
      </c>
      <c r="C12" s="28" t="str">
        <f>IF(COUNTIF('02_工程タスク'!$A$4:$A$135,A12)&lt;&gt;1,"参照ID不正",IF(INDEX('02_工程タスク'!$G$4:$G$135,MATCH(A12,'02_工程タスク'!$A$4:$A$135,0))="","",INDEX('02_工程タスク'!$G$4:$G$135,MATCH(A12,'02_工程タスク'!$A$4:$A$135,0))))</f>
        <v>R02, R05</v>
      </c>
      <c r="D12" s="28" t="str">
        <f>IF(COUNTIF('02_工程タスク'!$A$4:$A$135,A12)&lt;&gt;1,"参照ID不正",IF(INDEX('02_工程タスク'!$H$4:$H$135,MATCH(A12,'02_工程タスク'!$A$4:$A$135,0))="","",INDEX('02_工程タスク'!$H$4:$H$135,MATCH(A12,'02_工程タスク'!$A$4:$A$135,0))))</f>
        <v>R02</v>
      </c>
      <c r="E12" s="2" t="s">
        <v>2688</v>
      </c>
      <c r="F12" s="28" t="str">
        <f>IF(COUNTIF('07_スキル辞書'!$A$4:$A$109,E12)&lt;&gt;1,"参照ID不正",IF(INDEX('07_スキル辞書'!$D$4:$D$109,MATCH(E12,'07_スキル辞書'!$A$4:$A$109,0))="","",INDEX('07_スキル辞書'!$D$4:$D$109,MATCH(E12,'07_スキル辞書'!$A$4:$A$109,0))))</f>
        <v>市場投入・販売・導入設計</v>
      </c>
      <c r="G12" s="2">
        <v>2</v>
      </c>
      <c r="H12" s="28" t="str">
        <f>IF(COUNTIF('07_スキル辞書'!$A$4:$A$109,E12)&lt;&gt;1,"参照ID不正",IF(INDEX('07_スキル辞書'!$I$4:$I$109,MATCH(E12,'07_スキル辞書'!$A$4:$A$109,0))="","",INDEX('07_スキル辞書'!$I$4:$I$109,MATCH(E12,'07_スキル辞書'!$A$4:$A$109,0))))</f>
        <v>Launch計画・販売資料・導入実績</v>
      </c>
      <c r="I12" s="2" t="s">
        <v>2900</v>
      </c>
    </row>
    <row r="13" spans="1:9" ht="38" customHeight="1" x14ac:dyDescent="0.2">
      <c r="A13" s="4" t="s">
        <v>302</v>
      </c>
      <c r="B13" s="28" t="str">
        <f>IF(COUNTIF('02_工程タスク'!$A$4:$A$135,A13)&lt;&gt;1,"参照ID不正",IF(INDEX('02_工程タスク'!$D$4:$D$135,MATCH(A13,'02_工程タスク'!$A$4:$A$135,0))="","",INDEX('02_工程タスク'!$D$4:$D$135,MATCH(A13,'02_工程タスク'!$A$4:$A$135,0))))</f>
        <v>インタビュー・現場観察</v>
      </c>
      <c r="C13" s="28" t="str">
        <f>IF(COUNTIF('02_工程タスク'!$A$4:$A$135,A13)&lt;&gt;1,"参照ID不正",IF(INDEX('02_工程タスク'!$G$4:$G$135,MATCH(A13,'02_工程タスク'!$A$4:$A$135,0))="","",INDEX('02_工程タスク'!$G$4:$G$135,MATCH(A13,'02_工程タスク'!$A$4:$A$135,0))))</f>
        <v>R05, R04</v>
      </c>
      <c r="D13" s="28" t="str">
        <f>IF(COUNTIF('02_工程タスク'!$A$4:$A$135,A13)&lt;&gt;1,"参照ID不正",IF(INDEX('02_工程タスク'!$H$4:$H$135,MATCH(A13,'02_工程タスク'!$A$4:$A$135,0))="","",INDEX('02_工程タスク'!$H$4:$H$135,MATCH(A13,'02_工程タスク'!$A$4:$A$135,0))))</f>
        <v>R02</v>
      </c>
      <c r="E13" s="4" t="s">
        <v>1957</v>
      </c>
      <c r="F13" s="28" t="str">
        <f>IF(COUNTIF('07_スキル辞書'!$A$4:$A$109,E13)&lt;&gt;1,"参照ID不正",IF(INDEX('07_スキル辞書'!$D$4:$D$109,MATCH(E13,'07_スキル辞書'!$A$4:$A$109,0))="","",INDEX('07_スキル辞書'!$D$4:$D$109,MATCH(E13,'07_スキル辞書'!$A$4:$A$109,0))))</f>
        <v>ヒアリングと課題定義</v>
      </c>
      <c r="G13" s="4">
        <v>2</v>
      </c>
      <c r="H13" s="28" t="str">
        <f>IF(COUNTIF('07_スキル辞書'!$A$4:$A$109,E13)&lt;&gt;1,"参照ID不正",IF(INDEX('07_スキル辞書'!$I$4:$I$109,MATCH(E13,'07_スキル辞書'!$A$4:$A$109,0))="","",INDEX('07_スキル辞書'!$I$4:$I$109,MATCH(E13,'07_スキル辞書'!$A$4:$A$109,0))))</f>
        <v>ヒアリングリスト、ヒアリング記録、課題リスト（優先順位付き）、ヒアリング議事録、課題定義書</v>
      </c>
      <c r="I13" s="4" t="s">
        <v>2900</v>
      </c>
    </row>
    <row r="14" spans="1:9" ht="38" customHeight="1" x14ac:dyDescent="0.2">
      <c r="A14" s="2" t="s">
        <v>302</v>
      </c>
      <c r="B14" s="28" t="str">
        <f>IF(COUNTIF('02_工程タスク'!$A$4:$A$135,A14)&lt;&gt;1,"参照ID不正",IF(INDEX('02_工程タスク'!$D$4:$D$135,MATCH(A14,'02_工程タスク'!$A$4:$A$135,0))="","",INDEX('02_工程タスク'!$D$4:$D$135,MATCH(A14,'02_工程タスク'!$A$4:$A$135,0))))</f>
        <v>インタビュー・現場観察</v>
      </c>
      <c r="C14" s="28" t="str">
        <f>IF(COUNTIF('02_工程タスク'!$A$4:$A$135,A14)&lt;&gt;1,"参照ID不正",IF(INDEX('02_工程タスク'!$G$4:$G$135,MATCH(A14,'02_工程タスク'!$A$4:$A$135,0))="","",INDEX('02_工程タスク'!$G$4:$G$135,MATCH(A14,'02_工程タスク'!$A$4:$A$135,0))))</f>
        <v>R05, R04</v>
      </c>
      <c r="D14" s="28" t="str">
        <f>IF(COUNTIF('02_工程タスク'!$A$4:$A$135,A14)&lt;&gt;1,"参照ID不正",IF(INDEX('02_工程タスク'!$H$4:$H$135,MATCH(A14,'02_工程タスク'!$A$4:$A$135,0))="","",INDEX('02_工程タスク'!$H$4:$H$135,MATCH(A14,'02_工程タスク'!$A$4:$A$135,0))))</f>
        <v>R02</v>
      </c>
      <c r="E14" s="2" t="s">
        <v>2092</v>
      </c>
      <c r="F14" s="28" t="str">
        <f>IF(COUNTIF('07_スキル辞書'!$A$4:$A$109,E14)&lt;&gt;1,"参照ID不正",IF(INDEX('07_スキル辞書'!$D$4:$D$109,MATCH(E14,'07_スキル辞書'!$A$4:$A$109,0))="","",INDEX('07_スキル辞書'!$D$4:$D$109,MATCH(E14,'07_スキル辞書'!$A$4:$A$109,0))))</f>
        <v>業務フロー分析とHITL設計</v>
      </c>
      <c r="G14" s="2">
        <v>2</v>
      </c>
      <c r="H14" s="28" t="str">
        <f>IF(COUNTIF('07_スキル辞書'!$A$4:$A$109,E14)&lt;&gt;1,"参照ID不正",IF(INDEX('07_スキル辞書'!$I$4:$I$109,MATCH(E14,'07_スキル辞書'!$A$4:$A$109,0))="","",INDEX('07_スキル辞書'!$I$4:$I$109,MATCH(E14,'07_スキル辞書'!$A$4:$A$109,0))))</f>
        <v>As-Is業務フロー図、To-Be業務フロー図、段階展開計画</v>
      </c>
      <c r="I14" s="2" t="s">
        <v>2900</v>
      </c>
    </row>
    <row r="15" spans="1:9" ht="38" customHeight="1" x14ac:dyDescent="0.2">
      <c r="A15" s="4" t="s">
        <v>302</v>
      </c>
      <c r="B15" s="28" t="str">
        <f>IF(COUNTIF('02_工程タスク'!$A$4:$A$135,A15)&lt;&gt;1,"参照ID不正",IF(INDEX('02_工程タスク'!$D$4:$D$135,MATCH(A15,'02_工程タスク'!$A$4:$A$135,0))="","",INDEX('02_工程タスク'!$D$4:$D$135,MATCH(A15,'02_工程タスク'!$A$4:$A$135,0))))</f>
        <v>インタビュー・現場観察</v>
      </c>
      <c r="C15" s="28" t="str">
        <f>IF(COUNTIF('02_工程タスク'!$A$4:$A$135,A15)&lt;&gt;1,"参照ID不正",IF(INDEX('02_工程タスク'!$G$4:$G$135,MATCH(A15,'02_工程タスク'!$A$4:$A$135,0))="","",INDEX('02_工程タスク'!$G$4:$G$135,MATCH(A15,'02_工程タスク'!$A$4:$A$135,0))))</f>
        <v>R05, R04</v>
      </c>
      <c r="D15" s="28" t="str">
        <f>IF(COUNTIF('02_工程タスク'!$A$4:$A$135,A15)&lt;&gt;1,"参照ID不正",IF(INDEX('02_工程タスク'!$H$4:$H$135,MATCH(A15,'02_工程タスク'!$A$4:$A$135,0))="","",INDEX('02_工程タスク'!$H$4:$H$135,MATCH(A15,'02_工程タスク'!$A$4:$A$135,0))))</f>
        <v>R02</v>
      </c>
      <c r="E15" s="4" t="s">
        <v>2661</v>
      </c>
      <c r="F15" s="28" t="str">
        <f>IF(COUNTIF('07_スキル辞書'!$A$4:$A$109,E15)&lt;&gt;1,"参照ID不正",IF(INDEX('07_スキル辞書'!$D$4:$D$109,MATCH(E15,'07_スキル辞書'!$A$4:$A$109,0))="","",INDEX('07_スキル辞書'!$D$4:$D$109,MATCH(E15,'07_スキル辞書'!$A$4:$A$109,0))))</f>
        <v>課題発見と需要の反証</v>
      </c>
      <c r="G15" s="4">
        <v>2</v>
      </c>
      <c r="H15" s="28" t="str">
        <f>IF(COUNTIF('07_スキル辞書'!$A$4:$A$109,E15)&lt;&gt;1,"参照ID不正",IF(INDEX('07_スキル辞書'!$I$4:$I$109,MATCH(E15,'07_スキル辞書'!$A$4:$A$109,0))="","",INDEX('07_スキル辞書'!$I$4:$I$109,MATCH(E15,'07_スキル辞書'!$A$4:$A$109,0))))</f>
        <v>観察記録・Opportunity Brief</v>
      </c>
      <c r="I15" s="4" t="s">
        <v>2900</v>
      </c>
    </row>
    <row r="16" spans="1:9" ht="38" customHeight="1" x14ac:dyDescent="0.2">
      <c r="A16" s="2" t="s">
        <v>310</v>
      </c>
      <c r="B16" s="28" t="str">
        <f>IF(COUNTIF('02_工程タスク'!$A$4:$A$135,A16)&lt;&gt;1,"参照ID不正",IF(INDEX('02_工程タスク'!$D$4:$D$135,MATCH(A16,'02_工程タスク'!$A$4:$A$135,0))="","",INDEX('02_工程タスク'!$D$4:$D$135,MATCH(A16,'02_工程タスク'!$A$4:$A$135,0))))</f>
        <v>課題・価値・差別化の定義</v>
      </c>
      <c r="C16" s="28" t="str">
        <f>IF(COUNTIF('02_工程タスク'!$A$4:$A$135,A16)&lt;&gt;1,"参照ID不正",IF(INDEX('02_工程タスク'!$G$4:$G$135,MATCH(A16,'02_工程タスク'!$A$4:$A$135,0))="","",INDEX('02_工程タスク'!$G$4:$G$135,MATCH(A16,'02_工程タスク'!$A$4:$A$135,0))))</f>
        <v>R02, R04</v>
      </c>
      <c r="D16" s="28" t="str">
        <f>IF(COUNTIF('02_工程タスク'!$A$4:$A$135,A16)&lt;&gt;1,"参照ID不正",IF(INDEX('02_工程タスク'!$H$4:$H$135,MATCH(A16,'02_工程タスク'!$A$4:$A$135,0))="","",INDEX('02_工程タスク'!$H$4:$H$135,MATCH(A16,'02_工程タスク'!$A$4:$A$135,0))))</f>
        <v>R01</v>
      </c>
      <c r="E16" s="2" t="s">
        <v>1992</v>
      </c>
      <c r="F16" s="28" t="str">
        <f>IF(COUNTIF('07_スキル辞書'!$A$4:$A$109,E16)&lt;&gt;1,"参照ID不正",IF(INDEX('07_スキル辞書'!$D$4:$D$109,MATCH(E16,'07_スキル辞書'!$A$4:$A$109,0))="","",INDEX('07_スキル辞書'!$D$4:$D$109,MATCH(E16,'07_スキル辞書'!$A$4:$A$109,0))))</f>
        <v>事業戦略理解とビジネス分析フレームワークの活用</v>
      </c>
      <c r="G16" s="2">
        <v>2</v>
      </c>
      <c r="H16" s="28" t="str">
        <f>IF(COUNTIF('07_スキル辞書'!$A$4:$A$109,E16)&lt;&gt;1,"参照ID不正",IF(INDEX('07_スキル辞書'!$I$4:$I$109,MATCH(E16,'07_スキル辞書'!$A$4:$A$109,0))="","",INDEX('07_スキル辞書'!$I$4:$I$109,MATCH(E16,'07_スキル辞書'!$A$4:$A$109,0))))</f>
        <v>リサーチ資料、実現可能性評価レポート、QBR資料、次期提案、提案書</v>
      </c>
      <c r="I16" s="2" t="s">
        <v>2900</v>
      </c>
    </row>
    <row r="17" spans="1:9" ht="38" customHeight="1" x14ac:dyDescent="0.2">
      <c r="A17" s="4" t="s">
        <v>310</v>
      </c>
      <c r="B17" s="28" t="str">
        <f>IF(COUNTIF('02_工程タスク'!$A$4:$A$135,A17)&lt;&gt;1,"参照ID不正",IF(INDEX('02_工程タスク'!$D$4:$D$135,MATCH(A17,'02_工程タスク'!$A$4:$A$135,0))="","",INDEX('02_工程タスク'!$D$4:$D$135,MATCH(A17,'02_工程タスク'!$A$4:$A$135,0))))</f>
        <v>課題・価値・差別化の定義</v>
      </c>
      <c r="C17" s="28" t="str">
        <f>IF(COUNTIF('02_工程タスク'!$A$4:$A$135,A17)&lt;&gt;1,"参照ID不正",IF(INDEX('02_工程タスク'!$G$4:$G$135,MATCH(A17,'02_工程タスク'!$A$4:$A$135,0))="","",INDEX('02_工程タスク'!$G$4:$G$135,MATCH(A17,'02_工程タスク'!$A$4:$A$135,0))))</f>
        <v>R02, R04</v>
      </c>
      <c r="D17" s="28" t="str">
        <f>IF(COUNTIF('02_工程タスク'!$A$4:$A$135,A17)&lt;&gt;1,"参照ID不正",IF(INDEX('02_工程タスク'!$H$4:$H$135,MATCH(A17,'02_工程タスク'!$A$4:$A$135,0))="","",INDEX('02_工程タスク'!$H$4:$H$135,MATCH(A17,'02_工程タスク'!$A$4:$A$135,0))))</f>
        <v>R01</v>
      </c>
      <c r="E17" s="4" t="s">
        <v>2002</v>
      </c>
      <c r="F17" s="28" t="str">
        <f>IF(COUNTIF('07_スキル辞書'!$A$4:$A$109,E17)&lt;&gt;1,"参照ID不正",IF(INDEX('07_スキル辞書'!$D$4:$D$109,MATCH(E17,'07_スキル辞書'!$A$4:$A$109,0))="","",INDEX('07_スキル辞書'!$D$4:$D$109,MATCH(E17,'07_スキル辞書'!$A$4:$A$109,0))))</f>
        <v>価値仮説の定義とKPI設計</v>
      </c>
      <c r="G17" s="4">
        <v>2</v>
      </c>
      <c r="H17" s="28" t="str">
        <f>IF(COUNTIF('07_スキル辞書'!$A$4:$A$109,E17)&lt;&gt;1,"参照ID不正",IF(INDEX('07_スキル辞書'!$I$4:$I$109,MATCH(E17,'07_スキル辞書'!$A$4:$A$109,0))="","",INDEX('07_スキル辞書'!$I$4:$I$109,MATCH(E17,'07_スキル辞書'!$A$4:$A$109,0))))</f>
        <v>価値仮説ステートメント、課題定義書、SMART目標、スコープ定義書、PoC計画書（実験計画・承認の別紙）</v>
      </c>
      <c r="I17" s="4" t="s">
        <v>2900</v>
      </c>
    </row>
    <row r="18" spans="1:9" ht="38" customHeight="1" x14ac:dyDescent="0.2">
      <c r="A18" s="2" t="s">
        <v>310</v>
      </c>
      <c r="B18" s="28" t="str">
        <f>IF(COUNTIF('02_工程タスク'!$A$4:$A$135,A18)&lt;&gt;1,"参照ID不正",IF(INDEX('02_工程タスク'!$D$4:$D$135,MATCH(A18,'02_工程タスク'!$A$4:$A$135,0))="","",INDEX('02_工程タスク'!$D$4:$D$135,MATCH(A18,'02_工程タスク'!$A$4:$A$135,0))))</f>
        <v>課題・価値・差別化の定義</v>
      </c>
      <c r="C18" s="28" t="str">
        <f>IF(COUNTIF('02_工程タスク'!$A$4:$A$135,A18)&lt;&gt;1,"参照ID不正",IF(INDEX('02_工程タスク'!$G$4:$G$135,MATCH(A18,'02_工程タスク'!$A$4:$A$135,0))="","",INDEX('02_工程タスク'!$G$4:$G$135,MATCH(A18,'02_工程タスク'!$A$4:$A$135,0))))</f>
        <v>R02, R04</v>
      </c>
      <c r="D18" s="28" t="str">
        <f>IF(COUNTIF('02_工程タスク'!$A$4:$A$135,A18)&lt;&gt;1,"参照ID不正",IF(INDEX('02_工程タスク'!$H$4:$H$135,MATCH(A18,'02_工程タスク'!$A$4:$A$135,0))="","",INDEX('02_工程タスク'!$H$4:$H$135,MATCH(A18,'02_工程タスク'!$A$4:$A$135,0))))</f>
        <v>R01</v>
      </c>
      <c r="E18" s="2" t="s">
        <v>2661</v>
      </c>
      <c r="F18" s="28" t="str">
        <f>IF(COUNTIF('07_スキル辞書'!$A$4:$A$109,E18)&lt;&gt;1,"参照ID不正",IF(INDEX('07_スキル辞書'!$D$4:$D$109,MATCH(E18,'07_スキル辞書'!$A$4:$A$109,0))="","",INDEX('07_スキル辞書'!$D$4:$D$109,MATCH(E18,'07_スキル辞書'!$A$4:$A$109,0))))</f>
        <v>課題発見と需要の反証</v>
      </c>
      <c r="G18" s="2">
        <v>2</v>
      </c>
      <c r="H18" s="28" t="str">
        <f>IF(COUNTIF('07_スキル辞書'!$A$4:$A$109,E18)&lt;&gt;1,"参照ID不正",IF(INDEX('07_スキル辞書'!$I$4:$I$109,MATCH(E18,'07_スキル辞書'!$A$4:$A$109,0))="","",INDEX('07_スキル辞書'!$I$4:$I$109,MATCH(E18,'07_スキル辞書'!$A$4:$A$109,0))))</f>
        <v>観察記録・Opportunity Brief</v>
      </c>
      <c r="I18" s="2" t="s">
        <v>2900</v>
      </c>
    </row>
    <row r="19" spans="1:9" ht="38" customHeight="1" x14ac:dyDescent="0.2">
      <c r="A19" s="4" t="s">
        <v>319</v>
      </c>
      <c r="B19" s="28" t="str">
        <f>IF(COUNTIF('02_工程タスク'!$A$4:$A$135,A19)&lt;&gt;1,"参照ID不正",IF(INDEX('02_工程タスク'!$D$4:$D$135,MATCH(A19,'02_工程タスク'!$A$4:$A$135,0))="","",INDEX('02_工程タスク'!$D$4:$D$135,MATCH(A19,'02_工程タスク'!$A$4:$A$135,0))))</f>
        <v>非AI・Build/Buy/Partnerの比較</v>
      </c>
      <c r="C19" s="28" t="str">
        <f>IF(COUNTIF('02_工程タスク'!$A$4:$A$135,A19)&lt;&gt;1,"参照ID不正",IF(INDEX('02_工程タスク'!$G$4:$G$135,MATCH(A19,'02_工程タスク'!$A$4:$A$135,0))="","",INDEX('02_工程タスク'!$G$4:$G$135,MATCH(A19,'02_工程タスク'!$A$4:$A$135,0))))</f>
        <v>R06, R08, R20</v>
      </c>
      <c r="D19" s="28" t="str">
        <f>IF(COUNTIF('02_工程タスク'!$A$4:$A$135,A19)&lt;&gt;1,"参照ID不正",IF(INDEX('02_工程タスク'!$H$4:$H$135,MATCH(A19,'02_工程タスク'!$A$4:$A$135,0))="","",INDEX('02_工程タスク'!$H$4:$H$135,MATCH(A19,'02_工程タスク'!$A$4:$A$135,0))))</f>
        <v>R01</v>
      </c>
      <c r="E19" s="4" t="s">
        <v>2083</v>
      </c>
      <c r="F19" s="28" t="str">
        <f>IF(COUNTIF('07_スキル辞書'!$A$4:$A$109,E19)&lt;&gt;1,"参照ID不正",IF(INDEX('07_スキル辞書'!$D$4:$D$109,MATCH(E19,'07_スキル辞書'!$A$4:$A$109,0))="","",INDEX('07_スキル辞書'!$D$4:$D$109,MATCH(E19,'07_スキル辞書'!$A$4:$A$109,0))))</f>
        <v>方式・機能・配置・学習とRisk Tierの適用</v>
      </c>
      <c r="G19" s="4">
        <v>2</v>
      </c>
      <c r="H19" s="28" t="str">
        <f>IF(COUNTIF('07_スキル辞書'!$A$4:$A$109,E19)&lt;&gt;1,"参照ID不正",IF(INDEX('07_スキル辞書'!$I$4:$I$109,MATCH(E19,'07_スキル辞書'!$A$4:$A$109,0))="","",INDEX('07_スキル辞書'!$I$4:$I$109,MATCH(E19,'07_スキル辞書'!$A$4:$A$109,0))))</f>
        <v>適用判定・Risk Tier・例外承認</v>
      </c>
      <c r="I19" s="4" t="s">
        <v>2900</v>
      </c>
    </row>
    <row r="20" spans="1:9" ht="38" customHeight="1" x14ac:dyDescent="0.2">
      <c r="A20" s="2" t="s">
        <v>319</v>
      </c>
      <c r="B20" s="28" t="str">
        <f>IF(COUNTIF('02_工程タスク'!$A$4:$A$135,A20)&lt;&gt;1,"参照ID不正",IF(INDEX('02_工程タスク'!$D$4:$D$135,MATCH(A20,'02_工程タスク'!$A$4:$A$135,0))="","",INDEX('02_工程タスク'!$D$4:$D$135,MATCH(A20,'02_工程タスク'!$A$4:$A$135,0))))</f>
        <v>非AI・Build/Buy/Partnerの比較</v>
      </c>
      <c r="C20" s="28" t="str">
        <f>IF(COUNTIF('02_工程タスク'!$A$4:$A$135,A20)&lt;&gt;1,"参照ID不正",IF(INDEX('02_工程タスク'!$G$4:$G$135,MATCH(A20,'02_工程タスク'!$A$4:$A$135,0))="","",INDEX('02_工程タスク'!$G$4:$G$135,MATCH(A20,'02_工程タスク'!$A$4:$A$135,0))))</f>
        <v>R06, R08, R20</v>
      </c>
      <c r="D20" s="28" t="str">
        <f>IF(COUNTIF('02_工程タスク'!$A$4:$A$135,A20)&lt;&gt;1,"参照ID不正",IF(INDEX('02_工程タスク'!$H$4:$H$135,MATCH(A20,'02_工程タスク'!$A$4:$A$135,0))="","",INDEX('02_工程タスク'!$H$4:$H$135,MATCH(A20,'02_工程タスク'!$A$4:$A$135,0))))</f>
        <v>R01</v>
      </c>
      <c r="E20" s="2" t="s">
        <v>2192</v>
      </c>
      <c r="F20" s="28" t="str">
        <f>IF(COUNTIF('07_スキル辞書'!$A$4:$A$109,E20)&lt;&gt;1,"参照ID不正",IF(INDEX('07_スキル辞書'!$D$4:$D$109,MATCH(E20,'07_スキル辞書'!$A$4:$A$109,0))="","",INDEX('07_スキル辞書'!$D$4:$D$109,MATCH(E20,'07_スキル辞書'!$A$4:$A$109,0))))</f>
        <v>システムアーキテクチャ設計</v>
      </c>
      <c r="G20" s="2">
        <v>2</v>
      </c>
      <c r="H20" s="28" t="str">
        <f>IF(COUNTIF('07_スキル辞書'!$A$4:$A$109,E20)&lt;&gt;1,"参照ID不正",IF(INDEX('07_スキル辞書'!$I$4:$I$109,MATCH(E20,'07_スキル辞書'!$A$4:$A$109,0))="","",INDEX('07_スキル辞書'!$I$4:$I$109,MATCH(E20,'07_スキル辞書'!$A$4:$A$109,0))))</f>
        <v>システムアーキテクチャ設計書、技術スタック一覧、インフラ構成図、AI機能が統合されたバックエンドのソースコード</v>
      </c>
      <c r="I20" s="2" t="s">
        <v>2900</v>
      </c>
    </row>
    <row r="21" spans="1:9" ht="49" customHeight="1" x14ac:dyDescent="0.2">
      <c r="A21" s="4" t="s">
        <v>319</v>
      </c>
      <c r="B21" s="28" t="str">
        <f>IF(COUNTIF('02_工程タスク'!$A$4:$A$135,A21)&lt;&gt;1,"参照ID不正",IF(INDEX('02_工程タスク'!$D$4:$D$135,MATCH(A21,'02_工程タスク'!$A$4:$A$135,0))="","",INDEX('02_工程タスク'!$D$4:$D$135,MATCH(A21,'02_工程タスク'!$A$4:$A$135,0))))</f>
        <v>非AI・Build/Buy/Partnerの比較</v>
      </c>
      <c r="C21" s="28" t="str">
        <f>IF(COUNTIF('02_工程タスク'!$A$4:$A$135,A21)&lt;&gt;1,"参照ID不正",IF(INDEX('02_工程タスク'!$G$4:$G$135,MATCH(A21,'02_工程タスク'!$A$4:$A$135,0))="","",INDEX('02_工程タスク'!$G$4:$G$135,MATCH(A21,'02_工程タスク'!$A$4:$A$135,0))))</f>
        <v>R06, R08, R20</v>
      </c>
      <c r="D21" s="28" t="str">
        <f>IF(COUNTIF('02_工程タスク'!$A$4:$A$135,A21)&lt;&gt;1,"参照ID不正",IF(INDEX('02_工程タスク'!$H$4:$H$135,MATCH(A21,'02_工程タスク'!$A$4:$A$135,0))="","",INDEX('02_工程タスク'!$H$4:$H$135,MATCH(A21,'02_工程タスク'!$A$4:$A$135,0))))</f>
        <v>R01</v>
      </c>
      <c r="E21" s="4" t="s">
        <v>2399</v>
      </c>
      <c r="F21" s="28" t="str">
        <f>IF(COUNTIF('07_スキル辞書'!$A$4:$A$109,E21)&lt;&gt;1,"参照ID不正",IF(INDEX('07_スキル辞書'!$D$4:$D$109,MATCH(E21,'07_スキル辞書'!$A$4:$A$109,0))="","",INDEX('07_スキル辞書'!$D$4:$D$109,MATCH(E21,'07_スキル辞書'!$A$4:$A$109,0))))</f>
        <v>機械学習の基礎</v>
      </c>
      <c r="G21" s="4">
        <v>2</v>
      </c>
      <c r="H21" s="28" t="str">
        <f>IF(COUNTIF('07_スキル辞書'!$A$4:$A$109,E21)&lt;&gt;1,"参照ID不正",IF(INDEX('07_スキル辞書'!$I$4:$I$109,MATCH(E21,'07_スキル辞書'!$A$4:$A$109,0))="","",INDEX('07_スキル辞書'!$I$4:$I$109,MATCH(E21,'07_スキル辞書'!$A$4:$A$109,0))))</f>
        <v>案件タイプ判定書（差分適用表を含む）、AIモデル要件定義書（要件定義書v1の一部）、モックアップモデル（またはプロンプト/検索設定一式）</v>
      </c>
      <c r="I21" s="4" t="s">
        <v>2900</v>
      </c>
    </row>
    <row r="22" spans="1:9" ht="38" customHeight="1" x14ac:dyDescent="0.2">
      <c r="A22" s="2" t="s">
        <v>319</v>
      </c>
      <c r="B22" s="28" t="str">
        <f>IF(COUNTIF('02_工程タスク'!$A$4:$A$135,A22)&lt;&gt;1,"参照ID不正",IF(INDEX('02_工程タスク'!$D$4:$D$135,MATCH(A22,'02_工程タスク'!$A$4:$A$135,0))="","",INDEX('02_工程タスク'!$D$4:$D$135,MATCH(A22,'02_工程タスク'!$A$4:$A$135,0))))</f>
        <v>非AI・Build/Buy/Partnerの比較</v>
      </c>
      <c r="C22" s="28" t="str">
        <f>IF(COUNTIF('02_工程タスク'!$A$4:$A$135,A22)&lt;&gt;1,"参照ID不正",IF(INDEX('02_工程タスク'!$G$4:$G$135,MATCH(A22,'02_工程タスク'!$A$4:$A$135,0))="","",INDEX('02_工程タスク'!$G$4:$G$135,MATCH(A22,'02_工程タスク'!$A$4:$A$135,0))))</f>
        <v>R06, R08, R20</v>
      </c>
      <c r="D22" s="28" t="str">
        <f>IF(COUNTIF('02_工程タスク'!$A$4:$A$135,A22)&lt;&gt;1,"参照ID不正",IF(INDEX('02_工程タスク'!$H$4:$H$135,MATCH(A22,'02_工程タスク'!$A$4:$A$135,0))="","",INDEX('02_工程タスク'!$H$4:$H$135,MATCH(A22,'02_工程タスク'!$A$4:$A$135,0))))</f>
        <v>R01</v>
      </c>
      <c r="E22" s="2" t="s">
        <v>2408</v>
      </c>
      <c r="F22" s="28" t="str">
        <f>IF(COUNTIF('07_スキル辞書'!$A$4:$A$109,E22)&lt;&gt;1,"参照ID不正",IF(INDEX('07_スキル辞書'!$D$4:$D$109,MATCH(E22,'07_スキル辞書'!$A$4:$A$109,0))="","",INDEX('07_スキル辞書'!$D$4:$D$109,MATCH(E22,'07_スキル辞書'!$A$4:$A$109,0))))</f>
        <v>生成AI・基盤モデルの基礎</v>
      </c>
      <c r="G22" s="2">
        <v>2</v>
      </c>
      <c r="H22" s="28" t="str">
        <f>IF(COUNTIF('07_スキル辞書'!$A$4:$A$109,E22)&lt;&gt;1,"参照ID不正",IF(INDEX('07_スキル辞書'!$I$4:$I$109,MATCH(E22,'07_スキル辞書'!$A$4:$A$109,0))="","",INDEX('07_スキル辞書'!$I$4:$I$109,MATCH(E22,'07_スキル辞書'!$A$4:$A$109,0))))</f>
        <v>案件タイプ・規模の仮判定メモ、案件タイプ判定書（差分適用表を含む）、モデル・プロンプト更新方針</v>
      </c>
      <c r="I22" s="2" t="s">
        <v>2900</v>
      </c>
    </row>
    <row r="23" spans="1:9" ht="38" customHeight="1" x14ac:dyDescent="0.2">
      <c r="A23" s="4" t="s">
        <v>330</v>
      </c>
      <c r="B23" s="28" t="str">
        <f>IF(COUNTIF('02_工程タスク'!$A$4:$A$135,A23)&lt;&gt;1,"参照ID不正",IF(INDEX('02_工程タスク'!$D$4:$D$135,MATCH(A23,'02_工程タスク'!$A$4:$A$135,0))="","",INDEX('02_工程タスク'!$D$4:$D$135,MATCH(A23,'02_工程タスク'!$A$4:$A$135,0))))</f>
        <v>データ資産・権利の棚卸し</v>
      </c>
      <c r="C23" s="28" t="str">
        <f>IF(COUNTIF('02_工程タスク'!$A$4:$A$135,A23)&lt;&gt;1,"参照ID不正",IF(INDEX('02_工程タスク'!$G$4:$G$135,MATCH(A23,'02_工程タスク'!$A$4:$A$135,0))="","",INDEX('02_工程タスク'!$G$4:$G$135,MATCH(A23,'02_工程タスク'!$A$4:$A$135,0))))</f>
        <v>R09, R10, R14</v>
      </c>
      <c r="D23" s="28" t="str">
        <f>IF(COUNTIF('02_工程タスク'!$A$4:$A$135,A23)&lt;&gt;1,"参照ID不正",IF(INDEX('02_工程タスク'!$H$4:$H$135,MATCH(A23,'02_工程タスク'!$A$4:$A$135,0))="","",INDEX('02_工程タスク'!$H$4:$H$135,MATCH(A23,'02_工程タスク'!$A$4:$A$135,0))))</f>
        <v>R10</v>
      </c>
      <c r="E23" s="4" t="s">
        <v>1948</v>
      </c>
      <c r="F23" s="28" t="str">
        <f>IF(COUNTIF('07_スキル辞書'!$A$4:$A$109,E23)&lt;&gt;1,"参照ID不正",IF(INDEX('07_スキル辞書'!$D$4:$D$109,MATCH(E23,'07_スキル辞書'!$A$4:$A$109,0))="","",INDEX('07_スキル辞書'!$D$4:$D$109,MATCH(E23,'07_スキル辞書'!$A$4:$A$109,0))))</f>
        <v>個人情報保護法の適用判定とデータガバナンス</v>
      </c>
      <c r="G23" s="4">
        <v>2</v>
      </c>
      <c r="H23" s="28" t="str">
        <f>IF(COUNTIF('07_スキル辞書'!$A$4:$A$109,E23)&lt;&gt;1,"参照ID不正",IF(INDEX('07_スキル辞書'!$I$4:$I$109,MATCH(E23,'07_スキル辞書'!$A$4:$A$109,0))="","",INDEX('07_スキル辞書'!$I$4:$I$109,MATCH(E23,'07_スキル辞書'!$A$4:$A$109,0))))</f>
        <v>個人情報取扱い判定書、データ提供・利用契約、データ要件定義書、データ受領記録、アクセス制御設定</v>
      </c>
      <c r="I23" s="4" t="s">
        <v>2900</v>
      </c>
    </row>
    <row r="24" spans="1:9" ht="38" customHeight="1" x14ac:dyDescent="0.2">
      <c r="A24" s="2" t="s">
        <v>330</v>
      </c>
      <c r="B24" s="28" t="str">
        <f>IF(COUNTIF('02_工程タスク'!$A$4:$A$135,A24)&lt;&gt;1,"参照ID不正",IF(INDEX('02_工程タスク'!$D$4:$D$135,MATCH(A24,'02_工程タスク'!$A$4:$A$135,0))="","",INDEX('02_工程タスク'!$D$4:$D$135,MATCH(A24,'02_工程タスク'!$A$4:$A$135,0))))</f>
        <v>データ資産・権利の棚卸し</v>
      </c>
      <c r="C24" s="28" t="str">
        <f>IF(COUNTIF('02_工程タスク'!$A$4:$A$135,A24)&lt;&gt;1,"参照ID不正",IF(INDEX('02_工程タスク'!$G$4:$G$135,MATCH(A24,'02_工程タスク'!$A$4:$A$135,0))="","",INDEX('02_工程タスク'!$G$4:$G$135,MATCH(A24,'02_工程タスク'!$A$4:$A$135,0))))</f>
        <v>R09, R10, R14</v>
      </c>
      <c r="D24" s="28" t="str">
        <f>IF(COUNTIF('02_工程タスク'!$A$4:$A$135,A24)&lt;&gt;1,"参照ID不正",IF(INDEX('02_工程タスク'!$H$4:$H$135,MATCH(A24,'02_工程タスク'!$A$4:$A$135,0))="","",INDEX('02_工程タスク'!$H$4:$H$135,MATCH(A24,'02_工程タスク'!$A$4:$A$135,0))))</f>
        <v>R10</v>
      </c>
      <c r="E24" s="2" t="s">
        <v>2417</v>
      </c>
      <c r="F24" s="28" t="str">
        <f>IF(COUNTIF('07_スキル辞書'!$A$4:$A$109,E24)&lt;&gt;1,"参照ID不正",IF(INDEX('07_スキル辞書'!$D$4:$D$109,MATCH(E24,'07_スキル辞書'!$A$4:$A$109,0))="","",INDEX('07_スキル辞書'!$D$4:$D$109,MATCH(E24,'07_スキル辞書'!$A$4:$A$109,0))))</f>
        <v>データアセスメントと探索的データ分析（EDA）</v>
      </c>
      <c r="G24" s="2">
        <v>2</v>
      </c>
      <c r="H24" s="28" t="str">
        <f>IF(COUNTIF('07_スキル辞書'!$A$4:$A$109,E24)&lt;&gt;1,"参照ID不正",IF(INDEX('07_スキル辞書'!$I$4:$I$109,MATCH(E24,'07_スキル辞書'!$A$4:$A$109,0))="","",INDEX('07_スキル辞書'!$I$4:$I$109,MATCH(E24,'07_スキル辞書'!$A$4:$A$109,0))))</f>
        <v>予備データアセスメントレポート、データ品質評価レポート（クラス分布を含む）</v>
      </c>
      <c r="I24" s="2" t="s">
        <v>2900</v>
      </c>
    </row>
    <row r="25" spans="1:9" ht="38" customHeight="1" x14ac:dyDescent="0.2">
      <c r="A25" s="4" t="s">
        <v>330</v>
      </c>
      <c r="B25" s="28" t="str">
        <f>IF(COUNTIF('02_工程タスク'!$A$4:$A$135,A25)&lt;&gt;1,"参照ID不正",IF(INDEX('02_工程タスク'!$D$4:$D$135,MATCH(A25,'02_工程タスク'!$A$4:$A$135,0))="","",INDEX('02_工程タスク'!$D$4:$D$135,MATCH(A25,'02_工程タスク'!$A$4:$A$135,0))))</f>
        <v>データ資産・権利の棚卸し</v>
      </c>
      <c r="C25" s="28" t="str">
        <f>IF(COUNTIF('02_工程タスク'!$A$4:$A$135,A25)&lt;&gt;1,"参照ID不正",IF(INDEX('02_工程タスク'!$G$4:$G$135,MATCH(A25,'02_工程タスク'!$A$4:$A$135,0))="","",INDEX('02_工程タスク'!$G$4:$G$135,MATCH(A25,'02_工程タスク'!$A$4:$A$135,0))))</f>
        <v>R09, R10, R14</v>
      </c>
      <c r="D25" s="28" t="str">
        <f>IF(COUNTIF('02_工程タスク'!$A$4:$A$135,A25)&lt;&gt;1,"参照ID不正",IF(INDEX('02_工程タスク'!$H$4:$H$135,MATCH(A25,'02_工程タスク'!$A$4:$A$135,0))="","",INDEX('02_工程タスク'!$H$4:$H$135,MATCH(A25,'02_工程タスク'!$A$4:$A$135,0))))</f>
        <v>R10</v>
      </c>
      <c r="E25" s="4" t="s">
        <v>2426</v>
      </c>
      <c r="F25" s="28" t="str">
        <f>IF(COUNTIF('07_スキル辞書'!$A$4:$A$109,E25)&lt;&gt;1,"参照ID不正",IF(INDEX('07_スキル辞書'!$D$4:$D$109,MATCH(E25,'07_スキル辞書'!$A$4:$A$109,0))="","",INDEX('07_スキル辞書'!$D$4:$D$109,MATCH(E25,'07_スキル辞書'!$A$4:$A$109,0))))</f>
        <v>データ品質管理とクレンジング設計</v>
      </c>
      <c r="G25" s="4">
        <v>2</v>
      </c>
      <c r="H25" s="28" t="str">
        <f>IF(COUNTIF('07_スキル辞書'!$A$4:$A$109,E25)&lt;&gt;1,"参照ID不正",IF(INDEX('07_スキル辞書'!$I$4:$I$109,MATCH(E25,'07_スキル辞書'!$A$4:$A$109,0))="","",INDEX('07_スキル辞書'!$I$4:$I$109,MATCH(E25,'07_スキル辞書'!$A$4:$A$109,0))))</f>
        <v>データ品質基準定義書、クレンジングスクリプト、クレンジング済みデータ、データ品質レポート、品質レビュー済みデータセット</v>
      </c>
      <c r="I25" s="4" t="s">
        <v>2900</v>
      </c>
    </row>
    <row r="26" spans="1:9" ht="38" customHeight="1" x14ac:dyDescent="0.2">
      <c r="A26" s="2" t="s">
        <v>342</v>
      </c>
      <c r="B26" s="28" t="str">
        <f>IF(COUNTIF('02_工程タスク'!$A$4:$A$135,A26)&lt;&gt;1,"参照ID不正",IF(INDEX('02_工程タスク'!$D$4:$D$135,MATCH(A26,'02_工程タスク'!$A$4:$A$135,0))="","",INDEX('02_工程タスク'!$D$4:$D$135,MATCH(A26,'02_工程タスク'!$A$4:$A$135,0))))</f>
        <v>製品AI・開発AIの初期リスク分類</v>
      </c>
      <c r="C26" s="28" t="str">
        <f>IF(COUNTIF('02_工程タスク'!$A$4:$A$135,A26)&lt;&gt;1,"参照ID不正",IF(INDEX('02_工程タスク'!$G$4:$G$135,MATCH(A26,'02_工程タスク'!$A$4:$A$135,0))="","",INDEX('02_工程タスク'!$G$4:$G$135,MATCH(A26,'02_工程タスク'!$A$4:$A$135,0))))</f>
        <v>R02, R13, R14, R11</v>
      </c>
      <c r="D26" s="28" t="str">
        <f>IF(COUNTIF('02_工程タスク'!$A$4:$A$135,A26)&lt;&gt;1,"参照ID不正",IF(INDEX('02_工程タスク'!$H$4:$H$135,MATCH(A26,'02_工程タスク'!$A$4:$A$135,0))="","",INDEX('02_工程タスク'!$H$4:$H$135,MATCH(A26,'02_工程タスク'!$A$4:$A$135,0))))</f>
        <v>R01</v>
      </c>
      <c r="E26" s="2" t="s">
        <v>1936</v>
      </c>
      <c r="F26" s="28" t="str">
        <f>IF(COUNTIF('07_スキル辞書'!$A$4:$A$109,E26)&lt;&gt;1,"参照ID不正",IF(INDEX('07_スキル辞書'!$D$4:$D$109,MATCH(E26,'07_スキル辞書'!$A$4:$A$109,0))="","",INDEX('07_スキル辞書'!$D$4:$D$109,MATCH(E26,'07_スキル辞書'!$A$4:$A$109,0))))</f>
        <v>AIガバナンスと関連法規の適用</v>
      </c>
      <c r="G26" s="2">
        <v>2</v>
      </c>
      <c r="H26" s="28" t="str">
        <f>IF(COUNTIF('07_スキル辞書'!$A$4:$A$109,E26)&lt;&gt;1,"参照ID不正",IF(INDEX('07_スキル辞書'!$I$4:$I$109,MATCH(E26,'07_スキル辞書'!$A$4:$A$109,0))="","",INDEX('07_スキル辞書'!$I$4:$I$109,MATCH(E26,'07_スキル辞書'!$A$4:$A$109,0))))</f>
        <v>リサーチ資料、リスク管理台帳 v1、責任あるAI評価レポート、モデルカード、AIインシデント対応手順書</v>
      </c>
      <c r="I26" s="2" t="s">
        <v>2900</v>
      </c>
    </row>
    <row r="27" spans="1:9" ht="38" customHeight="1" x14ac:dyDescent="0.2">
      <c r="A27" s="4" t="s">
        <v>342</v>
      </c>
      <c r="B27" s="28" t="str">
        <f>IF(COUNTIF('02_工程タスク'!$A$4:$A$135,A27)&lt;&gt;1,"参照ID不正",IF(INDEX('02_工程タスク'!$D$4:$D$135,MATCH(A27,'02_工程タスク'!$A$4:$A$135,0))="","",INDEX('02_工程タスク'!$D$4:$D$135,MATCH(A27,'02_工程タスク'!$A$4:$A$135,0))))</f>
        <v>製品AI・開発AIの初期リスク分類</v>
      </c>
      <c r="C27" s="28" t="str">
        <f>IF(COUNTIF('02_工程タスク'!$A$4:$A$135,A27)&lt;&gt;1,"参照ID不正",IF(INDEX('02_工程タスク'!$G$4:$G$135,MATCH(A27,'02_工程タスク'!$A$4:$A$135,0))="","",INDEX('02_工程タスク'!$G$4:$G$135,MATCH(A27,'02_工程タスク'!$A$4:$A$135,0))))</f>
        <v>R02, R13, R14, R11</v>
      </c>
      <c r="D27" s="28" t="str">
        <f>IF(COUNTIF('02_工程タスク'!$A$4:$A$135,A27)&lt;&gt;1,"参照ID不正",IF(INDEX('02_工程タスク'!$H$4:$H$135,MATCH(A27,'02_工程タスク'!$A$4:$A$135,0))="","",INDEX('02_工程タスク'!$H$4:$H$135,MATCH(A27,'02_工程タスク'!$A$4:$A$135,0))))</f>
        <v>R01</v>
      </c>
      <c r="E27" s="4" t="s">
        <v>2074</v>
      </c>
      <c r="F27" s="28" t="str">
        <f>IF(COUNTIF('07_スキル辞書'!$A$4:$A$109,E27)&lt;&gt;1,"参照ID不正",IF(INDEX('07_スキル辞書'!$D$4:$D$109,MATCH(E27,'07_スキル辞書'!$A$4:$A$109,0))="","",INDEX('07_スキル辞書'!$D$4:$D$109,MATCH(E27,'07_スキル辞書'!$A$4:$A$109,0))))</f>
        <v>リスク管理（AI固有リスクを含む）</v>
      </c>
      <c r="G27" s="4">
        <v>2</v>
      </c>
      <c r="H27" s="28" t="str">
        <f>IF(COUNTIF('07_スキル辞書'!$A$4:$A$109,E27)&lt;&gt;1,"参照ID不正",IF(INDEX('07_スキル辞書'!$I$4:$I$109,MATCH(E27,'07_スキル辞書'!$A$4:$A$109,0))="","",INDEX('07_スキル辞書'!$I$4:$I$109,MATCH(E27,'07_スキル辞書'!$A$4:$A$109,0))))</f>
        <v>リスク管理台帳 v1、前提条件・制約条件リスト、PoC結果報告書</v>
      </c>
      <c r="I27" s="4" t="s">
        <v>2900</v>
      </c>
    </row>
    <row r="28" spans="1:9" ht="38" customHeight="1" x14ac:dyDescent="0.2">
      <c r="A28" s="2" t="s">
        <v>342</v>
      </c>
      <c r="B28" s="28" t="str">
        <f>IF(COUNTIF('02_工程タスク'!$A$4:$A$135,A28)&lt;&gt;1,"参照ID不正",IF(INDEX('02_工程タスク'!$D$4:$D$135,MATCH(A28,'02_工程タスク'!$A$4:$A$135,0))="","",INDEX('02_工程タスク'!$D$4:$D$135,MATCH(A28,'02_工程タスク'!$A$4:$A$135,0))))</f>
        <v>製品AI・開発AIの初期リスク分類</v>
      </c>
      <c r="C28" s="28" t="str">
        <f>IF(COUNTIF('02_工程タスク'!$A$4:$A$135,A28)&lt;&gt;1,"参照ID不正",IF(INDEX('02_工程タスク'!$G$4:$G$135,MATCH(A28,'02_工程タスク'!$A$4:$A$135,0))="","",INDEX('02_工程タスク'!$G$4:$G$135,MATCH(A28,'02_工程タスク'!$A$4:$A$135,0))))</f>
        <v>R02, R13, R14, R11</v>
      </c>
      <c r="D28" s="28" t="str">
        <f>IF(COUNTIF('02_工程タスク'!$A$4:$A$135,A28)&lt;&gt;1,"参照ID不正",IF(INDEX('02_工程タスク'!$H$4:$H$135,MATCH(A28,'02_工程タスク'!$A$4:$A$135,0))="","",INDEX('02_工程タスク'!$H$4:$H$135,MATCH(A28,'02_工程タスク'!$A$4:$A$135,0))))</f>
        <v>R01</v>
      </c>
      <c r="E28" s="2" t="s">
        <v>2623</v>
      </c>
      <c r="F28" s="28" t="str">
        <f>IF(COUNTIF('07_スキル辞書'!$A$4:$A$109,E28)&lt;&gt;1,"参照ID不正",IF(INDEX('07_スキル辞書'!$D$4:$D$109,MATCH(E28,'07_スキル辞書'!$A$4:$A$109,0))="","",INDEX('07_スキル辞書'!$D$4:$D$109,MATCH(E28,'07_スキル辞書'!$A$4:$A$109,0))))</f>
        <v>開発エージェントの権限・通信・供給網統制</v>
      </c>
      <c r="G28" s="2">
        <v>2</v>
      </c>
      <c r="H28" s="28" t="str">
        <f>IF(COUNTIF('07_スキル辞書'!$A$4:$A$109,E28)&lt;&gt;1,"参照ID不正",IF(INDEX('07_スキル辞書'!$I$4:$I$109,MATCH(E28,'07_スキル辞書'!$A$4:$A$109,0))="","",INDEX('07_スキル辞書'!$I$4:$I$109,MATCH(E28,'07_スキル辞書'!$A$4:$A$109,0))))</f>
        <v>ツール許可台帳／sandbox設定／通信・権限試験／秘密検査</v>
      </c>
      <c r="I28" s="2" t="s">
        <v>2900</v>
      </c>
    </row>
    <row r="29" spans="1:9" ht="38" customHeight="1" x14ac:dyDescent="0.2">
      <c r="A29" s="4" t="s">
        <v>354</v>
      </c>
      <c r="B29" s="28" t="str">
        <f>IF(COUNTIF('02_工程タスク'!$A$4:$A$135,A29)&lt;&gt;1,"参照ID不正",IF(INDEX('02_工程タスク'!$D$4:$D$135,MATCH(A29,'02_工程タスク'!$A$4:$A$135,0))="","",INDEX('02_工程タスク'!$D$4:$D$135,MATCH(A29,'02_工程タスク'!$A$4:$A$135,0))))</f>
        <v>価格・支払意思・提供形態の仮説</v>
      </c>
      <c r="C29" s="28" t="str">
        <f>IF(COUNTIF('02_工程タスク'!$A$4:$A$135,A29)&lt;&gt;1,"参照ID不正",IF(INDEX('02_工程タスク'!$G$4:$G$135,MATCH(A29,'02_工程タスク'!$A$4:$A$135,0))="","",INDEX('02_工程タスク'!$G$4:$G$135,MATCH(A29,'02_工程タスク'!$A$4:$A$135,0))))</f>
        <v>R02, R15, R16</v>
      </c>
      <c r="D29" s="28" t="str">
        <f>IF(COUNTIF('02_工程タスク'!$A$4:$A$135,A29)&lt;&gt;1,"参照ID不正",IF(INDEX('02_工程タスク'!$H$4:$H$135,MATCH(A29,'02_工程タスク'!$A$4:$A$135,0))="","",INDEX('02_工程タスク'!$H$4:$H$135,MATCH(A29,'02_工程タスク'!$A$4:$A$135,0))))</f>
        <v>R01</v>
      </c>
      <c r="E29" s="4" t="s">
        <v>2672</v>
      </c>
      <c r="F29" s="28" t="str">
        <f>IF(COUNTIF('07_スキル辞書'!$A$4:$A$109,E29)&lt;&gt;1,"参照ID不正",IF(INDEX('07_スキル辞書'!$D$4:$D$109,MATCH(E29,'07_スキル辞書'!$A$4:$A$109,0))="","",INDEX('07_スキル辞書'!$D$4:$D$109,MATCH(E29,'07_スキル辞書'!$A$4:$A$109,0))))</f>
        <v>価格・支払意思・パッケージ</v>
      </c>
      <c r="G29" s="4">
        <v>2</v>
      </c>
      <c r="H29" s="28" t="str">
        <f>IF(COUNTIF('07_スキル辞書'!$A$4:$A$109,E29)&lt;&gt;1,"参照ID不正",IF(INDEX('07_スキル辞書'!$I$4:$I$109,MATCH(E29,'07_スキル辞書'!$A$4:$A$109,0))="","",INDEX('07_スキル辞書'!$I$4:$I$109,MATCH(E29,'07_スキル辞書'!$A$4:$A$109,0))))</f>
        <v>価格実験・提供条件</v>
      </c>
      <c r="I29" s="4" t="s">
        <v>2900</v>
      </c>
    </row>
    <row r="30" spans="1:9" ht="38" customHeight="1" x14ac:dyDescent="0.2">
      <c r="A30" s="2" t="s">
        <v>354</v>
      </c>
      <c r="B30" s="28" t="str">
        <f>IF(COUNTIF('02_工程タスク'!$A$4:$A$135,A30)&lt;&gt;1,"参照ID不正",IF(INDEX('02_工程タスク'!$D$4:$D$135,MATCH(A30,'02_工程タスク'!$A$4:$A$135,0))="","",INDEX('02_工程タスク'!$D$4:$D$135,MATCH(A30,'02_工程タスク'!$A$4:$A$135,0))))</f>
        <v>価格・支払意思・提供形態の仮説</v>
      </c>
      <c r="C30" s="28" t="str">
        <f>IF(COUNTIF('02_工程タスク'!$A$4:$A$135,A30)&lt;&gt;1,"参照ID不正",IF(INDEX('02_工程タスク'!$G$4:$G$135,MATCH(A30,'02_工程タスク'!$A$4:$A$135,0))="","",INDEX('02_工程タスク'!$G$4:$G$135,MATCH(A30,'02_工程タスク'!$A$4:$A$135,0))))</f>
        <v>R02, R15, R16</v>
      </c>
      <c r="D30" s="28" t="str">
        <f>IF(COUNTIF('02_工程タスク'!$A$4:$A$135,A30)&lt;&gt;1,"参照ID不正",IF(INDEX('02_工程タスク'!$H$4:$H$135,MATCH(A30,'02_工程タスク'!$A$4:$A$135,0))="","",INDEX('02_工程タスク'!$H$4:$H$135,MATCH(A30,'02_工程タスク'!$A$4:$A$135,0))))</f>
        <v>R01</v>
      </c>
      <c r="E30" s="2" t="s">
        <v>2680</v>
      </c>
      <c r="F30" s="28" t="str">
        <f>IF(COUNTIF('07_スキル辞書'!$A$4:$A$109,E30)&lt;&gt;1,"参照ID不正",IF(INDEX('07_スキル辞書'!$D$4:$D$109,MATCH(E30,'07_スキル辞書'!$A$4:$A$109,0))="","",INDEX('07_スキル辞書'!$D$4:$D$109,MATCH(E30,'07_スキル辞書'!$A$4:$A$109,0))))</f>
        <v>収益・価値交換モデル</v>
      </c>
      <c r="G30" s="2">
        <v>2</v>
      </c>
      <c r="H30" s="28" t="str">
        <f>IF(COUNTIF('07_スキル辞書'!$A$4:$A$109,E30)&lt;&gt;1,"参照ID不正",IF(INDEX('07_スキル辞書'!$I$4:$I$109,MATCH(E30,'07_スキル辞書'!$A$4:$A$109,0))="","",INDEX('07_スキル辞書'!$I$4:$I$109,MATCH(E30,'07_スキル辞書'!$A$4:$A$109,0))))</f>
        <v>Business Model・感度分析</v>
      </c>
      <c r="I30" s="2" t="s">
        <v>2900</v>
      </c>
    </row>
    <row r="31" spans="1:9" ht="38" customHeight="1" x14ac:dyDescent="0.2">
      <c r="A31" s="4" t="s">
        <v>354</v>
      </c>
      <c r="B31" s="28" t="str">
        <f>IF(COUNTIF('02_工程タスク'!$A$4:$A$135,A31)&lt;&gt;1,"参照ID不正",IF(INDEX('02_工程タスク'!$D$4:$D$135,MATCH(A31,'02_工程タスク'!$A$4:$A$135,0))="","",INDEX('02_工程タスク'!$D$4:$D$135,MATCH(A31,'02_工程タスク'!$A$4:$A$135,0))))</f>
        <v>価格・支払意思・提供形態の仮説</v>
      </c>
      <c r="C31" s="28" t="str">
        <f>IF(COUNTIF('02_工程タスク'!$A$4:$A$135,A31)&lt;&gt;1,"参照ID不正",IF(INDEX('02_工程タスク'!$G$4:$G$135,MATCH(A31,'02_工程タスク'!$A$4:$A$135,0))="","",INDEX('02_工程タスク'!$G$4:$G$135,MATCH(A31,'02_工程タスク'!$A$4:$A$135,0))))</f>
        <v>R02, R15, R16</v>
      </c>
      <c r="D31" s="28" t="str">
        <f>IF(COUNTIF('02_工程タスク'!$A$4:$A$135,A31)&lt;&gt;1,"参照ID不正",IF(INDEX('02_工程タスク'!$H$4:$H$135,MATCH(A31,'02_工程タスク'!$A$4:$A$135,0))="","",INDEX('02_工程タスク'!$H$4:$H$135,MATCH(A31,'02_工程タスク'!$A$4:$A$135,0))))</f>
        <v>R01</v>
      </c>
      <c r="E31" s="4" t="s">
        <v>2761</v>
      </c>
      <c r="F31" s="28" t="str">
        <f>IF(COUNTIF('07_スキル辞書'!$A$4:$A$109,E31)&lt;&gt;1,"参照ID不正",IF(INDEX('07_スキル辞書'!$D$4:$D$109,MATCH(E31,'07_スキル辞書'!$A$4:$A$109,0))="","",INDEX('07_スキル辞書'!$D$4:$D$109,MATCH(E31,'07_スキル辞書'!$A$4:$A$109,0))))</f>
        <v>成功単位原価・限界利益・費用境界</v>
      </c>
      <c r="G31" s="4">
        <v>2</v>
      </c>
      <c r="H31" s="28" t="str">
        <f>IF(COUNTIF('07_スキル辞書'!$A$4:$A$109,E31)&lt;&gt;1,"参照ID不正",IF(INDEX('07_スキル辞書'!$I$4:$I$109,MATCH(E31,'07_スキル辞書'!$A$4:$A$109,0))="","",INDEX('07_スキル辞書'!$I$4:$I$109,MATCH(E31,'07_スキル辞書'!$A$4:$A$109,0))))</f>
        <v>cost/success・収支・感度分析</v>
      </c>
      <c r="I31" s="4" t="s">
        <v>2900</v>
      </c>
    </row>
    <row r="32" spans="1:9" ht="38" customHeight="1" x14ac:dyDescent="0.2">
      <c r="A32" s="2" t="s">
        <v>363</v>
      </c>
      <c r="B32" s="28" t="str">
        <f>IF(COUNTIF('02_工程タスク'!$A$4:$A$135,A32)&lt;&gt;1,"参照ID不正",IF(INDEX('02_工程タスク'!$D$4:$D$135,MATCH(A32,'02_工程タスク'!$A$4:$A$135,0))="","",INDEX('02_工程タスク'!$D$4:$D$135,MATCH(A32,'02_工程タスク'!$A$4:$A$135,0))))</f>
        <v>単位経済性・TCO・感度分析</v>
      </c>
      <c r="C32" s="28" t="str">
        <f>IF(COUNTIF('02_工程タスク'!$A$4:$A$135,A32)&lt;&gt;1,"参照ID不正",IF(INDEX('02_工程タスク'!$G$4:$G$135,MATCH(A32,'02_工程タスク'!$A$4:$A$135,0))="","",INDEX('02_工程タスク'!$G$4:$G$135,MATCH(A32,'02_工程タスク'!$A$4:$A$135,0))))</f>
        <v>R15, R08, R12</v>
      </c>
      <c r="D32" s="28" t="str">
        <f>IF(COUNTIF('02_工程タスク'!$A$4:$A$135,A32)&lt;&gt;1,"参照ID不正",IF(INDEX('02_工程タスク'!$H$4:$H$135,MATCH(A32,'02_工程タスク'!$A$4:$A$135,0))="","",INDEX('02_工程タスク'!$H$4:$H$135,MATCH(A32,'02_工程タスク'!$A$4:$A$135,0))))</f>
        <v>R01</v>
      </c>
      <c r="E32" s="2" t="s">
        <v>2011</v>
      </c>
      <c r="F32" s="28" t="str">
        <f>IF(COUNTIF('07_スキル辞書'!$A$4:$A$109,E32)&lt;&gt;1,"参照ID不正",IF(INDEX('07_スキル辞書'!$D$4:$D$109,MATCH(E32,'07_スキル辞書'!$A$4:$A$109,0))="","",INDEX('07_スキル辞書'!$D$4:$D$109,MATCH(E32,'07_スキル辞書'!$A$4:$A$109,0))))</f>
        <v>ROI・TCO試算と感度分析</v>
      </c>
      <c r="G32" s="2">
        <v>2</v>
      </c>
      <c r="H32" s="28" t="str">
        <f>IF(COUNTIF('07_スキル辞書'!$A$4:$A$109,E32)&lt;&gt;1,"参照ID不正",IF(INDEX('07_スキル辞書'!$I$4:$I$109,MATCH(E32,'07_スキル辞書'!$A$4:$A$109,0))="","",INDEX('07_スキル辞書'!$I$4:$I$109,MATCH(E32,'07_スキル辞書'!$A$4:$A$109,0))))</f>
        <v>ROI試算シート（感度分析付き）、実現可能性評価レポート、コストダッシュボード</v>
      </c>
      <c r="I32" s="2" t="s">
        <v>2900</v>
      </c>
    </row>
    <row r="33" spans="1:9" ht="38" customHeight="1" x14ac:dyDescent="0.2">
      <c r="A33" s="4" t="s">
        <v>363</v>
      </c>
      <c r="B33" s="28" t="str">
        <f>IF(COUNTIF('02_工程タスク'!$A$4:$A$135,A33)&lt;&gt;1,"参照ID不正",IF(INDEX('02_工程タスク'!$D$4:$D$135,MATCH(A33,'02_工程タスク'!$A$4:$A$135,0))="","",INDEX('02_工程タスク'!$D$4:$D$135,MATCH(A33,'02_工程タスク'!$A$4:$A$135,0))))</f>
        <v>単位経済性・TCO・感度分析</v>
      </c>
      <c r="C33" s="28" t="str">
        <f>IF(COUNTIF('02_工程タスク'!$A$4:$A$135,A33)&lt;&gt;1,"参照ID不正",IF(INDEX('02_工程タスク'!$G$4:$G$135,MATCH(A33,'02_工程タスク'!$A$4:$A$135,0))="","",INDEX('02_工程タスク'!$G$4:$G$135,MATCH(A33,'02_工程タスク'!$A$4:$A$135,0))))</f>
        <v>R15, R08, R12</v>
      </c>
      <c r="D33" s="28" t="str">
        <f>IF(COUNTIF('02_工程タスク'!$A$4:$A$135,A33)&lt;&gt;1,"参照ID不正",IF(INDEX('02_工程タスク'!$H$4:$H$135,MATCH(A33,'02_工程タスク'!$A$4:$A$135,0))="","",INDEX('02_工程タスク'!$H$4:$H$135,MATCH(A33,'02_工程タスク'!$A$4:$A$135,0))))</f>
        <v>R01</v>
      </c>
      <c r="E33" s="4" t="s">
        <v>2029</v>
      </c>
      <c r="F33" s="28" t="str">
        <f>IF(COUNTIF('07_スキル辞書'!$A$4:$A$109,E33)&lt;&gt;1,"参照ID不正",IF(INDEX('07_スキル辞書'!$D$4:$D$109,MATCH(E33,'07_スキル辞書'!$A$4:$A$109,0))="","",INDEX('07_スキル辞書'!$D$4:$D$109,MATCH(E33,'07_スキル辞書'!$A$4:$A$109,0))))</f>
        <v>事業投資・原価・価格の計画管理</v>
      </c>
      <c r="G33" s="4">
        <v>2</v>
      </c>
      <c r="H33" s="28" t="str">
        <f>IF(COUNTIF('07_スキル辞書'!$A$4:$A$109,E33)&lt;&gt;1,"参照ID不正",IF(INDEX('07_スキル辞書'!$I$4:$I$109,MATCH(E33,'07_スキル辞書'!$A$4:$A$109,0))="","",INDEX('07_スキル辞書'!$I$4:$I$109,MATCH(E33,'07_スキル辞書'!$A$4:$A$109,0))))</f>
        <v>予算・原価・価格仮説・費用差分</v>
      </c>
      <c r="I33" s="4" t="s">
        <v>2900</v>
      </c>
    </row>
    <row r="34" spans="1:9" ht="38" customHeight="1" x14ac:dyDescent="0.2">
      <c r="A34" s="2" t="s">
        <v>363</v>
      </c>
      <c r="B34" s="28" t="str">
        <f>IF(COUNTIF('02_工程タスク'!$A$4:$A$135,A34)&lt;&gt;1,"参照ID不正",IF(INDEX('02_工程タスク'!$D$4:$D$135,MATCH(A34,'02_工程タスク'!$A$4:$A$135,0))="","",INDEX('02_工程タスク'!$D$4:$D$135,MATCH(A34,'02_工程タスク'!$A$4:$A$135,0))))</f>
        <v>単位経済性・TCO・感度分析</v>
      </c>
      <c r="C34" s="28" t="str">
        <f>IF(COUNTIF('02_工程タスク'!$A$4:$A$135,A34)&lt;&gt;1,"参照ID不正",IF(INDEX('02_工程タスク'!$G$4:$G$135,MATCH(A34,'02_工程タスク'!$A$4:$A$135,0))="","",INDEX('02_工程タスク'!$G$4:$G$135,MATCH(A34,'02_工程タスク'!$A$4:$A$135,0))))</f>
        <v>R15, R08, R12</v>
      </c>
      <c r="D34" s="28" t="str">
        <f>IF(COUNTIF('02_工程タスク'!$A$4:$A$135,A34)&lt;&gt;1,"参照ID不正",IF(INDEX('02_工程タスク'!$H$4:$H$135,MATCH(A34,'02_工程タスク'!$A$4:$A$135,0))="","",INDEX('02_工程タスク'!$H$4:$H$135,MATCH(A34,'02_工程タスク'!$A$4:$A$135,0))))</f>
        <v>R01</v>
      </c>
      <c r="E34" s="2" t="s">
        <v>2371</v>
      </c>
      <c r="F34" s="28" t="str">
        <f>IF(COUNTIF('07_スキル辞書'!$A$4:$A$109,E34)&lt;&gt;1,"参照ID不正",IF(INDEX('07_スキル辞書'!$D$4:$D$109,MATCH(E34,'07_スキル辞書'!$A$4:$A$109,0))="","",INDEX('07_スキル辞書'!$D$4:$D$109,MATCH(E34,'07_スキル辞書'!$A$4:$A$109,0))))</f>
        <v>トークンコスト・レイテンシ設計とコスト監視</v>
      </c>
      <c r="G34" s="2">
        <v>2</v>
      </c>
      <c r="H34" s="28" t="str">
        <f>IF(COUNTIF('07_スキル辞書'!$A$4:$A$109,E34)&lt;&gt;1,"参照ID不正",IF(INDEX('07_スキル辞書'!$I$4:$I$109,MATCH(E34,'07_スキル辞書'!$A$4:$A$109,0))="","",INDEX('07_スキル辞書'!$I$4:$I$109,MATCH(E34,'07_スキル辞書'!$A$4:$A$109,0))))</f>
        <v>非機能要件定義書 v1（要件定義書v1の一部）、コストダッシュボード、コスト超過アラート、モデル推論APIのエンドポイント</v>
      </c>
      <c r="I34" s="2" t="s">
        <v>2900</v>
      </c>
    </row>
    <row r="35" spans="1:9" ht="38" customHeight="1" x14ac:dyDescent="0.2">
      <c r="A35" s="4" t="s">
        <v>363</v>
      </c>
      <c r="B35" s="28" t="str">
        <f>IF(COUNTIF('02_工程タスク'!$A$4:$A$135,A35)&lt;&gt;1,"参照ID不正",IF(INDEX('02_工程タスク'!$D$4:$D$135,MATCH(A35,'02_工程タスク'!$A$4:$A$135,0))="","",INDEX('02_工程タスク'!$D$4:$D$135,MATCH(A35,'02_工程タスク'!$A$4:$A$135,0))))</f>
        <v>単位経済性・TCO・感度分析</v>
      </c>
      <c r="C35" s="28" t="str">
        <f>IF(COUNTIF('02_工程タスク'!$A$4:$A$135,A35)&lt;&gt;1,"参照ID不正",IF(INDEX('02_工程タスク'!$G$4:$G$135,MATCH(A35,'02_工程タスク'!$A$4:$A$135,0))="","",INDEX('02_工程タスク'!$G$4:$G$135,MATCH(A35,'02_工程タスク'!$A$4:$A$135,0))))</f>
        <v>R15, R08, R12</v>
      </c>
      <c r="D35" s="28" t="str">
        <f>IF(COUNTIF('02_工程タスク'!$A$4:$A$135,A35)&lt;&gt;1,"参照ID不正",IF(INDEX('02_工程タスク'!$H$4:$H$135,MATCH(A35,'02_工程タスク'!$A$4:$A$135,0))="","",INDEX('02_工程タスク'!$H$4:$H$135,MATCH(A35,'02_工程タスク'!$A$4:$A$135,0))))</f>
        <v>R01</v>
      </c>
      <c r="E35" s="4" t="s">
        <v>2761</v>
      </c>
      <c r="F35" s="28" t="str">
        <f>IF(COUNTIF('07_スキル辞書'!$A$4:$A$109,E35)&lt;&gt;1,"参照ID不正",IF(INDEX('07_スキル辞書'!$D$4:$D$109,MATCH(E35,'07_スキル辞書'!$A$4:$A$109,0))="","",INDEX('07_スキル辞書'!$D$4:$D$109,MATCH(E35,'07_スキル辞書'!$A$4:$A$109,0))))</f>
        <v>成功単位原価・限界利益・費用境界</v>
      </c>
      <c r="G35" s="4">
        <v>2</v>
      </c>
      <c r="H35" s="28" t="str">
        <f>IF(COUNTIF('07_スキル辞書'!$A$4:$A$109,E35)&lt;&gt;1,"参照ID不正",IF(INDEX('07_スキル辞書'!$I$4:$I$109,MATCH(E35,'07_スキル辞書'!$A$4:$A$109,0))="","",INDEX('07_スキル辞書'!$I$4:$I$109,MATCH(E35,'07_スキル辞書'!$A$4:$A$109,0))))</f>
        <v>cost/success・収支・感度分析</v>
      </c>
      <c r="I35" s="4" t="s">
        <v>2900</v>
      </c>
    </row>
    <row r="36" spans="1:9" ht="38" customHeight="1" x14ac:dyDescent="0.2">
      <c r="A36" s="2" t="s">
        <v>375</v>
      </c>
      <c r="B36" s="28" t="str">
        <f>IF(COUNTIF('02_工程タスク'!$A$4:$A$135,A36)&lt;&gt;1,"参照ID不正",IF(INDEX('02_工程タスク'!$D$4:$D$135,MATCH(A36,'02_工程タスク'!$A$4:$A$135,0))="","",INDEX('02_工程タスク'!$D$4:$D$135,MATCH(A36,'02_工程タスク'!$A$4:$A$135,0))))</f>
        <v>最大不確実性と検証順の設定</v>
      </c>
      <c r="C36" s="28" t="str">
        <f>IF(COUNTIF('02_工程タスク'!$A$4:$A$135,A36)&lt;&gt;1,"参照ID不正",IF(INDEX('02_工程タスク'!$G$4:$G$135,MATCH(A36,'02_工程タスク'!$A$4:$A$135,0))="","",INDEX('02_工程タスク'!$G$4:$G$135,MATCH(A36,'02_工程タスク'!$A$4:$A$135,0))))</f>
        <v>R02, R08, R11</v>
      </c>
      <c r="D36" s="28" t="str">
        <f>IF(COUNTIF('02_工程タスク'!$A$4:$A$135,A36)&lt;&gt;1,"参照ID不正",IF(INDEX('02_工程タスク'!$H$4:$H$135,MATCH(A36,'02_工程タスク'!$A$4:$A$135,0))="","",INDEX('02_工程タスク'!$H$4:$H$135,MATCH(A36,'02_工程タスク'!$A$4:$A$135,0))))</f>
        <v>R02</v>
      </c>
      <c r="E36" s="2" t="s">
        <v>2480</v>
      </c>
      <c r="F36" s="28" t="str">
        <f>IF(COUNTIF('07_スキル辞書'!$A$4:$A$109,E36)&lt;&gt;1,"参照ID不正",IF(INDEX('07_スキル辞書'!$D$4:$D$109,MATCH(E36,'07_スキル辞書'!$A$4:$A$109,0))="","",INDEX('07_スキル辞書'!$D$4:$D$109,MATCH(E36,'07_スキル辞書'!$A$4:$A$109,0))))</f>
        <v>ベースライン設計と実験管理</v>
      </c>
      <c r="G36" s="2">
        <v>2</v>
      </c>
      <c r="H36" s="28" t="str">
        <f>IF(COUNTIF('07_スキル辞書'!$A$4:$A$109,E36)&lt;&gt;1,"参照ID不正",IF(INDEX('07_スキル辞書'!$I$4:$I$109,MATCH(E36,'07_スキル辞書'!$A$4:$A$109,0))="","",INDEX('07_スキル辞書'!$I$4:$I$109,MATCH(E36,'07_スキル辞書'!$A$4:$A$109,0))))</f>
        <v>ベースライン性能測定レポート、学習・改善ログ、検証環境、モックアップモデル（またはプロンプト/検索設定一式）</v>
      </c>
      <c r="I36" s="2" t="s">
        <v>2900</v>
      </c>
    </row>
    <row r="37" spans="1:9" ht="38" customHeight="1" x14ac:dyDescent="0.2">
      <c r="A37" s="4" t="s">
        <v>375</v>
      </c>
      <c r="B37" s="28" t="str">
        <f>IF(COUNTIF('02_工程タスク'!$A$4:$A$135,A37)&lt;&gt;1,"参照ID不正",IF(INDEX('02_工程タスク'!$D$4:$D$135,MATCH(A37,'02_工程タスク'!$A$4:$A$135,0))="","",INDEX('02_工程タスク'!$D$4:$D$135,MATCH(A37,'02_工程タスク'!$A$4:$A$135,0))))</f>
        <v>最大不確実性と検証順の設定</v>
      </c>
      <c r="C37" s="28" t="str">
        <f>IF(COUNTIF('02_工程タスク'!$A$4:$A$135,A37)&lt;&gt;1,"参照ID不正",IF(INDEX('02_工程タスク'!$G$4:$G$135,MATCH(A37,'02_工程タスク'!$A$4:$A$135,0))="","",INDEX('02_工程タスク'!$G$4:$G$135,MATCH(A37,'02_工程タスク'!$A$4:$A$135,0))))</f>
        <v>R02, R08, R11</v>
      </c>
      <c r="D37" s="28" t="str">
        <f>IF(COUNTIF('02_工程タスク'!$A$4:$A$135,A37)&lt;&gt;1,"参照ID不正",IF(INDEX('02_工程タスク'!$H$4:$H$135,MATCH(A37,'02_工程タスク'!$A$4:$A$135,0))="","",INDEX('02_工程タスク'!$H$4:$H$135,MATCH(A37,'02_工程タスク'!$A$4:$A$135,0))))</f>
        <v>R02</v>
      </c>
      <c r="E37" s="4" t="s">
        <v>2705</v>
      </c>
      <c r="F37" s="28" t="str">
        <f>IF(COUNTIF('07_スキル辞書'!$A$4:$A$109,E37)&lt;&gt;1,"参照ID不正",IF(INDEX('07_スキル辞書'!$D$4:$D$109,MATCH(E37,'07_スキル辞書'!$A$4:$A$109,0))="","",INDEX('07_スキル辞書'!$D$4:$D$109,MATCH(E37,'07_スキル辞書'!$A$4:$A$109,0))))</f>
        <v>仮説・実験・反証・意思決定</v>
      </c>
      <c r="G37" s="4">
        <v>2</v>
      </c>
      <c r="H37" s="28" t="str">
        <f>IF(COUNTIF('07_スキル辞書'!$A$4:$A$109,E37)&lt;&gt;1,"参照ID不正",IF(INDEX('07_スキル辞書'!$I$4:$I$109,MATCH(E37,'07_スキル辞書'!$A$4:$A$109,0))="","",INDEX('07_スキル辞書'!$I$4:$I$109,MATCH(E37,'07_スキル辞書'!$A$4:$A$109,0))))</f>
        <v>実験台帳・判断・学習ログ</v>
      </c>
      <c r="I37" s="4" t="s">
        <v>2900</v>
      </c>
    </row>
    <row r="38" spans="1:9" ht="38" customHeight="1" x14ac:dyDescent="0.2">
      <c r="A38" s="2" t="s">
        <v>375</v>
      </c>
      <c r="B38" s="28" t="str">
        <f>IF(COUNTIF('02_工程タスク'!$A$4:$A$135,A38)&lt;&gt;1,"参照ID不正",IF(INDEX('02_工程タスク'!$D$4:$D$135,MATCH(A38,'02_工程タスク'!$A$4:$A$135,0))="","",INDEX('02_工程タスク'!$D$4:$D$135,MATCH(A38,'02_工程タスク'!$A$4:$A$135,0))))</f>
        <v>最大不確実性と検証順の設定</v>
      </c>
      <c r="C38" s="28" t="str">
        <f>IF(COUNTIF('02_工程タスク'!$A$4:$A$135,A38)&lt;&gt;1,"参照ID不正",IF(INDEX('02_工程タスク'!$G$4:$G$135,MATCH(A38,'02_工程タスク'!$A$4:$A$135,0))="","",INDEX('02_工程タスク'!$G$4:$G$135,MATCH(A38,'02_工程タスク'!$A$4:$A$135,0))))</f>
        <v>R02, R08, R11</v>
      </c>
      <c r="D38" s="28" t="str">
        <f>IF(COUNTIF('02_工程タスク'!$A$4:$A$135,A38)&lt;&gt;1,"参照ID不正",IF(INDEX('02_工程タスク'!$H$4:$H$135,MATCH(A38,'02_工程タスク'!$A$4:$A$135,0))="","",INDEX('02_工程タスク'!$H$4:$H$135,MATCH(A38,'02_工程タスク'!$A$4:$A$135,0))))</f>
        <v>R02</v>
      </c>
      <c r="E38" s="2" t="s">
        <v>2863</v>
      </c>
      <c r="F38" s="28" t="str">
        <f>IF(COUNTIF('07_スキル辞書'!$A$4:$A$109,E38)&lt;&gt;1,"参照ID不正",IF(INDEX('07_スキル辞書'!$D$4:$D$109,MATCH(E38,'07_スキル辞書'!$A$4:$A$109,0))="","",INDEX('07_スキル辞書'!$D$4:$D$109,MATCH(E38,'07_スキル辞書'!$A$4:$A$109,0))))</f>
        <v>段階投資・学習価値・Pivot/Stop</v>
      </c>
      <c r="G38" s="2">
        <v>3</v>
      </c>
      <c r="H38" s="28" t="str">
        <f>IF(COUNTIF('07_スキル辞書'!$A$4:$A$109,E38)&lt;&gt;1,"参照ID不正",IF(INDEX('07_スキル辞書'!$I$4:$I$109,MATCH(E38,'07_スキル辞書'!$A$4:$A$109,0))="","",INDEX('07_スキル辞書'!$I$4:$I$109,MATCH(E38,'07_スキル辞書'!$A$4:$A$109,0))))</f>
        <v>G0/G4・実験・投資レビュー</v>
      </c>
      <c r="I38" s="2" t="s">
        <v>2900</v>
      </c>
    </row>
    <row r="39" spans="1:9" ht="38" customHeight="1" x14ac:dyDescent="0.2">
      <c r="A39" s="4" t="s">
        <v>385</v>
      </c>
      <c r="B39" s="28" t="str">
        <f>IF(COUNTIF('02_工程タスク'!$A$4:$A$135,A39)&lt;&gt;1,"参照ID不正",IF(INDEX('02_工程タスク'!$D$4:$D$135,MATCH(A39,'02_工程タスク'!$A$4:$A$135,0))="","",INDEX('02_工程タスク'!$D$4:$D$135,MATCH(A39,'02_工程タスク'!$A$4:$A$135,0))))</f>
        <v>コンセプト・手動代替による需要検証</v>
      </c>
      <c r="C39" s="28" t="str">
        <f>IF(COUNTIF('02_工程タスク'!$A$4:$A$135,A39)&lt;&gt;1,"参照ID不正",IF(INDEX('02_工程タスク'!$G$4:$G$135,MATCH(A39,'02_工程タスク'!$A$4:$A$135,0))="","",INDEX('02_工程タスク'!$G$4:$G$135,MATCH(A39,'02_工程タスク'!$A$4:$A$135,0))))</f>
        <v>R05, R02, R16</v>
      </c>
      <c r="D39" s="28" t="str">
        <f>IF(COUNTIF('02_工程タスク'!$A$4:$A$135,A39)&lt;&gt;1,"参照ID不正",IF(INDEX('02_工程タスク'!$H$4:$H$135,MATCH(A39,'02_工程タスク'!$A$4:$A$135,0))="","",INDEX('02_工程タスク'!$H$4:$H$135,MATCH(A39,'02_工程タスク'!$A$4:$A$135,0))))</f>
        <v>R02</v>
      </c>
      <c r="E39" s="4" t="s">
        <v>2110</v>
      </c>
      <c r="F39" s="28" t="str">
        <f>IF(COUNTIF('07_スキル辞書'!$A$4:$A$109,E39)&lt;&gt;1,"参照ID不正",IF(INDEX('07_スキル辞書'!$D$4:$D$109,MATCH(E39,'07_スキル辞書'!$A$4:$A$109,0))="","",INDEX('07_スキル辞書'!$D$4:$D$109,MATCH(E39,'07_スキル辞書'!$A$4:$A$109,0))))</f>
        <v>ユーザビリティ・業務適合性評価</v>
      </c>
      <c r="G39" s="4">
        <v>2</v>
      </c>
      <c r="H39" s="28" t="str">
        <f>IF(COUNTIF('07_スキル辞書'!$A$4:$A$109,E39)&lt;&gt;1,"参照ID不正",IF(INDEX('07_スキル辞書'!$I$4:$I$109,MATCH(E39,'07_スキル辞書'!$A$4:$A$109,0))="","",INDEX('07_スキル辞書'!$I$4:$I$109,MATCH(E39,'07_スキル辞書'!$A$4:$A$109,0))))</f>
        <v>ユーザビリティテスト結果報告書、業務適合性評価レポート、UATフィードバックリストと対応計画</v>
      </c>
      <c r="I39" s="4" t="s">
        <v>2900</v>
      </c>
    </row>
    <row r="40" spans="1:9" ht="38" customHeight="1" x14ac:dyDescent="0.2">
      <c r="A40" s="2" t="s">
        <v>385</v>
      </c>
      <c r="B40" s="28" t="str">
        <f>IF(COUNTIF('02_工程タスク'!$A$4:$A$135,A40)&lt;&gt;1,"参照ID不正",IF(INDEX('02_工程タスク'!$D$4:$D$135,MATCH(A40,'02_工程タスク'!$A$4:$A$135,0))="","",INDEX('02_工程タスク'!$D$4:$D$135,MATCH(A40,'02_工程タスク'!$A$4:$A$135,0))))</f>
        <v>コンセプト・手動代替による需要検証</v>
      </c>
      <c r="C40" s="28" t="str">
        <f>IF(COUNTIF('02_工程タスク'!$A$4:$A$135,A40)&lt;&gt;1,"参照ID不正",IF(INDEX('02_工程タスク'!$G$4:$G$135,MATCH(A40,'02_工程タスク'!$A$4:$A$135,0))="","",INDEX('02_工程タスク'!$G$4:$G$135,MATCH(A40,'02_工程タスク'!$A$4:$A$135,0))))</f>
        <v>R05, R02, R16</v>
      </c>
      <c r="D40" s="28" t="str">
        <f>IF(COUNTIF('02_工程タスク'!$A$4:$A$135,A40)&lt;&gt;1,"参照ID不正",IF(INDEX('02_工程タスク'!$H$4:$H$135,MATCH(A40,'02_工程タスク'!$A$4:$A$135,0))="","",INDEX('02_工程タスク'!$H$4:$H$135,MATCH(A40,'02_工程タスク'!$A$4:$A$135,0))))</f>
        <v>R02</v>
      </c>
      <c r="E40" s="2" t="s">
        <v>2661</v>
      </c>
      <c r="F40" s="28" t="str">
        <f>IF(COUNTIF('07_スキル辞書'!$A$4:$A$109,E40)&lt;&gt;1,"参照ID不正",IF(INDEX('07_スキル辞書'!$D$4:$D$109,MATCH(E40,'07_スキル辞書'!$A$4:$A$109,0))="","",INDEX('07_スキル辞書'!$D$4:$D$109,MATCH(E40,'07_スキル辞書'!$A$4:$A$109,0))))</f>
        <v>課題発見と需要の反証</v>
      </c>
      <c r="G40" s="2">
        <v>2</v>
      </c>
      <c r="H40" s="28" t="str">
        <f>IF(COUNTIF('07_スキル辞書'!$A$4:$A$109,E40)&lt;&gt;1,"参照ID不正",IF(INDEX('07_スキル辞書'!$I$4:$I$109,MATCH(E40,'07_スキル辞書'!$A$4:$A$109,0))="","",INDEX('07_スキル辞書'!$I$4:$I$109,MATCH(E40,'07_スキル辞書'!$A$4:$A$109,0))))</f>
        <v>観察記録・Opportunity Brief</v>
      </c>
      <c r="I40" s="2" t="s">
        <v>2900</v>
      </c>
    </row>
    <row r="41" spans="1:9" ht="38" customHeight="1" x14ac:dyDescent="0.2">
      <c r="A41" s="4" t="s">
        <v>385</v>
      </c>
      <c r="B41" s="28" t="str">
        <f>IF(COUNTIF('02_工程タスク'!$A$4:$A$135,A41)&lt;&gt;1,"参照ID不正",IF(INDEX('02_工程タスク'!$D$4:$D$135,MATCH(A41,'02_工程タスク'!$A$4:$A$135,0))="","",INDEX('02_工程タスク'!$D$4:$D$135,MATCH(A41,'02_工程タスク'!$A$4:$A$135,0))))</f>
        <v>コンセプト・手動代替による需要検証</v>
      </c>
      <c r="C41" s="28" t="str">
        <f>IF(COUNTIF('02_工程タスク'!$A$4:$A$135,A41)&lt;&gt;1,"参照ID不正",IF(INDEX('02_工程タスク'!$G$4:$G$135,MATCH(A41,'02_工程タスク'!$A$4:$A$135,0))="","",INDEX('02_工程タスク'!$G$4:$G$135,MATCH(A41,'02_工程タスク'!$A$4:$A$135,0))))</f>
        <v>R05, R02, R16</v>
      </c>
      <c r="D41" s="28" t="str">
        <f>IF(COUNTIF('02_工程タスク'!$A$4:$A$135,A41)&lt;&gt;1,"参照ID不正",IF(INDEX('02_工程タスク'!$H$4:$H$135,MATCH(A41,'02_工程タスク'!$A$4:$A$135,0))="","",INDEX('02_工程タスク'!$H$4:$H$135,MATCH(A41,'02_工程タスク'!$A$4:$A$135,0))))</f>
        <v>R02</v>
      </c>
      <c r="E41" s="4" t="s">
        <v>2705</v>
      </c>
      <c r="F41" s="28" t="str">
        <f>IF(COUNTIF('07_スキル辞書'!$A$4:$A$109,E41)&lt;&gt;1,"参照ID不正",IF(INDEX('07_スキル辞書'!$D$4:$D$109,MATCH(E41,'07_スキル辞書'!$A$4:$A$109,0))="","",INDEX('07_スキル辞書'!$D$4:$D$109,MATCH(E41,'07_スキル辞書'!$A$4:$A$109,0))))</f>
        <v>仮説・実験・反証・意思決定</v>
      </c>
      <c r="G41" s="4">
        <v>2</v>
      </c>
      <c r="H41" s="28" t="str">
        <f>IF(COUNTIF('07_スキル辞書'!$A$4:$A$109,E41)&lt;&gt;1,"参照ID不正",IF(INDEX('07_スキル辞書'!$I$4:$I$109,MATCH(E41,'07_スキル辞書'!$A$4:$A$109,0))="","",INDEX('07_スキル辞書'!$I$4:$I$109,MATCH(E41,'07_スキル辞書'!$A$4:$A$109,0))))</f>
        <v>実験台帳・判断・学習ログ</v>
      </c>
      <c r="I41" s="4" t="s">
        <v>2900</v>
      </c>
    </row>
    <row r="42" spans="1:9" ht="38" customHeight="1" x14ac:dyDescent="0.2">
      <c r="A42" s="2" t="s">
        <v>396</v>
      </c>
      <c r="B42" s="28" t="str">
        <f>IF(COUNTIF('02_工程タスク'!$A$4:$A$135,A42)&lt;&gt;1,"参照ID不正",IF(INDEX('02_工程タスク'!$D$4:$D$135,MATCH(A42,'02_工程タスク'!$A$4:$A$135,0))="","",INDEX('02_工程タスク'!$D$4:$D$135,MATCH(A42,'02_工程タスク'!$A$4:$A$135,0))))</f>
        <v>限定プロトタイプ・非AIベースライン</v>
      </c>
      <c r="C42" s="28" t="str">
        <f>IF(COUNTIF('02_工程タスク'!$A$4:$A$135,A42)&lt;&gt;1,"参照ID不正",IF(INDEX('02_工程タスク'!$G$4:$G$135,MATCH(A42,'02_工程タスク'!$A$4:$A$135,0))="","",INDEX('02_工程タスク'!$G$4:$G$135,MATCH(A42,'02_工程タスク'!$A$4:$A$135,0))))</f>
        <v>R08, R07, R11</v>
      </c>
      <c r="D42" s="28" t="str">
        <f>IF(COUNTIF('02_工程タスク'!$A$4:$A$135,A42)&lt;&gt;1,"参照ID不正",IF(INDEX('02_工程タスク'!$H$4:$H$135,MATCH(A42,'02_工程タスク'!$A$4:$A$135,0))="","",INDEX('02_工程タスク'!$H$4:$H$135,MATCH(A42,'02_工程タスク'!$A$4:$A$135,0))))</f>
        <v>R06</v>
      </c>
      <c r="E42" s="2" t="s">
        <v>2219</v>
      </c>
      <c r="F42" s="28" t="str">
        <f>IF(COUNTIF('07_スキル辞書'!$A$4:$A$109,E42)&lt;&gt;1,"参照ID不正",IF(INDEX('07_スキル辞書'!$D$4:$D$109,MATCH(E42,'07_スキル辞書'!$A$4:$A$109,0))="","",INDEX('07_スキル辞書'!$D$4:$D$109,MATCH(E42,'07_スキル辞書'!$A$4:$A$109,0))))</f>
        <v>検証環境構築とIaC</v>
      </c>
      <c r="G42" s="2">
        <v>2</v>
      </c>
      <c r="H42" s="28" t="str">
        <f>IF(COUNTIF('07_スキル辞書'!$A$4:$A$109,E42)&lt;&gt;1,"参照ID不正",IF(INDEX('07_スキル辞書'!$I$4:$I$109,MATCH(E42,'07_スキル辞書'!$A$4:$A$109,0))="","",INDEX('07_スキル辞書'!$I$4:$I$109,MATCH(E42,'07_スキル辞書'!$A$4:$A$109,0))))</f>
        <v>検証環境、環境構築手順書、依存関係定義ファイル、IaCコード、インフラ構成図</v>
      </c>
      <c r="I42" s="2" t="s">
        <v>2900</v>
      </c>
    </row>
    <row r="43" spans="1:9" ht="38" customHeight="1" x14ac:dyDescent="0.2">
      <c r="A43" s="4" t="s">
        <v>396</v>
      </c>
      <c r="B43" s="28" t="str">
        <f>IF(COUNTIF('02_工程タスク'!$A$4:$A$135,A43)&lt;&gt;1,"参照ID不正",IF(INDEX('02_工程タスク'!$D$4:$D$135,MATCH(A43,'02_工程タスク'!$A$4:$A$135,0))="","",INDEX('02_工程タスク'!$D$4:$D$135,MATCH(A43,'02_工程タスク'!$A$4:$A$135,0))))</f>
        <v>限定プロトタイプ・非AIベースライン</v>
      </c>
      <c r="C43" s="28" t="str">
        <f>IF(COUNTIF('02_工程タスク'!$A$4:$A$135,A43)&lt;&gt;1,"参照ID不正",IF(INDEX('02_工程タスク'!$G$4:$G$135,MATCH(A43,'02_工程タスク'!$A$4:$A$135,0))="","",INDEX('02_工程タスク'!$G$4:$G$135,MATCH(A43,'02_工程タスク'!$A$4:$A$135,0))))</f>
        <v>R08, R07, R11</v>
      </c>
      <c r="D43" s="28" t="str">
        <f>IF(COUNTIF('02_工程タスク'!$A$4:$A$135,A43)&lt;&gt;1,"参照ID不正",IF(INDEX('02_工程タスク'!$H$4:$H$135,MATCH(A43,'02_工程タスク'!$A$4:$A$135,0))="","",INDEX('02_工程タスク'!$H$4:$H$135,MATCH(A43,'02_工程タスク'!$A$4:$A$135,0))))</f>
        <v>R06</v>
      </c>
      <c r="E43" s="4" t="s">
        <v>2480</v>
      </c>
      <c r="F43" s="28" t="str">
        <f>IF(COUNTIF('07_スキル辞書'!$A$4:$A$109,E43)&lt;&gt;1,"参照ID不正",IF(INDEX('07_スキル辞書'!$D$4:$D$109,MATCH(E43,'07_スキル辞書'!$A$4:$A$109,0))="","",INDEX('07_スキル辞書'!$D$4:$D$109,MATCH(E43,'07_スキル辞書'!$A$4:$A$109,0))))</f>
        <v>ベースライン設計と実験管理</v>
      </c>
      <c r="G43" s="4">
        <v>2</v>
      </c>
      <c r="H43" s="28" t="str">
        <f>IF(COUNTIF('07_スキル辞書'!$A$4:$A$109,E43)&lt;&gt;1,"参照ID不正",IF(INDEX('07_スキル辞書'!$I$4:$I$109,MATCH(E43,'07_スキル辞書'!$A$4:$A$109,0))="","",INDEX('07_スキル辞書'!$I$4:$I$109,MATCH(E43,'07_スキル辞書'!$A$4:$A$109,0))))</f>
        <v>ベースライン性能測定レポート、学習・改善ログ、検証環境、モックアップモデル（またはプロンプト/検索設定一式）</v>
      </c>
      <c r="I43" s="4" t="s">
        <v>2900</v>
      </c>
    </row>
    <row r="44" spans="1:9" ht="38" customHeight="1" x14ac:dyDescent="0.2">
      <c r="A44" s="2" t="s">
        <v>396</v>
      </c>
      <c r="B44" s="28" t="str">
        <f>IF(COUNTIF('02_工程タスク'!$A$4:$A$135,A44)&lt;&gt;1,"参照ID不正",IF(INDEX('02_工程タスク'!$D$4:$D$135,MATCH(A44,'02_工程タスク'!$A$4:$A$135,0))="","",INDEX('02_工程タスク'!$D$4:$D$135,MATCH(A44,'02_工程タスク'!$A$4:$A$135,0))))</f>
        <v>限定プロトタイプ・非AIベースライン</v>
      </c>
      <c r="C44" s="28" t="str">
        <f>IF(COUNTIF('02_工程タスク'!$A$4:$A$135,A44)&lt;&gt;1,"参照ID不正",IF(INDEX('02_工程タスク'!$G$4:$G$135,MATCH(A44,'02_工程タスク'!$A$4:$A$135,0))="","",INDEX('02_工程タスク'!$G$4:$G$135,MATCH(A44,'02_工程タスク'!$A$4:$A$135,0))))</f>
        <v>R08, R07, R11</v>
      </c>
      <c r="D44" s="28" t="str">
        <f>IF(COUNTIF('02_工程タスク'!$A$4:$A$135,A44)&lt;&gt;1,"参照ID不正",IF(INDEX('02_工程タスク'!$H$4:$H$135,MATCH(A44,'02_工程タスク'!$A$4:$A$135,0))="","",INDEX('02_工程タスク'!$H$4:$H$135,MATCH(A44,'02_工程タスク'!$A$4:$A$135,0))))</f>
        <v>R06</v>
      </c>
      <c r="E44" s="2" t="s">
        <v>2533</v>
      </c>
      <c r="F44" s="28" t="str">
        <f>IF(COUNTIF('07_スキル辞書'!$A$4:$A$109,E44)&lt;&gt;1,"参照ID不正",IF(INDEX('07_スキル辞書'!$D$4:$D$109,MATCH(E44,'07_スキル辞書'!$A$4:$A$109,0))="","",INDEX('07_スキル辞書'!$D$4:$D$109,MATCH(E44,'07_スキル辞書'!$A$4:$A$109,0))))</f>
        <v>モデル評価とエラー分析</v>
      </c>
      <c r="G44" s="2">
        <v>2</v>
      </c>
      <c r="H44" s="28" t="str">
        <f>IF(COUNTIF('07_スキル辞書'!$A$4:$A$109,E44)&lt;&gt;1,"参照ID不正",IF(INDEX('07_スキル辞書'!$I$4:$I$109,MATCH(E44,'07_スキル辞書'!$A$4:$A$109,0))="","",INDEX('07_スキル辞書'!$I$4:$I$109,MATCH(E44,'07_スキル辞書'!$A$4:$A$109,0))))</f>
        <v>モデル評価レポート、エラー分析レポート、最終性能評価レポート（信頼区間付き）、AIモデル品質評価レポート</v>
      </c>
      <c r="I44" s="2" t="s">
        <v>2900</v>
      </c>
    </row>
    <row r="45" spans="1:9" ht="38" customHeight="1" x14ac:dyDescent="0.2">
      <c r="A45" s="4" t="s">
        <v>407</v>
      </c>
      <c r="B45" s="28" t="str">
        <f>IF(COUNTIF('02_工程タスク'!$A$4:$A$135,A45)&lt;&gt;1,"参照ID不正",IF(INDEX('02_工程タスク'!$D$4:$D$135,MATCH(A45,'02_工程タスク'!$A$4:$A$135,0))="","",INDEX('02_工程タスク'!$D$4:$D$135,MATCH(A45,'02_工程タスク'!$A$4:$A$135,0))))</f>
        <v>提供・販売・サポート経路の仮設計</v>
      </c>
      <c r="C45" s="28" t="str">
        <f>IF(COUNTIF('02_工程タスク'!$A$4:$A$135,A45)&lt;&gt;1,"参照ID不正",IF(INDEX('02_工程タスク'!$G$4:$G$135,MATCH(A45,'02_工程タスク'!$A$4:$A$135,0))="","",INDEX('02_工程タスク'!$G$4:$G$135,MATCH(A45,'02_工程タスク'!$A$4:$A$135,0))))</f>
        <v>R16, R17, R02</v>
      </c>
      <c r="D45" s="28" t="str">
        <f>IF(COUNTIF('02_工程タスク'!$A$4:$A$135,A45)&lt;&gt;1,"参照ID不正",IF(INDEX('02_工程タスク'!$H$4:$H$135,MATCH(A45,'02_工程タスク'!$A$4:$A$135,0))="","",INDEX('02_工程タスク'!$H$4:$H$135,MATCH(A45,'02_工程タスク'!$A$4:$A$135,0))))</f>
        <v>R01</v>
      </c>
      <c r="E45" s="4" t="s">
        <v>2688</v>
      </c>
      <c r="F45" s="28" t="str">
        <f>IF(COUNTIF('07_スキル辞書'!$A$4:$A$109,E45)&lt;&gt;1,"参照ID不正",IF(INDEX('07_スキル辞書'!$D$4:$D$109,MATCH(E45,'07_スキル辞書'!$A$4:$A$109,0))="","",INDEX('07_スキル辞書'!$D$4:$D$109,MATCH(E45,'07_スキル辞書'!$A$4:$A$109,0))))</f>
        <v>市場投入・販売・導入設計</v>
      </c>
      <c r="G45" s="4">
        <v>2</v>
      </c>
      <c r="H45" s="28" t="str">
        <f>IF(COUNTIF('07_スキル辞書'!$A$4:$A$109,E45)&lt;&gt;1,"参照ID不正",IF(INDEX('07_スキル辞書'!$I$4:$I$109,MATCH(E45,'07_スキル辞書'!$A$4:$A$109,0))="","",INDEX('07_スキル辞書'!$I$4:$I$109,MATCH(E45,'07_スキル辞書'!$A$4:$A$109,0))))</f>
        <v>Launch計画・販売資料・導入実績</v>
      </c>
      <c r="I45" s="4" t="s">
        <v>2900</v>
      </c>
    </row>
    <row r="46" spans="1:9" ht="38" customHeight="1" x14ac:dyDescent="0.2">
      <c r="A46" s="2" t="s">
        <v>407</v>
      </c>
      <c r="B46" s="28" t="str">
        <f>IF(COUNTIF('02_工程タスク'!$A$4:$A$135,A46)&lt;&gt;1,"参照ID不正",IF(INDEX('02_工程タスク'!$D$4:$D$135,MATCH(A46,'02_工程タスク'!$A$4:$A$135,0))="","",INDEX('02_工程タスク'!$D$4:$D$135,MATCH(A46,'02_工程タスク'!$A$4:$A$135,0))))</f>
        <v>提供・販売・サポート経路の仮設計</v>
      </c>
      <c r="C46" s="28" t="str">
        <f>IF(COUNTIF('02_工程タスク'!$A$4:$A$135,A46)&lt;&gt;1,"参照ID不正",IF(INDEX('02_工程タスク'!$G$4:$G$135,MATCH(A46,'02_工程タスク'!$A$4:$A$135,0))="","",INDEX('02_工程タスク'!$G$4:$G$135,MATCH(A46,'02_工程タスク'!$A$4:$A$135,0))))</f>
        <v>R16, R17, R02</v>
      </c>
      <c r="D46" s="28" t="str">
        <f>IF(COUNTIF('02_工程タスク'!$A$4:$A$135,A46)&lt;&gt;1,"参照ID不正",IF(INDEX('02_工程タスク'!$H$4:$H$135,MATCH(A46,'02_工程タスク'!$A$4:$A$135,0))="","",INDEX('02_工程タスク'!$H$4:$H$135,MATCH(A46,'02_工程タスク'!$A$4:$A$135,0))))</f>
        <v>R01</v>
      </c>
      <c r="E46" s="2" t="s">
        <v>2697</v>
      </c>
      <c r="F46" s="28" t="str">
        <f>IF(COUNTIF('07_スキル辞書'!$A$4:$A$109,E46)&lt;&gt;1,"参照ID不正",IF(INDEX('07_スキル辞書'!$D$4:$D$109,MATCH(E46,'07_スキル辞書'!$A$4:$A$109,0))="","",INDEX('07_スキル辞書'!$D$4:$D$109,MATCH(E46,'07_スキル辞書'!$A$4:$A$109,0))))</f>
        <v>ファネル・コホート・継続改善</v>
      </c>
      <c r="G46" s="2">
        <v>2</v>
      </c>
      <c r="H46" s="28" t="str">
        <f>IF(COUNTIF('07_スキル辞書'!$A$4:$A$109,E46)&lt;&gt;1,"参照ID不正",IF(INDEX('07_スキル辞書'!$I$4:$I$109,MATCH(E46,'07_スキル辞書'!$A$4:$A$109,0))="","",INDEX('07_スキル辞書'!$I$4:$I$109,MATCH(E46,'07_スキル辞書'!$A$4:$A$109,0))))</f>
        <v>ファネル・継続分析・実験</v>
      </c>
      <c r="I46" s="2" t="s">
        <v>2900</v>
      </c>
    </row>
    <row r="47" spans="1:9" ht="38" customHeight="1" x14ac:dyDescent="0.2">
      <c r="A47" s="4" t="s">
        <v>407</v>
      </c>
      <c r="B47" s="28" t="str">
        <f>IF(COUNTIF('02_工程タスク'!$A$4:$A$135,A47)&lt;&gt;1,"参照ID不正",IF(INDEX('02_工程タスク'!$D$4:$D$135,MATCH(A47,'02_工程タスク'!$A$4:$A$135,0))="","",INDEX('02_工程タスク'!$D$4:$D$135,MATCH(A47,'02_工程タスク'!$A$4:$A$135,0))))</f>
        <v>提供・販売・サポート経路の仮設計</v>
      </c>
      <c r="C47" s="28" t="str">
        <f>IF(COUNTIF('02_工程タスク'!$A$4:$A$135,A47)&lt;&gt;1,"参照ID不正",IF(INDEX('02_工程タスク'!$G$4:$G$135,MATCH(A47,'02_工程タスク'!$A$4:$A$135,0))="","",INDEX('02_工程タスク'!$G$4:$G$135,MATCH(A47,'02_工程タスク'!$A$4:$A$135,0))))</f>
        <v>R16, R17, R02</v>
      </c>
      <c r="D47" s="28" t="str">
        <f>IF(COUNTIF('02_工程タスク'!$A$4:$A$135,A47)&lt;&gt;1,"参照ID不正",IF(INDEX('02_工程タスク'!$H$4:$H$135,MATCH(A47,'02_工程タスク'!$A$4:$A$135,0))="","",INDEX('02_工程タスク'!$H$4:$H$135,MATCH(A47,'02_工程タスク'!$A$4:$A$135,0))))</f>
        <v>R01</v>
      </c>
      <c r="E47" s="4" t="s">
        <v>2723</v>
      </c>
      <c r="F47" s="28" t="str">
        <f>IF(COUNTIF('07_スキル辞書'!$A$4:$A$109,E47)&lt;&gt;1,"参照ID不正",IF(INDEX('07_スキル辞書'!$D$4:$D$109,MATCH(E47,'07_スキル辞書'!$A$4:$A$109,0))="","",INDEX('07_スキル辞書'!$D$4:$D$109,MATCH(E47,'07_スキル辞書'!$A$4:$A$109,0))))</f>
        <v>導入・顧客成功・救済</v>
      </c>
      <c r="G47" s="4">
        <v>2</v>
      </c>
      <c r="H47" s="28" t="str">
        <f>IF(COUNTIF('07_スキル辞書'!$A$4:$A$109,E47)&lt;&gt;1,"参照ID不正",IF(INDEX('07_スキル辞書'!$I$4:$I$109,MATCH(E47,'07_スキル辞書'!$A$4:$A$109,0))="","",INDEX('07_スキル辞書'!$I$4:$I$109,MATCH(E47,'07_スキル辞書'!$A$4:$A$109,0))))</f>
        <v>CS記録・導入指標・救済記録</v>
      </c>
      <c r="I47" s="4" t="s">
        <v>2900</v>
      </c>
    </row>
    <row r="48" spans="1:9" ht="38" customHeight="1" x14ac:dyDescent="0.2">
      <c r="A48" s="2" t="s">
        <v>416</v>
      </c>
      <c r="B48" s="28" t="str">
        <f>IF(COUNTIF('02_工程タスク'!$A$4:$A$135,A48)&lt;&gt;1,"参照ID不正",IF(INDEX('02_工程タスク'!$D$4:$D$135,MATCH(A48,'02_工程タスク'!$A$4:$A$135,0))="","",INDEX('02_工程タスク'!$D$4:$D$135,MATCH(A48,'02_工程タスク'!$A$4:$A$135,0))))</f>
        <v>ロール・能力ギャップ・要員計画</v>
      </c>
      <c r="C48" s="28" t="str">
        <f>IF(COUNTIF('02_工程タスク'!$A$4:$A$135,A48)&lt;&gt;1,"参照ID不正",IF(INDEX('02_工程タスク'!$G$4:$G$135,MATCH(A48,'02_工程タスク'!$A$4:$A$135,0))="","",INDEX('02_工程タスク'!$G$4:$G$135,MATCH(A48,'02_工程タスク'!$A$4:$A$135,0))))</f>
        <v>R03, R06, R11</v>
      </c>
      <c r="D48" s="28" t="str">
        <f>IF(COUNTIF('02_工程タスク'!$A$4:$A$135,A48)&lt;&gt;1,"参照ID不正",IF(INDEX('02_工程タスク'!$H$4:$H$135,MATCH(A48,'02_工程タスク'!$A$4:$A$135,0))="","",INDEX('02_工程タスク'!$H$4:$H$135,MATCH(A48,'02_工程タスク'!$A$4:$A$135,0))))</f>
        <v>R01</v>
      </c>
      <c r="E48" s="2" t="s">
        <v>1975</v>
      </c>
      <c r="F48" s="28" t="str">
        <f>IF(COUNTIF('07_スキル辞書'!$A$4:$A$109,E48)&lt;&gt;1,"参照ID不正",IF(INDEX('07_スキル辞書'!$D$4:$D$109,MATCH(E48,'07_スキル辞書'!$A$4:$A$109,0))="","",INDEX('07_スキル辞書'!$D$4:$D$109,MATCH(E48,'07_スキル辞書'!$A$4:$A$109,0))))</f>
        <v>ステークホルダー分析とRACI運用</v>
      </c>
      <c r="G48" s="2">
        <v>2</v>
      </c>
      <c r="H48" s="28" t="str">
        <f>IF(COUNTIF('07_スキル辞書'!$A$4:$A$109,E48)&lt;&gt;1,"参照ID不正",IF(INDEX('07_スキル辞書'!$I$4:$I$109,MATCH(E48,'07_スキル辞書'!$A$4:$A$109,0))="","",INDEX('07_スキル辞書'!$I$4:$I$109,MATCH(E48,'07_スキル辞書'!$A$4:$A$109,0))))</f>
        <v>ステークホルダーマップ、RACIチャート v1、RACIチャート v2、利用部門の責任・権限一覧、運用体制図</v>
      </c>
      <c r="I48" s="2" t="s">
        <v>2900</v>
      </c>
    </row>
    <row r="49" spans="1:9" ht="38" customHeight="1" x14ac:dyDescent="0.2">
      <c r="A49" s="4" t="s">
        <v>416</v>
      </c>
      <c r="B49" s="28" t="str">
        <f>IF(COUNTIF('02_工程タスク'!$A$4:$A$135,A49)&lt;&gt;1,"参照ID不正",IF(INDEX('02_工程タスク'!$D$4:$D$135,MATCH(A49,'02_工程タスク'!$A$4:$A$135,0))="","",INDEX('02_工程タスク'!$D$4:$D$135,MATCH(A49,'02_工程タスク'!$A$4:$A$135,0))))</f>
        <v>ロール・能力ギャップ・要員計画</v>
      </c>
      <c r="C49" s="28" t="str">
        <f>IF(COUNTIF('02_工程タスク'!$A$4:$A$135,A49)&lt;&gt;1,"参照ID不正",IF(INDEX('02_工程タスク'!$G$4:$G$135,MATCH(A49,'02_工程タスク'!$A$4:$A$135,0))="","",INDEX('02_工程タスク'!$G$4:$G$135,MATCH(A49,'02_工程タスク'!$A$4:$A$135,0))))</f>
        <v>R03, R06, R11</v>
      </c>
      <c r="D49" s="28" t="str">
        <f>IF(COUNTIF('02_工程タスク'!$A$4:$A$135,A49)&lt;&gt;1,"参照ID不正",IF(INDEX('02_工程タスク'!$H$4:$H$135,MATCH(A49,'02_工程タスク'!$A$4:$A$135,0))="","",INDEX('02_工程タスク'!$H$4:$H$135,MATCH(A49,'02_工程タスク'!$A$4:$A$135,0))))</f>
        <v>R01</v>
      </c>
      <c r="E49" s="4" t="s">
        <v>2064</v>
      </c>
      <c r="F49" s="28" t="str">
        <f>IF(COUNTIF('07_スキル辞書'!$A$4:$A$109,E49)&lt;&gt;1,"参照ID不正",IF(INDEX('07_スキル辞書'!$D$4:$D$109,MATCH(E49,'07_スキル辞書'!$A$4:$A$109,0))="","",INDEX('07_スキル辞書'!$D$4:$D$109,MATCH(E49,'07_スキル辞書'!$A$4:$A$109,0))))</f>
        <v>プロジェクト計画・進捗・変更管理</v>
      </c>
      <c r="G49" s="4">
        <v>2</v>
      </c>
      <c r="H49" s="28" t="str">
        <f>IF(COUNTIF('07_スキル辞書'!$A$4:$A$109,E49)&lt;&gt;1,"参照ID不正",IF(INDEX('07_スキル辞書'!$I$4:$I$109,MATCH(E49,'07_スキル辞書'!$A$4:$A$109,0))="","",INDEX('07_スキル辞書'!$I$4:$I$109,MATCH(E49,'07_スキル辞書'!$A$4:$A$109,0))))</f>
        <v>Issue／ロードマップ、投資枠・検証予算、変更影響評価、事業・品質レビュー、継続／停止判断。</v>
      </c>
      <c r="I49" s="4" t="s">
        <v>2900</v>
      </c>
    </row>
    <row r="50" spans="1:9" ht="38" customHeight="1" x14ac:dyDescent="0.2">
      <c r="A50" s="2" t="s">
        <v>416</v>
      </c>
      <c r="B50" s="28" t="str">
        <f>IF(COUNTIF('02_工程タスク'!$A$4:$A$135,A50)&lt;&gt;1,"参照ID不正",IF(INDEX('02_工程タスク'!$D$4:$D$135,MATCH(A50,'02_工程タスク'!$A$4:$A$135,0))="","",INDEX('02_工程タスク'!$D$4:$D$135,MATCH(A50,'02_工程タスク'!$A$4:$A$135,0))))</f>
        <v>ロール・能力ギャップ・要員計画</v>
      </c>
      <c r="C50" s="28" t="str">
        <f>IF(COUNTIF('02_工程タスク'!$A$4:$A$135,A50)&lt;&gt;1,"参照ID不正",IF(INDEX('02_工程タスク'!$G$4:$G$135,MATCH(A50,'02_工程タスク'!$A$4:$A$135,0))="","",INDEX('02_工程タスク'!$G$4:$G$135,MATCH(A50,'02_工程タスク'!$A$4:$A$135,0))))</f>
        <v>R03, R06, R11</v>
      </c>
      <c r="D50" s="28" t="str">
        <f>IF(COUNTIF('02_工程タスク'!$A$4:$A$135,A50)&lt;&gt;1,"参照ID不正",IF(INDEX('02_工程タスク'!$H$4:$H$135,MATCH(A50,'02_工程タスク'!$A$4:$A$135,0))="","",INDEX('02_工程タスク'!$H$4:$H$135,MATCH(A50,'02_工程タスク'!$A$4:$A$135,0))))</f>
        <v>R01</v>
      </c>
      <c r="E50" s="2" t="s">
        <v>2714</v>
      </c>
      <c r="F50" s="28" t="str">
        <f>IF(COUNTIF('07_スキル辞書'!$A$4:$A$109,E50)&lt;&gt;1,"参照ID不正",IF(INDEX('07_スキル辞書'!$D$4:$D$109,MATCH(E50,'07_スキル辞書'!$A$4:$A$109,0))="","",INDEX('07_スキル辞書'!$D$4:$D$109,MATCH(E50,'07_スキル辞書'!$A$4:$A$109,0))))</f>
        <v>スキルギャップ・兼務・要員設計</v>
      </c>
      <c r="G50" s="2">
        <v>2</v>
      </c>
      <c r="H50" s="28" t="str">
        <f>IF(COUNTIF('07_スキル辞書'!$A$4:$A$109,E50)&lt;&gt;1,"参照ID不正",IF(INDEX('07_スキル辞書'!$I$4:$I$109,MATCH(E50,'07_スキル辞書'!$A$4:$A$109,0))="","",INDEX('07_スキル辞書'!$I$4:$I$109,MATCH(E50,'07_スキル辞書'!$A$4:$A$109,0))))</f>
        <v>能力評価・要員・育成計画</v>
      </c>
      <c r="I50" s="2" t="s">
        <v>2900</v>
      </c>
    </row>
    <row r="51" spans="1:9" ht="38" customHeight="1" x14ac:dyDescent="0.2">
      <c r="A51" s="4" t="s">
        <v>425</v>
      </c>
      <c r="B51" s="28" t="str">
        <f>IF(COUNTIF('02_工程タスク'!$A$4:$A$135,A51)&lt;&gt;1,"参照ID不正",IF(INDEX('02_工程タスク'!$D$4:$D$135,MATCH(A51,'02_工程タスク'!$A$4:$A$135,0))="","",INDEX('02_工程タスク'!$D$4:$D$135,MATCH(A51,'02_工程タスク'!$A$4:$A$135,0))))</f>
        <v>規模・適用・段階投資の設定</v>
      </c>
      <c r="C51" s="28" t="str">
        <f>IF(COUNTIF('02_工程タスク'!$A$4:$A$135,A51)&lt;&gt;1,"参照ID不正",IF(INDEX('02_工程タスク'!$G$4:$G$135,MATCH(A51,'02_工程タスク'!$A$4:$A$135,0))="","",INDEX('02_工程タスク'!$G$4:$G$135,MATCH(A51,'02_工程タスク'!$A$4:$A$135,0))))</f>
        <v>R03, R15</v>
      </c>
      <c r="D51" s="28" t="str">
        <f>IF(COUNTIF('02_工程タスク'!$A$4:$A$135,A51)&lt;&gt;1,"参照ID不正",IF(INDEX('02_工程タスク'!$H$4:$H$135,MATCH(A51,'02_工程タスク'!$A$4:$A$135,0))="","",INDEX('02_工程タスク'!$H$4:$H$135,MATCH(A51,'02_工程タスク'!$A$4:$A$135,0))))</f>
        <v>R01</v>
      </c>
      <c r="E51" s="4" t="s">
        <v>2064</v>
      </c>
      <c r="F51" s="28" t="str">
        <f>IF(COUNTIF('07_スキル辞書'!$A$4:$A$109,E51)&lt;&gt;1,"参照ID不正",IF(INDEX('07_スキル辞書'!$D$4:$D$109,MATCH(E51,'07_スキル辞書'!$A$4:$A$109,0))="","",INDEX('07_スキル辞書'!$D$4:$D$109,MATCH(E51,'07_スキル辞書'!$A$4:$A$109,0))))</f>
        <v>プロジェクト計画・進捗・変更管理</v>
      </c>
      <c r="G51" s="4">
        <v>2</v>
      </c>
      <c r="H51" s="28" t="str">
        <f>IF(COUNTIF('07_スキル辞書'!$A$4:$A$109,E51)&lt;&gt;1,"参照ID不正",IF(INDEX('07_スキル辞書'!$I$4:$I$109,MATCH(E51,'07_スキル辞書'!$A$4:$A$109,0))="","",INDEX('07_スキル辞書'!$I$4:$I$109,MATCH(E51,'07_スキル辞書'!$A$4:$A$109,0))))</f>
        <v>Issue／ロードマップ、投資枠・検証予算、変更影響評価、事業・品質レビュー、継続／停止判断。</v>
      </c>
      <c r="I51" s="4" t="s">
        <v>2900</v>
      </c>
    </row>
    <row r="52" spans="1:9" ht="38" customHeight="1" x14ac:dyDescent="0.2">
      <c r="A52" s="2" t="s">
        <v>425</v>
      </c>
      <c r="B52" s="28" t="str">
        <f>IF(COUNTIF('02_工程タスク'!$A$4:$A$135,A52)&lt;&gt;1,"参照ID不正",IF(INDEX('02_工程タスク'!$D$4:$D$135,MATCH(A52,'02_工程タスク'!$A$4:$A$135,0))="","",INDEX('02_工程タスク'!$D$4:$D$135,MATCH(A52,'02_工程タスク'!$A$4:$A$135,0))))</f>
        <v>規模・適用・段階投資の設定</v>
      </c>
      <c r="C52" s="28" t="str">
        <f>IF(COUNTIF('02_工程タスク'!$A$4:$A$135,A52)&lt;&gt;1,"参照ID不正",IF(INDEX('02_工程タスク'!$G$4:$G$135,MATCH(A52,'02_工程タスク'!$A$4:$A$135,0))="","",INDEX('02_工程タスク'!$G$4:$G$135,MATCH(A52,'02_工程タスク'!$A$4:$A$135,0))))</f>
        <v>R03, R15</v>
      </c>
      <c r="D52" s="28" t="str">
        <f>IF(COUNTIF('02_工程タスク'!$A$4:$A$135,A52)&lt;&gt;1,"参照ID不正",IF(INDEX('02_工程タスク'!$H$4:$H$135,MATCH(A52,'02_工程タスク'!$A$4:$A$135,0))="","",INDEX('02_工程タスク'!$H$4:$H$135,MATCH(A52,'02_工程タスク'!$A$4:$A$135,0))))</f>
        <v>R01</v>
      </c>
      <c r="E52" s="2" t="s">
        <v>2083</v>
      </c>
      <c r="F52" s="28" t="str">
        <f>IF(COUNTIF('07_スキル辞書'!$A$4:$A$109,E52)&lt;&gt;1,"参照ID不正",IF(INDEX('07_スキル辞書'!$D$4:$D$109,MATCH(E52,'07_スキル辞書'!$A$4:$A$109,0))="","",INDEX('07_スキル辞書'!$D$4:$D$109,MATCH(E52,'07_スキル辞書'!$A$4:$A$109,0))))</f>
        <v>方式・機能・配置・学習とRisk Tierの適用</v>
      </c>
      <c r="G52" s="2">
        <v>2</v>
      </c>
      <c r="H52" s="28" t="str">
        <f>IF(COUNTIF('07_スキル辞書'!$A$4:$A$109,E52)&lt;&gt;1,"参照ID不正",IF(INDEX('07_スキル辞書'!$I$4:$I$109,MATCH(E52,'07_スキル辞書'!$A$4:$A$109,0))="","",INDEX('07_スキル辞書'!$I$4:$I$109,MATCH(E52,'07_スキル辞書'!$A$4:$A$109,0))))</f>
        <v>適用判定・Risk Tier・例外承認</v>
      </c>
      <c r="I52" s="2" t="s">
        <v>2900</v>
      </c>
    </row>
    <row r="53" spans="1:9" ht="38" customHeight="1" x14ac:dyDescent="0.2">
      <c r="A53" s="4" t="s">
        <v>425</v>
      </c>
      <c r="B53" s="28" t="str">
        <f>IF(COUNTIF('02_工程タスク'!$A$4:$A$135,A53)&lt;&gt;1,"参照ID不正",IF(INDEX('02_工程タスク'!$D$4:$D$135,MATCH(A53,'02_工程タスク'!$A$4:$A$135,0))="","",INDEX('02_工程タスク'!$D$4:$D$135,MATCH(A53,'02_工程タスク'!$A$4:$A$135,0))))</f>
        <v>規模・適用・段階投資の設定</v>
      </c>
      <c r="C53" s="28" t="str">
        <f>IF(COUNTIF('02_工程タスク'!$A$4:$A$135,A53)&lt;&gt;1,"参照ID不正",IF(INDEX('02_工程タスク'!$G$4:$G$135,MATCH(A53,'02_工程タスク'!$A$4:$A$135,0))="","",INDEX('02_工程タスク'!$G$4:$G$135,MATCH(A53,'02_工程タスク'!$A$4:$A$135,0))))</f>
        <v>R03, R15</v>
      </c>
      <c r="D53" s="28" t="str">
        <f>IF(COUNTIF('02_工程タスク'!$A$4:$A$135,A53)&lt;&gt;1,"参照ID不正",IF(INDEX('02_工程タスク'!$H$4:$H$135,MATCH(A53,'02_工程タスク'!$A$4:$A$135,0))="","",INDEX('02_工程タスク'!$H$4:$H$135,MATCH(A53,'02_工程タスク'!$A$4:$A$135,0))))</f>
        <v>R01</v>
      </c>
      <c r="E53" s="4" t="s">
        <v>2651</v>
      </c>
      <c r="F53" s="28" t="str">
        <f>IF(COUNTIF('07_スキル辞書'!$A$4:$A$109,E53)&lt;&gt;1,"参照ID不正",IF(INDEX('07_スキル辞書'!$D$4:$D$109,MATCH(E53,'07_スキル辞書'!$A$4:$A$109,0))="","",INDEX('07_スキル辞書'!$D$4:$D$109,MATCH(E53,'07_スキル辞書'!$A$4:$A$109,0))))</f>
        <v>リスク比例の投資・公開・継続・変更判断</v>
      </c>
      <c r="G53" s="4">
        <v>3</v>
      </c>
      <c r="H53" s="28" t="str">
        <f>IF(COUNTIF('07_スキル辞書'!$A$4:$A$109,E53)&lt;&gt;1,"参照ID不正",IF(INDEX('07_スキル辞書'!$I$4:$I$109,MATCH(E53,'07_スキル辞書'!$A$4:$A$109,0))="","",INDEX('07_スキル辞書'!$I$4:$I$109,MATCH(E53,'07_スキル辞書'!$A$4:$A$109,0))))</f>
        <v>投資・Release・例外・継続判断記録</v>
      </c>
      <c r="I53" s="4" t="s">
        <v>2900</v>
      </c>
    </row>
    <row r="54" spans="1:9" ht="38" customHeight="1" x14ac:dyDescent="0.2">
      <c r="A54" s="2" t="s">
        <v>435</v>
      </c>
      <c r="B54" s="28" t="str">
        <f>IF(COUNTIF('02_工程タスク'!$A$4:$A$135,A54)&lt;&gt;1,"参照ID不正",IF(INDEX('02_工程タスク'!$D$4:$D$135,MATCH(A54,'02_工程タスク'!$A$4:$A$135,0))="","",INDEX('02_工程タスク'!$D$4:$D$135,MATCH(A54,'02_工程タスク'!$A$4:$A$135,0))))</f>
        <v>探索証拠と反証の整理</v>
      </c>
      <c r="C54" s="28" t="str">
        <f>IF(COUNTIF('02_工程タスク'!$A$4:$A$135,A54)&lt;&gt;1,"参照ID不正",IF(INDEX('02_工程タスク'!$G$4:$G$135,MATCH(A54,'02_工程タスク'!$A$4:$A$135,0))="","",INDEX('02_工程タスク'!$G$4:$G$135,MATCH(A54,'02_工程タスク'!$A$4:$A$135,0))))</f>
        <v>R02, R08, R15</v>
      </c>
      <c r="D54" s="28" t="str">
        <f>IF(COUNTIF('02_工程タスク'!$A$4:$A$135,A54)&lt;&gt;1,"参照ID不正",IF(INDEX('02_工程タスク'!$H$4:$H$135,MATCH(A54,'02_工程タスク'!$A$4:$A$135,0))="","",INDEX('02_工程タスク'!$H$4:$H$135,MATCH(A54,'02_工程タスク'!$A$4:$A$135,0))))</f>
        <v>R01</v>
      </c>
      <c r="E54" s="2" t="s">
        <v>2002</v>
      </c>
      <c r="F54" s="28" t="str">
        <f>IF(COUNTIF('07_スキル辞書'!$A$4:$A$109,E54)&lt;&gt;1,"参照ID不正",IF(INDEX('07_スキル辞書'!$D$4:$D$109,MATCH(E54,'07_スキル辞書'!$A$4:$A$109,0))="","",INDEX('07_スキル辞書'!$D$4:$D$109,MATCH(E54,'07_スキル辞書'!$A$4:$A$109,0))))</f>
        <v>価値仮説の定義とKPI設計</v>
      </c>
      <c r="G54" s="2">
        <v>2</v>
      </c>
      <c r="H54" s="28" t="str">
        <f>IF(COUNTIF('07_スキル辞書'!$A$4:$A$109,E54)&lt;&gt;1,"参照ID不正",IF(INDEX('07_スキル辞書'!$I$4:$I$109,MATCH(E54,'07_スキル辞書'!$A$4:$A$109,0))="","",INDEX('07_スキル辞書'!$I$4:$I$109,MATCH(E54,'07_スキル辞書'!$A$4:$A$109,0))))</f>
        <v>価値仮説ステートメント、課題定義書、SMART目標、スコープ定義書、PoC計画書（実験計画・承認の別紙）</v>
      </c>
      <c r="I54" s="2" t="s">
        <v>2900</v>
      </c>
    </row>
    <row r="55" spans="1:9" ht="38" customHeight="1" x14ac:dyDescent="0.2">
      <c r="A55" s="4" t="s">
        <v>435</v>
      </c>
      <c r="B55" s="28" t="str">
        <f>IF(COUNTIF('02_工程タスク'!$A$4:$A$135,A55)&lt;&gt;1,"参照ID不正",IF(INDEX('02_工程タスク'!$D$4:$D$135,MATCH(A55,'02_工程タスク'!$A$4:$A$135,0))="","",INDEX('02_工程タスク'!$D$4:$D$135,MATCH(A55,'02_工程タスク'!$A$4:$A$135,0))))</f>
        <v>探索証拠と反証の整理</v>
      </c>
      <c r="C55" s="28" t="str">
        <f>IF(COUNTIF('02_工程タスク'!$A$4:$A$135,A55)&lt;&gt;1,"参照ID不正",IF(INDEX('02_工程タスク'!$G$4:$G$135,MATCH(A55,'02_工程タスク'!$A$4:$A$135,0))="","",INDEX('02_工程タスク'!$G$4:$G$135,MATCH(A55,'02_工程タスク'!$A$4:$A$135,0))))</f>
        <v>R02, R08, R15</v>
      </c>
      <c r="D55" s="28" t="str">
        <f>IF(COUNTIF('02_工程タスク'!$A$4:$A$135,A55)&lt;&gt;1,"参照ID不正",IF(INDEX('02_工程タスク'!$H$4:$H$135,MATCH(A55,'02_工程タスク'!$A$4:$A$135,0))="","",INDEX('02_工程タスク'!$H$4:$H$135,MATCH(A55,'02_工程タスク'!$A$4:$A$135,0))))</f>
        <v>R01</v>
      </c>
      <c r="E55" s="4" t="s">
        <v>2480</v>
      </c>
      <c r="F55" s="28" t="str">
        <f>IF(COUNTIF('07_スキル辞書'!$A$4:$A$109,E55)&lt;&gt;1,"参照ID不正",IF(INDEX('07_スキル辞書'!$D$4:$D$109,MATCH(E55,'07_スキル辞書'!$A$4:$A$109,0))="","",INDEX('07_スキル辞書'!$D$4:$D$109,MATCH(E55,'07_スキル辞書'!$A$4:$A$109,0))))</f>
        <v>ベースライン設計と実験管理</v>
      </c>
      <c r="G55" s="4">
        <v>2</v>
      </c>
      <c r="H55" s="28" t="str">
        <f>IF(COUNTIF('07_スキル辞書'!$A$4:$A$109,E55)&lt;&gt;1,"参照ID不正",IF(INDEX('07_スキル辞書'!$I$4:$I$109,MATCH(E55,'07_スキル辞書'!$A$4:$A$109,0))="","",INDEX('07_スキル辞書'!$I$4:$I$109,MATCH(E55,'07_スキル辞書'!$A$4:$A$109,0))))</f>
        <v>ベースライン性能測定レポート、学習・改善ログ、検証環境、モックアップモデル（またはプロンプト/検索設定一式）</v>
      </c>
      <c r="I55" s="4" t="s">
        <v>2900</v>
      </c>
    </row>
    <row r="56" spans="1:9" ht="38" customHeight="1" x14ac:dyDescent="0.2">
      <c r="A56" s="2" t="s">
        <v>435</v>
      </c>
      <c r="B56" s="28" t="str">
        <f>IF(COUNTIF('02_工程タスク'!$A$4:$A$135,A56)&lt;&gt;1,"参照ID不正",IF(INDEX('02_工程タスク'!$D$4:$D$135,MATCH(A56,'02_工程タスク'!$A$4:$A$135,0))="","",INDEX('02_工程タスク'!$D$4:$D$135,MATCH(A56,'02_工程タスク'!$A$4:$A$135,0))))</f>
        <v>探索証拠と反証の整理</v>
      </c>
      <c r="C56" s="28" t="str">
        <f>IF(COUNTIF('02_工程タスク'!$A$4:$A$135,A56)&lt;&gt;1,"参照ID不正",IF(INDEX('02_工程タスク'!$G$4:$G$135,MATCH(A56,'02_工程タスク'!$A$4:$A$135,0))="","",INDEX('02_工程タスク'!$G$4:$G$135,MATCH(A56,'02_工程タスク'!$A$4:$A$135,0))))</f>
        <v>R02, R08, R15</v>
      </c>
      <c r="D56" s="28" t="str">
        <f>IF(COUNTIF('02_工程タスク'!$A$4:$A$135,A56)&lt;&gt;1,"参照ID不正",IF(INDEX('02_工程タスク'!$H$4:$H$135,MATCH(A56,'02_工程タスク'!$A$4:$A$135,0))="","",INDEX('02_工程タスク'!$H$4:$H$135,MATCH(A56,'02_工程タスク'!$A$4:$A$135,0))))</f>
        <v>R01</v>
      </c>
      <c r="E56" s="2" t="s">
        <v>2705</v>
      </c>
      <c r="F56" s="28" t="str">
        <f>IF(COUNTIF('07_スキル辞書'!$A$4:$A$109,E56)&lt;&gt;1,"参照ID不正",IF(INDEX('07_スキル辞書'!$D$4:$D$109,MATCH(E56,'07_スキル辞書'!$A$4:$A$109,0))="","",INDEX('07_スキル辞書'!$D$4:$D$109,MATCH(E56,'07_スキル辞書'!$A$4:$A$109,0))))</f>
        <v>仮説・実験・反証・意思決定</v>
      </c>
      <c r="G56" s="2">
        <v>2</v>
      </c>
      <c r="H56" s="28" t="str">
        <f>IF(COUNTIF('07_スキル辞書'!$A$4:$A$109,E56)&lt;&gt;1,"参照ID不正",IF(INDEX('07_スキル辞書'!$I$4:$I$109,MATCH(E56,'07_スキル辞書'!$A$4:$A$109,0))="","",INDEX('07_スキル辞書'!$I$4:$I$109,MATCH(E56,'07_スキル辞書'!$A$4:$A$109,0))))</f>
        <v>実験台帳・判断・学習ログ</v>
      </c>
      <c r="I56" s="2" t="s">
        <v>2900</v>
      </c>
    </row>
    <row r="57" spans="1:9" ht="38" customHeight="1" x14ac:dyDescent="0.2">
      <c r="A57" s="4" t="s">
        <v>435</v>
      </c>
      <c r="B57" s="28" t="str">
        <f>IF(COUNTIF('02_工程タスク'!$A$4:$A$135,A57)&lt;&gt;1,"参照ID不正",IF(INDEX('02_工程タスク'!$D$4:$D$135,MATCH(A57,'02_工程タスク'!$A$4:$A$135,0))="","",INDEX('02_工程タスク'!$D$4:$D$135,MATCH(A57,'02_工程タスク'!$A$4:$A$135,0))))</f>
        <v>探索証拠と反証の整理</v>
      </c>
      <c r="C57" s="28" t="str">
        <f>IF(COUNTIF('02_工程タスク'!$A$4:$A$135,A57)&lt;&gt;1,"参照ID不正",IF(INDEX('02_工程タスク'!$G$4:$G$135,MATCH(A57,'02_工程タスク'!$A$4:$A$135,0))="","",INDEX('02_工程タスク'!$G$4:$G$135,MATCH(A57,'02_工程タスク'!$A$4:$A$135,0))))</f>
        <v>R02, R08, R15</v>
      </c>
      <c r="D57" s="28" t="str">
        <f>IF(COUNTIF('02_工程タスク'!$A$4:$A$135,A57)&lt;&gt;1,"参照ID不正",IF(INDEX('02_工程タスク'!$H$4:$H$135,MATCH(A57,'02_工程タスク'!$A$4:$A$135,0))="","",INDEX('02_工程タスク'!$H$4:$H$135,MATCH(A57,'02_工程タスク'!$A$4:$A$135,0))))</f>
        <v>R01</v>
      </c>
      <c r="E57" s="4" t="s">
        <v>1967</v>
      </c>
      <c r="F57" s="28" t="str">
        <f>IF(COUNTIF('07_スキル辞書'!$A$4:$A$109,E57)&lt;&gt;1,"参照ID不正",IF(INDEX('07_スキル辞書'!$D$4:$D$109,MATCH(E57,'07_スキル辞書'!$A$4:$A$109,0))="","",INDEX('07_スキル辞書'!$D$4:$D$109,MATCH(E57,'07_スキル辞書'!$A$4:$A$109,0))))</f>
        <v>ファシリテーション・交渉・合意形成</v>
      </c>
      <c r="G57" s="4">
        <v>2</v>
      </c>
      <c r="H57" s="28" t="str">
        <f>IF(COUNTIF('07_スキル辞書'!$A$4:$A$109,E57)&lt;&gt;1,"参照ID不正",IF(INDEX('07_スキル辞書'!$I$4:$I$109,MATCH(E57,'07_スキル辞書'!$A$4:$A$109,0))="","",INDEX('07_スキル辞書'!$I$4:$I$109,MATCH(E57,'07_スキル辞書'!$A$4:$A$109,0))))</f>
        <v>キックオフ議事録、意思決定議事録（判断根拠を明記）、QBR資料、UATフィードバックリストと対応計画</v>
      </c>
      <c r="I57" s="4" t="s">
        <v>2900</v>
      </c>
    </row>
    <row r="58" spans="1:9" ht="38" customHeight="1" x14ac:dyDescent="0.2">
      <c r="A58" s="2" t="s">
        <v>445</v>
      </c>
      <c r="B58" s="28" t="str">
        <f>IF(COUNTIF('02_工程タスク'!$A$4:$A$135,A58)&lt;&gt;1,"参照ID不正",IF(INDEX('02_工程タスク'!$D$4:$D$135,MATCH(A58,'02_工程タスク'!$A$4:$A$135,0))="","",INDEX('02_工程タスク'!$D$4:$D$135,MATCH(A58,'02_工程タスク'!$A$4:$A$135,0))))</f>
        <v>事業探索・予算枠承認</v>
      </c>
      <c r="C58" s="28" t="str">
        <f>IF(COUNTIF('02_工程タスク'!$A$4:$A$135,A58)&lt;&gt;1,"参照ID不正",IF(INDEX('02_工程タスク'!$G$4:$G$135,MATCH(A58,'02_工程タスク'!$A$4:$A$135,0))="","",INDEX('02_工程タスク'!$G$4:$G$135,MATCH(A58,'02_工程タスク'!$A$4:$A$135,0))))</f>
        <v>R02, R03</v>
      </c>
      <c r="D58" s="28" t="str">
        <f>IF(COUNTIF('02_工程タスク'!$A$4:$A$135,A58)&lt;&gt;1,"参照ID不正",IF(INDEX('02_工程タスク'!$H$4:$H$135,MATCH(A58,'02_工程タスク'!$A$4:$A$135,0))="","",INDEX('02_工程タスク'!$H$4:$H$135,MATCH(A58,'02_工程タスク'!$A$4:$A$135,0))))</f>
        <v>R01</v>
      </c>
      <c r="E58" s="2" t="s">
        <v>1924</v>
      </c>
      <c r="F58" s="28" t="str">
        <f>IF(COUNTIF('07_スキル辞書'!$A$4:$A$109,E58)&lt;&gt;1,"参照ID不正",IF(INDEX('07_スキル辞書'!$D$4:$D$109,MATCH(E58,'07_スキル辞書'!$A$4:$A$109,0))="","",INDEX('07_スキル辞書'!$D$4:$D$109,MATCH(E58,'07_スキル辞書'!$A$4:$A$109,0))))</f>
        <v>七工程と事業投資・公開ゲートの運用</v>
      </c>
      <c r="G58" s="2">
        <v>3</v>
      </c>
      <c r="H58" s="28" t="str">
        <f>IF(COUNTIF('07_スキル辞書'!$A$4:$A$109,E58)&lt;&gt;1,"参照ID不正",IF(INDEX('07_スキル辞書'!$I$4:$I$109,MATCH(E58,'07_スキル辞書'!$A$4:$A$109,0))="","",INDEX('07_スキル辞書'!$I$4:$I$109,MATCH(E58,'07_スキル辞書'!$A$4:$A$109,0))))</f>
        <v>G0〜G5判断記録・再Gate計画</v>
      </c>
      <c r="I58" s="2" t="s">
        <v>2900</v>
      </c>
    </row>
    <row r="59" spans="1:9" ht="38" customHeight="1" x14ac:dyDescent="0.2">
      <c r="A59" s="4" t="s">
        <v>445</v>
      </c>
      <c r="B59" s="28" t="str">
        <f>IF(COUNTIF('02_工程タスク'!$A$4:$A$135,A59)&lt;&gt;1,"参照ID不正",IF(INDEX('02_工程タスク'!$D$4:$D$135,MATCH(A59,'02_工程タスク'!$A$4:$A$135,0))="","",INDEX('02_工程タスク'!$D$4:$D$135,MATCH(A59,'02_工程タスク'!$A$4:$A$135,0))))</f>
        <v>事業探索・予算枠承認</v>
      </c>
      <c r="C59" s="28" t="str">
        <f>IF(COUNTIF('02_工程タスク'!$A$4:$A$135,A59)&lt;&gt;1,"参照ID不正",IF(INDEX('02_工程タスク'!$G$4:$G$135,MATCH(A59,'02_工程タスク'!$A$4:$A$135,0))="","",INDEX('02_工程タスク'!$G$4:$G$135,MATCH(A59,'02_工程タスク'!$A$4:$A$135,0))))</f>
        <v>R02, R03</v>
      </c>
      <c r="D59" s="28" t="str">
        <f>IF(COUNTIF('02_工程タスク'!$A$4:$A$135,A59)&lt;&gt;1,"参照ID不正",IF(INDEX('02_工程タスク'!$H$4:$H$135,MATCH(A59,'02_工程タスク'!$A$4:$A$135,0))="","",INDEX('02_工程タスク'!$H$4:$H$135,MATCH(A59,'02_工程タスク'!$A$4:$A$135,0))))</f>
        <v>R01</v>
      </c>
      <c r="E59" s="4" t="s">
        <v>2651</v>
      </c>
      <c r="F59" s="28" t="str">
        <f>IF(COUNTIF('07_スキル辞書'!$A$4:$A$109,E59)&lt;&gt;1,"参照ID不正",IF(INDEX('07_スキル辞書'!$D$4:$D$109,MATCH(E59,'07_スキル辞書'!$A$4:$A$109,0))="","",INDEX('07_スキル辞書'!$D$4:$D$109,MATCH(E59,'07_スキル辞書'!$A$4:$A$109,0))))</f>
        <v>リスク比例の投資・公開・継続・変更判断</v>
      </c>
      <c r="G59" s="4">
        <v>3</v>
      </c>
      <c r="H59" s="28" t="str">
        <f>IF(COUNTIF('07_スキル辞書'!$A$4:$A$109,E59)&lt;&gt;1,"参照ID不正",IF(INDEX('07_スキル辞書'!$I$4:$I$109,MATCH(E59,'07_スキル辞書'!$A$4:$A$109,0))="","",INDEX('07_スキル辞書'!$I$4:$I$109,MATCH(E59,'07_スキル辞書'!$A$4:$A$109,0))))</f>
        <v>投資・Release・例外・継続判断記録</v>
      </c>
      <c r="I59" s="4" t="s">
        <v>2900</v>
      </c>
    </row>
    <row r="60" spans="1:9" ht="38" customHeight="1" x14ac:dyDescent="0.2">
      <c r="A60" s="2" t="s">
        <v>445</v>
      </c>
      <c r="B60" s="28" t="str">
        <f>IF(COUNTIF('02_工程タスク'!$A$4:$A$135,A60)&lt;&gt;1,"参照ID不正",IF(INDEX('02_工程タスク'!$D$4:$D$135,MATCH(A60,'02_工程タスク'!$A$4:$A$135,0))="","",INDEX('02_工程タスク'!$D$4:$D$135,MATCH(A60,'02_工程タスク'!$A$4:$A$135,0))))</f>
        <v>事業探索・予算枠承認</v>
      </c>
      <c r="C60" s="28" t="str">
        <f>IF(COUNTIF('02_工程タスク'!$A$4:$A$135,A60)&lt;&gt;1,"参照ID不正",IF(INDEX('02_工程タスク'!$G$4:$G$135,MATCH(A60,'02_工程タスク'!$A$4:$A$135,0))="","",INDEX('02_工程タスク'!$G$4:$G$135,MATCH(A60,'02_工程タスク'!$A$4:$A$135,0))))</f>
        <v>R02, R03</v>
      </c>
      <c r="D60" s="28" t="str">
        <f>IF(COUNTIF('02_工程タスク'!$A$4:$A$135,A60)&lt;&gt;1,"参照ID不正",IF(INDEX('02_工程タスク'!$H$4:$H$135,MATCH(A60,'02_工程タスク'!$A$4:$A$135,0))="","",INDEX('02_工程タスク'!$H$4:$H$135,MATCH(A60,'02_工程タスク'!$A$4:$A$135,0))))</f>
        <v>R01</v>
      </c>
      <c r="E60" s="2" t="s">
        <v>2863</v>
      </c>
      <c r="F60" s="28" t="str">
        <f>IF(COUNTIF('07_スキル辞書'!$A$4:$A$109,E60)&lt;&gt;1,"参照ID不正",IF(INDEX('07_スキル辞書'!$D$4:$D$109,MATCH(E60,'07_スキル辞書'!$A$4:$A$109,0))="","",INDEX('07_スキル辞書'!$D$4:$D$109,MATCH(E60,'07_スキル辞書'!$A$4:$A$109,0))))</f>
        <v>段階投資・学習価値・Pivot/Stop</v>
      </c>
      <c r="G60" s="2">
        <v>3</v>
      </c>
      <c r="H60" s="28" t="str">
        <f>IF(COUNTIF('07_スキル辞書'!$A$4:$A$109,E60)&lt;&gt;1,"参照ID不正",IF(INDEX('07_スキル辞書'!$I$4:$I$109,MATCH(E60,'07_スキル辞書'!$A$4:$A$109,0))="","",INDEX('07_スキル辞書'!$I$4:$I$109,MATCH(E60,'07_スキル辞書'!$A$4:$A$109,0))))</f>
        <v>G0/G4・実験・投資レビュー</v>
      </c>
      <c r="I60" s="2" t="s">
        <v>2900</v>
      </c>
    </row>
    <row r="61" spans="1:9" ht="38" customHeight="1" x14ac:dyDescent="0.2">
      <c r="A61" s="4" t="s">
        <v>453</v>
      </c>
      <c r="B61" s="28" t="str">
        <f>IF(COUNTIF('02_工程タスク'!$A$4:$A$135,A61)&lt;&gt;1,"参照ID不正",IF(INDEX('02_工程タスク'!$D$4:$D$135,MATCH(A61,'02_工程タスク'!$A$4:$A$135,0))="","",INDEX('02_工程タスク'!$D$4:$D$135,MATCH(A61,'02_工程タスク'!$A$4:$A$135,0))))</f>
        <v>Product Goal・KPIツリー</v>
      </c>
      <c r="C61" s="28" t="str">
        <f>IF(COUNTIF('02_工程タスク'!$A$4:$A$135,A61)&lt;&gt;1,"参照ID不正",IF(INDEX('02_工程タスク'!$G$4:$G$135,MATCH(A61,'02_工程タスク'!$A$4:$A$135,0))="","",INDEX('02_工程タスク'!$G$4:$G$135,MATCH(A61,'02_工程タスク'!$A$4:$A$135,0))))</f>
        <v>R02, R15</v>
      </c>
      <c r="D61" s="28" t="str">
        <f>IF(COUNTIF('02_工程タスク'!$A$4:$A$135,A61)&lt;&gt;1,"参照ID不正",IF(INDEX('02_工程タスク'!$H$4:$H$135,MATCH(A61,'02_工程タスク'!$A$4:$A$135,0))="","",INDEX('02_工程タスク'!$H$4:$H$135,MATCH(A61,'02_工程タスク'!$A$4:$A$135,0))))</f>
        <v>R01</v>
      </c>
      <c r="E61" s="4" t="s">
        <v>2002</v>
      </c>
      <c r="F61" s="28" t="str">
        <f>IF(COUNTIF('07_スキル辞書'!$A$4:$A$109,E61)&lt;&gt;1,"参照ID不正",IF(INDEX('07_スキル辞書'!$D$4:$D$109,MATCH(E61,'07_スキル辞書'!$A$4:$A$109,0))="","",INDEX('07_スキル辞書'!$D$4:$D$109,MATCH(E61,'07_スキル辞書'!$A$4:$A$109,0))))</f>
        <v>価値仮説の定義とKPI設計</v>
      </c>
      <c r="G61" s="4">
        <v>2</v>
      </c>
      <c r="H61" s="28" t="str">
        <f>IF(COUNTIF('07_スキル辞書'!$A$4:$A$109,E61)&lt;&gt;1,"参照ID不正",IF(INDEX('07_スキル辞書'!$I$4:$I$109,MATCH(E61,'07_スキル辞書'!$A$4:$A$109,0))="","",INDEX('07_スキル辞書'!$I$4:$I$109,MATCH(E61,'07_スキル辞書'!$A$4:$A$109,0))))</f>
        <v>価値仮説ステートメント、課題定義書、SMART目標、スコープ定義書、PoC計画書（実験計画・承認の別紙）</v>
      </c>
      <c r="I61" s="4" t="s">
        <v>2900</v>
      </c>
    </row>
    <row r="62" spans="1:9" ht="38" customHeight="1" x14ac:dyDescent="0.2">
      <c r="A62" s="2" t="s">
        <v>453</v>
      </c>
      <c r="B62" s="28" t="str">
        <f>IF(COUNTIF('02_工程タスク'!$A$4:$A$135,A62)&lt;&gt;1,"参照ID不正",IF(INDEX('02_工程タスク'!$D$4:$D$135,MATCH(A62,'02_工程タスク'!$A$4:$A$135,0))="","",INDEX('02_工程タスク'!$D$4:$D$135,MATCH(A62,'02_工程タスク'!$A$4:$A$135,0))))</f>
        <v>Product Goal・KPIツリー</v>
      </c>
      <c r="C62" s="28" t="str">
        <f>IF(COUNTIF('02_工程タスク'!$A$4:$A$135,A62)&lt;&gt;1,"参照ID不正",IF(INDEX('02_工程タスク'!$G$4:$G$135,MATCH(A62,'02_工程タスク'!$A$4:$A$135,0))="","",INDEX('02_工程タスク'!$G$4:$G$135,MATCH(A62,'02_工程タスク'!$A$4:$A$135,0))))</f>
        <v>R02, R15</v>
      </c>
      <c r="D62" s="28" t="str">
        <f>IF(COUNTIF('02_工程タスク'!$A$4:$A$135,A62)&lt;&gt;1,"参照ID不正",IF(INDEX('02_工程タスク'!$H$4:$H$135,MATCH(A62,'02_工程タスク'!$A$4:$A$135,0))="","",INDEX('02_工程タスク'!$H$4:$H$135,MATCH(A62,'02_工程タスク'!$A$4:$A$135,0))))</f>
        <v>R01</v>
      </c>
      <c r="E62" s="2" t="s">
        <v>2732</v>
      </c>
      <c r="F62" s="28" t="str">
        <f>IF(COUNTIF('07_スキル辞書'!$A$4:$A$109,E62)&lt;&gt;1,"参照ID不正",IF(INDEX('07_スキル辞書'!$D$4:$D$109,MATCH(E62,'07_スキル辞書'!$A$4:$A$109,0))="","",INDEX('07_スキル辞書'!$D$4:$D$109,MATCH(E62,'07_スキル辞書'!$A$4:$A$109,0))))</f>
        <v>価値指標・計測・意思決定分析</v>
      </c>
      <c r="G62" s="2">
        <v>2</v>
      </c>
      <c r="H62" s="28" t="str">
        <f>IF(COUNTIF('07_スキル辞書'!$A$4:$A$109,E62)&lt;&gt;1,"参照ID不正",IF(INDEX('07_スキル辞書'!$I$4:$I$109,MATCH(E62,'07_スキル辞書'!$A$4:$A$109,0))="","",INDEX('07_スキル辞書'!$I$4:$I$109,MATCH(E62,'07_スキル辞書'!$A$4:$A$109,0))))</f>
        <v>KPI定義・計測試験・意思決定</v>
      </c>
      <c r="I62" s="2" t="s">
        <v>2900</v>
      </c>
    </row>
    <row r="63" spans="1:9" ht="38" customHeight="1" x14ac:dyDescent="0.2">
      <c r="A63" s="4" t="s">
        <v>463</v>
      </c>
      <c r="B63" s="28" t="str">
        <f>IF(COUNTIF('02_工程タスク'!$A$4:$A$135,A63)&lt;&gt;1,"参照ID不正",IF(INDEX('02_工程タスク'!$D$4:$D$135,MATCH(A63,'02_工程タスク'!$A$4:$A$135,0))="","",INDEX('02_工程タスク'!$D$4:$D$135,MATCH(A63,'02_工程タスク'!$A$4:$A$135,0))))</f>
        <v>As-Is/To-BeとHuman-AI分担</v>
      </c>
      <c r="C63" s="28" t="str">
        <f>IF(COUNTIF('02_工程タスク'!$A$4:$A$135,A63)&lt;&gt;1,"参照ID不正",IF(INDEX('02_工程タスク'!$G$4:$G$135,MATCH(A63,'02_工程タスク'!$A$4:$A$135,0))="","",INDEX('02_工程タスク'!$G$4:$G$135,MATCH(A63,'02_工程タスク'!$A$4:$A$135,0))))</f>
        <v>R04, R05, R02</v>
      </c>
      <c r="D63" s="28" t="str">
        <f>IF(COUNTIF('02_工程タスク'!$A$4:$A$135,A63)&lt;&gt;1,"参照ID不正",IF(INDEX('02_工程タスク'!$H$4:$H$135,MATCH(A63,'02_工程タスク'!$A$4:$A$135,0))="","",INDEX('02_工程タスク'!$H$4:$H$135,MATCH(A63,'02_工程タスク'!$A$4:$A$135,0))))</f>
        <v>R02</v>
      </c>
      <c r="E63" s="4" t="s">
        <v>2092</v>
      </c>
      <c r="F63" s="28" t="str">
        <f>IF(COUNTIF('07_スキル辞書'!$A$4:$A$109,E63)&lt;&gt;1,"参照ID不正",IF(INDEX('07_スキル辞書'!$D$4:$D$109,MATCH(E63,'07_スキル辞書'!$A$4:$A$109,0))="","",INDEX('07_スキル辞書'!$D$4:$D$109,MATCH(E63,'07_スキル辞書'!$A$4:$A$109,0))))</f>
        <v>業務フロー分析とHITL設計</v>
      </c>
      <c r="G63" s="4">
        <v>2</v>
      </c>
      <c r="H63" s="28" t="str">
        <f>IF(COUNTIF('07_スキル辞書'!$A$4:$A$109,E63)&lt;&gt;1,"参照ID不正",IF(INDEX('07_スキル辞書'!$I$4:$I$109,MATCH(E63,'07_スキル辞書'!$A$4:$A$109,0))="","",INDEX('07_スキル辞書'!$I$4:$I$109,MATCH(E63,'07_スキル辞書'!$A$4:$A$109,0))))</f>
        <v>As-Is業務フロー図、To-Be業務フロー図、段階展開計画</v>
      </c>
      <c r="I63" s="4" t="s">
        <v>2900</v>
      </c>
    </row>
    <row r="64" spans="1:9" ht="38" customHeight="1" x14ac:dyDescent="0.2">
      <c r="A64" s="2" t="s">
        <v>463</v>
      </c>
      <c r="B64" s="28" t="str">
        <f>IF(COUNTIF('02_工程タスク'!$A$4:$A$135,A64)&lt;&gt;1,"参照ID不正",IF(INDEX('02_工程タスク'!$D$4:$D$135,MATCH(A64,'02_工程タスク'!$A$4:$A$135,0))="","",INDEX('02_工程タスク'!$D$4:$D$135,MATCH(A64,'02_工程タスク'!$A$4:$A$135,0))))</f>
        <v>As-Is/To-BeとHuman-AI分担</v>
      </c>
      <c r="C64" s="28" t="str">
        <f>IF(COUNTIF('02_工程タスク'!$A$4:$A$135,A64)&lt;&gt;1,"参照ID不正",IF(INDEX('02_工程タスク'!$G$4:$G$135,MATCH(A64,'02_工程タスク'!$A$4:$A$135,0))="","",INDEX('02_工程タスク'!$G$4:$G$135,MATCH(A64,'02_工程タスク'!$A$4:$A$135,0))))</f>
        <v>R04, R05, R02</v>
      </c>
      <c r="D64" s="28" t="str">
        <f>IF(COUNTIF('02_工程タスク'!$A$4:$A$135,A64)&lt;&gt;1,"参照ID不正",IF(INDEX('02_工程タスク'!$H$4:$H$135,MATCH(A64,'02_工程タスク'!$A$4:$A$135,0))="","",INDEX('02_工程タスク'!$H$4:$H$135,MATCH(A64,'02_工程タスク'!$A$4:$A$135,0))))</f>
        <v>R02</v>
      </c>
      <c r="E64" s="2" t="s">
        <v>2210</v>
      </c>
      <c r="F64" s="28" t="str">
        <f>IF(COUNTIF('07_スキル辞書'!$A$4:$A$109,E64)&lt;&gt;1,"参照ID不正",IF(INDEX('07_スキル辞書'!$D$4:$D$109,MATCH(E64,'07_スキル辞書'!$A$4:$A$109,0))="","",INDEX('07_スキル辞書'!$D$4:$D$109,MATCH(E64,'07_スキル辞書'!$A$4:$A$109,0))))</f>
        <v>UI/UX設計（AI出力の提示とHITL）</v>
      </c>
      <c r="G64" s="2">
        <v>2</v>
      </c>
      <c r="H64" s="28" t="str">
        <f>IF(COUNTIF('07_スキル辞書'!$A$4:$A$109,E64)&lt;&gt;1,"参照ID不正",IF(INDEX('07_スキル辞書'!$I$4:$I$109,MATCH(E64,'07_スキル辞書'!$A$4:$A$109,0))="","",INDEX('07_スキル辞書'!$I$4:$I$109,MATCH(E64,'07_スキル辞書'!$A$4:$A$109,0))))</f>
        <v>UI/UXデザインガイドライン、ワイヤーフレーム、モックアップ、プロトタイプ、フロントエンドのソースコード</v>
      </c>
      <c r="I64" s="2" t="s">
        <v>2900</v>
      </c>
    </row>
    <row r="65" spans="1:9" ht="38" customHeight="1" x14ac:dyDescent="0.2">
      <c r="A65" s="4" t="s">
        <v>463</v>
      </c>
      <c r="B65" s="28" t="str">
        <f>IF(COUNTIF('02_工程タスク'!$A$4:$A$135,A65)&lt;&gt;1,"参照ID不正",IF(INDEX('02_工程タスク'!$D$4:$D$135,MATCH(A65,'02_工程タスク'!$A$4:$A$135,0))="","",INDEX('02_工程タスク'!$D$4:$D$135,MATCH(A65,'02_工程タスク'!$A$4:$A$135,0))))</f>
        <v>As-Is/To-BeとHuman-AI分担</v>
      </c>
      <c r="C65" s="28" t="str">
        <f>IF(COUNTIF('02_工程タスク'!$A$4:$A$135,A65)&lt;&gt;1,"参照ID不正",IF(INDEX('02_工程タスク'!$G$4:$G$135,MATCH(A65,'02_工程タスク'!$A$4:$A$135,0))="","",INDEX('02_工程タスク'!$G$4:$G$135,MATCH(A65,'02_工程タスク'!$A$4:$A$135,0))))</f>
        <v>R04, R05, R02</v>
      </c>
      <c r="D65" s="28" t="str">
        <f>IF(COUNTIF('02_工程タスク'!$A$4:$A$135,A65)&lt;&gt;1,"参照ID不正",IF(INDEX('02_工程タスク'!$H$4:$H$135,MATCH(A65,'02_工程タスク'!$A$4:$A$135,0))="","",INDEX('02_工程タスク'!$H$4:$H$135,MATCH(A65,'02_工程タスク'!$A$4:$A$135,0))))</f>
        <v>R02</v>
      </c>
      <c r="E65" s="4" t="s">
        <v>2780</v>
      </c>
      <c r="F65" s="28" t="str">
        <f>IF(COUNTIF('07_スキル辞書'!$A$4:$A$109,E65)&lt;&gt;1,"参照ID不正",IF(INDEX('07_スキル辞書'!$D$4:$D$109,MATCH(E65,'07_スキル辞書'!$A$4:$A$109,0))="","",INDEX('07_スキル辞書'!$D$4:$D$109,MATCH(E65,'07_スキル辞書'!$A$4:$A$109,0))))</f>
        <v>適切な信頼・説明・介入UX</v>
      </c>
      <c r="G65" s="4">
        <v>2</v>
      </c>
      <c r="H65" s="28" t="str">
        <f>IF(COUNTIF('07_スキル辞書'!$A$4:$A$109,E65)&lt;&gt;1,"参照ID不正",IF(INDEX('07_スキル辞書'!$I$4:$I$109,MATCH(E65,'07_スキル辞書'!$A$4:$A$109,0))="","",INDEX('07_スキル辞書'!$I$4:$I$109,MATCH(E65,'07_スキル辞書'!$A$4:$A$109,0))))</f>
        <v>UX試験・介入評価・救済導線</v>
      </c>
      <c r="I65" s="4" t="s">
        <v>2900</v>
      </c>
    </row>
    <row r="66" spans="1:9" ht="38" customHeight="1" x14ac:dyDescent="0.2">
      <c r="A66" s="2" t="s">
        <v>472</v>
      </c>
      <c r="B66" s="28" t="str">
        <f>IF(COUNTIF('02_工程タスク'!$A$4:$A$135,A66)&lt;&gt;1,"参照ID不正",IF(INDEX('02_工程タスク'!$D$4:$D$135,MATCH(A66,'02_工程タスク'!$A$4:$A$135,0))="","",INDEX('02_工程タスク'!$D$4:$D$135,MATCH(A66,'02_工程タスク'!$A$4:$A$135,0))))</f>
        <v>User Story・受入条件・禁止事項</v>
      </c>
      <c r="C66" s="28" t="str">
        <f>IF(COUNTIF('02_工程タスク'!$A$4:$A$135,A66)&lt;&gt;1,"参照ID不正",IF(INDEX('02_工程タスク'!$G$4:$G$135,MATCH(A66,'02_工程タスク'!$A$4:$A$135,0))="","",INDEX('02_工程タスク'!$G$4:$G$135,MATCH(A66,'02_工程タスク'!$A$4:$A$135,0))))</f>
        <v>R02, R04, R11</v>
      </c>
      <c r="D66" s="28" t="str">
        <f>IF(COUNTIF('02_工程タスク'!$A$4:$A$135,A66)&lt;&gt;1,"参照ID不正",IF(INDEX('02_工程タスク'!$H$4:$H$135,MATCH(A66,'02_工程タスク'!$A$4:$A$135,0))="","",INDEX('02_工程タスク'!$H$4:$H$135,MATCH(A66,'02_工程タスク'!$A$4:$A$135,0))))</f>
        <v>R02</v>
      </c>
      <c r="E66" s="2" t="s">
        <v>2102</v>
      </c>
      <c r="F66" s="28" t="str">
        <f>IF(COUNTIF('07_スキル辞書'!$A$4:$A$109,E66)&lt;&gt;1,"参照ID不正",IF(INDEX('07_スキル辞書'!$D$4:$D$109,MATCH(E66,'07_スキル辞書'!$A$4:$A$109,0))="","",INDEX('07_スキル辞書'!$D$4:$D$109,MATCH(E66,'07_スキル辞書'!$A$4:$A$109,0))))</f>
        <v>ユーザーストーリーと受け入れ観点の定義</v>
      </c>
      <c r="G66" s="2">
        <v>2</v>
      </c>
      <c r="H66" s="28" t="str">
        <f>IF(COUNTIF('07_スキル辞書'!$A$4:$A$109,E66)&lt;&gt;1,"参照ID不正",IF(INDEX('07_スキル辞書'!$I$4:$I$109,MATCH(E66,'07_スキル辞書'!$A$4:$A$109,0))="","",INDEX('07_スキル辞書'!$I$4:$I$109,MATCH(E66,'07_スキル辞書'!$A$4:$A$109,0))))</f>
        <v>ユーザーストーリー一覧（優先順位付き）、受け入れ観点、要件定義書 v2（サインオフ済み）、機能一覧</v>
      </c>
      <c r="I66" s="2" t="s">
        <v>2900</v>
      </c>
    </row>
    <row r="67" spans="1:9" ht="38" customHeight="1" x14ac:dyDescent="0.2">
      <c r="A67" s="4" t="s">
        <v>472</v>
      </c>
      <c r="B67" s="28" t="str">
        <f>IF(COUNTIF('02_工程タスク'!$A$4:$A$135,A67)&lt;&gt;1,"参照ID不正",IF(INDEX('02_工程タスク'!$D$4:$D$135,MATCH(A67,'02_工程タスク'!$A$4:$A$135,0))="","",INDEX('02_工程タスク'!$D$4:$D$135,MATCH(A67,'02_工程タスク'!$A$4:$A$135,0))))</f>
        <v>User Story・受入条件・禁止事項</v>
      </c>
      <c r="C67" s="28" t="str">
        <f>IF(COUNTIF('02_工程タスク'!$A$4:$A$135,A67)&lt;&gt;1,"参照ID不正",IF(INDEX('02_工程タスク'!$G$4:$G$135,MATCH(A67,'02_工程タスク'!$A$4:$A$135,0))="","",INDEX('02_工程タスク'!$G$4:$G$135,MATCH(A67,'02_工程タスク'!$A$4:$A$135,0))))</f>
        <v>R02, R04, R11</v>
      </c>
      <c r="D67" s="28" t="str">
        <f>IF(COUNTIF('02_工程タスク'!$A$4:$A$135,A67)&lt;&gt;1,"参照ID不正",IF(INDEX('02_工程タスク'!$H$4:$H$135,MATCH(A67,'02_工程タスク'!$A$4:$A$135,0))="","",INDEX('02_工程タスク'!$H$4:$H$135,MATCH(A67,'02_工程タスク'!$A$4:$A$135,0))))</f>
        <v>R02</v>
      </c>
      <c r="E67" s="4" t="s">
        <v>2604</v>
      </c>
      <c r="F67" s="28" t="str">
        <f>IF(COUNTIF('07_スキル辞書'!$A$4:$A$109,E67)&lt;&gt;1,"参照ID不正",IF(INDEX('07_スキル辞書'!$D$4:$D$109,MATCH(E67,'07_スキル辞書'!$A$4:$A$109,0))="","",INDEX('07_スキル辞書'!$D$4:$D$109,MATCH(E67,'07_スキル辞書'!$A$4:$A$109,0))))</f>
        <v>仕様・正本リポジトリ・開発ハーネス</v>
      </c>
      <c r="G67" s="4">
        <v>2</v>
      </c>
      <c r="H67" s="28" t="str">
        <f>IF(COUNTIF('07_スキル辞書'!$A$4:$A$109,E67)&lt;&gt;1,"参照ID不正",IF(INDEX('07_スキル辞書'!$I$4:$I$109,MATCH(E67,'07_スキル辞書'!$A$4:$A$109,0))="","",INDEX('07_スキル辞書'!$I$4:$I$109,MATCH(E67,'07_スキル辞書'!$A$4:$A$109,0))))</f>
        <v>正本リポジトリ／仕様・テスト対応／PRと実行ログ</v>
      </c>
      <c r="I67" s="4" t="s">
        <v>2900</v>
      </c>
    </row>
    <row r="68" spans="1:9" ht="38" customHeight="1" x14ac:dyDescent="0.2">
      <c r="A68" s="2" t="s">
        <v>472</v>
      </c>
      <c r="B68" s="28" t="str">
        <f>IF(COUNTIF('02_工程タスク'!$A$4:$A$135,A68)&lt;&gt;1,"参照ID不正",IF(INDEX('02_工程タスク'!$D$4:$D$135,MATCH(A68,'02_工程タスク'!$A$4:$A$135,0))="","",INDEX('02_工程タスク'!$D$4:$D$135,MATCH(A68,'02_工程タスク'!$A$4:$A$135,0))))</f>
        <v>User Story・受入条件・禁止事項</v>
      </c>
      <c r="C68" s="28" t="str">
        <f>IF(COUNTIF('02_工程タスク'!$A$4:$A$135,A68)&lt;&gt;1,"参照ID不正",IF(INDEX('02_工程タスク'!$G$4:$G$135,MATCH(A68,'02_工程タスク'!$A$4:$A$135,0))="","",INDEX('02_工程タスク'!$G$4:$G$135,MATCH(A68,'02_工程タスク'!$A$4:$A$135,0))))</f>
        <v>R02, R04, R11</v>
      </c>
      <c r="D68" s="28" t="str">
        <f>IF(COUNTIF('02_工程タスク'!$A$4:$A$135,A68)&lt;&gt;1,"参照ID不正",IF(INDEX('02_工程タスク'!$H$4:$H$135,MATCH(A68,'02_工程タスク'!$A$4:$A$135,0))="","",INDEX('02_工程タスク'!$H$4:$H$135,MATCH(A68,'02_工程タスク'!$A$4:$A$135,0))))</f>
        <v>R02</v>
      </c>
      <c r="E68" s="2" t="s">
        <v>2705</v>
      </c>
      <c r="F68" s="28" t="str">
        <f>IF(COUNTIF('07_スキル辞書'!$A$4:$A$109,E68)&lt;&gt;1,"参照ID不正",IF(INDEX('07_スキル辞書'!$D$4:$D$109,MATCH(E68,'07_スキル辞書'!$A$4:$A$109,0))="","",INDEX('07_スキル辞書'!$D$4:$D$109,MATCH(E68,'07_スキル辞書'!$A$4:$A$109,0))))</f>
        <v>仮説・実験・反証・意思決定</v>
      </c>
      <c r="G68" s="2">
        <v>2</v>
      </c>
      <c r="H68" s="28" t="str">
        <f>IF(COUNTIF('07_スキル辞書'!$A$4:$A$109,E68)&lt;&gt;1,"参照ID不正",IF(INDEX('07_スキル辞書'!$I$4:$I$109,MATCH(E68,'07_スキル辞書'!$A$4:$A$109,0))="","",INDEX('07_スキル辞書'!$I$4:$I$109,MATCH(E68,'07_スキル辞書'!$A$4:$A$109,0))))</f>
        <v>実験台帳・判断・学習ログ</v>
      </c>
      <c r="I68" s="2" t="s">
        <v>2900</v>
      </c>
    </row>
    <row r="69" spans="1:9" ht="38" customHeight="1" x14ac:dyDescent="0.2">
      <c r="A69" s="4" t="s">
        <v>481</v>
      </c>
      <c r="B69" s="28" t="str">
        <f>IF(COUNTIF('02_工程タスク'!$A$4:$A$135,A69)&lt;&gt;1,"参照ID不正",IF(INDEX('02_工程タスク'!$D$4:$D$135,MATCH(A69,'02_工程タスク'!$A$4:$A$135,0))="","",INDEX('02_工程タスク'!$D$4:$D$135,MATCH(A69,'02_工程タスク'!$A$4:$A$135,0))))</f>
        <v>データ取得・目的・法令適用判定</v>
      </c>
      <c r="C69" s="28" t="str">
        <f>IF(COUNTIF('02_工程タスク'!$A$4:$A$135,A69)&lt;&gt;1,"参照ID不正",IF(INDEX('02_工程タスク'!$G$4:$G$135,MATCH(A69,'02_工程タスク'!$A$4:$A$135,0))="","",INDEX('02_工程タスク'!$G$4:$G$135,MATCH(A69,'02_工程タスク'!$A$4:$A$135,0))))</f>
        <v>R10, R14, R13</v>
      </c>
      <c r="D69" s="28" t="str">
        <f>IF(COUNTIF('02_工程タスク'!$A$4:$A$135,A69)&lt;&gt;1,"参照ID不正",IF(INDEX('02_工程タスク'!$H$4:$H$135,MATCH(A69,'02_工程タスク'!$A$4:$A$135,0))="","",INDEX('02_工程タスク'!$H$4:$H$135,MATCH(A69,'02_工程タスク'!$A$4:$A$135,0))))</f>
        <v>R14</v>
      </c>
      <c r="E69" s="4" t="s">
        <v>1948</v>
      </c>
      <c r="F69" s="28" t="str">
        <f>IF(COUNTIF('07_スキル辞書'!$A$4:$A$109,E69)&lt;&gt;1,"参照ID不正",IF(INDEX('07_スキル辞書'!$D$4:$D$109,MATCH(E69,'07_スキル辞書'!$A$4:$A$109,0))="","",INDEX('07_スキル辞書'!$D$4:$D$109,MATCH(E69,'07_スキル辞書'!$A$4:$A$109,0))))</f>
        <v>個人情報保護法の適用判定とデータガバナンス</v>
      </c>
      <c r="G69" s="4">
        <v>2</v>
      </c>
      <c r="H69" s="28" t="str">
        <f>IF(COUNTIF('07_スキル辞書'!$A$4:$A$109,E69)&lt;&gt;1,"参照ID不正",IF(INDEX('07_スキル辞書'!$I$4:$I$109,MATCH(E69,'07_スキル辞書'!$A$4:$A$109,0))="","",INDEX('07_スキル辞書'!$I$4:$I$109,MATCH(E69,'07_スキル辞書'!$A$4:$A$109,0))))</f>
        <v>個人情報取扱い判定書、データ提供・利用契約、データ要件定義書、データ受領記録、アクセス制御設定</v>
      </c>
      <c r="I69" s="4" t="s">
        <v>2900</v>
      </c>
    </row>
    <row r="70" spans="1:9" ht="38" customHeight="1" x14ac:dyDescent="0.2">
      <c r="A70" s="2" t="s">
        <v>481</v>
      </c>
      <c r="B70" s="28" t="str">
        <f>IF(COUNTIF('02_工程タスク'!$A$4:$A$135,A70)&lt;&gt;1,"参照ID不正",IF(INDEX('02_工程タスク'!$D$4:$D$135,MATCH(A70,'02_工程タスク'!$A$4:$A$135,0))="","",INDEX('02_工程タスク'!$D$4:$D$135,MATCH(A70,'02_工程タスク'!$A$4:$A$135,0))))</f>
        <v>データ取得・目的・法令適用判定</v>
      </c>
      <c r="C70" s="28" t="str">
        <f>IF(COUNTIF('02_工程タスク'!$A$4:$A$135,A70)&lt;&gt;1,"参照ID不正",IF(INDEX('02_工程タスク'!$G$4:$G$135,MATCH(A70,'02_工程タスク'!$A$4:$A$135,0))="","",INDEX('02_工程タスク'!$G$4:$G$135,MATCH(A70,'02_工程タスク'!$A$4:$A$135,0))))</f>
        <v>R10, R14, R13</v>
      </c>
      <c r="D70" s="28" t="str">
        <f>IF(COUNTIF('02_工程タスク'!$A$4:$A$135,A70)&lt;&gt;1,"参照ID不正",IF(INDEX('02_工程タスク'!$H$4:$H$135,MATCH(A70,'02_工程タスク'!$A$4:$A$135,0))="","",INDEX('02_工程タスク'!$H$4:$H$135,MATCH(A70,'02_工程タスク'!$A$4:$A$135,0))))</f>
        <v>R14</v>
      </c>
      <c r="E70" s="2" t="s">
        <v>2055</v>
      </c>
      <c r="F70" s="28" t="str">
        <f>IF(COUNTIF('07_スキル辞書'!$A$4:$A$109,E70)&lt;&gt;1,"参照ID不正",IF(INDEX('07_スキル辞書'!$D$4:$D$109,MATCH(E70,'07_スキル辞書'!$A$4:$A$109,0))="","",INDEX('07_スキル辞書'!$D$4:$D$109,MATCH(E70,'07_スキル辞書'!$A$4:$A$109,0))))</f>
        <v>知的財産・ライセンスと生成物の権利処理</v>
      </c>
      <c r="G70" s="2">
        <v>2</v>
      </c>
      <c r="H70" s="28" t="str">
        <f>IF(COUNTIF('07_スキル辞書'!$A$4:$A$109,E70)&lt;&gt;1,"参照ID不正",IF(INDEX('07_スキル辞書'!$I$4:$I$109,MATCH(E70,'07_スキル辞書'!$A$4:$A$109,0))="","",INDEX('07_スキル辞書'!$I$4:$I$109,MATCH(E70,'07_スキル辞書'!$A$4:$A$109,0))))</f>
        <v>IP／ライセンス台帳、出所・利用許諾、製品採用判断。外注／販売時は23の契約と権利受入記録。</v>
      </c>
      <c r="I70" s="2" t="s">
        <v>2900</v>
      </c>
    </row>
    <row r="71" spans="1:9" ht="38" customHeight="1" x14ac:dyDescent="0.2">
      <c r="A71" s="4" t="s">
        <v>481</v>
      </c>
      <c r="B71" s="28" t="str">
        <f>IF(COUNTIF('02_工程タスク'!$A$4:$A$135,A71)&lt;&gt;1,"参照ID不正",IF(INDEX('02_工程タスク'!$D$4:$D$135,MATCH(A71,'02_工程タスク'!$A$4:$A$135,0))="","",INDEX('02_工程タスク'!$D$4:$D$135,MATCH(A71,'02_工程タスク'!$A$4:$A$135,0))))</f>
        <v>データ取得・目的・法令適用判定</v>
      </c>
      <c r="C71" s="28" t="str">
        <f>IF(COUNTIF('02_工程タスク'!$A$4:$A$135,A71)&lt;&gt;1,"参照ID不正",IF(INDEX('02_工程タスク'!$G$4:$G$135,MATCH(A71,'02_工程タスク'!$A$4:$A$135,0))="","",INDEX('02_工程タスク'!$G$4:$G$135,MATCH(A71,'02_工程タスク'!$A$4:$A$135,0))))</f>
        <v>R10, R14, R13</v>
      </c>
      <c r="D71" s="28" t="str">
        <f>IF(COUNTIF('02_工程タスク'!$A$4:$A$135,A71)&lt;&gt;1,"参照ID不正",IF(INDEX('02_工程タスク'!$H$4:$H$135,MATCH(A71,'02_工程タスク'!$A$4:$A$135,0))="","",INDEX('02_工程タスク'!$H$4:$H$135,MATCH(A71,'02_工程タスク'!$A$4:$A$135,0))))</f>
        <v>R14</v>
      </c>
      <c r="E71" s="4" t="s">
        <v>2771</v>
      </c>
      <c r="F71" s="28" t="str">
        <f>IF(COUNTIF('07_スキル辞書'!$A$4:$A$109,E71)&lt;&gt;1,"参照ID不正",IF(INDEX('07_スキル辞書'!$D$4:$D$109,MATCH(E71,'07_スキル辞書'!$A$4:$A$109,0))="","",INDEX('07_スキル辞書'!$D$4:$D$109,MATCH(E71,'07_スキル辞書'!$A$4:$A$109,0))))</f>
        <v>モデル・Provider・処理条件・EOL管理</v>
      </c>
      <c r="G71" s="4">
        <v>2</v>
      </c>
      <c r="H71" s="28" t="str">
        <f>IF(COUNTIF('07_スキル辞書'!$A$4:$A$109,E71)&lt;&gt;1,"参照ID不正",IF(INDEX('07_スキル辞書'!$I$4:$I$109,MATCH(E71,'07_スキル辞書'!$A$4:$A$109,0))="","",INDEX('07_スキル辞書'!$I$4:$I$109,MATCH(E71,'07_スキル辞書'!$A$4:$A$109,0))))</f>
        <v>AI依存台帳・規約差分・切替評価</v>
      </c>
      <c r="I71" s="4" t="s">
        <v>2900</v>
      </c>
    </row>
    <row r="72" spans="1:9" ht="38" customHeight="1" x14ac:dyDescent="0.2">
      <c r="A72" s="2" t="s">
        <v>492</v>
      </c>
      <c r="B72" s="28" t="str">
        <f>IF(COUNTIF('02_工程タスク'!$A$4:$A$135,A72)&lt;&gt;1,"参照ID不正",IF(INDEX('02_工程タスク'!$D$4:$D$135,MATCH(A72,'02_工程タスク'!$A$4:$A$135,0))="","",INDEX('02_工程タスク'!$D$4:$D$135,MATCH(A72,'02_工程タスク'!$A$4:$A$135,0))))</f>
        <v>品質・鮮度・権限・ラベル要件</v>
      </c>
      <c r="C72" s="28" t="str">
        <f>IF(COUNTIF('02_工程タスク'!$A$4:$A$135,A72)&lt;&gt;1,"参照ID不正",IF(INDEX('02_工程タスク'!$G$4:$G$135,MATCH(A72,'02_工程タスク'!$A$4:$A$135,0))="","",INDEX('02_工程タスク'!$G$4:$G$135,MATCH(A72,'02_工程タスク'!$A$4:$A$135,0))))</f>
        <v>R09, R10, R11</v>
      </c>
      <c r="D72" s="28" t="str">
        <f>IF(COUNTIF('02_工程タスク'!$A$4:$A$135,A72)&lt;&gt;1,"参照ID不正",IF(INDEX('02_工程タスク'!$H$4:$H$135,MATCH(A72,'02_工程タスク'!$A$4:$A$135,0))="","",INDEX('02_工程タスク'!$H$4:$H$135,MATCH(A72,'02_工程タスク'!$A$4:$A$135,0))))</f>
        <v>R10</v>
      </c>
      <c r="E72" s="2" t="s">
        <v>2201</v>
      </c>
      <c r="F72" s="28" t="str">
        <f>IF(COUNTIF('07_スキル辞書'!$A$4:$A$109,E72)&lt;&gt;1,"参照ID不正",IF(INDEX('07_スキル辞書'!$D$4:$D$109,MATCH(E72,'07_スキル辞書'!$A$4:$A$109,0))="","",INDEX('07_スキル辞書'!$D$4:$D$109,MATCH(E72,'07_スキル辞書'!$A$4:$A$109,0))))</f>
        <v>データアーキテクチャとパイプライン設計</v>
      </c>
      <c r="G72" s="2">
        <v>2</v>
      </c>
      <c r="H72" s="28" t="str">
        <f>IF(COUNTIF('07_スキル辞書'!$A$4:$A$109,E72)&lt;&gt;1,"参照ID不正",IF(INDEX('07_スキル辞書'!$I$4:$I$109,MATCH(E72,'07_スキル辞書'!$A$4:$A$109,0))="","",INDEX('07_スキル辞書'!$I$4:$I$109,MATCH(E72,'07_スキル辞書'!$A$4:$A$109,0))))</f>
        <v>データアーキテクチャ図、データパイプライン設計書、コーパス整備仕様書、データ品質レポート</v>
      </c>
      <c r="I72" s="2" t="s">
        <v>2900</v>
      </c>
    </row>
    <row r="73" spans="1:9" ht="38" customHeight="1" x14ac:dyDescent="0.2">
      <c r="A73" s="4" t="s">
        <v>492</v>
      </c>
      <c r="B73" s="28" t="str">
        <f>IF(COUNTIF('02_工程タスク'!$A$4:$A$135,A73)&lt;&gt;1,"参照ID不正",IF(INDEX('02_工程タスク'!$D$4:$D$135,MATCH(A73,'02_工程タスク'!$A$4:$A$135,0))="","",INDEX('02_工程タスク'!$D$4:$D$135,MATCH(A73,'02_工程タスク'!$A$4:$A$135,0))))</f>
        <v>品質・鮮度・権限・ラベル要件</v>
      </c>
      <c r="C73" s="28" t="str">
        <f>IF(COUNTIF('02_工程タスク'!$A$4:$A$135,A73)&lt;&gt;1,"参照ID不正",IF(INDEX('02_工程タスク'!$G$4:$G$135,MATCH(A73,'02_工程タスク'!$A$4:$A$135,0))="","",INDEX('02_工程タスク'!$G$4:$G$135,MATCH(A73,'02_工程タスク'!$A$4:$A$135,0))))</f>
        <v>R09, R10, R11</v>
      </c>
      <c r="D73" s="28" t="str">
        <f>IF(COUNTIF('02_工程タスク'!$A$4:$A$135,A73)&lt;&gt;1,"参照ID不正",IF(INDEX('02_工程タスク'!$H$4:$H$135,MATCH(A73,'02_工程タスク'!$A$4:$A$135,0))="","",INDEX('02_工程タスク'!$H$4:$H$135,MATCH(A73,'02_工程タスク'!$A$4:$A$135,0))))</f>
        <v>R10</v>
      </c>
      <c r="E73" s="4" t="s">
        <v>2417</v>
      </c>
      <c r="F73" s="28" t="str">
        <f>IF(COUNTIF('07_スキル辞書'!$A$4:$A$109,E73)&lt;&gt;1,"参照ID不正",IF(INDEX('07_スキル辞書'!$D$4:$D$109,MATCH(E73,'07_スキル辞書'!$A$4:$A$109,0))="","",INDEX('07_スキル辞書'!$D$4:$D$109,MATCH(E73,'07_スキル辞書'!$A$4:$A$109,0))))</f>
        <v>データアセスメントと探索的データ分析（EDA）</v>
      </c>
      <c r="G73" s="4">
        <v>2</v>
      </c>
      <c r="H73" s="28" t="str">
        <f>IF(COUNTIF('07_スキル辞書'!$A$4:$A$109,E73)&lt;&gt;1,"参照ID不正",IF(INDEX('07_スキル辞書'!$I$4:$I$109,MATCH(E73,'07_スキル辞書'!$A$4:$A$109,0))="","",INDEX('07_スキル辞書'!$I$4:$I$109,MATCH(E73,'07_スキル辞書'!$A$4:$A$109,0))))</f>
        <v>予備データアセスメントレポート、データ品質評価レポート（クラス分布を含む）</v>
      </c>
      <c r="I73" s="4" t="s">
        <v>2900</v>
      </c>
    </row>
    <row r="74" spans="1:9" ht="38" customHeight="1" x14ac:dyDescent="0.2">
      <c r="A74" s="2" t="s">
        <v>492</v>
      </c>
      <c r="B74" s="28" t="str">
        <f>IF(COUNTIF('02_工程タスク'!$A$4:$A$135,A74)&lt;&gt;1,"参照ID不正",IF(INDEX('02_工程タスク'!$D$4:$D$135,MATCH(A74,'02_工程タスク'!$A$4:$A$135,0))="","",INDEX('02_工程タスク'!$D$4:$D$135,MATCH(A74,'02_工程タスク'!$A$4:$A$135,0))))</f>
        <v>品質・鮮度・権限・ラベル要件</v>
      </c>
      <c r="C74" s="28" t="str">
        <f>IF(COUNTIF('02_工程タスク'!$A$4:$A$135,A74)&lt;&gt;1,"参照ID不正",IF(INDEX('02_工程タスク'!$G$4:$G$135,MATCH(A74,'02_工程タスク'!$A$4:$A$135,0))="","",INDEX('02_工程タスク'!$G$4:$G$135,MATCH(A74,'02_工程タスク'!$A$4:$A$135,0))))</f>
        <v>R09, R10, R11</v>
      </c>
      <c r="D74" s="28" t="str">
        <f>IF(COUNTIF('02_工程タスク'!$A$4:$A$135,A74)&lt;&gt;1,"参照ID不正",IF(INDEX('02_工程タスク'!$H$4:$H$135,MATCH(A74,'02_工程タスク'!$A$4:$A$135,0))="","",INDEX('02_工程タスク'!$H$4:$H$135,MATCH(A74,'02_工程タスク'!$A$4:$A$135,0))))</f>
        <v>R10</v>
      </c>
      <c r="E74" s="2" t="s">
        <v>2426</v>
      </c>
      <c r="F74" s="28" t="str">
        <f>IF(COUNTIF('07_スキル辞書'!$A$4:$A$109,E74)&lt;&gt;1,"参照ID不正",IF(INDEX('07_スキル辞書'!$D$4:$D$109,MATCH(E74,'07_スキル辞書'!$A$4:$A$109,0))="","",INDEX('07_スキル辞書'!$D$4:$D$109,MATCH(E74,'07_スキル辞書'!$A$4:$A$109,0))))</f>
        <v>データ品質管理とクレンジング設計</v>
      </c>
      <c r="G74" s="2">
        <v>2</v>
      </c>
      <c r="H74" s="28" t="str">
        <f>IF(COUNTIF('07_スキル辞書'!$A$4:$A$109,E74)&lt;&gt;1,"参照ID不正",IF(INDEX('07_スキル辞書'!$I$4:$I$109,MATCH(E74,'07_スキル辞書'!$A$4:$A$109,0))="","",INDEX('07_スキル辞書'!$I$4:$I$109,MATCH(E74,'07_スキル辞書'!$A$4:$A$109,0))))</f>
        <v>データ品質基準定義書、クレンジングスクリプト、クレンジング済みデータ、データ品質レポート、品質レビュー済みデータセット</v>
      </c>
      <c r="I74" s="2" t="s">
        <v>2900</v>
      </c>
    </row>
    <row r="75" spans="1:9" ht="38" customHeight="1" x14ac:dyDescent="0.2">
      <c r="A75" s="4" t="s">
        <v>492</v>
      </c>
      <c r="B75" s="28" t="str">
        <f>IF(COUNTIF('02_工程タスク'!$A$4:$A$135,A75)&lt;&gt;1,"参照ID不正",IF(INDEX('02_工程タスク'!$D$4:$D$135,MATCH(A75,'02_工程タスク'!$A$4:$A$135,0))="","",INDEX('02_工程タスク'!$D$4:$D$135,MATCH(A75,'02_工程タスク'!$A$4:$A$135,0))))</f>
        <v>品質・鮮度・権限・ラベル要件</v>
      </c>
      <c r="C75" s="28" t="str">
        <f>IF(COUNTIF('02_工程タスク'!$A$4:$A$135,A75)&lt;&gt;1,"参照ID不正",IF(INDEX('02_工程タスク'!$G$4:$G$135,MATCH(A75,'02_工程タスク'!$A$4:$A$135,0))="","",INDEX('02_工程タスク'!$G$4:$G$135,MATCH(A75,'02_工程タスク'!$A$4:$A$135,0))))</f>
        <v>R09, R10, R11</v>
      </c>
      <c r="D75" s="28" t="str">
        <f>IF(COUNTIF('02_工程タスク'!$A$4:$A$135,A75)&lt;&gt;1,"参照ID不正",IF(INDEX('02_工程タスク'!$H$4:$H$135,MATCH(A75,'02_工程タスク'!$A$4:$A$135,0))="","",INDEX('02_工程タスク'!$H$4:$H$135,MATCH(A75,'02_工程タスク'!$A$4:$A$135,0))))</f>
        <v>R10</v>
      </c>
      <c r="E75" s="4" t="s">
        <v>2444</v>
      </c>
      <c r="F75" s="28" t="str">
        <f>IF(COUNTIF('07_スキル辞書'!$A$4:$A$109,E75)&lt;&gt;1,"参照ID不正",IF(INDEX('07_スキル辞書'!$D$4:$D$109,MATCH(E75,'07_スキル辞書'!$A$4:$A$109,0))="","",INDEX('07_スキル辞書'!$D$4:$D$109,MATCH(E75,'07_スキル辞書'!$A$4:$A$109,0))))</f>
        <v>アノテーション設計と一致度管理</v>
      </c>
      <c r="G75" s="4">
        <v>2</v>
      </c>
      <c r="H75" s="28" t="str">
        <f>IF(COUNTIF('07_スキル辞書'!$A$4:$A$109,E75)&lt;&gt;1,"参照ID不正",IF(INDEX('07_スキル辞書'!$I$4:$I$109,MATCH(E75,'07_スキル辞書'!$A$4:$A$109,0))="","",INDEX('07_スキル辞書'!$I$4:$I$109,MATCH(E75,'07_スキル辞書'!$A$4:$A$109,0))))</f>
        <v>アノテーション仕様書v1、アノテーション仕様書 v2、教師データセット、品質管理レポート、品質レビュー済みデータセット</v>
      </c>
      <c r="I75" s="4" t="s">
        <v>2900</v>
      </c>
    </row>
    <row r="76" spans="1:9" ht="38" customHeight="1" x14ac:dyDescent="0.2">
      <c r="A76" s="2" t="s">
        <v>501</v>
      </c>
      <c r="B76" s="28" t="str">
        <f>IF(COUNTIF('02_工程タスク'!$A$4:$A$135,A76)&lt;&gt;1,"参照ID不正",IF(INDEX('02_工程タスク'!$D$4:$D$135,MATCH(A76,'02_工程タスク'!$A$4:$A$135,0))="","",INDEX('02_工程タスク'!$D$4:$D$135,MATCH(A76,'02_工程タスク'!$A$4:$A$135,0))))</f>
        <v>AI機能境界・自律性・不確実性</v>
      </c>
      <c r="C76" s="28" t="str">
        <f>IF(COUNTIF('02_工程タスク'!$A$4:$A$135,A76)&lt;&gt;1,"参照ID不正",IF(INDEX('02_工程タスク'!$G$4:$G$135,MATCH(A76,'02_工程タスク'!$A$4:$A$135,0))="","",INDEX('02_工程タスク'!$G$4:$G$135,MATCH(A76,'02_工程タスク'!$A$4:$A$135,0))))</f>
        <v>R08, R04, R11</v>
      </c>
      <c r="D76" s="28" t="str">
        <f>IF(COUNTIF('02_工程タスク'!$A$4:$A$135,A76)&lt;&gt;1,"参照ID不正",IF(INDEX('02_工程タスク'!$H$4:$H$135,MATCH(A76,'02_工程タスク'!$A$4:$A$135,0))="","",INDEX('02_工程タスク'!$H$4:$H$135,MATCH(A76,'02_工程タスク'!$A$4:$A$135,0))))</f>
        <v>R02</v>
      </c>
      <c r="E76" s="2" t="s">
        <v>2408</v>
      </c>
      <c r="F76" s="28" t="str">
        <f>IF(COUNTIF('07_スキル辞書'!$A$4:$A$109,E76)&lt;&gt;1,"参照ID不正",IF(INDEX('07_スキル辞書'!$D$4:$D$109,MATCH(E76,'07_スキル辞書'!$A$4:$A$109,0))="","",INDEX('07_スキル辞書'!$D$4:$D$109,MATCH(E76,'07_スキル辞書'!$A$4:$A$109,0))))</f>
        <v>生成AI・基盤モデルの基礎</v>
      </c>
      <c r="G76" s="2">
        <v>2</v>
      </c>
      <c r="H76" s="28" t="str">
        <f>IF(COUNTIF('07_スキル辞書'!$A$4:$A$109,E76)&lt;&gt;1,"参照ID不正",IF(INDEX('07_スキル辞書'!$I$4:$I$109,MATCH(E76,'07_スキル辞書'!$A$4:$A$109,0))="","",INDEX('07_スキル辞書'!$I$4:$I$109,MATCH(E76,'07_スキル辞書'!$A$4:$A$109,0))))</f>
        <v>案件タイプ・規模の仮判定メモ、案件タイプ判定書（差分適用表を含む）、モデル・プロンプト更新方針</v>
      </c>
      <c r="I76" s="2" t="s">
        <v>2900</v>
      </c>
    </row>
    <row r="77" spans="1:9" ht="38" customHeight="1" x14ac:dyDescent="0.2">
      <c r="A77" s="4" t="s">
        <v>501</v>
      </c>
      <c r="B77" s="28" t="str">
        <f>IF(COUNTIF('02_工程タスク'!$A$4:$A$135,A77)&lt;&gt;1,"参照ID不正",IF(INDEX('02_工程タスク'!$D$4:$D$135,MATCH(A77,'02_工程タスク'!$A$4:$A$135,0))="","",INDEX('02_工程タスク'!$D$4:$D$135,MATCH(A77,'02_工程タスク'!$A$4:$A$135,0))))</f>
        <v>AI機能境界・自律性・不確実性</v>
      </c>
      <c r="C77" s="28" t="str">
        <f>IF(COUNTIF('02_工程タスク'!$A$4:$A$135,A77)&lt;&gt;1,"参照ID不正",IF(INDEX('02_工程タスク'!$G$4:$G$135,MATCH(A77,'02_工程タスク'!$A$4:$A$135,0))="","",INDEX('02_工程タスク'!$G$4:$G$135,MATCH(A77,'02_工程タスク'!$A$4:$A$135,0))))</f>
        <v>R08, R04, R11</v>
      </c>
      <c r="D77" s="28" t="str">
        <f>IF(COUNTIF('02_工程タスク'!$A$4:$A$135,A77)&lt;&gt;1,"参照ID不正",IF(INDEX('02_工程タスク'!$H$4:$H$135,MATCH(A77,'02_工程タスク'!$A$4:$A$135,0))="","",INDEX('02_工程タスク'!$H$4:$H$135,MATCH(A77,'02_工程タスク'!$A$4:$A$135,0))))</f>
        <v>R02</v>
      </c>
      <c r="E77" s="4" t="s">
        <v>2506</v>
      </c>
      <c r="F77" s="28" t="str">
        <f>IF(COUNTIF('07_スキル辞書'!$A$4:$A$109,E77)&lt;&gt;1,"参照ID不正",IF(INDEX('07_スキル辞書'!$D$4:$D$109,MATCH(E77,'07_スキル辞書'!$A$4:$A$109,0))="","",INDEX('07_スキル辞書'!$D$4:$D$109,MATCH(E77,'07_スキル辞書'!$A$4:$A$109,0))))</f>
        <v>エージェント設計と安全制御</v>
      </c>
      <c r="G77" s="4">
        <v>2</v>
      </c>
      <c r="H77" s="28" t="str">
        <f>IF(COUNTIF('07_スキル辞書'!$A$4:$A$109,E77)&lt;&gt;1,"参照ID不正",IF(INDEX('07_スキル辞書'!$I$4:$I$109,MATCH(E77,'07_スキル辞書'!$A$4:$A$109,0))="","",INDEX('07_スキル辞書'!$I$4:$I$109,MATCH(E77,'07_スキル辞書'!$A$4:$A$109,0))))</f>
        <v>LLMアプリケーション実装、ガードレール設定、脅威モデル、AI機能が統合されたバックエンドのソースコード</v>
      </c>
      <c r="I77" s="4" t="s">
        <v>2900</v>
      </c>
    </row>
    <row r="78" spans="1:9" ht="38" customHeight="1" x14ac:dyDescent="0.2">
      <c r="A78" s="2" t="s">
        <v>501</v>
      </c>
      <c r="B78" s="28" t="str">
        <f>IF(COUNTIF('02_工程タスク'!$A$4:$A$135,A78)&lt;&gt;1,"参照ID不正",IF(INDEX('02_工程タスク'!$D$4:$D$135,MATCH(A78,'02_工程タスク'!$A$4:$A$135,0))="","",INDEX('02_工程タスク'!$D$4:$D$135,MATCH(A78,'02_工程タスク'!$A$4:$A$135,0))))</f>
        <v>AI機能境界・自律性・不確実性</v>
      </c>
      <c r="C78" s="28" t="str">
        <f>IF(COUNTIF('02_工程タスク'!$A$4:$A$135,A78)&lt;&gt;1,"参照ID不正",IF(INDEX('02_工程タスク'!$G$4:$G$135,MATCH(A78,'02_工程タスク'!$A$4:$A$135,0))="","",INDEX('02_工程タスク'!$G$4:$G$135,MATCH(A78,'02_工程タスク'!$A$4:$A$135,0))))</f>
        <v>R08, R04, R11</v>
      </c>
      <c r="D78" s="28" t="str">
        <f>IF(COUNTIF('02_工程タスク'!$A$4:$A$135,A78)&lt;&gt;1,"参照ID不正",IF(INDEX('02_工程タスク'!$H$4:$H$135,MATCH(A78,'02_工程タスク'!$A$4:$A$135,0))="","",INDEX('02_工程タスク'!$H$4:$H$135,MATCH(A78,'02_工程タスク'!$A$4:$A$135,0))))</f>
        <v>R02</v>
      </c>
      <c r="E78" s="2" t="s">
        <v>2542</v>
      </c>
      <c r="F78" s="28" t="str">
        <f>IF(COUNTIF('07_スキル辞書'!$A$4:$A$109,E78)&lt;&gt;1,"参照ID不正",IF(INDEX('07_スキル辞書'!$D$4:$D$109,MATCH(E78,'07_スキル辞書'!$A$4:$A$109,0))="","",INDEX('07_スキル辞書'!$D$4:$D$109,MATCH(E78,'07_スキル辞書'!$A$4:$A$109,0))))</f>
        <v>キャリブレーションと運用閾値設計</v>
      </c>
      <c r="G78" s="2">
        <v>2</v>
      </c>
      <c r="H78" s="28" t="str">
        <f>IF(COUNTIF('07_スキル辞書'!$A$4:$A$109,E78)&lt;&gt;1,"参照ID不正",IF(INDEX('07_スキル辞書'!$I$4:$I$109,MATCH(E78,'07_スキル辞書'!$A$4:$A$109,0))="","",INDEX('07_スキル辞書'!$I$4:$I$109,MATCH(E78,'07_スキル辞書'!$A$4:$A$109,0))))</f>
        <v>キャリブレーション結果、モデル評価レポート、AIモデル要件定義書（要件定義書v1の一部）、モデル性能ダッシュボード</v>
      </c>
      <c r="I78" s="2" t="s">
        <v>2900</v>
      </c>
    </row>
    <row r="79" spans="1:9" ht="38" customHeight="1" x14ac:dyDescent="0.2">
      <c r="A79" s="4" t="s">
        <v>510</v>
      </c>
      <c r="B79" s="28" t="str">
        <f>IF(COUNTIF('02_工程タスク'!$A$4:$A$135,A79)&lt;&gt;1,"参照ID不正",IF(INDEX('02_工程タスク'!$D$4:$D$135,MATCH(A79,'02_工程タスク'!$A$4:$A$135,0))="","",INDEX('02_工程タスク'!$D$4:$D$135,MATCH(A79,'02_工程タスク'!$A$4:$A$135,0))))</f>
        <v>評価母集団・指標・閾値・失敗定義</v>
      </c>
      <c r="C79" s="28" t="str">
        <f>IF(COUNTIF('02_工程タスク'!$A$4:$A$135,A79)&lt;&gt;1,"参照ID不正",IF(INDEX('02_工程タスク'!$G$4:$G$135,MATCH(A79,'02_工程タスク'!$A$4:$A$135,0))="","",INDEX('02_工程タスク'!$G$4:$G$135,MATCH(A79,'02_工程タスク'!$A$4:$A$135,0))))</f>
        <v>R11, R04, R08</v>
      </c>
      <c r="D79" s="28" t="str">
        <f>IF(COUNTIF('02_工程タスク'!$A$4:$A$135,A79)&lt;&gt;1,"参照ID不正",IF(INDEX('02_工程タスク'!$H$4:$H$135,MATCH(A79,'02_工程タスク'!$A$4:$A$135,0))="","",INDEX('02_工程タスク'!$H$4:$H$135,MATCH(A79,'02_工程タスク'!$A$4:$A$135,0))))</f>
        <v>R19</v>
      </c>
      <c r="E79" s="4" t="s">
        <v>2389</v>
      </c>
      <c r="F79" s="28" t="str">
        <f>IF(COUNTIF('07_スキル辞書'!$A$4:$A$109,E79)&lt;&gt;1,"参照ID不正",IF(INDEX('07_スキル辞書'!$D$4:$D$109,MATCH(E79,'07_スキル辞書'!$A$4:$A$109,0))="","",INDEX('07_スキル辞書'!$D$4:$D$109,MATCH(E79,'07_スキル辞書'!$A$4:$A$109,0))))</f>
        <v>統計学の基礎</v>
      </c>
      <c r="G79" s="4">
        <v>2</v>
      </c>
      <c r="H79" s="28" t="str">
        <f>IF(COUNTIF('07_スキル辞書'!$A$4:$A$109,E79)&lt;&gt;1,"参照ID不正",IF(INDEX('07_スキル辞書'!$I$4:$I$109,MATCH(E79,'07_スキル辞書'!$A$4:$A$109,0))="","",INDEX('07_スキル辞書'!$I$4:$I$109,MATCH(E79,'07_スキル辞書'!$A$4:$A$109,0))))</f>
        <v>データ品質評価レポート（クラス分布を含む）、最終性能評価レポート（信頼区間付き）、ドリフト検知レポート</v>
      </c>
      <c r="I79" s="4" t="s">
        <v>2900</v>
      </c>
    </row>
    <row r="80" spans="1:9" ht="38" customHeight="1" x14ac:dyDescent="0.2">
      <c r="A80" s="2" t="s">
        <v>510</v>
      </c>
      <c r="B80" s="28" t="str">
        <f>IF(COUNTIF('02_工程タスク'!$A$4:$A$135,A80)&lt;&gt;1,"参照ID不正",IF(INDEX('02_工程タスク'!$D$4:$D$135,MATCH(A80,'02_工程タスク'!$A$4:$A$135,0))="","",INDEX('02_工程タスク'!$D$4:$D$135,MATCH(A80,'02_工程タスク'!$A$4:$A$135,0))))</f>
        <v>評価母集団・指標・閾値・失敗定義</v>
      </c>
      <c r="C80" s="28" t="str">
        <f>IF(COUNTIF('02_工程タスク'!$A$4:$A$135,A80)&lt;&gt;1,"参照ID不正",IF(INDEX('02_工程タスク'!$G$4:$G$135,MATCH(A80,'02_工程タスク'!$A$4:$A$135,0))="","",INDEX('02_工程タスク'!$G$4:$G$135,MATCH(A80,'02_工程タスク'!$A$4:$A$135,0))))</f>
        <v>R11, R04, R08</v>
      </c>
      <c r="D80" s="28" t="str">
        <f>IF(COUNTIF('02_工程タスク'!$A$4:$A$135,A80)&lt;&gt;1,"参照ID不正",IF(INDEX('02_工程タスク'!$H$4:$H$135,MATCH(A80,'02_工程タスク'!$A$4:$A$135,0))="","",INDEX('02_工程タスク'!$H$4:$H$135,MATCH(A80,'02_工程タスク'!$A$4:$A$135,0))))</f>
        <v>R19</v>
      </c>
      <c r="E80" s="2" t="s">
        <v>2524</v>
      </c>
      <c r="F80" s="28" t="str">
        <f>IF(COUNTIF('07_スキル辞書'!$A$4:$A$109,E80)&lt;&gt;1,"参照ID不正",IF(INDEX('07_スキル辞書'!$D$4:$D$109,MATCH(E80,'07_スキル辞書'!$A$4:$A$109,0))="","",INDEX('07_スキル辞書'!$D$4:$D$109,MATCH(E80,'07_スキル辞書'!$A$4:$A$109,0))))</f>
        <v>評価指標の選定と目標値設定</v>
      </c>
      <c r="G80" s="2">
        <v>2</v>
      </c>
      <c r="H80" s="28" t="str">
        <f>IF(COUNTIF('07_スキル辞書'!$A$4:$A$109,E80)&lt;&gt;1,"参照ID不正",IF(INDEX('07_スキル辞書'!$I$4:$I$109,MATCH(E80,'07_スキル辞書'!$A$4:$A$109,0))="","",INDEX('07_スキル辞書'!$I$4:$I$109,MATCH(E80,'07_スキル辞書'!$A$4:$A$109,0))))</f>
        <v>AIモデル要件定義書（要件定義書v1の一部）、受け入れ観点、ユーザーストーリー一覧（優先順位付き）、モデル性能ダッシュボード</v>
      </c>
      <c r="I80" s="2" t="s">
        <v>2900</v>
      </c>
    </row>
    <row r="81" spans="1:9" ht="38" customHeight="1" x14ac:dyDescent="0.2">
      <c r="A81" s="4" t="s">
        <v>510</v>
      </c>
      <c r="B81" s="28" t="str">
        <f>IF(COUNTIF('02_工程タスク'!$A$4:$A$135,A81)&lt;&gt;1,"参照ID不正",IF(INDEX('02_工程タスク'!$D$4:$D$135,MATCH(A81,'02_工程タスク'!$A$4:$A$135,0))="","",INDEX('02_工程タスク'!$D$4:$D$135,MATCH(A81,'02_工程タスク'!$A$4:$A$135,0))))</f>
        <v>評価母集団・指標・閾値・失敗定義</v>
      </c>
      <c r="C81" s="28" t="str">
        <f>IF(COUNTIF('02_工程タスク'!$A$4:$A$135,A81)&lt;&gt;1,"参照ID不正",IF(INDEX('02_工程タスク'!$G$4:$G$135,MATCH(A81,'02_工程タスク'!$A$4:$A$135,0))="","",INDEX('02_工程タスク'!$G$4:$G$135,MATCH(A81,'02_工程タスク'!$A$4:$A$135,0))))</f>
        <v>R11, R04, R08</v>
      </c>
      <c r="D81" s="28" t="str">
        <f>IF(COUNTIF('02_工程タスク'!$A$4:$A$135,A81)&lt;&gt;1,"参照ID不正",IF(INDEX('02_工程タスク'!$H$4:$H$135,MATCH(A81,'02_工程タスク'!$A$4:$A$135,0))="","",INDEX('02_工程タスク'!$H$4:$H$135,MATCH(A81,'02_工程タスク'!$A$4:$A$135,0))))</f>
        <v>R19</v>
      </c>
      <c r="E81" s="4" t="s">
        <v>2551</v>
      </c>
      <c r="F81" s="28" t="str">
        <f>IF(COUNTIF('07_スキル辞書'!$A$4:$A$109,E81)&lt;&gt;1,"参照ID不正",IF(INDEX('07_スキル辞書'!$D$4:$D$109,MATCH(E81,'07_スキル辞書'!$A$4:$A$109,0))="","",INDEX('07_スキル辞書'!$D$4:$D$109,MATCH(E81,'07_スキル辞書'!$A$4:$A$109,0))))</f>
        <v>LLM評価設計</v>
      </c>
      <c r="G81" s="4">
        <v>2</v>
      </c>
      <c r="H81" s="28" t="str">
        <f>IF(COUNTIF('07_スキル辞書'!$A$4:$A$109,E81)&lt;&gt;1,"参照ID不正",IF(INDEX('07_スキル辞書'!$I$4:$I$109,MATCH(E81,'07_スキル辞書'!$A$4:$A$109,0))="","",INDEX('07_スキル辞書'!$I$4:$I$109,MATCH(E81,'07_スキル辞書'!$A$4:$A$109,0))))</f>
        <v>評価ハーネス、AIモデル品質評価レポート、モデル評価レポート、最終性能評価レポート（信頼区間付き）</v>
      </c>
      <c r="I81" s="4" t="s">
        <v>2900</v>
      </c>
    </row>
    <row r="82" spans="1:9" ht="38" customHeight="1" x14ac:dyDescent="0.2">
      <c r="A82" s="2" t="s">
        <v>510</v>
      </c>
      <c r="B82" s="28" t="str">
        <f>IF(COUNTIF('02_工程タスク'!$A$4:$A$135,A82)&lt;&gt;1,"参照ID不正",IF(INDEX('02_工程タスク'!$D$4:$D$135,MATCH(A82,'02_工程タスク'!$A$4:$A$135,0))="","",INDEX('02_工程タスク'!$D$4:$D$135,MATCH(A82,'02_工程タスク'!$A$4:$A$135,0))))</f>
        <v>評価母集団・指標・閾値・失敗定義</v>
      </c>
      <c r="C82" s="28" t="str">
        <f>IF(COUNTIF('02_工程タスク'!$A$4:$A$135,A82)&lt;&gt;1,"参照ID不正",IF(INDEX('02_工程タスク'!$G$4:$G$135,MATCH(A82,'02_工程タスク'!$A$4:$A$135,0))="","",INDEX('02_工程タスク'!$G$4:$G$135,MATCH(A82,'02_工程タスク'!$A$4:$A$135,0))))</f>
        <v>R11, R04, R08</v>
      </c>
      <c r="D82" s="28" t="str">
        <f>IF(COUNTIF('02_工程タスク'!$A$4:$A$135,A82)&lt;&gt;1,"参照ID不正",IF(INDEX('02_工程タスク'!$H$4:$H$135,MATCH(A82,'02_工程タスク'!$A$4:$A$135,0))="","",INDEX('02_工程タスク'!$H$4:$H$135,MATCH(A82,'02_工程タスク'!$A$4:$A$135,0))))</f>
        <v>R19</v>
      </c>
      <c r="E82" s="2" t="s">
        <v>2614</v>
      </c>
      <c r="F82" s="28" t="str">
        <f>IF(COUNTIF('07_スキル辞書'!$A$4:$A$109,E82)&lt;&gt;1,"参照ID不正",IF(INDEX('07_スキル辞書'!$D$4:$D$109,MATCH(E82,'07_スキル辞書'!$A$4:$A$109,0))="","",INDEX('07_スキル辞書'!$D$4:$D$109,MATCH(E82,'07_スキル辞書'!$A$4:$A$109,0))))</f>
        <v>独立評価・採点較正・品質承認証拠</v>
      </c>
      <c r="G82" s="2">
        <v>3</v>
      </c>
      <c r="H82" s="28" t="str">
        <f>IF(COUNTIF('07_スキル辞書'!$A$4:$A$109,E82)&lt;&gt;1,"参照ID不正",IF(INDEX('07_スキル辞書'!$I$4:$I$109,MATCH(E82,'07_スキル辞書'!$A$4:$A$109,0))="","",INDEX('07_スキル辞書'!$I$4:$I$109,MATCH(E82,'07_スキル辞書'!$A$4:$A$109,0))))</f>
        <v>凍結評価・grader較正・G3品質勧告</v>
      </c>
      <c r="I82" s="2" t="s">
        <v>2900</v>
      </c>
    </row>
    <row r="83" spans="1:9" ht="38" customHeight="1" x14ac:dyDescent="0.2">
      <c r="A83" s="4" t="s">
        <v>523</v>
      </c>
      <c r="B83" s="28" t="str">
        <f>IF(COUNTIF('02_工程タスク'!$A$4:$A$135,A83)&lt;&gt;1,"参照ID不正",IF(INDEX('02_工程タスク'!$D$4:$D$135,MATCH(A83,'02_工程タスク'!$A$4:$A$135,0))="","",INDEX('02_工程タスク'!$D$4:$D$135,MATCH(A83,'02_工程タスク'!$A$4:$A$135,0))))</f>
        <v>SLO・容量・可用性・費用要件</v>
      </c>
      <c r="C83" s="28" t="str">
        <f>IF(COUNTIF('02_工程タスク'!$A$4:$A$135,A83)&lt;&gt;1,"参照ID不正",IF(INDEX('02_工程タスク'!$G$4:$G$135,MATCH(A83,'02_工程タスク'!$A$4:$A$135,0))="","",INDEX('02_工程タスク'!$G$4:$G$135,MATCH(A83,'02_工程タスク'!$A$4:$A$135,0))))</f>
        <v>R12, R08, R15</v>
      </c>
      <c r="D83" s="28" t="str">
        <f>IF(COUNTIF('02_工程タスク'!$A$4:$A$135,A83)&lt;&gt;1,"参照ID不正",IF(INDEX('02_工程タスク'!$H$4:$H$135,MATCH(A83,'02_工程タスク'!$A$4:$A$135,0))="","",INDEX('02_工程タスク'!$H$4:$H$135,MATCH(A83,'02_工程タスク'!$A$4:$A$135,0))))</f>
        <v>R18</v>
      </c>
      <c r="E83" s="4" t="s">
        <v>2128</v>
      </c>
      <c r="F83" s="28" t="str">
        <f>IF(COUNTIF('07_スキル辞書'!$A$4:$A$109,E83)&lt;&gt;1,"参照ID不正",IF(INDEX('07_スキル辞書'!$D$4:$D$109,MATCH(E83,'07_スキル辞書'!$A$4:$A$109,0))="","",INDEX('07_スキル辞書'!$D$4:$D$109,MATCH(E83,'07_スキル辞書'!$A$4:$A$109,0))))</f>
        <v>SLO/SLA設計とサービスレベル管理</v>
      </c>
      <c r="G83" s="4">
        <v>2</v>
      </c>
      <c r="H83" s="28" t="str">
        <f>IF(COUNTIF('07_スキル辞書'!$A$4:$A$109,E83)&lt;&gt;1,"参照ID不正",IF(INDEX('07_スキル辞書'!$I$4:$I$109,MATCH(E83,'07_スキル辞書'!$A$4:$A$109,0))="","",INDEX('07_スキル辞書'!$I$4:$I$109,MATCH(E83,'07_スキル辞書'!$A$4:$A$109,0))))</f>
        <v>SLO定義書、SLA（別紙）、運用保守個別契約、監視項目一覧、月次／四半期パフォーマンスレポート</v>
      </c>
      <c r="I83" s="4" t="s">
        <v>2900</v>
      </c>
    </row>
    <row r="84" spans="1:9" ht="38" customHeight="1" x14ac:dyDescent="0.2">
      <c r="A84" s="2" t="s">
        <v>523</v>
      </c>
      <c r="B84" s="28" t="str">
        <f>IF(COUNTIF('02_工程タスク'!$A$4:$A$135,A84)&lt;&gt;1,"参照ID不正",IF(INDEX('02_工程タスク'!$D$4:$D$135,MATCH(A84,'02_工程タスク'!$A$4:$A$135,0))="","",INDEX('02_工程タスク'!$D$4:$D$135,MATCH(A84,'02_工程タスク'!$A$4:$A$135,0))))</f>
        <v>SLO・容量・可用性・費用要件</v>
      </c>
      <c r="C84" s="28" t="str">
        <f>IF(COUNTIF('02_工程タスク'!$A$4:$A$135,A84)&lt;&gt;1,"参照ID不正",IF(INDEX('02_工程タスク'!$G$4:$G$135,MATCH(A84,'02_工程タスク'!$A$4:$A$135,0))="","",INDEX('02_工程タスク'!$G$4:$G$135,MATCH(A84,'02_工程タスク'!$A$4:$A$135,0))))</f>
        <v>R12, R08, R15</v>
      </c>
      <c r="D84" s="28" t="str">
        <f>IF(COUNTIF('02_工程タスク'!$A$4:$A$135,A84)&lt;&gt;1,"参照ID不正",IF(INDEX('02_工程タスク'!$H$4:$H$135,MATCH(A84,'02_工程タスク'!$A$4:$A$135,0))="","",INDEX('02_工程タスク'!$H$4:$H$135,MATCH(A84,'02_工程タスク'!$A$4:$A$135,0))))</f>
        <v>R18</v>
      </c>
      <c r="E84" s="2" t="s">
        <v>2182</v>
      </c>
      <c r="F84" s="28" t="str">
        <f>IF(COUNTIF('07_スキル辞書'!$A$4:$A$109,E84)&lt;&gt;1,"参照ID不正",IF(INDEX('07_スキル辞書'!$D$4:$D$109,MATCH(E84,'07_スキル辞書'!$A$4:$A$109,0))="","",INDEX('07_スキル辞書'!$D$4:$D$109,MATCH(E84,'07_スキル辞書'!$A$4:$A$109,0))))</f>
        <v>非機能要件の定義と性能設計</v>
      </c>
      <c r="G84" s="2">
        <v>2</v>
      </c>
      <c r="H84" s="28" t="str">
        <f>IF(COUNTIF('07_スキル辞書'!$A$4:$A$109,E84)&lt;&gt;1,"参照ID不正",IF(INDEX('07_スキル辞書'!$I$4:$I$109,MATCH(E84,'07_スキル辞書'!$A$4:$A$109,0))="","",INDEX('07_スキル辞書'!$I$4:$I$109,MATCH(E84,'07_スキル辞書'!$A$4:$A$109,0))))</f>
        <v>非機能要件定義書 v1（要件定義書v1の一部）、性能テスト報告書、システムアーキテクチャ設計書</v>
      </c>
      <c r="I84" s="2" t="s">
        <v>2900</v>
      </c>
    </row>
    <row r="85" spans="1:9" ht="38" customHeight="1" x14ac:dyDescent="0.2">
      <c r="A85" s="4" t="s">
        <v>523</v>
      </c>
      <c r="B85" s="28" t="str">
        <f>IF(COUNTIF('02_工程タスク'!$A$4:$A$135,A85)&lt;&gt;1,"参照ID不正",IF(INDEX('02_工程タスク'!$D$4:$D$135,MATCH(A85,'02_工程タスク'!$A$4:$A$135,0))="","",INDEX('02_工程タスク'!$D$4:$D$135,MATCH(A85,'02_工程タスク'!$A$4:$A$135,0))))</f>
        <v>SLO・容量・可用性・費用要件</v>
      </c>
      <c r="C85" s="28" t="str">
        <f>IF(COUNTIF('02_工程タスク'!$A$4:$A$135,A85)&lt;&gt;1,"参照ID不正",IF(INDEX('02_工程タスク'!$G$4:$G$135,MATCH(A85,'02_工程タスク'!$A$4:$A$135,0))="","",INDEX('02_工程タスク'!$G$4:$G$135,MATCH(A85,'02_工程タスク'!$A$4:$A$135,0))))</f>
        <v>R12, R08, R15</v>
      </c>
      <c r="D85" s="28" t="str">
        <f>IF(COUNTIF('02_工程タスク'!$A$4:$A$135,A85)&lt;&gt;1,"参照ID不正",IF(INDEX('02_工程タスク'!$H$4:$H$135,MATCH(A85,'02_工程タスク'!$A$4:$A$135,0))="","",INDEX('02_工程タスク'!$H$4:$H$135,MATCH(A85,'02_工程タスク'!$A$4:$A$135,0))))</f>
        <v>R18</v>
      </c>
      <c r="E85" s="4" t="s">
        <v>2371</v>
      </c>
      <c r="F85" s="28" t="str">
        <f>IF(COUNTIF('07_スキル辞書'!$A$4:$A$109,E85)&lt;&gt;1,"参照ID不正",IF(INDEX('07_スキル辞書'!$D$4:$D$109,MATCH(E85,'07_スキル辞書'!$A$4:$A$109,0))="","",INDEX('07_スキル辞書'!$D$4:$D$109,MATCH(E85,'07_スキル辞書'!$A$4:$A$109,0))))</f>
        <v>トークンコスト・レイテンシ設計とコスト監視</v>
      </c>
      <c r="G85" s="4">
        <v>2</v>
      </c>
      <c r="H85" s="28" t="str">
        <f>IF(COUNTIF('07_スキル辞書'!$A$4:$A$109,E85)&lt;&gt;1,"参照ID不正",IF(INDEX('07_スキル辞書'!$I$4:$I$109,MATCH(E85,'07_スキル辞書'!$A$4:$A$109,0))="","",INDEX('07_スキル辞書'!$I$4:$I$109,MATCH(E85,'07_スキル辞書'!$A$4:$A$109,0))))</f>
        <v>非機能要件定義書 v1（要件定義書v1の一部）、コストダッシュボード、コスト超過アラート、モデル推論APIのエンドポイント</v>
      </c>
      <c r="I85" s="4" t="s">
        <v>2900</v>
      </c>
    </row>
    <row r="86" spans="1:9" ht="38" customHeight="1" x14ac:dyDescent="0.2">
      <c r="A86" s="2" t="s">
        <v>533</v>
      </c>
      <c r="B86" s="28" t="str">
        <f>IF(COUNTIF('02_工程タスク'!$A$4:$A$135,A86)&lt;&gt;1,"参照ID不正",IF(INDEX('02_工程タスク'!$D$4:$D$135,MATCH(A86,'02_工程タスク'!$A$4:$A$135,0))="","",INDEX('02_工程タスク'!$D$4:$D$135,MATCH(A86,'02_工程タスク'!$A$4:$A$135,0))))</f>
        <v>透明性・アクセシビリティ・救済</v>
      </c>
      <c r="C86" s="28" t="str">
        <f>IF(COUNTIF('02_工程タスク'!$A$4:$A$135,A86)&lt;&gt;1,"参照ID不正",IF(INDEX('02_工程タスク'!$G$4:$G$135,MATCH(A86,'02_工程タスク'!$A$4:$A$135,0))="","",INDEX('02_工程タスク'!$G$4:$G$135,MATCH(A86,'02_工程タスク'!$A$4:$A$135,0))))</f>
        <v>R05, R17, R14</v>
      </c>
      <c r="D86" s="28" t="str">
        <f>IF(COUNTIF('02_工程タスク'!$A$4:$A$135,A86)&lt;&gt;1,"参照ID不正",IF(INDEX('02_工程タスク'!$H$4:$H$135,MATCH(A86,'02_工程タスク'!$A$4:$A$135,0))="","",INDEX('02_工程タスク'!$H$4:$H$135,MATCH(A86,'02_工程タスク'!$A$4:$A$135,0))))</f>
        <v>R02</v>
      </c>
      <c r="E86" s="2" t="s">
        <v>2210</v>
      </c>
      <c r="F86" s="28" t="str">
        <f>IF(COUNTIF('07_スキル辞書'!$A$4:$A$109,E86)&lt;&gt;1,"参照ID不正",IF(INDEX('07_スキル辞書'!$D$4:$D$109,MATCH(E86,'07_スキル辞書'!$A$4:$A$109,0))="","",INDEX('07_スキル辞書'!$D$4:$D$109,MATCH(E86,'07_スキル辞書'!$A$4:$A$109,0))))</f>
        <v>UI/UX設計（AI出力の提示とHITL）</v>
      </c>
      <c r="G86" s="2">
        <v>2</v>
      </c>
      <c r="H86" s="28" t="str">
        <f>IF(COUNTIF('07_スキル辞書'!$A$4:$A$109,E86)&lt;&gt;1,"参照ID不正",IF(INDEX('07_スキル辞書'!$I$4:$I$109,MATCH(E86,'07_スキル辞書'!$A$4:$A$109,0))="","",INDEX('07_スキル辞書'!$I$4:$I$109,MATCH(E86,'07_スキル辞書'!$A$4:$A$109,0))))</f>
        <v>UI/UXデザインガイドライン、ワイヤーフレーム、モックアップ、プロトタイプ、フロントエンドのソースコード</v>
      </c>
      <c r="I86" s="2" t="s">
        <v>2900</v>
      </c>
    </row>
    <row r="87" spans="1:9" ht="38" customHeight="1" x14ac:dyDescent="0.2">
      <c r="A87" s="4" t="s">
        <v>533</v>
      </c>
      <c r="B87" s="28" t="str">
        <f>IF(COUNTIF('02_工程タスク'!$A$4:$A$135,A87)&lt;&gt;1,"参照ID不正",IF(INDEX('02_工程タスク'!$D$4:$D$135,MATCH(A87,'02_工程タスク'!$A$4:$A$135,0))="","",INDEX('02_工程タスク'!$D$4:$D$135,MATCH(A87,'02_工程タスク'!$A$4:$A$135,0))))</f>
        <v>透明性・アクセシビリティ・救済</v>
      </c>
      <c r="C87" s="28" t="str">
        <f>IF(COUNTIF('02_工程タスク'!$A$4:$A$135,A87)&lt;&gt;1,"参照ID不正",IF(INDEX('02_工程タスク'!$G$4:$G$135,MATCH(A87,'02_工程タスク'!$A$4:$A$135,0))="","",INDEX('02_工程タスク'!$G$4:$G$135,MATCH(A87,'02_工程タスク'!$A$4:$A$135,0))))</f>
        <v>R05, R17, R14</v>
      </c>
      <c r="D87" s="28" t="str">
        <f>IF(COUNTIF('02_工程タスク'!$A$4:$A$135,A87)&lt;&gt;1,"参照ID不正",IF(INDEX('02_工程タスク'!$H$4:$H$135,MATCH(A87,'02_工程タスク'!$A$4:$A$135,0))="","",INDEX('02_工程タスク'!$H$4:$H$135,MATCH(A87,'02_工程タスク'!$A$4:$A$135,0))))</f>
        <v>R02</v>
      </c>
      <c r="E87" s="4" t="s">
        <v>2780</v>
      </c>
      <c r="F87" s="28" t="str">
        <f>IF(COUNTIF('07_スキル辞書'!$A$4:$A$109,E87)&lt;&gt;1,"参照ID不正",IF(INDEX('07_スキル辞書'!$D$4:$D$109,MATCH(E87,'07_スキル辞書'!$A$4:$A$109,0))="","",INDEX('07_スキル辞書'!$D$4:$D$109,MATCH(E87,'07_スキル辞書'!$A$4:$A$109,0))))</f>
        <v>適切な信頼・説明・介入UX</v>
      </c>
      <c r="G87" s="4">
        <v>2</v>
      </c>
      <c r="H87" s="28" t="str">
        <f>IF(COUNTIF('07_スキル辞書'!$A$4:$A$109,E87)&lt;&gt;1,"参照ID不正",IF(INDEX('07_スキル辞書'!$I$4:$I$109,MATCH(E87,'07_スキル辞書'!$A$4:$A$109,0))="","",INDEX('07_スキル辞書'!$I$4:$I$109,MATCH(E87,'07_スキル辞書'!$A$4:$A$109,0))))</f>
        <v>UX試験・介入評価・救済導線</v>
      </c>
      <c r="I87" s="4" t="s">
        <v>2900</v>
      </c>
    </row>
    <row r="88" spans="1:9" ht="38" customHeight="1" x14ac:dyDescent="0.2">
      <c r="A88" s="2" t="s">
        <v>533</v>
      </c>
      <c r="B88" s="28" t="str">
        <f>IF(COUNTIF('02_工程タスク'!$A$4:$A$135,A88)&lt;&gt;1,"参照ID不正",IF(INDEX('02_工程タスク'!$D$4:$D$135,MATCH(A88,'02_工程タスク'!$A$4:$A$135,0))="","",INDEX('02_工程タスク'!$D$4:$D$135,MATCH(A88,'02_工程タスク'!$A$4:$A$135,0))))</f>
        <v>透明性・アクセシビリティ・救済</v>
      </c>
      <c r="C88" s="28" t="str">
        <f>IF(COUNTIF('02_工程タスク'!$A$4:$A$135,A88)&lt;&gt;1,"参照ID不正",IF(INDEX('02_工程タスク'!$G$4:$G$135,MATCH(A88,'02_工程タスク'!$A$4:$A$135,0))="","",INDEX('02_工程タスク'!$G$4:$G$135,MATCH(A88,'02_工程タスク'!$A$4:$A$135,0))))</f>
        <v>R05, R17, R14</v>
      </c>
      <c r="D88" s="28" t="str">
        <f>IF(COUNTIF('02_工程タスク'!$A$4:$A$135,A88)&lt;&gt;1,"参照ID不正",IF(INDEX('02_工程タスク'!$H$4:$H$135,MATCH(A88,'02_工程タスク'!$A$4:$A$135,0))="","",INDEX('02_工程タスク'!$H$4:$H$135,MATCH(A88,'02_工程タスク'!$A$4:$A$135,0))))</f>
        <v>R02</v>
      </c>
      <c r="E88" s="2" t="s">
        <v>2790</v>
      </c>
      <c r="F88" s="28" t="str">
        <f>IF(COUNTIF('07_スキル辞書'!$A$4:$A$109,E88)&lt;&gt;1,"参照ID不正",IF(INDEX('07_スキル辞書'!$D$4:$D$109,MATCH(E88,'07_スキル辞書'!$A$4:$A$109,0))="","",INDEX('07_スキル辞書'!$D$4:$D$109,MATCH(E88,'07_スキル辞書'!$A$4:$A$109,0))))</f>
        <v>包摂的なAIサービス設計</v>
      </c>
      <c r="G88" s="2">
        <v>2</v>
      </c>
      <c r="H88" s="28" t="str">
        <f>IF(COUNTIF('07_スキル辞書'!$A$4:$A$109,E88)&lt;&gt;1,"参照ID不正",IF(INDEX('07_スキル辞書'!$I$4:$I$109,MATCH(E88,'07_スキル辞書'!$A$4:$A$109,0))="","",INDEX('07_スキル辞書'!$I$4:$I$109,MATCH(E88,'07_スキル辞書'!$A$4:$A$109,0))))</f>
        <v>利用者試験・改善記録</v>
      </c>
      <c r="I88" s="2" t="s">
        <v>2900</v>
      </c>
    </row>
    <row r="89" spans="1:9" ht="38" customHeight="1" x14ac:dyDescent="0.2">
      <c r="A89" s="4" t="s">
        <v>542</v>
      </c>
      <c r="B89" s="28" t="str">
        <f>IF(COUNTIF('02_工程タスク'!$A$4:$A$135,A89)&lt;&gt;1,"参照ID不正",IF(INDEX('02_工程タスク'!$D$4:$D$135,MATCH(A89,'02_工程タスク'!$A$4:$A$135,0))="","",INDEX('02_工程タスク'!$D$4:$D$135,MATCH(A89,'02_工程タスク'!$A$4:$A$135,0))))</f>
        <v>Risk Tier確定・独立性の設計</v>
      </c>
      <c r="C89" s="28" t="str">
        <f>IF(COUNTIF('02_工程タスク'!$A$4:$A$135,A89)&lt;&gt;1,"参照ID不正",IF(INDEX('02_工程タスク'!$G$4:$G$135,MATCH(A89,'02_工程タスク'!$A$4:$A$135,0))="","",INDEX('02_工程タスク'!$G$4:$G$135,MATCH(A89,'02_工程タスク'!$A$4:$A$135,0))))</f>
        <v>R11, R13, R14</v>
      </c>
      <c r="D89" s="28" t="str">
        <f>IF(COUNTIF('02_工程タスク'!$A$4:$A$135,A89)&lt;&gt;1,"参照ID不正",IF(INDEX('02_工程タスク'!$H$4:$H$135,MATCH(A89,'02_工程タスク'!$A$4:$A$135,0))="","",INDEX('02_工程タスク'!$H$4:$H$135,MATCH(A89,'02_工程タスク'!$A$4:$A$135,0))))</f>
        <v>R01</v>
      </c>
      <c r="E89" s="4" t="s">
        <v>2074</v>
      </c>
      <c r="F89" s="28" t="str">
        <f>IF(COUNTIF('07_スキル辞書'!$A$4:$A$109,E89)&lt;&gt;1,"参照ID不正",IF(INDEX('07_スキル辞書'!$D$4:$D$109,MATCH(E89,'07_スキル辞書'!$A$4:$A$109,0))="","",INDEX('07_スキル辞書'!$D$4:$D$109,MATCH(E89,'07_スキル辞書'!$A$4:$A$109,0))))</f>
        <v>リスク管理（AI固有リスクを含む）</v>
      </c>
      <c r="G89" s="4">
        <v>2</v>
      </c>
      <c r="H89" s="28" t="str">
        <f>IF(COUNTIF('07_スキル辞書'!$A$4:$A$109,E89)&lt;&gt;1,"参照ID不正",IF(INDEX('07_スキル辞書'!$I$4:$I$109,MATCH(E89,'07_スキル辞書'!$A$4:$A$109,0))="","",INDEX('07_スキル辞書'!$I$4:$I$109,MATCH(E89,'07_スキル辞書'!$A$4:$A$109,0))))</f>
        <v>リスク管理台帳 v1、前提条件・制約条件リスト、PoC結果報告書</v>
      </c>
      <c r="I89" s="4" t="s">
        <v>2900</v>
      </c>
    </row>
    <row r="90" spans="1:9" ht="38" customHeight="1" x14ac:dyDescent="0.2">
      <c r="A90" s="2" t="s">
        <v>542</v>
      </c>
      <c r="B90" s="28" t="str">
        <f>IF(COUNTIF('02_工程タスク'!$A$4:$A$135,A90)&lt;&gt;1,"参照ID不正",IF(INDEX('02_工程タスク'!$D$4:$D$135,MATCH(A90,'02_工程タスク'!$A$4:$A$135,0))="","",INDEX('02_工程タスク'!$D$4:$D$135,MATCH(A90,'02_工程タスク'!$A$4:$A$135,0))))</f>
        <v>Risk Tier確定・独立性の設計</v>
      </c>
      <c r="C90" s="28" t="str">
        <f>IF(COUNTIF('02_工程タスク'!$A$4:$A$135,A90)&lt;&gt;1,"参照ID不正",IF(INDEX('02_工程タスク'!$G$4:$G$135,MATCH(A90,'02_工程タスク'!$A$4:$A$135,0))="","",INDEX('02_工程タスク'!$G$4:$G$135,MATCH(A90,'02_工程タスク'!$A$4:$A$135,0))))</f>
        <v>R11, R13, R14</v>
      </c>
      <c r="D90" s="28" t="str">
        <f>IF(COUNTIF('02_工程タスク'!$A$4:$A$135,A90)&lt;&gt;1,"参照ID不正",IF(INDEX('02_工程タスク'!$H$4:$H$135,MATCH(A90,'02_工程タスク'!$A$4:$A$135,0))="","",INDEX('02_工程タスク'!$H$4:$H$135,MATCH(A90,'02_工程タスク'!$A$4:$A$135,0))))</f>
        <v>R01</v>
      </c>
      <c r="E90" s="2" t="s">
        <v>2560</v>
      </c>
      <c r="F90" s="28" t="str">
        <f>IF(COUNTIF('07_スキル辞書'!$A$4:$A$109,E90)&lt;&gt;1,"参照ID不正",IF(INDEX('07_スキル辞書'!$D$4:$D$109,MATCH(E90,'07_スキル辞書'!$A$4:$A$109,0))="","",INDEX('07_スキル辞書'!$D$4:$D$109,MATCH(E90,'07_スキル辞書'!$A$4:$A$109,0))))</f>
        <v>責任あるAI評価（公平性・説明可能性・透明性）</v>
      </c>
      <c r="G90" s="2">
        <v>2</v>
      </c>
      <c r="H90" s="28" t="str">
        <f>IF(COUNTIF('07_スキル辞書'!$A$4:$A$109,E90)&lt;&gt;1,"参照ID不正",IF(INDEX('07_スキル辞書'!$I$4:$I$109,MATCH(E90,'07_スキル辞書'!$A$4:$A$109,0))="","",INDEX('07_スキル辞書'!$I$4:$I$109,MATCH(E90,'07_スキル辞書'!$A$4:$A$109,0))))</f>
        <v>責任あるAI評価レポート（許容基準と残存リスクを含む）、公平性評価レポート（緩和前後の比較）、UI/UXデザインガイドライン</v>
      </c>
      <c r="I90" s="2" t="s">
        <v>2900</v>
      </c>
    </row>
    <row r="91" spans="1:9" ht="38" customHeight="1" x14ac:dyDescent="0.2">
      <c r="A91" s="4" t="s">
        <v>542</v>
      </c>
      <c r="B91" s="28" t="str">
        <f>IF(COUNTIF('02_工程タスク'!$A$4:$A$135,A91)&lt;&gt;1,"参照ID不正",IF(INDEX('02_工程タスク'!$D$4:$D$135,MATCH(A91,'02_工程タスク'!$A$4:$A$135,0))="","",INDEX('02_工程タスク'!$D$4:$D$135,MATCH(A91,'02_工程タスク'!$A$4:$A$135,0))))</f>
        <v>Risk Tier確定・独立性の設計</v>
      </c>
      <c r="C91" s="28" t="str">
        <f>IF(COUNTIF('02_工程タスク'!$A$4:$A$135,A91)&lt;&gt;1,"参照ID不正",IF(INDEX('02_工程タスク'!$G$4:$G$135,MATCH(A91,'02_工程タスク'!$A$4:$A$135,0))="","",INDEX('02_工程タスク'!$G$4:$G$135,MATCH(A91,'02_工程タスク'!$A$4:$A$135,0))))</f>
        <v>R11, R13, R14</v>
      </c>
      <c r="D91" s="28" t="str">
        <f>IF(COUNTIF('02_工程タスク'!$A$4:$A$135,A91)&lt;&gt;1,"参照ID不正",IF(INDEX('02_工程タスク'!$H$4:$H$135,MATCH(A91,'02_工程タスク'!$A$4:$A$135,0))="","",INDEX('02_工程タスク'!$H$4:$H$135,MATCH(A91,'02_工程タスク'!$A$4:$A$135,0))))</f>
        <v>R01</v>
      </c>
      <c r="E91" s="4" t="s">
        <v>2614</v>
      </c>
      <c r="F91" s="28" t="str">
        <f>IF(COUNTIF('07_スキル辞書'!$A$4:$A$109,E91)&lt;&gt;1,"参照ID不正",IF(INDEX('07_スキル辞書'!$D$4:$D$109,MATCH(E91,'07_スキル辞書'!$A$4:$A$109,0))="","",INDEX('07_スキル辞書'!$D$4:$D$109,MATCH(E91,'07_スキル辞書'!$A$4:$A$109,0))))</f>
        <v>独立評価・採点較正・品質承認証拠</v>
      </c>
      <c r="G91" s="4">
        <v>3</v>
      </c>
      <c r="H91" s="28" t="str">
        <f>IF(COUNTIF('07_スキル辞書'!$A$4:$A$109,E91)&lt;&gt;1,"参照ID不正",IF(INDEX('07_スキル辞書'!$I$4:$I$109,MATCH(E91,'07_スキル辞書'!$A$4:$A$109,0))="","",INDEX('07_スキル辞書'!$I$4:$I$109,MATCH(E91,'07_スキル辞書'!$A$4:$A$109,0))))</f>
        <v>凍結評価・grader較正・G3品質勧告</v>
      </c>
      <c r="I91" s="4" t="s">
        <v>2900</v>
      </c>
    </row>
    <row r="92" spans="1:9" ht="38" customHeight="1" x14ac:dyDescent="0.2">
      <c r="A92" s="2" t="s">
        <v>542</v>
      </c>
      <c r="B92" s="28" t="str">
        <f>IF(COUNTIF('02_工程タスク'!$A$4:$A$135,A92)&lt;&gt;1,"参照ID不正",IF(INDEX('02_工程タスク'!$D$4:$D$135,MATCH(A92,'02_工程タスク'!$A$4:$A$135,0))="","",INDEX('02_工程タスク'!$D$4:$D$135,MATCH(A92,'02_工程タスク'!$A$4:$A$135,0))))</f>
        <v>Risk Tier確定・独立性の設計</v>
      </c>
      <c r="C92" s="28" t="str">
        <f>IF(COUNTIF('02_工程タスク'!$A$4:$A$135,A92)&lt;&gt;1,"参照ID不正",IF(INDEX('02_工程タスク'!$G$4:$G$135,MATCH(A92,'02_工程タスク'!$A$4:$A$135,0))="","",INDEX('02_工程タスク'!$G$4:$G$135,MATCH(A92,'02_工程タスク'!$A$4:$A$135,0))))</f>
        <v>R11, R13, R14</v>
      </c>
      <c r="D92" s="28" t="str">
        <f>IF(COUNTIF('02_工程タスク'!$A$4:$A$135,A92)&lt;&gt;1,"参照ID不正",IF(INDEX('02_工程タスク'!$H$4:$H$135,MATCH(A92,'02_工程タスク'!$A$4:$A$135,0))="","",INDEX('02_工程タスク'!$H$4:$H$135,MATCH(A92,'02_工程タスク'!$A$4:$A$135,0))))</f>
        <v>R01</v>
      </c>
      <c r="E92" s="2" t="s">
        <v>2651</v>
      </c>
      <c r="F92" s="28" t="str">
        <f>IF(COUNTIF('07_スキル辞書'!$A$4:$A$109,E92)&lt;&gt;1,"参照ID不正",IF(INDEX('07_スキル辞書'!$D$4:$D$109,MATCH(E92,'07_スキル辞書'!$A$4:$A$109,0))="","",INDEX('07_スキル辞書'!$D$4:$D$109,MATCH(E92,'07_スキル辞書'!$A$4:$A$109,0))))</f>
        <v>リスク比例の投資・公開・継続・変更判断</v>
      </c>
      <c r="G92" s="2">
        <v>3</v>
      </c>
      <c r="H92" s="28" t="str">
        <f>IF(COUNTIF('07_スキル辞書'!$A$4:$A$109,E92)&lt;&gt;1,"参照ID不正",IF(INDEX('07_スキル辞書'!$I$4:$I$109,MATCH(E92,'07_スキル辞書'!$A$4:$A$109,0))="","",INDEX('07_スキル辞書'!$I$4:$I$109,MATCH(E92,'07_スキル辞書'!$A$4:$A$109,0))))</f>
        <v>投資・Release・例外・継続判断記録</v>
      </c>
      <c r="I92" s="2" t="s">
        <v>2900</v>
      </c>
    </row>
    <row r="93" spans="1:9" ht="38" customHeight="1" x14ac:dyDescent="0.2">
      <c r="A93" s="4" t="s">
        <v>552</v>
      </c>
      <c r="B93" s="28" t="str">
        <f>IF(COUNTIF('02_工程タスク'!$A$4:$A$135,A93)&lt;&gt;1,"参照ID不正",IF(INDEX('02_工程タスク'!$D$4:$D$135,MATCH(A93,'02_工程タスク'!$A$4:$A$135,0))="","",INDEX('02_工程タスク'!$D$4:$D$135,MATCH(A93,'02_工程タスク'!$A$4:$A$135,0))))</f>
        <v>オンボーディング・提供条件</v>
      </c>
      <c r="C93" s="28" t="str">
        <f>IF(COUNTIF('02_工程タスク'!$A$4:$A$135,A93)&lt;&gt;1,"参照ID不正",IF(INDEX('02_工程タスク'!$G$4:$G$135,MATCH(A93,'02_工程タスク'!$A$4:$A$135,0))="","",INDEX('02_工程タスク'!$G$4:$G$135,MATCH(A93,'02_工程タスク'!$A$4:$A$135,0))))</f>
        <v>R16, R17, R05</v>
      </c>
      <c r="D93" s="28" t="str">
        <f>IF(COUNTIF('02_工程タスク'!$A$4:$A$135,A93)&lt;&gt;1,"参照ID不正",IF(INDEX('02_工程タスク'!$H$4:$H$135,MATCH(A93,'02_工程タスク'!$A$4:$A$135,0))="","",INDEX('02_工程タスク'!$H$4:$H$135,MATCH(A93,'02_工程タスク'!$A$4:$A$135,0))))</f>
        <v>R02</v>
      </c>
      <c r="E93" s="4" t="s">
        <v>2119</v>
      </c>
      <c r="F93" s="28" t="str">
        <f>IF(COUNTIF('07_スキル辞書'!$A$4:$A$109,E93)&lt;&gt;1,"参照ID不正",IF(INDEX('07_スキル辞書'!$D$4:$D$109,MATCH(E93,'07_スキル辞書'!$A$4:$A$109,0))="","",INDEX('07_スキル辞書'!$D$4:$D$109,MATCH(E93,'07_スキル辞書'!$A$4:$A$109,0))))</f>
        <v>業務定着支援とチェンジマネジメント</v>
      </c>
      <c r="G93" s="4">
        <v>2</v>
      </c>
      <c r="H93" s="28" t="str">
        <f>IF(COUNTIF('07_スキル辞書'!$A$4:$A$109,E93)&lt;&gt;1,"参照ID不正",IF(INDEX('07_スキル辞書'!$I$4:$I$109,MATCH(E93,'07_スキル辞書'!$A$4:$A$109,0))="","",INDEX('07_スキル辞書'!$I$4:$I$109,MATCH(E93,'07_スキル辞書'!$A$4:$A$109,0))))</f>
        <v>利用者向けトレーニング資料、段階展開計画、効果測定レポート、運用引継ぎ完了報告書</v>
      </c>
      <c r="I93" s="4" t="s">
        <v>2900</v>
      </c>
    </row>
    <row r="94" spans="1:9" ht="38" customHeight="1" x14ac:dyDescent="0.2">
      <c r="A94" s="2" t="s">
        <v>552</v>
      </c>
      <c r="B94" s="28" t="str">
        <f>IF(COUNTIF('02_工程タスク'!$A$4:$A$135,A94)&lt;&gt;1,"参照ID不正",IF(INDEX('02_工程タスク'!$D$4:$D$135,MATCH(A94,'02_工程タスク'!$A$4:$A$135,0))="","",INDEX('02_工程タスク'!$D$4:$D$135,MATCH(A94,'02_工程タスク'!$A$4:$A$135,0))))</f>
        <v>オンボーディング・提供条件</v>
      </c>
      <c r="C94" s="28" t="str">
        <f>IF(COUNTIF('02_工程タスク'!$A$4:$A$135,A94)&lt;&gt;1,"参照ID不正",IF(INDEX('02_工程タスク'!$G$4:$G$135,MATCH(A94,'02_工程タスク'!$A$4:$A$135,0))="","",INDEX('02_工程タスク'!$G$4:$G$135,MATCH(A94,'02_工程タスク'!$A$4:$A$135,0))))</f>
        <v>R16, R17, R05</v>
      </c>
      <c r="D94" s="28" t="str">
        <f>IF(COUNTIF('02_工程タスク'!$A$4:$A$135,A94)&lt;&gt;1,"参照ID不正",IF(INDEX('02_工程タスク'!$H$4:$H$135,MATCH(A94,'02_工程タスク'!$A$4:$A$135,0))="","",INDEX('02_工程タスク'!$H$4:$H$135,MATCH(A94,'02_工程タスク'!$A$4:$A$135,0))))</f>
        <v>R02</v>
      </c>
      <c r="E94" s="2" t="s">
        <v>2688</v>
      </c>
      <c r="F94" s="28" t="str">
        <f>IF(COUNTIF('07_スキル辞書'!$A$4:$A$109,E94)&lt;&gt;1,"参照ID不正",IF(INDEX('07_スキル辞書'!$D$4:$D$109,MATCH(E94,'07_スキル辞書'!$A$4:$A$109,0))="","",INDEX('07_スキル辞書'!$D$4:$D$109,MATCH(E94,'07_スキル辞書'!$A$4:$A$109,0))))</f>
        <v>市場投入・販売・導入設計</v>
      </c>
      <c r="G94" s="2">
        <v>2</v>
      </c>
      <c r="H94" s="28" t="str">
        <f>IF(COUNTIF('07_スキル辞書'!$A$4:$A$109,E94)&lt;&gt;1,"参照ID不正",IF(INDEX('07_スキル辞書'!$I$4:$I$109,MATCH(E94,'07_スキル辞書'!$A$4:$A$109,0))="","",INDEX('07_スキル辞書'!$I$4:$I$109,MATCH(E94,'07_スキル辞書'!$A$4:$A$109,0))))</f>
        <v>Launch計画・販売資料・導入実績</v>
      </c>
      <c r="I94" s="2" t="s">
        <v>2900</v>
      </c>
    </row>
    <row r="95" spans="1:9" ht="38" customHeight="1" x14ac:dyDescent="0.2">
      <c r="A95" s="4" t="s">
        <v>552</v>
      </c>
      <c r="B95" s="28" t="str">
        <f>IF(COUNTIF('02_工程タスク'!$A$4:$A$135,A95)&lt;&gt;1,"参照ID不正",IF(INDEX('02_工程タスク'!$D$4:$D$135,MATCH(A95,'02_工程タスク'!$A$4:$A$135,0))="","",INDEX('02_工程タスク'!$D$4:$D$135,MATCH(A95,'02_工程タスク'!$A$4:$A$135,0))))</f>
        <v>オンボーディング・提供条件</v>
      </c>
      <c r="C95" s="28" t="str">
        <f>IF(COUNTIF('02_工程タスク'!$A$4:$A$135,A95)&lt;&gt;1,"参照ID不正",IF(INDEX('02_工程タスク'!$G$4:$G$135,MATCH(A95,'02_工程タスク'!$A$4:$A$135,0))="","",INDEX('02_工程タスク'!$G$4:$G$135,MATCH(A95,'02_工程タスク'!$A$4:$A$135,0))))</f>
        <v>R16, R17, R05</v>
      </c>
      <c r="D95" s="28" t="str">
        <f>IF(COUNTIF('02_工程タスク'!$A$4:$A$135,A95)&lt;&gt;1,"参照ID不正",IF(INDEX('02_工程タスク'!$H$4:$H$135,MATCH(A95,'02_工程タスク'!$A$4:$A$135,0))="","",INDEX('02_工程タスク'!$H$4:$H$135,MATCH(A95,'02_工程タスク'!$A$4:$A$135,0))))</f>
        <v>R02</v>
      </c>
      <c r="E95" s="4" t="s">
        <v>2723</v>
      </c>
      <c r="F95" s="28" t="str">
        <f>IF(COUNTIF('07_スキル辞書'!$A$4:$A$109,E95)&lt;&gt;1,"参照ID不正",IF(INDEX('07_スキル辞書'!$D$4:$D$109,MATCH(E95,'07_スキル辞書'!$A$4:$A$109,0))="","",INDEX('07_スキル辞書'!$D$4:$D$109,MATCH(E95,'07_スキル辞書'!$A$4:$A$109,0))))</f>
        <v>導入・顧客成功・救済</v>
      </c>
      <c r="G95" s="4">
        <v>2</v>
      </c>
      <c r="H95" s="28" t="str">
        <f>IF(COUNTIF('07_スキル辞書'!$A$4:$A$109,E95)&lt;&gt;1,"参照ID不正",IF(INDEX('07_スキル辞書'!$I$4:$I$109,MATCH(E95,'07_スキル辞書'!$A$4:$A$109,0))="","",INDEX('07_スキル辞書'!$I$4:$I$109,MATCH(E95,'07_スキル辞書'!$A$4:$A$109,0))))</f>
        <v>CS記録・導入指標・救済記録</v>
      </c>
      <c r="I95" s="4" t="s">
        <v>2900</v>
      </c>
    </row>
    <row r="96" spans="1:9" ht="38" customHeight="1" x14ac:dyDescent="0.2">
      <c r="A96" s="2" t="s">
        <v>562</v>
      </c>
      <c r="B96" s="28" t="str">
        <f>IF(COUNTIF('02_工程タスク'!$A$4:$A$135,A96)&lt;&gt;1,"参照ID不正",IF(INDEX('02_工程タスク'!$D$4:$D$135,MATCH(A96,'02_工程タスク'!$A$4:$A$135,0))="","",INDEX('02_工程タスク'!$D$4:$D$135,MATCH(A96,'02_工程タスク'!$A$4:$A$135,0))))</f>
        <v>価格・課金・利用制限の設計</v>
      </c>
      <c r="C96" s="28" t="str">
        <f>IF(COUNTIF('02_工程タスク'!$A$4:$A$135,A96)&lt;&gt;1,"参照ID不正",IF(INDEX('02_工程タスク'!$G$4:$G$135,MATCH(A96,'02_工程タスク'!$A$4:$A$135,0))="","",INDEX('02_工程タスク'!$G$4:$G$135,MATCH(A96,'02_工程タスク'!$A$4:$A$135,0))))</f>
        <v>R02, R15, R16</v>
      </c>
      <c r="D96" s="28" t="str">
        <f>IF(COUNTIF('02_工程タスク'!$A$4:$A$135,A96)&lt;&gt;1,"参照ID不正",IF(INDEX('02_工程タスク'!$H$4:$H$135,MATCH(A96,'02_工程タスク'!$A$4:$A$135,0))="","",INDEX('02_工程タスク'!$H$4:$H$135,MATCH(A96,'02_工程タスク'!$A$4:$A$135,0))))</f>
        <v>R01</v>
      </c>
      <c r="E96" s="2" t="s">
        <v>2672</v>
      </c>
      <c r="F96" s="28" t="str">
        <f>IF(COUNTIF('07_スキル辞書'!$A$4:$A$109,E96)&lt;&gt;1,"参照ID不正",IF(INDEX('07_スキル辞書'!$D$4:$D$109,MATCH(E96,'07_スキル辞書'!$A$4:$A$109,0))="","",INDEX('07_スキル辞書'!$D$4:$D$109,MATCH(E96,'07_スキル辞書'!$A$4:$A$109,0))))</f>
        <v>価格・支払意思・パッケージ</v>
      </c>
      <c r="G96" s="2">
        <v>2</v>
      </c>
      <c r="H96" s="28" t="str">
        <f>IF(COUNTIF('07_スキル辞書'!$A$4:$A$109,E96)&lt;&gt;1,"参照ID不正",IF(INDEX('07_スキル辞書'!$I$4:$I$109,MATCH(E96,'07_スキル辞書'!$A$4:$A$109,0))="","",INDEX('07_スキル辞書'!$I$4:$I$109,MATCH(E96,'07_スキル辞書'!$A$4:$A$109,0))))</f>
        <v>価格実験・提供条件</v>
      </c>
      <c r="I96" s="2" t="s">
        <v>2900</v>
      </c>
    </row>
    <row r="97" spans="1:9" ht="38" customHeight="1" x14ac:dyDescent="0.2">
      <c r="A97" s="4" t="s">
        <v>562</v>
      </c>
      <c r="B97" s="28" t="str">
        <f>IF(COUNTIF('02_工程タスク'!$A$4:$A$135,A97)&lt;&gt;1,"参照ID不正",IF(INDEX('02_工程タスク'!$D$4:$D$135,MATCH(A97,'02_工程タスク'!$A$4:$A$135,0))="","",INDEX('02_工程タスク'!$D$4:$D$135,MATCH(A97,'02_工程タスク'!$A$4:$A$135,0))))</f>
        <v>価格・課金・利用制限の設計</v>
      </c>
      <c r="C97" s="28" t="str">
        <f>IF(COUNTIF('02_工程タスク'!$A$4:$A$135,A97)&lt;&gt;1,"参照ID不正",IF(INDEX('02_工程タスク'!$G$4:$G$135,MATCH(A97,'02_工程タスク'!$A$4:$A$135,0))="","",INDEX('02_工程タスク'!$G$4:$G$135,MATCH(A97,'02_工程タスク'!$A$4:$A$135,0))))</f>
        <v>R02, R15, R16</v>
      </c>
      <c r="D97" s="28" t="str">
        <f>IF(COUNTIF('02_工程タスク'!$A$4:$A$135,A97)&lt;&gt;1,"参照ID不正",IF(INDEX('02_工程タスク'!$H$4:$H$135,MATCH(A97,'02_工程タスク'!$A$4:$A$135,0))="","",INDEX('02_工程タスク'!$H$4:$H$135,MATCH(A97,'02_工程タスク'!$A$4:$A$135,0))))</f>
        <v>R01</v>
      </c>
      <c r="E97" s="4" t="s">
        <v>2742</v>
      </c>
      <c r="F97" s="28" t="str">
        <f>IF(COUNTIF('07_スキル辞書'!$A$4:$A$109,E97)&lt;&gt;1,"参照ID不正",IF(INDEX('07_スキル辞書'!$D$4:$D$109,MATCH(E97,'07_スキル辞書'!$A$4:$A$109,0))="","",INDEX('07_スキル辞書'!$D$4:$D$109,MATCH(E97,'07_スキル辞書'!$A$4:$A$109,0))))</f>
        <v>利用量計測・課金・返金</v>
      </c>
      <c r="G97" s="4">
        <v>2</v>
      </c>
      <c r="H97" s="28" t="str">
        <f>IF(COUNTIF('07_スキル辞書'!$A$4:$A$109,E97)&lt;&gt;1,"参照ID不正",IF(INDEX('07_スキル辞書'!$I$4:$I$109,MATCH(E97,'07_スキル辞書'!$A$4:$A$109,0))="","",INDEX('07_スキル辞書'!$I$4:$I$109,MATCH(E97,'07_スキル辞書'!$A$4:$A$109,0))))</f>
        <v>課金仕様・照合テスト・精算</v>
      </c>
      <c r="I97" s="4" t="s">
        <v>2900</v>
      </c>
    </row>
    <row r="98" spans="1:9" ht="38" customHeight="1" x14ac:dyDescent="0.2">
      <c r="A98" s="2" t="s">
        <v>562</v>
      </c>
      <c r="B98" s="28" t="str">
        <f>IF(COUNTIF('02_工程タスク'!$A$4:$A$135,A98)&lt;&gt;1,"参照ID不正",IF(INDEX('02_工程タスク'!$D$4:$D$135,MATCH(A98,'02_工程タスク'!$A$4:$A$135,0))="","",INDEX('02_工程タスク'!$D$4:$D$135,MATCH(A98,'02_工程タスク'!$A$4:$A$135,0))))</f>
        <v>価格・課金・利用制限の設計</v>
      </c>
      <c r="C98" s="28" t="str">
        <f>IF(COUNTIF('02_工程タスク'!$A$4:$A$135,A98)&lt;&gt;1,"参照ID不正",IF(INDEX('02_工程タスク'!$G$4:$G$135,MATCH(A98,'02_工程タスク'!$A$4:$A$135,0))="","",INDEX('02_工程タスク'!$G$4:$G$135,MATCH(A98,'02_工程タスク'!$A$4:$A$135,0))))</f>
        <v>R02, R15, R16</v>
      </c>
      <c r="D98" s="28" t="str">
        <f>IF(COUNTIF('02_工程タスク'!$A$4:$A$135,A98)&lt;&gt;1,"参照ID不正",IF(INDEX('02_工程タスク'!$H$4:$H$135,MATCH(A98,'02_工程タスク'!$A$4:$A$135,0))="","",INDEX('02_工程タスク'!$H$4:$H$135,MATCH(A98,'02_工程タスク'!$A$4:$A$135,0))))</f>
        <v>R01</v>
      </c>
      <c r="E98" s="2" t="s">
        <v>2761</v>
      </c>
      <c r="F98" s="28" t="str">
        <f>IF(COUNTIF('07_スキル辞書'!$A$4:$A$109,E98)&lt;&gt;1,"参照ID不正",IF(INDEX('07_スキル辞書'!$D$4:$D$109,MATCH(E98,'07_スキル辞書'!$A$4:$A$109,0))="","",INDEX('07_スキル辞書'!$D$4:$D$109,MATCH(E98,'07_スキル辞書'!$A$4:$A$109,0))))</f>
        <v>成功単位原価・限界利益・費用境界</v>
      </c>
      <c r="G98" s="2">
        <v>2</v>
      </c>
      <c r="H98" s="28" t="str">
        <f>IF(COUNTIF('07_スキル辞書'!$A$4:$A$109,E98)&lt;&gt;1,"参照ID不正",IF(INDEX('07_スキル辞書'!$I$4:$I$109,MATCH(E98,'07_スキル辞書'!$A$4:$A$109,0))="","",INDEX('07_スキル辞書'!$I$4:$I$109,MATCH(E98,'07_スキル辞書'!$A$4:$A$109,0))))</f>
        <v>cost/success・収支・感度分析</v>
      </c>
      <c r="I98" s="2" t="s">
        <v>2900</v>
      </c>
    </row>
    <row r="99" spans="1:9" ht="38" customHeight="1" x14ac:dyDescent="0.2">
      <c r="A99" s="4" t="s">
        <v>571</v>
      </c>
      <c r="B99" s="28" t="str">
        <f>IF(COUNTIF('02_工程タスク'!$A$4:$A$135,A99)&lt;&gt;1,"参照ID不正",IF(INDEX('02_工程タスク'!$D$4:$D$135,MATCH(A99,'02_工程タスク'!$A$4:$A$135,0))="","",INDEX('02_工程タスク'!$D$4:$D$135,MATCH(A99,'02_工程タスク'!$A$4:$A$135,0))))</f>
        <v>モデル・クラウド・委託先の条件</v>
      </c>
      <c r="C99" s="28" t="str">
        <f>IF(COUNTIF('02_工程タスク'!$A$4:$A$135,A99)&lt;&gt;1,"参照ID不正",IF(INDEX('02_工程タスク'!$G$4:$G$135,MATCH(A99,'02_工程タスク'!$A$4:$A$135,0))="","",INDEX('02_工程タスク'!$G$4:$G$135,MATCH(A99,'02_工程タスク'!$A$4:$A$135,0))))</f>
        <v>R20, R14, R08</v>
      </c>
      <c r="D99" s="28" t="str">
        <f>IF(COUNTIF('02_工程タスク'!$A$4:$A$135,A99)&lt;&gt;1,"参照ID不正",IF(INDEX('02_工程タスク'!$H$4:$H$135,MATCH(A99,'02_工程タスク'!$A$4:$A$135,0))="","",INDEX('02_工程タスク'!$H$4:$H$135,MATCH(A99,'02_工程タスク'!$A$4:$A$135,0))))</f>
        <v>R20</v>
      </c>
      <c r="E99" s="4" t="s">
        <v>2046</v>
      </c>
      <c r="F99" s="28" t="str">
        <f>IF(COUNTIF('07_スキル辞書'!$A$4:$A$109,E99)&lt;&gt;1,"参照ID不正",IF(INDEX('07_スキル辞書'!$D$4:$D$109,MATCH(E99,'07_スキル辞書'!$A$4:$A$109,0))="","",INDEX('07_スキル辞書'!$D$4:$D$109,MATCH(E99,'07_スキル辞書'!$A$4:$A$109,0))))</f>
        <v>外部契約・調達・ベンダー受入</v>
      </c>
      <c r="G99" s="4">
        <v>2</v>
      </c>
      <c r="H99" s="28" t="str">
        <f>IF(COUNTIF('07_スキル辞書'!$A$4:$A$109,E99)&lt;&gt;1,"参照ID不正",IF(INDEX('07_スキル辞書'!$I$4:$I$109,MATCH(E99,'07_スキル辞書'!$A$4:$A$109,0))="","",INDEX('07_スキル辞書'!$I$4:$I$109,MATCH(E99,'07_スキル辞書'!$A$4:$A$109,0))))</f>
        <v>外部契約台帳・Supplier Acceptance・退出計画</v>
      </c>
      <c r="I99" s="4" t="s">
        <v>2900</v>
      </c>
    </row>
    <row r="100" spans="1:9" ht="38" customHeight="1" x14ac:dyDescent="0.2">
      <c r="A100" s="2" t="s">
        <v>571</v>
      </c>
      <c r="B100" s="28" t="str">
        <f>IF(COUNTIF('02_工程タスク'!$A$4:$A$135,A100)&lt;&gt;1,"参照ID不正",IF(INDEX('02_工程タスク'!$D$4:$D$135,MATCH(A100,'02_工程タスク'!$A$4:$A$135,0))="","",INDEX('02_工程タスク'!$D$4:$D$135,MATCH(A100,'02_工程タスク'!$A$4:$A$135,0))))</f>
        <v>モデル・クラウド・委託先の条件</v>
      </c>
      <c r="C100" s="28" t="str">
        <f>IF(COUNTIF('02_工程タスク'!$A$4:$A$135,A100)&lt;&gt;1,"参照ID不正",IF(INDEX('02_工程タスク'!$G$4:$G$135,MATCH(A100,'02_工程タスク'!$A$4:$A$135,0))="","",INDEX('02_工程タスク'!$G$4:$G$135,MATCH(A100,'02_工程タスク'!$A$4:$A$135,0))))</f>
        <v>R20, R14, R08</v>
      </c>
      <c r="D100" s="28" t="str">
        <f>IF(COUNTIF('02_工程タスク'!$A$4:$A$135,A100)&lt;&gt;1,"参照ID不正",IF(INDEX('02_工程タスク'!$H$4:$H$135,MATCH(A100,'02_工程タスク'!$A$4:$A$135,0))="","",INDEX('02_工程タスク'!$H$4:$H$135,MATCH(A100,'02_工程タスク'!$A$4:$A$135,0))))</f>
        <v>R20</v>
      </c>
      <c r="E100" s="2" t="s">
        <v>2055</v>
      </c>
      <c r="F100" s="28" t="str">
        <f>IF(COUNTIF('07_スキル辞書'!$A$4:$A$109,E100)&lt;&gt;1,"参照ID不正",IF(INDEX('07_スキル辞書'!$D$4:$D$109,MATCH(E100,'07_スキル辞書'!$A$4:$A$109,0))="","",INDEX('07_スキル辞書'!$D$4:$D$109,MATCH(E100,'07_スキル辞書'!$A$4:$A$109,0))))</f>
        <v>知的財産・ライセンスと生成物の権利処理</v>
      </c>
      <c r="G100" s="2">
        <v>2</v>
      </c>
      <c r="H100" s="28" t="str">
        <f>IF(COUNTIF('07_スキル辞書'!$A$4:$A$109,E100)&lt;&gt;1,"参照ID不正",IF(INDEX('07_スキル辞書'!$I$4:$I$109,MATCH(E100,'07_スキル辞書'!$A$4:$A$109,0))="","",INDEX('07_スキル辞書'!$I$4:$I$109,MATCH(E100,'07_スキル辞書'!$A$4:$A$109,0))))</f>
        <v>IP／ライセンス台帳、出所・利用許諾、製品採用判断。外注／販売時は23の契約と権利受入記録。</v>
      </c>
      <c r="I100" s="2" t="s">
        <v>2900</v>
      </c>
    </row>
    <row r="101" spans="1:9" ht="38" customHeight="1" x14ac:dyDescent="0.2">
      <c r="A101" s="4" t="s">
        <v>571</v>
      </c>
      <c r="B101" s="28" t="str">
        <f>IF(COUNTIF('02_工程タスク'!$A$4:$A$135,A101)&lt;&gt;1,"参照ID不正",IF(INDEX('02_工程タスク'!$D$4:$D$135,MATCH(A101,'02_工程タスク'!$A$4:$A$135,0))="","",INDEX('02_工程タスク'!$D$4:$D$135,MATCH(A101,'02_工程タスク'!$A$4:$A$135,0))))</f>
        <v>モデル・クラウド・委託先の条件</v>
      </c>
      <c r="C101" s="28" t="str">
        <f>IF(COUNTIF('02_工程タスク'!$A$4:$A$135,A101)&lt;&gt;1,"参照ID不正",IF(INDEX('02_工程タスク'!$G$4:$G$135,MATCH(A101,'02_工程タスク'!$A$4:$A$135,0))="","",INDEX('02_工程タスク'!$G$4:$G$135,MATCH(A101,'02_工程タスク'!$A$4:$A$135,0))))</f>
        <v>R20, R14, R08</v>
      </c>
      <c r="D101" s="28" t="str">
        <f>IF(COUNTIF('02_工程タスク'!$A$4:$A$135,A101)&lt;&gt;1,"参照ID不正",IF(INDEX('02_工程タスク'!$H$4:$H$135,MATCH(A101,'02_工程タスク'!$A$4:$A$135,0))="","",INDEX('02_工程タスク'!$H$4:$H$135,MATCH(A101,'02_工程タスク'!$A$4:$A$135,0))))</f>
        <v>R20</v>
      </c>
      <c r="E101" s="4" t="s">
        <v>2771</v>
      </c>
      <c r="F101" s="28" t="str">
        <f>IF(COUNTIF('07_スキル辞書'!$A$4:$A$109,E101)&lt;&gt;1,"参照ID不正",IF(INDEX('07_スキル辞書'!$D$4:$D$109,MATCH(E101,'07_スキル辞書'!$A$4:$A$109,0))="","",INDEX('07_スキル辞書'!$D$4:$D$109,MATCH(E101,'07_スキル辞書'!$A$4:$A$109,0))))</f>
        <v>モデル・Provider・処理条件・EOL管理</v>
      </c>
      <c r="G101" s="4">
        <v>2</v>
      </c>
      <c r="H101" s="28" t="str">
        <f>IF(COUNTIF('07_スキル辞書'!$A$4:$A$109,E101)&lt;&gt;1,"参照ID不正",IF(INDEX('07_スキル辞書'!$I$4:$I$109,MATCH(E101,'07_スキル辞書'!$A$4:$A$109,0))="","",INDEX('07_スキル辞書'!$I$4:$I$109,MATCH(E101,'07_スキル辞書'!$A$4:$A$109,0))))</f>
        <v>AI依存台帳・規約差分・切替評価</v>
      </c>
      <c r="I101" s="4" t="s">
        <v>2900</v>
      </c>
    </row>
    <row r="102" spans="1:9" ht="38" customHeight="1" x14ac:dyDescent="0.2">
      <c r="A102" s="2" t="s">
        <v>571</v>
      </c>
      <c r="B102" s="28" t="str">
        <f>IF(COUNTIF('02_工程タスク'!$A$4:$A$135,A102)&lt;&gt;1,"参照ID不正",IF(INDEX('02_工程タスク'!$D$4:$D$135,MATCH(A102,'02_工程タスク'!$A$4:$A$135,0))="","",INDEX('02_工程タスク'!$D$4:$D$135,MATCH(A102,'02_工程タスク'!$A$4:$A$135,0))))</f>
        <v>モデル・クラウド・委託先の条件</v>
      </c>
      <c r="C102" s="28" t="str">
        <f>IF(COUNTIF('02_工程タスク'!$A$4:$A$135,A102)&lt;&gt;1,"参照ID不正",IF(INDEX('02_工程タスク'!$G$4:$G$135,MATCH(A102,'02_工程タスク'!$A$4:$A$135,0))="","",INDEX('02_工程タスク'!$G$4:$G$135,MATCH(A102,'02_工程タスク'!$A$4:$A$135,0))))</f>
        <v>R20, R14, R08</v>
      </c>
      <c r="D102" s="28" t="str">
        <f>IF(COUNTIF('02_工程タスク'!$A$4:$A$135,A102)&lt;&gt;1,"参照ID不正",IF(INDEX('02_工程タスク'!$H$4:$H$135,MATCH(A102,'02_工程タスク'!$A$4:$A$135,0))="","",INDEX('02_工程タスク'!$H$4:$H$135,MATCH(A102,'02_工程タスク'!$A$4:$A$135,0))))</f>
        <v>R20</v>
      </c>
      <c r="E102" s="2" t="s">
        <v>2753</v>
      </c>
      <c r="F102" s="28" t="str">
        <f>IF(COUNTIF('07_スキル辞書'!$A$4:$A$109,E102)&lt;&gt;1,"参照ID不正",IF(INDEX('07_スキル辞書'!$D$4:$D$109,MATCH(E102,'07_スキル辞書'!$A$4:$A$109,0))="","",INDEX('07_スキル辞書'!$D$4:$D$109,MATCH(E102,'07_スキル辞書'!$A$4:$A$109,0))))</f>
        <v>Build/Buy/Partnerと調達判断</v>
      </c>
      <c r="G102" s="2">
        <v>2</v>
      </c>
      <c r="H102" s="28" t="str">
        <f>IF(COUNTIF('07_スキル辞書'!$A$4:$A$109,E102)&lt;&gt;1,"参照ID不正",IF(INDEX('07_スキル辞書'!$I$4:$I$109,MATCH(E102,'07_スキル辞書'!$A$4:$A$109,0))="","",INDEX('07_スキル辞書'!$I$4:$I$109,MATCH(E102,'07_スキル辞書'!$A$4:$A$109,0))))</f>
        <v>調達ADR・契約・代替計画</v>
      </c>
      <c r="I102" s="2" t="s">
        <v>2900</v>
      </c>
    </row>
    <row r="103" spans="1:9" ht="38" customHeight="1" x14ac:dyDescent="0.2">
      <c r="A103" s="4" t="s">
        <v>583</v>
      </c>
      <c r="B103" s="28" t="str">
        <f>IF(COUNTIF('02_工程タスク'!$A$4:$A$135,A103)&lt;&gt;1,"参照ID不正",IF(INDEX('02_工程タスク'!$D$4:$D$135,MATCH(A103,'02_工程タスク'!$A$4:$A$135,0))="","",INDEX('02_工程タスク'!$D$4:$D$135,MATCH(A103,'02_工程タスク'!$A$4:$A$135,0))))</f>
        <v>開発Agent利用・送信・権限の承認</v>
      </c>
      <c r="C103" s="28" t="str">
        <f>IF(COUNTIF('02_工程タスク'!$A$4:$A$135,A103)&lt;&gt;1,"参照ID不正",IF(INDEX('02_工程タスク'!$G$4:$G$135,MATCH(A103,'02_工程タスク'!$A$4:$A$135,0))="","",INDEX('02_工程タスク'!$G$4:$G$135,MATCH(A103,'02_工程タスク'!$A$4:$A$135,0))))</f>
        <v>R06, R13, R14</v>
      </c>
      <c r="D103" s="28" t="str">
        <f>IF(COUNTIF('02_工程タスク'!$A$4:$A$135,A103)&lt;&gt;1,"参照ID不正",IF(INDEX('02_工程タスク'!$H$4:$H$135,MATCH(A103,'02_工程タスク'!$A$4:$A$135,0))="","",INDEX('02_工程タスク'!$H$4:$H$135,MATCH(A103,'02_工程タスク'!$A$4:$A$135,0))))</f>
        <v>R06</v>
      </c>
      <c r="E103" s="4" t="s">
        <v>2173</v>
      </c>
      <c r="F103" s="28" t="str">
        <f>IF(COUNTIF('07_スキル辞書'!$A$4:$A$109,E103)&lt;&gt;1,"参照ID不正",IF(INDEX('07_スキル辞書'!$D$4:$D$109,MATCH(E103,'07_スキル辞書'!$A$4:$A$109,0))="","",INDEX('07_スキル辞書'!$D$4:$D$109,MATCH(E103,'07_スキル辞書'!$A$4:$A$109,0))))</f>
        <v>コーディングエージェントの活用</v>
      </c>
      <c r="G103" s="4">
        <v>2</v>
      </c>
      <c r="H103" s="28" t="str">
        <f>IF(COUNTIF('07_スキル辞書'!$A$4:$A$109,E103)&lt;&gt;1,"参照ID不正",IF(INDEX('07_スキル辞書'!$I$4:$I$109,MATCH(E103,'07_スキル辞書'!$A$4:$A$109,0))="","",INDEX('07_スキル辞書'!$I$4:$I$109,MATCH(E103,'07_スキル辞書'!$A$4:$A$109,0))))</f>
        <v>サーバーサイドのソースコード、単体・結合テストコード、クレンジングスクリプト、フロントエンドのソースコード</v>
      </c>
      <c r="I103" s="4" t="s">
        <v>2900</v>
      </c>
    </row>
    <row r="104" spans="1:9" ht="38" customHeight="1" x14ac:dyDescent="0.2">
      <c r="A104" s="2" t="s">
        <v>583</v>
      </c>
      <c r="B104" s="28" t="str">
        <f>IF(COUNTIF('02_工程タスク'!$A$4:$A$135,A104)&lt;&gt;1,"参照ID不正",IF(INDEX('02_工程タスク'!$D$4:$D$135,MATCH(A104,'02_工程タスク'!$A$4:$A$135,0))="","",INDEX('02_工程タスク'!$D$4:$D$135,MATCH(A104,'02_工程タスク'!$A$4:$A$135,0))))</f>
        <v>開発Agent利用・送信・権限の承認</v>
      </c>
      <c r="C104" s="28" t="str">
        <f>IF(COUNTIF('02_工程タスク'!$A$4:$A$135,A104)&lt;&gt;1,"参照ID不正",IF(INDEX('02_工程タスク'!$G$4:$G$135,MATCH(A104,'02_工程タスク'!$A$4:$A$135,0))="","",INDEX('02_工程タスク'!$G$4:$G$135,MATCH(A104,'02_工程タスク'!$A$4:$A$135,0))))</f>
        <v>R06, R13, R14</v>
      </c>
      <c r="D104" s="28" t="str">
        <f>IF(COUNTIF('02_工程タスク'!$A$4:$A$135,A104)&lt;&gt;1,"参照ID不正",IF(INDEX('02_工程タスク'!$H$4:$H$135,MATCH(A104,'02_工程タスク'!$A$4:$A$135,0))="","",INDEX('02_工程タスク'!$H$4:$H$135,MATCH(A104,'02_工程タスク'!$A$4:$A$135,0))))</f>
        <v>R06</v>
      </c>
      <c r="E104" s="2" t="s">
        <v>2623</v>
      </c>
      <c r="F104" s="28" t="str">
        <f>IF(COUNTIF('07_スキル辞書'!$A$4:$A$109,E104)&lt;&gt;1,"参照ID不正",IF(INDEX('07_スキル辞書'!$D$4:$D$109,MATCH(E104,'07_スキル辞書'!$A$4:$A$109,0))="","",INDEX('07_スキル辞書'!$D$4:$D$109,MATCH(E104,'07_スキル辞書'!$A$4:$A$109,0))))</f>
        <v>開発エージェントの権限・通信・供給網統制</v>
      </c>
      <c r="G104" s="2">
        <v>2</v>
      </c>
      <c r="H104" s="28" t="str">
        <f>IF(COUNTIF('07_スキル辞書'!$A$4:$A$109,E104)&lt;&gt;1,"参照ID不正",IF(INDEX('07_スキル辞書'!$I$4:$I$109,MATCH(E104,'07_スキル辞書'!$A$4:$A$109,0))="","",INDEX('07_スキル辞書'!$I$4:$I$109,MATCH(E104,'07_スキル辞書'!$A$4:$A$109,0))))</f>
        <v>ツール許可台帳／sandbox設定／通信・権限試験／秘密検査</v>
      </c>
      <c r="I104" s="2" t="s">
        <v>2900</v>
      </c>
    </row>
    <row r="105" spans="1:9" ht="38" customHeight="1" x14ac:dyDescent="0.2">
      <c r="A105" s="4" t="s">
        <v>583</v>
      </c>
      <c r="B105" s="28" t="str">
        <f>IF(COUNTIF('02_工程タスク'!$A$4:$A$135,A105)&lt;&gt;1,"参照ID不正",IF(INDEX('02_工程タスク'!$D$4:$D$135,MATCH(A105,'02_工程タスク'!$A$4:$A$135,0))="","",INDEX('02_工程タスク'!$D$4:$D$135,MATCH(A105,'02_工程タスク'!$A$4:$A$135,0))))</f>
        <v>開発Agent利用・送信・権限の承認</v>
      </c>
      <c r="C105" s="28" t="str">
        <f>IF(COUNTIF('02_工程タスク'!$A$4:$A$135,A105)&lt;&gt;1,"参照ID不正",IF(INDEX('02_工程タスク'!$G$4:$G$135,MATCH(A105,'02_工程タスク'!$A$4:$A$135,0))="","",INDEX('02_工程タスク'!$G$4:$G$135,MATCH(A105,'02_工程タスク'!$A$4:$A$135,0))))</f>
        <v>R06, R13, R14</v>
      </c>
      <c r="D105" s="28" t="str">
        <f>IF(COUNTIF('02_工程タスク'!$A$4:$A$135,A105)&lt;&gt;1,"参照ID不正",IF(INDEX('02_工程タスク'!$H$4:$H$135,MATCH(A105,'02_工程タスク'!$A$4:$A$135,0))="","",INDEX('02_工程タスク'!$H$4:$H$135,MATCH(A105,'02_工程タスク'!$A$4:$A$135,0))))</f>
        <v>R06</v>
      </c>
      <c r="E105" s="4" t="s">
        <v>2818</v>
      </c>
      <c r="F105" s="28" t="str">
        <f>IF(COUNTIF('07_スキル辞書'!$A$4:$A$109,E105)&lt;&gt;1,"参照ID不正",IF(INDEX('07_スキル辞書'!$D$4:$D$109,MATCH(E105,'07_スキル辞書'!$A$4:$A$109,0))="","",INDEX('07_スキル辞書'!$D$4:$D$109,MATCH(E105,'07_スキル辞書'!$A$4:$A$109,0))))</f>
        <v>Tool/MCP認可・副作用・実行制御</v>
      </c>
      <c r="G105" s="4">
        <v>2</v>
      </c>
      <c r="H105" s="28" t="str">
        <f>IF(COUNTIF('07_スキル辞書'!$A$4:$A$109,E105)&lt;&gt;1,"参照ID不正",IF(INDEX('07_スキル辞書'!$I$4:$I$109,MATCH(E105,'07_スキル辞書'!$A$4:$A$109,0))="","",INDEX('07_スキル辞書'!$I$4:$I$109,MATCH(E105,'07_スキル辞書'!$A$4:$A$109,0))))</f>
        <v>Tool契約・Policy・攻撃試験</v>
      </c>
      <c r="I105" s="4" t="s">
        <v>2900</v>
      </c>
    </row>
    <row r="106" spans="1:9" ht="38" customHeight="1" x14ac:dyDescent="0.2">
      <c r="A106" s="2" t="s">
        <v>596</v>
      </c>
      <c r="B106" s="28" t="str">
        <f>IF(COUNTIF('02_工程タスク'!$A$4:$A$135,A106)&lt;&gt;1,"参照ID不正",IF(INDEX('02_工程タスク'!$D$4:$D$135,MATCH(A106,'02_工程タスク'!$A$4:$A$135,0))="","",INDEX('02_工程タスク'!$D$4:$D$135,MATCH(A106,'02_工程タスク'!$A$4:$A$135,0))))</f>
        <v>Evidence Plan・学習ループ設計</v>
      </c>
      <c r="C106" s="28" t="str">
        <f>IF(COUNTIF('02_工程タスク'!$A$4:$A$135,A106)&lt;&gt;1,"参照ID不正",IF(INDEX('02_工程タスク'!$G$4:$G$135,MATCH(A106,'02_工程タスク'!$A$4:$A$135,0))="","",INDEX('02_工程タスク'!$G$4:$G$135,MATCH(A106,'02_工程タスク'!$A$4:$A$135,0))))</f>
        <v>R02, R08, R11</v>
      </c>
      <c r="D106" s="28" t="str">
        <f>IF(COUNTIF('02_工程タスク'!$A$4:$A$135,A106)&lt;&gt;1,"参照ID不正",IF(INDEX('02_工程タスク'!$H$4:$H$135,MATCH(A106,'02_工程タスク'!$A$4:$A$135,0))="","",INDEX('02_工程タスク'!$H$4:$H$135,MATCH(A106,'02_工程タスク'!$A$4:$A$135,0))))</f>
        <v>R02</v>
      </c>
      <c r="E106" s="2" t="s">
        <v>2480</v>
      </c>
      <c r="F106" s="28" t="str">
        <f>IF(COUNTIF('07_スキル辞書'!$A$4:$A$109,E106)&lt;&gt;1,"参照ID不正",IF(INDEX('07_スキル辞書'!$D$4:$D$109,MATCH(E106,'07_スキル辞書'!$A$4:$A$109,0))="","",INDEX('07_スキル辞書'!$D$4:$D$109,MATCH(E106,'07_スキル辞書'!$A$4:$A$109,0))))</f>
        <v>ベースライン設計と実験管理</v>
      </c>
      <c r="G106" s="2">
        <v>2</v>
      </c>
      <c r="H106" s="28" t="str">
        <f>IF(COUNTIF('07_スキル辞書'!$A$4:$A$109,E106)&lt;&gt;1,"参照ID不正",IF(INDEX('07_スキル辞書'!$I$4:$I$109,MATCH(E106,'07_スキル辞書'!$A$4:$A$109,0))="","",INDEX('07_スキル辞書'!$I$4:$I$109,MATCH(E106,'07_スキル辞書'!$A$4:$A$109,0))))</f>
        <v>ベースライン性能測定レポート、学習・改善ログ、検証環境、モックアップモデル（またはプロンプト/検索設定一式）</v>
      </c>
      <c r="I106" s="2" t="s">
        <v>2900</v>
      </c>
    </row>
    <row r="107" spans="1:9" ht="38" customHeight="1" x14ac:dyDescent="0.2">
      <c r="A107" s="4" t="s">
        <v>596</v>
      </c>
      <c r="B107" s="28" t="str">
        <f>IF(COUNTIF('02_工程タスク'!$A$4:$A$135,A107)&lt;&gt;1,"参照ID不正",IF(INDEX('02_工程タスク'!$D$4:$D$135,MATCH(A107,'02_工程タスク'!$A$4:$A$135,0))="","",INDEX('02_工程タスク'!$D$4:$D$135,MATCH(A107,'02_工程タスク'!$A$4:$A$135,0))))</f>
        <v>Evidence Plan・学習ループ設計</v>
      </c>
      <c r="C107" s="28" t="str">
        <f>IF(COUNTIF('02_工程タスク'!$A$4:$A$135,A107)&lt;&gt;1,"参照ID不正",IF(INDEX('02_工程タスク'!$G$4:$G$135,MATCH(A107,'02_工程タスク'!$A$4:$A$135,0))="","",INDEX('02_工程タスク'!$G$4:$G$135,MATCH(A107,'02_工程タスク'!$A$4:$A$135,0))))</f>
        <v>R02, R08, R11</v>
      </c>
      <c r="D107" s="28" t="str">
        <f>IF(COUNTIF('02_工程タスク'!$A$4:$A$135,A107)&lt;&gt;1,"参照ID不正",IF(INDEX('02_工程タスク'!$H$4:$H$135,MATCH(A107,'02_工程タスク'!$A$4:$A$135,0))="","",INDEX('02_工程タスク'!$H$4:$H$135,MATCH(A107,'02_工程タスク'!$A$4:$A$135,0))))</f>
        <v>R02</v>
      </c>
      <c r="E107" s="4" t="s">
        <v>2705</v>
      </c>
      <c r="F107" s="28" t="str">
        <f>IF(COUNTIF('07_スキル辞書'!$A$4:$A$109,E107)&lt;&gt;1,"参照ID不正",IF(INDEX('07_スキル辞書'!$D$4:$D$109,MATCH(E107,'07_スキル辞書'!$A$4:$A$109,0))="","",INDEX('07_スキル辞書'!$D$4:$D$109,MATCH(E107,'07_スキル辞書'!$A$4:$A$109,0))))</f>
        <v>仮説・実験・反証・意思決定</v>
      </c>
      <c r="G107" s="4">
        <v>2</v>
      </c>
      <c r="H107" s="28" t="str">
        <f>IF(COUNTIF('07_スキル辞書'!$A$4:$A$109,E107)&lt;&gt;1,"参照ID不正",IF(INDEX('07_スキル辞書'!$I$4:$I$109,MATCH(E107,'07_スキル辞書'!$A$4:$A$109,0))="","",INDEX('07_スキル辞書'!$I$4:$I$109,MATCH(E107,'07_スキル辞書'!$A$4:$A$109,0))))</f>
        <v>実験台帳・判断・学習ログ</v>
      </c>
      <c r="I107" s="4" t="s">
        <v>2900</v>
      </c>
    </row>
    <row r="108" spans="1:9" ht="38" customHeight="1" x14ac:dyDescent="0.2">
      <c r="A108" s="2" t="s">
        <v>596</v>
      </c>
      <c r="B108" s="28" t="str">
        <f>IF(COUNTIF('02_工程タスク'!$A$4:$A$135,A108)&lt;&gt;1,"参照ID不正",IF(INDEX('02_工程タスク'!$D$4:$D$135,MATCH(A108,'02_工程タスク'!$A$4:$A$135,0))="","",INDEX('02_工程タスク'!$D$4:$D$135,MATCH(A108,'02_工程タスク'!$A$4:$A$135,0))))</f>
        <v>Evidence Plan・学習ループ設計</v>
      </c>
      <c r="C108" s="28" t="str">
        <f>IF(COUNTIF('02_工程タスク'!$A$4:$A$135,A108)&lt;&gt;1,"参照ID不正",IF(INDEX('02_工程タスク'!$G$4:$G$135,MATCH(A108,'02_工程タスク'!$A$4:$A$135,0))="","",INDEX('02_工程タスク'!$G$4:$G$135,MATCH(A108,'02_工程タスク'!$A$4:$A$135,0))))</f>
        <v>R02, R08, R11</v>
      </c>
      <c r="D108" s="28" t="str">
        <f>IF(COUNTIF('02_工程タスク'!$A$4:$A$135,A108)&lt;&gt;1,"参照ID不正",IF(INDEX('02_工程タスク'!$H$4:$H$135,MATCH(A108,'02_工程タスク'!$A$4:$A$135,0))="","",INDEX('02_工程タスク'!$H$4:$H$135,MATCH(A108,'02_工程タスク'!$A$4:$A$135,0))))</f>
        <v>R02</v>
      </c>
      <c r="E108" s="2" t="s">
        <v>2863</v>
      </c>
      <c r="F108" s="28" t="str">
        <f>IF(COUNTIF('07_スキル辞書'!$A$4:$A$109,E108)&lt;&gt;1,"参照ID不正",IF(INDEX('07_スキル辞書'!$D$4:$D$109,MATCH(E108,'07_スキル辞書'!$A$4:$A$109,0))="","",INDEX('07_スキル辞書'!$D$4:$D$109,MATCH(E108,'07_スキル辞書'!$A$4:$A$109,0))))</f>
        <v>段階投資・学習価値・Pivot/Stop</v>
      </c>
      <c r="G108" s="2">
        <v>3</v>
      </c>
      <c r="H108" s="28" t="str">
        <f>IF(COUNTIF('07_スキル辞書'!$A$4:$A$109,E108)&lt;&gt;1,"参照ID不正",IF(INDEX('07_スキル辞書'!$I$4:$I$109,MATCH(E108,'07_スキル辞書'!$A$4:$A$109,0))="","",INDEX('07_スキル辞書'!$I$4:$I$109,MATCH(E108,'07_スキル辞書'!$A$4:$A$109,0))))</f>
        <v>G0/G4・実験・投資レビュー</v>
      </c>
      <c r="I108" s="2" t="s">
        <v>2900</v>
      </c>
    </row>
    <row r="109" spans="1:9" ht="38" customHeight="1" x14ac:dyDescent="0.2">
      <c r="A109" s="4" t="s">
        <v>604</v>
      </c>
      <c r="B109" s="28" t="str">
        <f>IF(COUNTIF('02_工程タスク'!$A$4:$A$135,A109)&lt;&gt;1,"参照ID不正",IF(INDEX('02_工程タスク'!$D$4:$D$135,MATCH(A109,'02_工程タスク'!$A$4:$A$135,0))="","",INDEX('02_工程タスク'!$D$4:$D$135,MATCH(A109,'02_工程タスク'!$A$4:$A$135,0))))</f>
        <v>ロードマップ・依存・スキル充足</v>
      </c>
      <c r="C109" s="28" t="str">
        <f>IF(COUNTIF('02_工程タスク'!$A$4:$A$135,A109)&lt;&gt;1,"参照ID不正",IF(INDEX('02_工程タスク'!$G$4:$G$135,MATCH(A109,'02_工程タスク'!$A$4:$A$135,0))="","",INDEX('02_工程タスク'!$G$4:$G$135,MATCH(A109,'02_工程タスク'!$A$4:$A$135,0))))</f>
        <v>R03, R02, R06</v>
      </c>
      <c r="D109" s="28" t="str">
        <f>IF(COUNTIF('02_工程タスク'!$A$4:$A$135,A109)&lt;&gt;1,"参照ID不正",IF(INDEX('02_工程タスク'!$H$4:$H$135,MATCH(A109,'02_工程タスク'!$A$4:$A$135,0))="","",INDEX('02_工程タスク'!$H$4:$H$135,MATCH(A109,'02_工程タスク'!$A$4:$A$135,0))))</f>
        <v>R01</v>
      </c>
      <c r="E109" s="4" t="s">
        <v>2064</v>
      </c>
      <c r="F109" s="28" t="str">
        <f>IF(COUNTIF('07_スキル辞書'!$A$4:$A$109,E109)&lt;&gt;1,"参照ID不正",IF(INDEX('07_スキル辞書'!$D$4:$D$109,MATCH(E109,'07_スキル辞書'!$A$4:$A$109,0))="","",INDEX('07_スキル辞書'!$D$4:$D$109,MATCH(E109,'07_スキル辞書'!$A$4:$A$109,0))))</f>
        <v>プロジェクト計画・進捗・変更管理</v>
      </c>
      <c r="G109" s="4">
        <v>2</v>
      </c>
      <c r="H109" s="28" t="str">
        <f>IF(COUNTIF('07_スキル辞書'!$A$4:$A$109,E109)&lt;&gt;1,"参照ID不正",IF(INDEX('07_スキル辞書'!$I$4:$I$109,MATCH(E109,'07_スキル辞書'!$A$4:$A$109,0))="","",INDEX('07_スキル辞書'!$I$4:$I$109,MATCH(E109,'07_スキル辞書'!$A$4:$A$109,0))))</f>
        <v>Issue／ロードマップ、投資枠・検証予算、変更影響評価、事業・品質レビュー、継続／停止判断。</v>
      </c>
      <c r="I109" s="4" t="s">
        <v>2900</v>
      </c>
    </row>
    <row r="110" spans="1:9" ht="38" customHeight="1" x14ac:dyDescent="0.2">
      <c r="A110" s="2" t="s">
        <v>604</v>
      </c>
      <c r="B110" s="28" t="str">
        <f>IF(COUNTIF('02_工程タスク'!$A$4:$A$135,A110)&lt;&gt;1,"参照ID不正",IF(INDEX('02_工程タスク'!$D$4:$D$135,MATCH(A110,'02_工程タスク'!$A$4:$A$135,0))="","",INDEX('02_工程タスク'!$D$4:$D$135,MATCH(A110,'02_工程タスク'!$A$4:$A$135,0))))</f>
        <v>ロードマップ・依存・スキル充足</v>
      </c>
      <c r="C110" s="28" t="str">
        <f>IF(COUNTIF('02_工程タスク'!$A$4:$A$135,A110)&lt;&gt;1,"参照ID不正",IF(INDEX('02_工程タスク'!$G$4:$G$135,MATCH(A110,'02_工程タスク'!$A$4:$A$135,0))="","",INDEX('02_工程タスク'!$G$4:$G$135,MATCH(A110,'02_工程タスク'!$A$4:$A$135,0))))</f>
        <v>R03, R02, R06</v>
      </c>
      <c r="D110" s="28" t="str">
        <f>IF(COUNTIF('02_工程タスク'!$A$4:$A$135,A110)&lt;&gt;1,"参照ID不正",IF(INDEX('02_工程タスク'!$H$4:$H$135,MATCH(A110,'02_工程タスク'!$A$4:$A$135,0))="","",INDEX('02_工程タスク'!$H$4:$H$135,MATCH(A110,'02_工程タスク'!$A$4:$A$135,0))))</f>
        <v>R01</v>
      </c>
      <c r="E110" s="2" t="s">
        <v>2714</v>
      </c>
      <c r="F110" s="28" t="str">
        <f>IF(COUNTIF('07_スキル辞書'!$A$4:$A$109,E110)&lt;&gt;1,"参照ID不正",IF(INDEX('07_スキル辞書'!$D$4:$D$109,MATCH(E110,'07_スキル辞書'!$A$4:$A$109,0))="","",INDEX('07_スキル辞書'!$D$4:$D$109,MATCH(E110,'07_スキル辞書'!$A$4:$A$109,0))))</f>
        <v>スキルギャップ・兼務・要員設計</v>
      </c>
      <c r="G110" s="2">
        <v>2</v>
      </c>
      <c r="H110" s="28" t="str">
        <f>IF(COUNTIF('07_スキル辞書'!$A$4:$A$109,E110)&lt;&gt;1,"参照ID不正",IF(INDEX('07_スキル辞書'!$I$4:$I$109,MATCH(E110,'07_スキル辞書'!$A$4:$A$109,0))="","",INDEX('07_スキル辞書'!$I$4:$I$109,MATCH(E110,'07_スキル辞書'!$A$4:$A$109,0))))</f>
        <v>能力評価・要員・育成計画</v>
      </c>
      <c r="I110" s="2" t="s">
        <v>2900</v>
      </c>
    </row>
    <row r="111" spans="1:9" ht="38" customHeight="1" x14ac:dyDescent="0.2">
      <c r="A111" s="4" t="s">
        <v>604</v>
      </c>
      <c r="B111" s="28" t="str">
        <f>IF(COUNTIF('02_工程タスク'!$A$4:$A$135,A111)&lt;&gt;1,"参照ID不正",IF(INDEX('02_工程タスク'!$D$4:$D$135,MATCH(A111,'02_工程タスク'!$A$4:$A$135,0))="","",INDEX('02_工程タスク'!$D$4:$D$135,MATCH(A111,'02_工程タスク'!$A$4:$A$135,0))))</f>
        <v>ロードマップ・依存・スキル充足</v>
      </c>
      <c r="C111" s="28" t="str">
        <f>IF(COUNTIF('02_工程タスク'!$A$4:$A$135,A111)&lt;&gt;1,"参照ID不正",IF(INDEX('02_工程タスク'!$G$4:$G$135,MATCH(A111,'02_工程タスク'!$A$4:$A$135,0))="","",INDEX('02_工程タスク'!$G$4:$G$135,MATCH(A111,'02_工程タスク'!$A$4:$A$135,0))))</f>
        <v>R03, R02, R06</v>
      </c>
      <c r="D111" s="28" t="str">
        <f>IF(COUNTIF('02_工程タスク'!$A$4:$A$135,A111)&lt;&gt;1,"参照ID不正",IF(INDEX('02_工程タスク'!$H$4:$H$135,MATCH(A111,'02_工程タスク'!$A$4:$A$135,0))="","",INDEX('02_工程タスク'!$H$4:$H$135,MATCH(A111,'02_工程タスク'!$A$4:$A$135,0))))</f>
        <v>R01</v>
      </c>
      <c r="E111" s="4" t="s">
        <v>2883</v>
      </c>
      <c r="F111" s="28" t="str">
        <f>IF(COUNTIF('07_スキル辞書'!$A$4:$A$109,E111)&lt;&gt;1,"参照ID不正",IF(INDEX('07_スキル辞書'!$D$4:$D$109,MATCH(E111,'07_スキル辞書'!$A$4:$A$109,0))="","",INDEX('07_スキル辞書'!$D$4:$D$109,MATCH(E111,'07_スキル辞書'!$A$4:$A$109,0))))</f>
        <v>レビュー容量・WIP・品質調整済み速度</v>
      </c>
      <c r="G111" s="4">
        <v>2</v>
      </c>
      <c r="H111" s="28" t="str">
        <f>IF(COUNTIF('07_スキル辞書'!$A$4:$A$109,E111)&lt;&gt;1,"参照ID不正",IF(INDEX('07_スキル辞書'!$I$4:$I$109,MATCH(E111,'07_スキル辞書'!$A$4:$A$109,0))="","",INDEX('07_スキル辞書'!$I$4:$I$109,MATCH(E111,'07_スキル辞書'!$A$4:$A$109,0))))</f>
        <v>Flow指標・能力計画・E2E比較</v>
      </c>
      <c r="I111" s="4" t="s">
        <v>2900</v>
      </c>
    </row>
    <row r="112" spans="1:9" ht="38" customHeight="1" x14ac:dyDescent="0.2">
      <c r="A112" s="2" t="s">
        <v>613</v>
      </c>
      <c r="B112" s="28" t="str">
        <f>IF(COUNTIF('02_工程タスク'!$A$4:$A$135,A112)&lt;&gt;1,"参照ID不正",IF(INDEX('02_工程タスク'!$D$4:$D$135,MATCH(A112,'02_工程タスク'!$A$4:$A$135,0))="","",INDEX('02_工程タスク'!$D$4:$D$135,MATCH(A112,'02_工程タスク'!$A$4:$A$135,0))))</f>
        <v>変更・廃止・データ権利の要件</v>
      </c>
      <c r="C112" s="28" t="str">
        <f>IF(COUNTIF('02_工程タスク'!$A$4:$A$135,A112)&lt;&gt;1,"参照ID不正",IF(INDEX('02_工程タスク'!$G$4:$G$135,MATCH(A112,'02_工程タスク'!$A$4:$A$135,0))="","",INDEX('02_工程タスク'!$G$4:$G$135,MATCH(A112,'02_工程タスク'!$A$4:$A$135,0))))</f>
        <v>R18, R10, R14</v>
      </c>
      <c r="D112" s="28" t="str">
        <f>IF(COUNTIF('02_工程タスク'!$A$4:$A$135,A112)&lt;&gt;1,"参照ID不正",IF(INDEX('02_工程タスク'!$H$4:$H$135,MATCH(A112,'02_工程タスク'!$A$4:$A$135,0))="","",INDEX('02_工程タスク'!$H$4:$H$135,MATCH(A112,'02_工程タスク'!$A$4:$A$135,0))))</f>
        <v>R18</v>
      </c>
      <c r="E112" s="2" t="s">
        <v>2641</v>
      </c>
      <c r="F112" s="28" t="str">
        <f>IF(COUNTIF('07_スキル辞書'!$A$4:$A$109,E112)&lt;&gt;1,"参照ID不正",IF(INDEX('07_スキル辞書'!$D$4:$D$109,MATCH(E112,'07_スキル辞書'!$A$4:$A$109,0))="","",INDEX('07_スキル辞書'!$D$4:$D$109,MATCH(E112,'07_スキル辞書'!$A$4:$A$109,0))))</f>
        <v>AI構成一式の更新・復旧・終了管理</v>
      </c>
      <c r="G112" s="2">
        <v>2</v>
      </c>
      <c r="H112" s="28" t="str">
        <f>IF(COUNTIF('07_スキル辞書'!$A$4:$A$109,E112)&lt;&gt;1,"参照ID不正",IF(INDEX('07_スキル辞書'!$I$4:$I$109,MATCH(E112,'07_スキル辞書'!$A$4:$A$109,0))="","",INDEX('07_スキル辞書'!$I$4:$I$109,MATCH(E112,'07_スキル辞書'!$A$4:$A$109,0))))</f>
        <v>構成manifest／復旧訓練／終了・削除・失効証跡</v>
      </c>
      <c r="I112" s="2" t="s">
        <v>2900</v>
      </c>
    </row>
    <row r="113" spans="1:9" ht="38" customHeight="1" x14ac:dyDescent="0.2">
      <c r="A113" s="4" t="s">
        <v>613</v>
      </c>
      <c r="B113" s="28" t="str">
        <f>IF(COUNTIF('02_工程タスク'!$A$4:$A$135,A113)&lt;&gt;1,"参照ID不正",IF(INDEX('02_工程タスク'!$D$4:$D$135,MATCH(A113,'02_工程タスク'!$A$4:$A$135,0))="","",INDEX('02_工程タスク'!$D$4:$D$135,MATCH(A113,'02_工程タスク'!$A$4:$A$135,0))))</f>
        <v>変更・廃止・データ権利の要件</v>
      </c>
      <c r="C113" s="28" t="str">
        <f>IF(COUNTIF('02_工程タスク'!$A$4:$A$135,A113)&lt;&gt;1,"参照ID不正",IF(INDEX('02_工程タスク'!$G$4:$G$135,MATCH(A113,'02_工程タスク'!$A$4:$A$135,0))="","",INDEX('02_工程タスク'!$G$4:$G$135,MATCH(A113,'02_工程タスク'!$A$4:$A$135,0))))</f>
        <v>R18, R10, R14</v>
      </c>
      <c r="D113" s="28" t="str">
        <f>IF(COUNTIF('02_工程タスク'!$A$4:$A$135,A113)&lt;&gt;1,"参照ID不正",IF(INDEX('02_工程タスク'!$H$4:$H$135,MATCH(A113,'02_工程タスク'!$A$4:$A$135,0))="","",INDEX('02_工程タスク'!$H$4:$H$135,MATCH(A113,'02_工程タスク'!$A$4:$A$135,0))))</f>
        <v>R18</v>
      </c>
      <c r="E113" s="4" t="s">
        <v>2651</v>
      </c>
      <c r="F113" s="28" t="str">
        <f>IF(COUNTIF('07_スキル辞書'!$A$4:$A$109,E113)&lt;&gt;1,"参照ID不正",IF(INDEX('07_スキル辞書'!$D$4:$D$109,MATCH(E113,'07_スキル辞書'!$A$4:$A$109,0))="","",INDEX('07_スキル辞書'!$D$4:$D$109,MATCH(E113,'07_スキル辞書'!$A$4:$A$109,0))))</f>
        <v>リスク比例の投資・公開・継続・変更判断</v>
      </c>
      <c r="G113" s="4">
        <v>3</v>
      </c>
      <c r="H113" s="28" t="str">
        <f>IF(COUNTIF('07_スキル辞書'!$A$4:$A$109,E113)&lt;&gt;1,"参照ID不正",IF(INDEX('07_スキル辞書'!$I$4:$I$109,MATCH(E113,'07_スキル辞書'!$A$4:$A$109,0))="","",INDEX('07_スキル辞書'!$I$4:$I$109,MATCH(E113,'07_スキル辞書'!$A$4:$A$109,0))))</f>
        <v>投資・Release・例外・継続判断記録</v>
      </c>
      <c r="I113" s="4" t="s">
        <v>2900</v>
      </c>
    </row>
    <row r="114" spans="1:9" ht="38" customHeight="1" x14ac:dyDescent="0.2">
      <c r="A114" s="2" t="s">
        <v>613</v>
      </c>
      <c r="B114" s="28" t="str">
        <f>IF(COUNTIF('02_工程タスク'!$A$4:$A$135,A114)&lt;&gt;1,"参照ID不正",IF(INDEX('02_工程タスク'!$D$4:$D$135,MATCH(A114,'02_工程タスク'!$A$4:$A$135,0))="","",INDEX('02_工程タスク'!$D$4:$D$135,MATCH(A114,'02_工程タスク'!$A$4:$A$135,0))))</f>
        <v>変更・廃止・データ権利の要件</v>
      </c>
      <c r="C114" s="28" t="str">
        <f>IF(COUNTIF('02_工程タスク'!$A$4:$A$135,A114)&lt;&gt;1,"参照ID不正",IF(INDEX('02_工程タスク'!$G$4:$G$135,MATCH(A114,'02_工程タスク'!$A$4:$A$135,0))="","",INDEX('02_工程タスク'!$G$4:$G$135,MATCH(A114,'02_工程タスク'!$A$4:$A$135,0))))</f>
        <v>R18, R10, R14</v>
      </c>
      <c r="D114" s="28" t="str">
        <f>IF(COUNTIF('02_工程タスク'!$A$4:$A$135,A114)&lt;&gt;1,"参照ID不正",IF(INDEX('02_工程タスク'!$H$4:$H$135,MATCH(A114,'02_工程タスク'!$A$4:$A$135,0))="","",INDEX('02_工程タスク'!$H$4:$H$135,MATCH(A114,'02_工程タスク'!$A$4:$A$135,0))))</f>
        <v>R18</v>
      </c>
      <c r="E114" s="2" t="s">
        <v>2854</v>
      </c>
      <c r="F114" s="28" t="str">
        <f>IF(COUNTIF('07_スキル辞書'!$A$4:$A$109,E114)&lt;&gt;1,"参照ID不正",IF(INDEX('07_スキル辞書'!$D$4:$D$109,MATCH(E114,'07_スキル辞書'!$A$4:$A$109,0))="","",INDEX('07_スキル辞書'!$D$4:$D$109,MATCH(E114,'07_スキル辞書'!$A$4:$A$109,0))))</f>
        <v>移管・削除・権限失効・請求終了</v>
      </c>
      <c r="G114" s="2">
        <v>2</v>
      </c>
      <c r="H114" s="28" t="str">
        <f>IF(COUNTIF('07_スキル辞書'!$A$4:$A$109,E114)&lt;&gt;1,"参照ID不正",IF(INDEX('07_スキル辞書'!$I$4:$I$109,MATCH(E114,'07_スキル辞書'!$A$4:$A$109,0))="","",INDEX('07_スキル辞書'!$I$4:$I$109,MATCH(E114,'07_スキル辞書'!$A$4:$A$109,0))))</f>
        <v>廃止計画・Deletion/Retention・G5</v>
      </c>
      <c r="I114" s="2" t="s">
        <v>2900</v>
      </c>
    </row>
    <row r="115" spans="1:9" ht="38" customHeight="1" x14ac:dyDescent="0.2">
      <c r="A115" s="4" t="s">
        <v>623</v>
      </c>
      <c r="B115" s="28" t="str">
        <f>IF(COUNTIF('02_工程タスク'!$A$4:$A$135,A115)&lt;&gt;1,"参照ID不正",IF(INDEX('02_工程タスク'!$D$4:$D$135,MATCH(A115,'02_工程タスク'!$A$4:$A$135,0))="","",INDEX('02_工程タスク'!$D$4:$D$135,MATCH(A115,'02_工程タスク'!$A$4:$A$135,0))))</f>
        <v>事業・開発・AIコスト計測の仕様</v>
      </c>
      <c r="C115" s="28" t="str">
        <f>IF(COUNTIF('02_工程タスク'!$A$4:$A$135,A115)&lt;&gt;1,"参照ID不正",IF(INDEX('02_工程タスク'!$G$4:$G$135,MATCH(A115,'02_工程タスク'!$A$4:$A$135,0))="","",INDEX('02_工程タスク'!$G$4:$G$135,MATCH(A115,'02_工程タスク'!$A$4:$A$135,0))))</f>
        <v>R15, R03, R11</v>
      </c>
      <c r="D115" s="28" t="str">
        <f>IF(COUNTIF('02_工程タスク'!$A$4:$A$135,A115)&lt;&gt;1,"参照ID不正",IF(INDEX('02_工程タスク'!$H$4:$H$135,MATCH(A115,'02_工程タスク'!$A$4:$A$135,0))="","",INDEX('02_工程タスク'!$H$4:$H$135,MATCH(A115,'02_工程タスク'!$A$4:$A$135,0))))</f>
        <v>R02</v>
      </c>
      <c r="E115" s="4" t="s">
        <v>2632</v>
      </c>
      <c r="F115" s="28" t="str">
        <f>IF(COUNTIF('07_スキル辞書'!$A$4:$A$109,E115)&lt;&gt;1,"参照ID不正",IF(INDEX('07_スキル辞書'!$D$4:$D$109,MATCH(E115,'07_スキル辞書'!$A$4:$A$109,0))="","",INDEX('07_スキル辞書'!$D$4:$D$109,MATCH(E115,'07_スキル辞書'!$A$4:$A$109,0))))</f>
        <v>AI開発効果の実測と段階見積</v>
      </c>
      <c r="G115" s="4">
        <v>2</v>
      </c>
      <c r="H115" s="28" t="str">
        <f>IF(COUNTIF('07_スキル辞書'!$A$4:$A$109,E115)&lt;&gt;1,"参照ID不正",IF(INDEX('07_スキル辞書'!$I$4:$I$109,MATCH(E115,'07_スキル辞書'!$A$4:$A$109,0))="","",INDEX('07_スキル辞書'!$I$4:$I$109,MATCH(E115,'07_スキル辞書'!$A$4:$A$109,0))))</f>
        <v>16シート／計測ログ／品質・不具合追跡／較正記録</v>
      </c>
      <c r="I115" s="4" t="s">
        <v>2900</v>
      </c>
    </row>
    <row r="116" spans="1:9" ht="38" customHeight="1" x14ac:dyDescent="0.2">
      <c r="A116" s="2" t="s">
        <v>623</v>
      </c>
      <c r="B116" s="28" t="str">
        <f>IF(COUNTIF('02_工程タスク'!$A$4:$A$135,A116)&lt;&gt;1,"参照ID不正",IF(INDEX('02_工程タスク'!$D$4:$D$135,MATCH(A116,'02_工程タスク'!$A$4:$A$135,0))="","",INDEX('02_工程タスク'!$D$4:$D$135,MATCH(A116,'02_工程タスク'!$A$4:$A$135,0))))</f>
        <v>事業・開発・AIコスト計測の仕様</v>
      </c>
      <c r="C116" s="28" t="str">
        <f>IF(COUNTIF('02_工程タスク'!$A$4:$A$135,A116)&lt;&gt;1,"参照ID不正",IF(INDEX('02_工程タスク'!$G$4:$G$135,MATCH(A116,'02_工程タスク'!$A$4:$A$135,0))="","",INDEX('02_工程タスク'!$G$4:$G$135,MATCH(A116,'02_工程タスク'!$A$4:$A$135,0))))</f>
        <v>R15, R03, R11</v>
      </c>
      <c r="D116" s="28" t="str">
        <f>IF(COUNTIF('02_工程タスク'!$A$4:$A$135,A116)&lt;&gt;1,"参照ID不正",IF(INDEX('02_工程タスク'!$H$4:$H$135,MATCH(A116,'02_工程タスク'!$A$4:$A$135,0))="","",INDEX('02_工程タスク'!$H$4:$H$135,MATCH(A116,'02_工程タスク'!$A$4:$A$135,0))))</f>
        <v>R02</v>
      </c>
      <c r="E116" s="2" t="s">
        <v>2732</v>
      </c>
      <c r="F116" s="28" t="str">
        <f>IF(COUNTIF('07_スキル辞書'!$A$4:$A$109,E116)&lt;&gt;1,"参照ID不正",IF(INDEX('07_スキル辞書'!$D$4:$D$109,MATCH(E116,'07_スキル辞書'!$A$4:$A$109,0))="","",INDEX('07_スキル辞書'!$D$4:$D$109,MATCH(E116,'07_スキル辞書'!$A$4:$A$109,0))))</f>
        <v>価値指標・計測・意思決定分析</v>
      </c>
      <c r="G116" s="2">
        <v>2</v>
      </c>
      <c r="H116" s="28" t="str">
        <f>IF(COUNTIF('07_スキル辞書'!$A$4:$A$109,E116)&lt;&gt;1,"参照ID不正",IF(INDEX('07_スキル辞書'!$I$4:$I$109,MATCH(E116,'07_スキル辞書'!$A$4:$A$109,0))="","",INDEX('07_スキル辞書'!$I$4:$I$109,MATCH(E116,'07_スキル辞書'!$A$4:$A$109,0))))</f>
        <v>KPI定義・計測試験・意思決定</v>
      </c>
      <c r="I116" s="2" t="s">
        <v>2900</v>
      </c>
    </row>
    <row r="117" spans="1:9" ht="38" customHeight="1" x14ac:dyDescent="0.2">
      <c r="A117" s="4" t="s">
        <v>623</v>
      </c>
      <c r="B117" s="28" t="str">
        <f>IF(COUNTIF('02_工程タスク'!$A$4:$A$135,A117)&lt;&gt;1,"参照ID不正",IF(INDEX('02_工程タスク'!$D$4:$D$135,MATCH(A117,'02_工程タスク'!$A$4:$A$135,0))="","",INDEX('02_工程タスク'!$D$4:$D$135,MATCH(A117,'02_工程タスク'!$A$4:$A$135,0))))</f>
        <v>事業・開発・AIコスト計測の仕様</v>
      </c>
      <c r="C117" s="28" t="str">
        <f>IF(COUNTIF('02_工程タスク'!$A$4:$A$135,A117)&lt;&gt;1,"参照ID不正",IF(INDEX('02_工程タスク'!$G$4:$G$135,MATCH(A117,'02_工程タスク'!$A$4:$A$135,0))="","",INDEX('02_工程タスク'!$G$4:$G$135,MATCH(A117,'02_工程タスク'!$A$4:$A$135,0))))</f>
        <v>R15, R03, R11</v>
      </c>
      <c r="D117" s="28" t="str">
        <f>IF(COUNTIF('02_工程タスク'!$A$4:$A$135,A117)&lt;&gt;1,"参照ID不正",IF(INDEX('02_工程タスク'!$H$4:$H$135,MATCH(A117,'02_工程タスク'!$A$4:$A$135,0))="","",INDEX('02_工程タスク'!$H$4:$H$135,MATCH(A117,'02_工程タスク'!$A$4:$A$135,0))))</f>
        <v>R02</v>
      </c>
      <c r="E117" s="4" t="s">
        <v>2761</v>
      </c>
      <c r="F117" s="28" t="str">
        <f>IF(COUNTIF('07_スキル辞書'!$A$4:$A$109,E117)&lt;&gt;1,"参照ID不正",IF(INDEX('07_スキル辞書'!$D$4:$D$109,MATCH(E117,'07_スキル辞書'!$A$4:$A$109,0))="","",INDEX('07_スキル辞書'!$D$4:$D$109,MATCH(E117,'07_スキル辞書'!$A$4:$A$109,0))))</f>
        <v>成功単位原価・限界利益・費用境界</v>
      </c>
      <c r="G117" s="4">
        <v>2</v>
      </c>
      <c r="H117" s="28" t="str">
        <f>IF(COUNTIF('07_スキル辞書'!$A$4:$A$109,E117)&lt;&gt;1,"参照ID不正",IF(INDEX('07_スキル辞書'!$I$4:$I$109,MATCH(E117,'07_スキル辞書'!$A$4:$A$109,0))="","",INDEX('07_スキル辞書'!$I$4:$I$109,MATCH(E117,'07_スキル辞書'!$A$4:$A$109,0))))</f>
        <v>cost/success・収支・感度分析</v>
      </c>
      <c r="I117" s="4" t="s">
        <v>2900</v>
      </c>
    </row>
    <row r="118" spans="1:9" ht="38" customHeight="1" x14ac:dyDescent="0.2">
      <c r="A118" s="2" t="s">
        <v>635</v>
      </c>
      <c r="B118" s="28" t="str">
        <f>IF(COUNTIF('02_工程タスク'!$A$4:$A$135,A118)&lt;&gt;1,"参照ID不正",IF(INDEX('02_工程タスク'!$D$4:$D$135,MATCH(A118,'02_工程タスク'!$A$4:$A$135,0))="","",INDEX('02_工程タスク'!$D$4:$D$135,MATCH(A118,'02_工程タスク'!$A$4:$A$135,0))))</f>
        <v>スコープ・Evidence Plan承認</v>
      </c>
      <c r="C118" s="28" t="str">
        <f>IF(COUNTIF('02_工程タスク'!$A$4:$A$135,A118)&lt;&gt;1,"参照ID不正",IF(INDEX('02_工程タスク'!$G$4:$G$135,MATCH(A118,'02_工程タスク'!$A$4:$A$135,0))="","",INDEX('02_工程タスク'!$G$4:$G$135,MATCH(A118,'02_工程タスク'!$A$4:$A$135,0))))</f>
        <v>R02, R03</v>
      </c>
      <c r="D118" s="28" t="str">
        <f>IF(COUNTIF('02_工程タスク'!$A$4:$A$135,A118)&lt;&gt;1,"参照ID不正",IF(INDEX('02_工程タスク'!$H$4:$H$135,MATCH(A118,'02_工程タスク'!$A$4:$A$135,0))="","",INDEX('02_工程タスク'!$H$4:$H$135,MATCH(A118,'02_工程タスク'!$A$4:$A$135,0))))</f>
        <v>R01</v>
      </c>
      <c r="E118" s="2" t="s">
        <v>1924</v>
      </c>
      <c r="F118" s="28" t="str">
        <f>IF(COUNTIF('07_スキル辞書'!$A$4:$A$109,E118)&lt;&gt;1,"参照ID不正",IF(INDEX('07_スキル辞書'!$D$4:$D$109,MATCH(E118,'07_スキル辞書'!$A$4:$A$109,0))="","",INDEX('07_スキル辞書'!$D$4:$D$109,MATCH(E118,'07_スキル辞書'!$A$4:$A$109,0))))</f>
        <v>七工程と事業投資・公開ゲートの運用</v>
      </c>
      <c r="G118" s="2">
        <v>3</v>
      </c>
      <c r="H118" s="28" t="str">
        <f>IF(COUNTIF('07_スキル辞書'!$A$4:$A$109,E118)&lt;&gt;1,"参照ID不正",IF(INDEX('07_スキル辞書'!$I$4:$I$109,MATCH(E118,'07_スキル辞書'!$A$4:$A$109,0))="","",INDEX('07_スキル辞書'!$I$4:$I$109,MATCH(E118,'07_スキル辞書'!$A$4:$A$109,0))))</f>
        <v>G0〜G5判断記録・再Gate計画</v>
      </c>
      <c r="I118" s="2" t="s">
        <v>2900</v>
      </c>
    </row>
    <row r="119" spans="1:9" ht="38" customHeight="1" x14ac:dyDescent="0.2">
      <c r="A119" s="4" t="s">
        <v>635</v>
      </c>
      <c r="B119" s="28" t="str">
        <f>IF(COUNTIF('02_工程タスク'!$A$4:$A$135,A119)&lt;&gt;1,"参照ID不正",IF(INDEX('02_工程タスク'!$D$4:$D$135,MATCH(A119,'02_工程タスク'!$A$4:$A$135,0))="","",INDEX('02_工程タスク'!$D$4:$D$135,MATCH(A119,'02_工程タスク'!$A$4:$A$135,0))))</f>
        <v>スコープ・Evidence Plan承認</v>
      </c>
      <c r="C119" s="28" t="str">
        <f>IF(COUNTIF('02_工程タスク'!$A$4:$A$135,A119)&lt;&gt;1,"参照ID不正",IF(INDEX('02_工程タスク'!$G$4:$G$135,MATCH(A119,'02_工程タスク'!$A$4:$A$135,0))="","",INDEX('02_工程タスク'!$G$4:$G$135,MATCH(A119,'02_工程タスク'!$A$4:$A$135,0))))</f>
        <v>R02, R03</v>
      </c>
      <c r="D119" s="28" t="str">
        <f>IF(COUNTIF('02_工程タスク'!$A$4:$A$135,A119)&lt;&gt;1,"参照ID不正",IF(INDEX('02_工程タスク'!$H$4:$H$135,MATCH(A119,'02_工程タスク'!$A$4:$A$135,0))="","",INDEX('02_工程タスク'!$H$4:$H$135,MATCH(A119,'02_工程タスク'!$A$4:$A$135,0))))</f>
        <v>R01</v>
      </c>
      <c r="E119" s="4" t="s">
        <v>2651</v>
      </c>
      <c r="F119" s="28" t="str">
        <f>IF(COUNTIF('07_スキル辞書'!$A$4:$A$109,E119)&lt;&gt;1,"参照ID不正",IF(INDEX('07_スキル辞書'!$D$4:$D$109,MATCH(E119,'07_スキル辞書'!$A$4:$A$109,0))="","",INDEX('07_スキル辞書'!$D$4:$D$109,MATCH(E119,'07_スキル辞書'!$A$4:$A$109,0))))</f>
        <v>リスク比例の投資・公開・継続・変更判断</v>
      </c>
      <c r="G119" s="4">
        <v>3</v>
      </c>
      <c r="H119" s="28" t="str">
        <f>IF(COUNTIF('07_スキル辞書'!$A$4:$A$109,E119)&lt;&gt;1,"参照ID不正",IF(INDEX('07_スキル辞書'!$I$4:$I$109,MATCH(E119,'07_スキル辞書'!$A$4:$A$109,0))="","",INDEX('07_スキル辞書'!$I$4:$I$109,MATCH(E119,'07_スキル辞書'!$A$4:$A$109,0))))</f>
        <v>投資・Release・例外・継続判断記録</v>
      </c>
      <c r="I119" s="4" t="s">
        <v>2900</v>
      </c>
    </row>
    <row r="120" spans="1:9" ht="38" customHeight="1" x14ac:dyDescent="0.2">
      <c r="A120" s="2" t="s">
        <v>643</v>
      </c>
      <c r="B120" s="28" t="str">
        <f>IF(COUNTIF('02_工程タスク'!$A$4:$A$135,A120)&lt;&gt;1,"参照ID不正",IF(INDEX('02_工程タスク'!$D$4:$D$135,MATCH(A120,'02_工程タスク'!$A$4:$A$135,0))="","",INDEX('02_工程タスク'!$D$4:$D$135,MATCH(A120,'02_工程タスク'!$A$4:$A$135,0))))</f>
        <v>最小構成・方式のADR</v>
      </c>
      <c r="C120" s="28" t="str">
        <f>IF(COUNTIF('02_工程タスク'!$A$4:$A$135,A120)&lt;&gt;1,"参照ID不正",IF(INDEX('02_工程タスク'!$G$4:$G$135,MATCH(A120,'02_工程タスク'!$A$4:$A$135,0))="","",INDEX('02_工程タスク'!$G$4:$G$135,MATCH(A120,'02_工程タスク'!$A$4:$A$135,0))))</f>
        <v>R06, R08</v>
      </c>
      <c r="D120" s="28" t="str">
        <f>IF(COUNTIF('02_工程タスク'!$A$4:$A$135,A120)&lt;&gt;1,"参照ID不正",IF(INDEX('02_工程タスク'!$H$4:$H$135,MATCH(A120,'02_工程タスク'!$A$4:$A$135,0))="","",INDEX('02_工程タスク'!$H$4:$H$135,MATCH(A120,'02_工程タスク'!$A$4:$A$135,0))))</f>
        <v>R06</v>
      </c>
      <c r="E120" s="2" t="s">
        <v>2192</v>
      </c>
      <c r="F120" s="28" t="str">
        <f>IF(COUNTIF('07_スキル辞書'!$A$4:$A$109,E120)&lt;&gt;1,"参照ID不正",IF(INDEX('07_スキル辞書'!$D$4:$D$109,MATCH(E120,'07_スキル辞書'!$A$4:$A$109,0))="","",INDEX('07_スキル辞書'!$D$4:$D$109,MATCH(E120,'07_スキル辞書'!$A$4:$A$109,0))))</f>
        <v>システムアーキテクチャ設計</v>
      </c>
      <c r="G120" s="2">
        <v>2</v>
      </c>
      <c r="H120" s="28" t="str">
        <f>IF(COUNTIF('07_スキル辞書'!$A$4:$A$109,E120)&lt;&gt;1,"参照ID不正",IF(INDEX('07_スキル辞書'!$I$4:$I$109,MATCH(E120,'07_スキル辞書'!$A$4:$A$109,0))="","",INDEX('07_スキル辞書'!$I$4:$I$109,MATCH(E120,'07_スキル辞書'!$A$4:$A$109,0))))</f>
        <v>システムアーキテクチャ設計書、技術スタック一覧、インフラ構成図、AI機能が統合されたバックエンドのソースコード</v>
      </c>
      <c r="I120" s="2" t="s">
        <v>2900</v>
      </c>
    </row>
    <row r="121" spans="1:9" ht="38" customHeight="1" x14ac:dyDescent="0.2">
      <c r="A121" s="4" t="s">
        <v>643</v>
      </c>
      <c r="B121" s="28" t="str">
        <f>IF(COUNTIF('02_工程タスク'!$A$4:$A$135,A121)&lt;&gt;1,"参照ID不正",IF(INDEX('02_工程タスク'!$D$4:$D$135,MATCH(A121,'02_工程タスク'!$A$4:$A$135,0))="","",INDEX('02_工程タスク'!$D$4:$D$135,MATCH(A121,'02_工程タスク'!$A$4:$A$135,0))))</f>
        <v>最小構成・方式のADR</v>
      </c>
      <c r="C121" s="28" t="str">
        <f>IF(COUNTIF('02_工程タスク'!$A$4:$A$135,A121)&lt;&gt;1,"参照ID不正",IF(INDEX('02_工程タスク'!$G$4:$G$135,MATCH(A121,'02_工程タスク'!$A$4:$A$135,0))="","",INDEX('02_工程タスク'!$G$4:$G$135,MATCH(A121,'02_工程タスク'!$A$4:$A$135,0))))</f>
        <v>R06, R08</v>
      </c>
      <c r="D121" s="28" t="str">
        <f>IF(COUNTIF('02_工程タスク'!$A$4:$A$135,A121)&lt;&gt;1,"参照ID不正",IF(INDEX('02_工程タスク'!$H$4:$H$135,MATCH(A121,'02_工程タスク'!$A$4:$A$135,0))="","",INDEX('02_工程タスク'!$H$4:$H$135,MATCH(A121,'02_工程タスク'!$A$4:$A$135,0))))</f>
        <v>R06</v>
      </c>
      <c r="E121" s="4" t="s">
        <v>2273</v>
      </c>
      <c r="F121" s="28" t="str">
        <f>IF(COUNTIF('07_スキル辞書'!$A$4:$A$109,E121)&lt;&gt;1,"参照ID不正",IF(INDEX('07_スキル辞書'!$D$4:$D$109,MATCH(E121,'07_スキル辞書'!$A$4:$A$109,0))="","",INDEX('07_スキル辞書'!$D$4:$D$109,MATCH(E121,'07_スキル辞書'!$A$4:$A$109,0))))</f>
        <v>AI機能の統合とフォールバック設計</v>
      </c>
      <c r="G121" s="4">
        <v>2</v>
      </c>
      <c r="H121" s="28" t="str">
        <f>IF(COUNTIF('07_スキル辞書'!$A$4:$A$109,E121)&lt;&gt;1,"参照ID不正",IF(INDEX('07_スキル辞書'!$I$4:$I$109,MATCH(E121,'07_スキル辞書'!$A$4:$A$109,0))="","",INDEX('07_スキル辞書'!$I$4:$I$109,MATCH(E121,'07_スキル辞書'!$A$4:$A$109,0))))</f>
        <v>AI機能が統合されたバックエンドのソースコード、モデルロールバック手順書、エスカレーション手順書</v>
      </c>
      <c r="I121" s="4" t="s">
        <v>2900</v>
      </c>
    </row>
    <row r="122" spans="1:9" ht="38" customHeight="1" x14ac:dyDescent="0.2">
      <c r="A122" s="2" t="s">
        <v>643</v>
      </c>
      <c r="B122" s="28" t="str">
        <f>IF(COUNTIF('02_工程タスク'!$A$4:$A$135,A122)&lt;&gt;1,"参照ID不正",IF(INDEX('02_工程タスク'!$D$4:$D$135,MATCH(A122,'02_工程タスク'!$A$4:$A$135,0))="","",INDEX('02_工程タスク'!$D$4:$D$135,MATCH(A122,'02_工程タスク'!$A$4:$A$135,0))))</f>
        <v>最小構成・方式のADR</v>
      </c>
      <c r="C122" s="28" t="str">
        <f>IF(COUNTIF('02_工程タスク'!$A$4:$A$135,A122)&lt;&gt;1,"参照ID不正",IF(INDEX('02_工程タスク'!$G$4:$G$135,MATCH(A122,'02_工程タスク'!$A$4:$A$135,0))="","",INDEX('02_工程タスク'!$G$4:$G$135,MATCH(A122,'02_工程タスク'!$A$4:$A$135,0))))</f>
        <v>R06, R08</v>
      </c>
      <c r="D122" s="28" t="str">
        <f>IF(COUNTIF('02_工程タスク'!$A$4:$A$135,A122)&lt;&gt;1,"参照ID不正",IF(INDEX('02_工程タスク'!$H$4:$H$135,MATCH(A122,'02_工程タスク'!$A$4:$A$135,0))="","",INDEX('02_工程タスク'!$H$4:$H$135,MATCH(A122,'02_工程タスク'!$A$4:$A$135,0))))</f>
        <v>R06</v>
      </c>
      <c r="E122" s="2" t="s">
        <v>2408</v>
      </c>
      <c r="F122" s="28" t="str">
        <f>IF(COUNTIF('07_スキル辞書'!$A$4:$A$109,E122)&lt;&gt;1,"参照ID不正",IF(INDEX('07_スキル辞書'!$D$4:$D$109,MATCH(E122,'07_スキル辞書'!$A$4:$A$109,0))="","",INDEX('07_スキル辞書'!$D$4:$D$109,MATCH(E122,'07_スキル辞書'!$A$4:$A$109,0))))</f>
        <v>生成AI・基盤モデルの基礎</v>
      </c>
      <c r="G122" s="2">
        <v>2</v>
      </c>
      <c r="H122" s="28" t="str">
        <f>IF(COUNTIF('07_スキル辞書'!$A$4:$A$109,E122)&lt;&gt;1,"参照ID不正",IF(INDEX('07_スキル辞書'!$I$4:$I$109,MATCH(E122,'07_スキル辞書'!$A$4:$A$109,0))="","",INDEX('07_スキル辞書'!$I$4:$I$109,MATCH(E122,'07_スキル辞書'!$A$4:$A$109,0))))</f>
        <v>案件タイプ・規模の仮判定メモ、案件タイプ判定書（差分適用表を含む）、モデル・プロンプト更新方針</v>
      </c>
      <c r="I122" s="2" t="s">
        <v>2900</v>
      </c>
    </row>
    <row r="123" spans="1:9" ht="38" customHeight="1" x14ac:dyDescent="0.2">
      <c r="A123" s="4" t="s">
        <v>643</v>
      </c>
      <c r="B123" s="28" t="str">
        <f>IF(COUNTIF('02_工程タスク'!$A$4:$A$135,A123)&lt;&gt;1,"参照ID不正",IF(INDEX('02_工程タスク'!$D$4:$D$135,MATCH(A123,'02_工程タスク'!$A$4:$A$135,0))="","",INDEX('02_工程タスク'!$D$4:$D$135,MATCH(A123,'02_工程タスク'!$A$4:$A$135,0))))</f>
        <v>最小構成・方式のADR</v>
      </c>
      <c r="C123" s="28" t="str">
        <f>IF(COUNTIF('02_工程タスク'!$A$4:$A$135,A123)&lt;&gt;1,"参照ID不正",IF(INDEX('02_工程タスク'!$G$4:$G$135,MATCH(A123,'02_工程タスク'!$A$4:$A$135,0))="","",INDEX('02_工程タスク'!$G$4:$G$135,MATCH(A123,'02_工程タスク'!$A$4:$A$135,0))))</f>
        <v>R06, R08</v>
      </c>
      <c r="D123" s="28" t="str">
        <f>IF(COUNTIF('02_工程タスク'!$A$4:$A$135,A123)&lt;&gt;1,"参照ID不正",IF(INDEX('02_工程タスク'!$H$4:$H$135,MATCH(A123,'02_工程タスク'!$A$4:$A$135,0))="","",INDEX('02_工程タスク'!$H$4:$H$135,MATCH(A123,'02_工程タスク'!$A$4:$A$135,0))))</f>
        <v>R06</v>
      </c>
      <c r="E123" s="4" t="s">
        <v>2156</v>
      </c>
      <c r="F123" s="28" t="str">
        <f>IF(COUNTIF('07_スキル辞書'!$A$4:$A$109,E123)&lt;&gt;1,"参照ID不正",IF(INDEX('07_スキル辞書'!$D$4:$D$109,MATCH(E123,'07_スキル辞書'!$A$4:$A$109,0))="","",INDEX('07_スキル辞書'!$D$4:$D$109,MATCH(E123,'07_スキル辞書'!$A$4:$A$109,0))))</f>
        <v>クラウド基盤の基礎と技術スタック選定</v>
      </c>
      <c r="G123" s="4">
        <v>2</v>
      </c>
      <c r="H123" s="28" t="str">
        <f>IF(COUNTIF('07_スキル辞書'!$A$4:$A$109,E123)&lt;&gt;1,"参照ID不正",IF(INDEX('07_スキル辞書'!$I$4:$I$109,MATCH(E123,'07_スキル辞書'!$A$4:$A$109,0))="","",INDEX('07_スキル辞書'!$I$4:$I$109,MATCH(E123,'07_スキル辞書'!$A$4:$A$109,0))))</f>
        <v>技術スタック一覧、システムアーキテクチャ設計書、検証環境、環境構築手順書、実現可能性評価レポート</v>
      </c>
      <c r="I123" s="4" t="s">
        <v>2900</v>
      </c>
    </row>
    <row r="124" spans="1:9" ht="38" customHeight="1" x14ac:dyDescent="0.2">
      <c r="A124" s="2" t="s">
        <v>653</v>
      </c>
      <c r="B124" s="28" t="str">
        <f>IF(COUNTIF('02_工程タスク'!$A$4:$A$135,A124)&lt;&gt;1,"参照ID不正",IF(INDEX('02_工程タスク'!$D$4:$D$135,MATCH(A124,'02_工程タスク'!$A$4:$A$135,0))="","",INDEX('02_工程タスク'!$D$4:$D$135,MATCH(A124,'02_工程タスク'!$A$4:$A$135,0))))</f>
        <v>モデル・Provider比較と退出設計</v>
      </c>
      <c r="C124" s="28" t="str">
        <f>IF(COUNTIF('02_工程タスク'!$A$4:$A$135,A124)&lt;&gt;1,"参照ID不正",IF(INDEX('02_工程タスク'!$G$4:$G$135,MATCH(A124,'02_工程タスク'!$A$4:$A$135,0))="","",INDEX('02_工程タスク'!$G$4:$G$135,MATCH(A124,'02_工程タスク'!$A$4:$A$135,0))))</f>
        <v>R08, R20, R11</v>
      </c>
      <c r="D124" s="28" t="str">
        <f>IF(COUNTIF('02_工程タスク'!$A$4:$A$135,A124)&lt;&gt;1,"参照ID不正",IF(INDEX('02_工程タスク'!$H$4:$H$135,MATCH(A124,'02_工程タスク'!$A$4:$A$135,0))="","",INDEX('02_工程タスク'!$H$4:$H$135,MATCH(A124,'02_工程タスク'!$A$4:$A$135,0))))</f>
        <v>R06</v>
      </c>
      <c r="E124" s="2" t="s">
        <v>2408</v>
      </c>
      <c r="F124" s="28" t="str">
        <f>IF(COUNTIF('07_スキル辞書'!$A$4:$A$109,E124)&lt;&gt;1,"参照ID不正",IF(INDEX('07_スキル辞書'!$D$4:$D$109,MATCH(E124,'07_スキル辞書'!$A$4:$A$109,0))="","",INDEX('07_スキル辞書'!$D$4:$D$109,MATCH(E124,'07_スキル辞書'!$A$4:$A$109,0))))</f>
        <v>生成AI・基盤モデルの基礎</v>
      </c>
      <c r="G124" s="2">
        <v>2</v>
      </c>
      <c r="H124" s="28" t="str">
        <f>IF(COUNTIF('07_スキル辞書'!$A$4:$A$109,E124)&lt;&gt;1,"参照ID不正",IF(INDEX('07_スキル辞書'!$I$4:$I$109,MATCH(E124,'07_スキル辞書'!$A$4:$A$109,0))="","",INDEX('07_スキル辞書'!$I$4:$I$109,MATCH(E124,'07_スキル辞書'!$A$4:$A$109,0))))</f>
        <v>案件タイプ・規模の仮判定メモ、案件タイプ判定書（差分適用表を含む）、モデル・プロンプト更新方針</v>
      </c>
      <c r="I124" s="2" t="s">
        <v>2900</v>
      </c>
    </row>
    <row r="125" spans="1:9" ht="38" customHeight="1" x14ac:dyDescent="0.2">
      <c r="A125" s="4" t="s">
        <v>653</v>
      </c>
      <c r="B125" s="28" t="str">
        <f>IF(COUNTIF('02_工程タスク'!$A$4:$A$135,A125)&lt;&gt;1,"参照ID不正",IF(INDEX('02_工程タスク'!$D$4:$D$135,MATCH(A125,'02_工程タスク'!$A$4:$A$135,0))="","",INDEX('02_工程タスク'!$D$4:$D$135,MATCH(A125,'02_工程タスク'!$A$4:$A$135,0))))</f>
        <v>モデル・Provider比較と退出設計</v>
      </c>
      <c r="C125" s="28" t="str">
        <f>IF(COUNTIF('02_工程タスク'!$A$4:$A$135,A125)&lt;&gt;1,"参照ID不正",IF(INDEX('02_工程タスク'!$G$4:$G$135,MATCH(A125,'02_工程タスク'!$A$4:$A$135,0))="","",INDEX('02_工程タスク'!$G$4:$G$135,MATCH(A125,'02_工程タスク'!$A$4:$A$135,0))))</f>
        <v>R08, R20, R11</v>
      </c>
      <c r="D125" s="28" t="str">
        <f>IF(COUNTIF('02_工程タスク'!$A$4:$A$135,A125)&lt;&gt;1,"参照ID不正",IF(INDEX('02_工程タスク'!$H$4:$H$135,MATCH(A125,'02_工程タスク'!$A$4:$A$135,0))="","",INDEX('02_工程タスク'!$H$4:$H$135,MATCH(A125,'02_工程タスク'!$A$4:$A$135,0))))</f>
        <v>R06</v>
      </c>
      <c r="E125" s="4" t="s">
        <v>2480</v>
      </c>
      <c r="F125" s="28" t="str">
        <f>IF(COUNTIF('07_スキル辞書'!$A$4:$A$109,E125)&lt;&gt;1,"参照ID不正",IF(INDEX('07_スキル辞書'!$D$4:$D$109,MATCH(E125,'07_スキル辞書'!$A$4:$A$109,0))="","",INDEX('07_スキル辞書'!$D$4:$D$109,MATCH(E125,'07_スキル辞書'!$A$4:$A$109,0))))</f>
        <v>ベースライン設計と実験管理</v>
      </c>
      <c r="G125" s="4">
        <v>2</v>
      </c>
      <c r="H125" s="28" t="str">
        <f>IF(COUNTIF('07_スキル辞書'!$A$4:$A$109,E125)&lt;&gt;1,"参照ID不正",IF(INDEX('07_スキル辞書'!$I$4:$I$109,MATCH(E125,'07_スキル辞書'!$A$4:$A$109,0))="","",INDEX('07_スキル辞書'!$I$4:$I$109,MATCH(E125,'07_スキル辞書'!$A$4:$A$109,0))))</f>
        <v>ベースライン性能測定レポート、学習・改善ログ、検証環境、モックアップモデル（またはプロンプト/検索設定一式）</v>
      </c>
      <c r="I125" s="4" t="s">
        <v>2900</v>
      </c>
    </row>
    <row r="126" spans="1:9" ht="38" customHeight="1" x14ac:dyDescent="0.2">
      <c r="A126" s="2" t="s">
        <v>653</v>
      </c>
      <c r="B126" s="28" t="str">
        <f>IF(COUNTIF('02_工程タスク'!$A$4:$A$135,A126)&lt;&gt;1,"参照ID不正",IF(INDEX('02_工程タスク'!$D$4:$D$135,MATCH(A126,'02_工程タスク'!$A$4:$A$135,0))="","",INDEX('02_工程タスク'!$D$4:$D$135,MATCH(A126,'02_工程タスク'!$A$4:$A$135,0))))</f>
        <v>モデル・Provider比較と退出設計</v>
      </c>
      <c r="C126" s="28" t="str">
        <f>IF(COUNTIF('02_工程タスク'!$A$4:$A$135,A126)&lt;&gt;1,"参照ID不正",IF(INDEX('02_工程タスク'!$G$4:$G$135,MATCH(A126,'02_工程タスク'!$A$4:$A$135,0))="","",INDEX('02_工程タスク'!$G$4:$G$135,MATCH(A126,'02_工程タスク'!$A$4:$A$135,0))))</f>
        <v>R08, R20, R11</v>
      </c>
      <c r="D126" s="28" t="str">
        <f>IF(COUNTIF('02_工程タスク'!$A$4:$A$135,A126)&lt;&gt;1,"参照ID不正",IF(INDEX('02_工程タスク'!$H$4:$H$135,MATCH(A126,'02_工程タスク'!$A$4:$A$135,0))="","",INDEX('02_工程タスク'!$H$4:$H$135,MATCH(A126,'02_工程タスク'!$A$4:$A$135,0))))</f>
        <v>R06</v>
      </c>
      <c r="E126" s="2" t="s">
        <v>2771</v>
      </c>
      <c r="F126" s="28" t="str">
        <f>IF(COUNTIF('07_スキル辞書'!$A$4:$A$109,E126)&lt;&gt;1,"参照ID不正",IF(INDEX('07_スキル辞書'!$D$4:$D$109,MATCH(E126,'07_スキル辞書'!$A$4:$A$109,0))="","",INDEX('07_スキル辞書'!$D$4:$D$109,MATCH(E126,'07_スキル辞書'!$A$4:$A$109,0))))</f>
        <v>モデル・Provider・処理条件・EOL管理</v>
      </c>
      <c r="G126" s="2">
        <v>2</v>
      </c>
      <c r="H126" s="28" t="str">
        <f>IF(COUNTIF('07_スキル辞書'!$A$4:$A$109,E126)&lt;&gt;1,"参照ID不正",IF(INDEX('07_スキル辞書'!$I$4:$I$109,MATCH(E126,'07_スキル辞書'!$A$4:$A$109,0))="","",INDEX('07_スキル辞書'!$I$4:$I$109,MATCH(E126,'07_スキル辞書'!$A$4:$A$109,0))))</f>
        <v>AI依存台帳・規約差分・切替評価</v>
      </c>
      <c r="I126" s="2" t="s">
        <v>2900</v>
      </c>
    </row>
    <row r="127" spans="1:9" ht="38" customHeight="1" x14ac:dyDescent="0.2">
      <c r="A127" s="4" t="s">
        <v>664</v>
      </c>
      <c r="B127" s="28" t="str">
        <f>IF(COUNTIF('02_工程タスク'!$A$4:$A$135,A127)&lt;&gt;1,"参照ID不正",IF(INDEX('02_工程タスク'!$D$4:$D$135,MATCH(A127,'02_工程タスク'!$A$4:$A$135,0))="","",INDEX('02_工程タスク'!$D$4:$D$135,MATCH(A127,'02_工程タスク'!$A$4:$A$135,0))))</f>
        <v>Data Flow・権限・保存・派生設計</v>
      </c>
      <c r="C127" s="28" t="str">
        <f>IF(COUNTIF('02_工程タスク'!$A$4:$A$135,A127)&lt;&gt;1,"参照ID不正",IF(INDEX('02_工程タスク'!$G$4:$G$135,MATCH(A127,'02_工程タスク'!$A$4:$A$135,0))="","",INDEX('02_工程タスク'!$G$4:$G$135,MATCH(A127,'02_工程タスク'!$A$4:$A$135,0))))</f>
        <v>R09, R10, R13</v>
      </c>
      <c r="D127" s="28" t="str">
        <f>IF(COUNTIF('02_工程タスク'!$A$4:$A$135,A127)&lt;&gt;1,"参照ID不正",IF(INDEX('02_工程タスク'!$H$4:$H$135,MATCH(A127,'02_工程タスク'!$A$4:$A$135,0))="","",INDEX('02_工程タスク'!$H$4:$H$135,MATCH(A127,'02_工程タスク'!$A$4:$A$135,0))))</f>
        <v>R10</v>
      </c>
      <c r="E127" s="4" t="s">
        <v>1948</v>
      </c>
      <c r="F127" s="28" t="str">
        <f>IF(COUNTIF('07_スキル辞書'!$A$4:$A$109,E127)&lt;&gt;1,"参照ID不正",IF(INDEX('07_スキル辞書'!$D$4:$D$109,MATCH(E127,'07_スキル辞書'!$A$4:$A$109,0))="","",INDEX('07_スキル辞書'!$D$4:$D$109,MATCH(E127,'07_スキル辞書'!$A$4:$A$109,0))))</f>
        <v>個人情報保護法の適用判定とデータガバナンス</v>
      </c>
      <c r="G127" s="4">
        <v>2</v>
      </c>
      <c r="H127" s="28" t="str">
        <f>IF(COUNTIF('07_スキル辞書'!$A$4:$A$109,E127)&lt;&gt;1,"参照ID不正",IF(INDEX('07_スキル辞書'!$I$4:$I$109,MATCH(E127,'07_スキル辞書'!$A$4:$A$109,0))="","",INDEX('07_スキル辞書'!$I$4:$I$109,MATCH(E127,'07_スキル辞書'!$A$4:$A$109,0))))</f>
        <v>個人情報取扱い判定書、データ提供・利用契約、データ要件定義書、データ受領記録、アクセス制御設定</v>
      </c>
      <c r="I127" s="4" t="s">
        <v>2900</v>
      </c>
    </row>
    <row r="128" spans="1:9" ht="38" customHeight="1" x14ac:dyDescent="0.2">
      <c r="A128" s="2" t="s">
        <v>664</v>
      </c>
      <c r="B128" s="28" t="str">
        <f>IF(COUNTIF('02_工程タスク'!$A$4:$A$135,A128)&lt;&gt;1,"参照ID不正",IF(INDEX('02_工程タスク'!$D$4:$D$135,MATCH(A128,'02_工程タスク'!$A$4:$A$135,0))="","",INDEX('02_工程タスク'!$D$4:$D$135,MATCH(A128,'02_工程タスク'!$A$4:$A$135,0))))</f>
        <v>Data Flow・権限・保存・派生設計</v>
      </c>
      <c r="C128" s="28" t="str">
        <f>IF(COUNTIF('02_工程タスク'!$A$4:$A$135,A128)&lt;&gt;1,"参照ID不正",IF(INDEX('02_工程タスク'!$G$4:$G$135,MATCH(A128,'02_工程タスク'!$A$4:$A$135,0))="","",INDEX('02_工程タスク'!$G$4:$G$135,MATCH(A128,'02_工程タスク'!$A$4:$A$135,0))))</f>
        <v>R09, R10, R13</v>
      </c>
      <c r="D128" s="28" t="str">
        <f>IF(COUNTIF('02_工程タスク'!$A$4:$A$135,A128)&lt;&gt;1,"参照ID不正",IF(INDEX('02_工程タスク'!$H$4:$H$135,MATCH(A128,'02_工程タスク'!$A$4:$A$135,0))="","",INDEX('02_工程タスク'!$H$4:$H$135,MATCH(A128,'02_工程タスク'!$A$4:$A$135,0))))</f>
        <v>R10</v>
      </c>
      <c r="E128" s="2" t="s">
        <v>2147</v>
      </c>
      <c r="F128" s="28" t="str">
        <f>IF(COUNTIF('07_スキル辞書'!$A$4:$A$109,E128)&lt;&gt;1,"参照ID不正",IF(INDEX('07_スキル辞書'!$D$4:$D$109,MATCH(E128,'07_スキル辞書'!$A$4:$A$109,0))="","",INDEX('07_スキル辞書'!$D$4:$D$109,MATCH(E128,'07_スキル辞書'!$A$4:$A$109,0))))</f>
        <v>SQLとデータモデリング</v>
      </c>
      <c r="G128" s="2">
        <v>2</v>
      </c>
      <c r="H128" s="28" t="str">
        <f>IF(COUNTIF('07_スキル辞書'!$A$4:$A$109,E128)&lt;&gt;1,"参照ID不正",IF(INDEX('07_スキル辞書'!$I$4:$I$109,MATCH(E128,'07_スキル辞書'!$A$4:$A$109,0))="","",INDEX('07_スキル辞書'!$I$4:$I$109,MATCH(E128,'07_スキル辞書'!$A$4:$A$109,0))))</f>
        <v>データモデル定義書、スキーマ定義書、データ品質評価レポート（クラス分布を含む）、要件定義書 v2（サインオフ済み）</v>
      </c>
      <c r="I128" s="2" t="s">
        <v>2900</v>
      </c>
    </row>
    <row r="129" spans="1:9" ht="38" customHeight="1" x14ac:dyDescent="0.2">
      <c r="A129" s="4" t="s">
        <v>664</v>
      </c>
      <c r="B129" s="28" t="str">
        <f>IF(COUNTIF('02_工程タスク'!$A$4:$A$135,A129)&lt;&gt;1,"参照ID不正",IF(INDEX('02_工程タスク'!$D$4:$D$135,MATCH(A129,'02_工程タスク'!$A$4:$A$135,0))="","",INDEX('02_工程タスク'!$D$4:$D$135,MATCH(A129,'02_工程タスク'!$A$4:$A$135,0))))</f>
        <v>Data Flow・権限・保存・派生設計</v>
      </c>
      <c r="C129" s="28" t="str">
        <f>IF(COUNTIF('02_工程タスク'!$A$4:$A$135,A129)&lt;&gt;1,"参照ID不正",IF(INDEX('02_工程タスク'!$G$4:$G$135,MATCH(A129,'02_工程タスク'!$A$4:$A$135,0))="","",INDEX('02_工程タスク'!$G$4:$G$135,MATCH(A129,'02_工程タスク'!$A$4:$A$135,0))))</f>
        <v>R09, R10, R13</v>
      </c>
      <c r="D129" s="28" t="str">
        <f>IF(COUNTIF('02_工程タスク'!$A$4:$A$135,A129)&lt;&gt;1,"参照ID不正",IF(INDEX('02_工程タスク'!$H$4:$H$135,MATCH(A129,'02_工程タスク'!$A$4:$A$135,0))="","",INDEX('02_工程タスク'!$H$4:$H$135,MATCH(A129,'02_工程タスク'!$A$4:$A$135,0))))</f>
        <v>R10</v>
      </c>
      <c r="E129" s="4" t="s">
        <v>2201</v>
      </c>
      <c r="F129" s="28" t="str">
        <f>IF(COUNTIF('07_スキル辞書'!$A$4:$A$109,E129)&lt;&gt;1,"参照ID不正",IF(INDEX('07_スキル辞書'!$D$4:$D$109,MATCH(E129,'07_スキル辞書'!$A$4:$A$109,0))="","",INDEX('07_スキル辞書'!$D$4:$D$109,MATCH(E129,'07_スキル辞書'!$A$4:$A$109,0))))</f>
        <v>データアーキテクチャとパイプライン設計</v>
      </c>
      <c r="G129" s="4">
        <v>2</v>
      </c>
      <c r="H129" s="28" t="str">
        <f>IF(COUNTIF('07_スキル辞書'!$A$4:$A$109,E129)&lt;&gt;1,"参照ID不正",IF(INDEX('07_スキル辞書'!$I$4:$I$109,MATCH(E129,'07_スキル辞書'!$A$4:$A$109,0))="","",INDEX('07_スキル辞書'!$I$4:$I$109,MATCH(E129,'07_スキル辞書'!$A$4:$A$109,0))))</f>
        <v>データアーキテクチャ図、データパイプライン設計書、コーパス整備仕様書、データ品質レポート</v>
      </c>
      <c r="I129" s="4" t="s">
        <v>2900</v>
      </c>
    </row>
    <row r="130" spans="1:9" ht="38" customHeight="1" x14ac:dyDescent="0.2">
      <c r="A130" s="2" t="s">
        <v>664</v>
      </c>
      <c r="B130" s="28" t="str">
        <f>IF(COUNTIF('02_工程タスク'!$A$4:$A$135,A130)&lt;&gt;1,"参照ID不正",IF(INDEX('02_工程タスク'!$D$4:$D$135,MATCH(A130,'02_工程タスク'!$A$4:$A$135,0))="","",INDEX('02_工程タスク'!$D$4:$D$135,MATCH(A130,'02_工程タスク'!$A$4:$A$135,0))))</f>
        <v>Data Flow・権限・保存・派生設計</v>
      </c>
      <c r="C130" s="28" t="str">
        <f>IF(COUNTIF('02_工程タスク'!$A$4:$A$135,A130)&lt;&gt;1,"参照ID不正",IF(INDEX('02_工程タスク'!$G$4:$G$135,MATCH(A130,'02_工程タスク'!$A$4:$A$135,0))="","",INDEX('02_工程タスク'!$G$4:$G$135,MATCH(A130,'02_工程タスク'!$A$4:$A$135,0))))</f>
        <v>R09, R10, R13</v>
      </c>
      <c r="D130" s="28" t="str">
        <f>IF(COUNTIF('02_工程タスク'!$A$4:$A$135,A130)&lt;&gt;1,"参照ID不正",IF(INDEX('02_工程タスク'!$H$4:$H$135,MATCH(A130,'02_工程タスク'!$A$4:$A$135,0))="","",INDEX('02_工程タスク'!$H$4:$H$135,MATCH(A130,'02_工程タスク'!$A$4:$A$135,0))))</f>
        <v>R10</v>
      </c>
      <c r="E130" s="2" t="s">
        <v>2246</v>
      </c>
      <c r="F130" s="28" t="str">
        <f>IF(COUNTIF('07_スキル辞書'!$A$4:$A$109,E130)&lt;&gt;1,"参照ID不正",IF(INDEX('07_スキル辞書'!$D$4:$D$109,MATCH(E130,'07_スキル辞書'!$A$4:$A$109,0))="","",INDEX('07_スキル辞書'!$D$4:$D$109,MATCH(E130,'07_スキル辞書'!$A$4:$A$109,0))))</f>
        <v>データベース構築とバックアップ・リストア</v>
      </c>
      <c r="G130" s="2">
        <v>2</v>
      </c>
      <c r="H130" s="28" t="str">
        <f>IF(COUNTIF('07_スキル辞書'!$A$4:$A$109,E130)&lt;&gt;1,"参照ID不正",IF(INDEX('07_スキル辞書'!$I$4:$I$109,MATCH(E130,'07_スキル辞書'!$A$4:$A$109,0))="","",INDEX('07_スキル辞書'!$I$4:$I$109,MATCH(E130,'07_スキル辞書'!$A$4:$A$109,0))))</f>
        <v>構築済みデータベース、スキーマ定義書、バックアップ・リストア手順書、データ受領記録、アクセス制御設定</v>
      </c>
      <c r="I130" s="2" t="s">
        <v>2900</v>
      </c>
    </row>
    <row r="131" spans="1:9" ht="38" customHeight="1" x14ac:dyDescent="0.2">
      <c r="A131" s="4" t="s">
        <v>674</v>
      </c>
      <c r="B131" s="28" t="str">
        <f>IF(COUNTIF('02_工程タスク'!$A$4:$A$135,A131)&lt;&gt;1,"参照ID不正",IF(INDEX('02_工程タスク'!$D$4:$D$135,MATCH(A131,'02_工程タスク'!$A$4:$A$135,0))="","",INDEX('02_工程タスク'!$D$4:$D$135,MATCH(A131,'02_工程タスク'!$A$4:$A$135,0))))</f>
        <v>検索・文書更新・ACLの設計</v>
      </c>
      <c r="C131" s="28" t="str">
        <f>IF(COUNTIF('02_工程タスク'!$A$4:$A$135,A131)&lt;&gt;1,"参照ID不正",IF(INDEX('02_工程タスク'!$G$4:$G$135,MATCH(A131,'02_工程タスク'!$A$4:$A$135,0))="","",INDEX('02_工程タスク'!$G$4:$G$135,MATCH(A131,'02_工程タスク'!$A$4:$A$135,0))))</f>
        <v>R08, R09, R11</v>
      </c>
      <c r="D131" s="28" t="str">
        <f>IF(COUNTIF('02_工程タスク'!$A$4:$A$135,A131)&lt;&gt;1,"参照ID不正",IF(INDEX('02_工程タスク'!$H$4:$H$135,MATCH(A131,'02_工程タスク'!$A$4:$A$135,0))="","",INDEX('02_工程タスク'!$H$4:$H$135,MATCH(A131,'02_工程タスク'!$A$4:$A$135,0))))</f>
        <v>R06</v>
      </c>
      <c r="E131" s="4" t="s">
        <v>2471</v>
      </c>
      <c r="F131" s="28" t="str">
        <f>IF(COUNTIF('07_スキル辞書'!$A$4:$A$109,E131)&lt;&gt;1,"参照ID不正",IF(INDEX('07_スキル辞書'!$D$4:$D$109,MATCH(E131,'07_スキル辞書'!$A$4:$A$109,0))="","",INDEX('07_スキル辞書'!$D$4:$D$109,MATCH(E131,'07_スキル辞書'!$A$4:$A$109,0))))</f>
        <v>RAG設計と検索評価</v>
      </c>
      <c r="G131" s="4">
        <v>2</v>
      </c>
      <c r="H131" s="28" t="str">
        <f>IF(COUNTIF('07_スキル辞書'!$A$4:$A$109,E131)&lt;&gt;1,"参照ID不正",IF(INDEX('07_スキル辞書'!$I$4:$I$109,MATCH(E131,'07_スキル辞書'!$A$4:$A$109,0))="","",INDEX('07_スキル辞書'!$I$4:$I$109,MATCH(E131,'07_スキル辞書'!$A$4:$A$109,0))))</f>
        <v>コーパス整備仕様書、検索インデックス、モデル評価レポート、AIモデル品質評価レポート</v>
      </c>
      <c r="I131" s="4" t="s">
        <v>2900</v>
      </c>
    </row>
    <row r="132" spans="1:9" ht="38" customHeight="1" x14ac:dyDescent="0.2">
      <c r="A132" s="2" t="s">
        <v>674</v>
      </c>
      <c r="B132" s="28" t="str">
        <f>IF(COUNTIF('02_工程タスク'!$A$4:$A$135,A132)&lt;&gt;1,"参照ID不正",IF(INDEX('02_工程タスク'!$D$4:$D$135,MATCH(A132,'02_工程タスク'!$A$4:$A$135,0))="","",INDEX('02_工程タスク'!$D$4:$D$135,MATCH(A132,'02_工程タスク'!$A$4:$A$135,0))))</f>
        <v>検索・文書更新・ACLの設計</v>
      </c>
      <c r="C132" s="28" t="str">
        <f>IF(COUNTIF('02_工程タスク'!$A$4:$A$135,A132)&lt;&gt;1,"参照ID不正",IF(INDEX('02_工程タスク'!$G$4:$G$135,MATCH(A132,'02_工程タスク'!$A$4:$A$135,0))="","",INDEX('02_工程タスク'!$G$4:$G$135,MATCH(A132,'02_工程タスク'!$A$4:$A$135,0))))</f>
        <v>R08, R09, R11</v>
      </c>
      <c r="D132" s="28" t="str">
        <f>IF(COUNTIF('02_工程タスク'!$A$4:$A$135,A132)&lt;&gt;1,"参照ID不正",IF(INDEX('02_工程タスク'!$H$4:$H$135,MATCH(A132,'02_工程タスク'!$A$4:$A$135,0))="","",INDEX('02_工程タスク'!$H$4:$H$135,MATCH(A132,'02_工程タスク'!$A$4:$A$135,0))))</f>
        <v>R06</v>
      </c>
      <c r="E132" s="2" t="s">
        <v>2426</v>
      </c>
      <c r="F132" s="28" t="str">
        <f>IF(COUNTIF('07_スキル辞書'!$A$4:$A$109,E132)&lt;&gt;1,"参照ID不正",IF(INDEX('07_スキル辞書'!$D$4:$D$109,MATCH(E132,'07_スキル辞書'!$A$4:$A$109,0))="","",INDEX('07_スキル辞書'!$D$4:$D$109,MATCH(E132,'07_スキル辞書'!$A$4:$A$109,0))))</f>
        <v>データ品質管理とクレンジング設計</v>
      </c>
      <c r="G132" s="2">
        <v>2</v>
      </c>
      <c r="H132" s="28" t="str">
        <f>IF(COUNTIF('07_スキル辞書'!$A$4:$A$109,E132)&lt;&gt;1,"参照ID不正",IF(INDEX('07_スキル辞書'!$I$4:$I$109,MATCH(E132,'07_スキル辞書'!$A$4:$A$109,0))="","",INDEX('07_スキル辞書'!$I$4:$I$109,MATCH(E132,'07_スキル辞書'!$A$4:$A$109,0))))</f>
        <v>データ品質基準定義書、クレンジングスクリプト、クレンジング済みデータ、データ品質レポート、品質レビュー済みデータセット</v>
      </c>
      <c r="I132" s="2" t="s">
        <v>2900</v>
      </c>
    </row>
    <row r="133" spans="1:9" ht="38" customHeight="1" x14ac:dyDescent="0.2">
      <c r="A133" s="4" t="s">
        <v>674</v>
      </c>
      <c r="B133" s="28" t="str">
        <f>IF(COUNTIF('02_工程タスク'!$A$4:$A$135,A133)&lt;&gt;1,"参照ID不正",IF(INDEX('02_工程タスク'!$D$4:$D$135,MATCH(A133,'02_工程タスク'!$A$4:$A$135,0))="","",INDEX('02_工程タスク'!$D$4:$D$135,MATCH(A133,'02_工程タスク'!$A$4:$A$135,0))))</f>
        <v>検索・文書更新・ACLの設計</v>
      </c>
      <c r="C133" s="28" t="str">
        <f>IF(COUNTIF('02_工程タスク'!$A$4:$A$135,A133)&lt;&gt;1,"参照ID不正",IF(INDEX('02_工程タスク'!$G$4:$G$135,MATCH(A133,'02_工程タスク'!$A$4:$A$135,0))="","",INDEX('02_工程タスク'!$G$4:$G$135,MATCH(A133,'02_工程タスク'!$A$4:$A$135,0))))</f>
        <v>R08, R09, R11</v>
      </c>
      <c r="D133" s="28" t="str">
        <f>IF(COUNTIF('02_工程タスク'!$A$4:$A$135,A133)&lt;&gt;1,"参照ID不正",IF(INDEX('02_工程タスク'!$H$4:$H$135,MATCH(A133,'02_工程タスク'!$A$4:$A$135,0))="","",INDEX('02_工程タスク'!$H$4:$H$135,MATCH(A133,'02_工程タスク'!$A$4:$A$135,0))))</f>
        <v>R06</v>
      </c>
      <c r="E133" s="4" t="s">
        <v>2551</v>
      </c>
      <c r="F133" s="28" t="str">
        <f>IF(COUNTIF('07_スキル辞書'!$A$4:$A$109,E133)&lt;&gt;1,"参照ID不正",IF(INDEX('07_スキル辞書'!$D$4:$D$109,MATCH(E133,'07_スキル辞書'!$A$4:$A$109,0))="","",INDEX('07_スキル辞書'!$D$4:$D$109,MATCH(E133,'07_スキル辞書'!$A$4:$A$109,0))))</f>
        <v>LLM評価設計</v>
      </c>
      <c r="G133" s="4">
        <v>2</v>
      </c>
      <c r="H133" s="28" t="str">
        <f>IF(COUNTIF('07_スキル辞書'!$A$4:$A$109,E133)&lt;&gt;1,"参照ID不正",IF(INDEX('07_スキル辞書'!$I$4:$I$109,MATCH(E133,'07_スキル辞書'!$A$4:$A$109,0))="","",INDEX('07_スキル辞書'!$I$4:$I$109,MATCH(E133,'07_スキル辞書'!$A$4:$A$109,0))))</f>
        <v>評価ハーネス、AIモデル品質評価レポート、モデル評価レポート、最終性能評価レポート（信頼区間付き）</v>
      </c>
      <c r="I133" s="4" t="s">
        <v>2900</v>
      </c>
    </row>
    <row r="134" spans="1:9" ht="49" customHeight="1" x14ac:dyDescent="0.2">
      <c r="A134" s="2" t="s">
        <v>685</v>
      </c>
      <c r="B134" s="28" t="str">
        <f>IF(COUNTIF('02_工程タスク'!$A$4:$A$135,A134)&lt;&gt;1,"参照ID不正",IF(INDEX('02_工程タスク'!$D$4:$D$135,MATCH(A134,'02_工程タスク'!$A$4:$A$135,0))="","",INDEX('02_工程タスク'!$D$4:$D$135,MATCH(A134,'02_工程タスク'!$A$4:$A$135,0))))</f>
        <v>学習・特徴量・データ分割の設計</v>
      </c>
      <c r="C134" s="28" t="str">
        <f>IF(COUNTIF('02_工程タスク'!$A$4:$A$135,A134)&lt;&gt;1,"参照ID不正",IF(INDEX('02_工程タスク'!$G$4:$G$135,MATCH(A134,'02_工程タスク'!$A$4:$A$135,0))="","",INDEX('02_工程タスク'!$G$4:$G$135,MATCH(A134,'02_工程タスク'!$A$4:$A$135,0))))</f>
        <v>R08, R09, R11</v>
      </c>
      <c r="D134" s="28" t="str">
        <f>IF(COUNTIF('02_工程タスク'!$A$4:$A$135,A134)&lt;&gt;1,"参照ID不正",IF(INDEX('02_工程タスク'!$H$4:$H$135,MATCH(A134,'02_工程タスク'!$A$4:$A$135,0))="","",INDEX('02_工程タスク'!$H$4:$H$135,MATCH(A134,'02_工程タスク'!$A$4:$A$135,0))))</f>
        <v>R06</v>
      </c>
      <c r="E134" s="2" t="s">
        <v>2399</v>
      </c>
      <c r="F134" s="28" t="str">
        <f>IF(COUNTIF('07_スキル辞書'!$A$4:$A$109,E134)&lt;&gt;1,"参照ID不正",IF(INDEX('07_スキル辞書'!$D$4:$D$109,MATCH(E134,'07_スキル辞書'!$A$4:$A$109,0))="","",INDEX('07_スキル辞書'!$D$4:$D$109,MATCH(E134,'07_スキル辞書'!$A$4:$A$109,0))))</f>
        <v>機械学習の基礎</v>
      </c>
      <c r="G134" s="2">
        <v>2</v>
      </c>
      <c r="H134" s="28" t="str">
        <f>IF(COUNTIF('07_スキル辞書'!$A$4:$A$109,E134)&lt;&gt;1,"参照ID不正",IF(INDEX('07_スキル辞書'!$I$4:$I$109,MATCH(E134,'07_スキル辞書'!$A$4:$A$109,0))="","",INDEX('07_スキル辞書'!$I$4:$I$109,MATCH(E134,'07_スキル辞書'!$A$4:$A$109,0))))</f>
        <v>案件タイプ判定書（差分適用表を含む）、AIモデル要件定義書（要件定義書v1の一部）、モックアップモデル（またはプロンプト/検索設定一式）</v>
      </c>
      <c r="I134" s="2" t="s">
        <v>2900</v>
      </c>
    </row>
    <row r="135" spans="1:9" ht="38" customHeight="1" x14ac:dyDescent="0.2">
      <c r="A135" s="4" t="s">
        <v>685</v>
      </c>
      <c r="B135" s="28" t="str">
        <f>IF(COUNTIF('02_工程タスク'!$A$4:$A$135,A135)&lt;&gt;1,"参照ID不正",IF(INDEX('02_工程タスク'!$D$4:$D$135,MATCH(A135,'02_工程タスク'!$A$4:$A$135,0))="","",INDEX('02_工程タスク'!$D$4:$D$135,MATCH(A135,'02_工程タスク'!$A$4:$A$135,0))))</f>
        <v>学習・特徴量・データ分割の設計</v>
      </c>
      <c r="C135" s="28" t="str">
        <f>IF(COUNTIF('02_工程タスク'!$A$4:$A$135,A135)&lt;&gt;1,"参照ID不正",IF(INDEX('02_工程タスク'!$G$4:$G$135,MATCH(A135,'02_工程タスク'!$A$4:$A$135,0))="","",INDEX('02_工程タスク'!$G$4:$G$135,MATCH(A135,'02_工程タスク'!$A$4:$A$135,0))))</f>
        <v>R08, R09, R11</v>
      </c>
      <c r="D135" s="28" t="str">
        <f>IF(COUNTIF('02_工程タスク'!$A$4:$A$135,A135)&lt;&gt;1,"参照ID不正",IF(INDEX('02_工程タスク'!$H$4:$H$135,MATCH(A135,'02_工程タスク'!$A$4:$A$135,0))="","",INDEX('02_工程タスク'!$H$4:$H$135,MATCH(A135,'02_工程タスク'!$A$4:$A$135,0))))</f>
        <v>R06</v>
      </c>
      <c r="E135" s="4" t="s">
        <v>2435</v>
      </c>
      <c r="F135" s="28" t="str">
        <f>IF(COUNTIF('07_スキル辞書'!$A$4:$A$109,E135)&lt;&gt;1,"参照ID不正",IF(INDEX('07_スキル辞書'!$D$4:$D$109,MATCH(E135,'07_スキル辞書'!$A$4:$A$109,0))="","",INDEX('07_スキル辞書'!$D$4:$D$109,MATCH(E135,'07_スキル辞書'!$A$4:$A$109,0))))</f>
        <v>データ分割設計とリーク防止</v>
      </c>
      <c r="G135" s="4">
        <v>2</v>
      </c>
      <c r="H135" s="28" t="str">
        <f>IF(COUNTIF('07_スキル辞書'!$A$4:$A$109,E135)&lt;&gt;1,"参照ID不正",IF(INDEX('07_スキル辞書'!$I$4:$I$109,MATCH(E135,'07_スキル辞書'!$A$4:$A$109,0))="","",INDEX('07_スキル辞書'!$I$4:$I$109,MATCH(E135,'07_スキル辞書'!$A$4:$A$109,0))))</f>
        <v>データ分割仕様書、分割済みデータセット（学習・検証・テスト）、最終性能評価レポート（信頼区間付き）、データパイプライン設計書</v>
      </c>
      <c r="I135" s="4" t="s">
        <v>2900</v>
      </c>
    </row>
    <row r="136" spans="1:9" ht="38" customHeight="1" x14ac:dyDescent="0.2">
      <c r="A136" s="2" t="s">
        <v>685</v>
      </c>
      <c r="B136" s="28" t="str">
        <f>IF(COUNTIF('02_工程タスク'!$A$4:$A$135,A136)&lt;&gt;1,"参照ID不正",IF(INDEX('02_工程タスク'!$D$4:$D$135,MATCH(A136,'02_工程タスク'!$A$4:$A$135,0))="","",INDEX('02_工程タスク'!$D$4:$D$135,MATCH(A136,'02_工程タスク'!$A$4:$A$135,0))))</f>
        <v>学習・特徴量・データ分割の設計</v>
      </c>
      <c r="C136" s="28" t="str">
        <f>IF(COUNTIF('02_工程タスク'!$A$4:$A$135,A136)&lt;&gt;1,"参照ID不正",IF(INDEX('02_工程タスク'!$G$4:$G$135,MATCH(A136,'02_工程タスク'!$A$4:$A$135,0))="","",INDEX('02_工程タスク'!$G$4:$G$135,MATCH(A136,'02_工程タスク'!$A$4:$A$135,0))))</f>
        <v>R08, R09, R11</v>
      </c>
      <c r="D136" s="28" t="str">
        <f>IF(COUNTIF('02_工程タスク'!$A$4:$A$135,A136)&lt;&gt;1,"参照ID不正",IF(INDEX('02_工程タスク'!$H$4:$H$135,MATCH(A136,'02_工程タスク'!$A$4:$A$135,0))="","",INDEX('02_工程タスク'!$H$4:$H$135,MATCH(A136,'02_工程タスク'!$A$4:$A$135,0))))</f>
        <v>R06</v>
      </c>
      <c r="E136" s="2" t="s">
        <v>2462</v>
      </c>
      <c r="F136" s="28" t="str">
        <f>IF(COUNTIF('07_スキル辞書'!$A$4:$A$109,E136)&lt;&gt;1,"参照ID不正",IF(INDEX('07_スキル辞書'!$D$4:$D$109,MATCH(E136,'07_スキル辞書'!$A$4:$A$109,0))="","",INDEX('07_スキル辞書'!$D$4:$D$109,MATCH(E136,'07_スキル辞書'!$A$4:$A$109,0))))</f>
        <v>特徴量エンジニアリング</v>
      </c>
      <c r="G136" s="2">
        <v>2</v>
      </c>
      <c r="H136" s="28" t="str">
        <f>IF(COUNTIF('07_スキル辞書'!$A$4:$A$109,E136)&lt;&gt;1,"参照ID不正",IF(INDEX('07_スキル辞書'!$I$4:$I$109,MATCH(E136,'07_スキル辞書'!$A$4:$A$109,0))="","",INDEX('07_スキル辞書'!$I$4:$I$109,MATCH(E136,'07_スキル辞書'!$A$4:$A$109,0))))</f>
        <v>特徴量定義書、特徴量セット、データ分割仕様書、本番用学習済みモデル</v>
      </c>
      <c r="I136" s="2" t="s">
        <v>2900</v>
      </c>
    </row>
    <row r="137" spans="1:9" ht="38" customHeight="1" x14ac:dyDescent="0.2">
      <c r="A137" s="4" t="s">
        <v>685</v>
      </c>
      <c r="B137" s="28" t="str">
        <f>IF(COUNTIF('02_工程タスク'!$A$4:$A$135,A137)&lt;&gt;1,"参照ID不正",IF(INDEX('02_工程タスク'!$D$4:$D$135,MATCH(A137,'02_工程タスク'!$A$4:$A$135,0))="","",INDEX('02_工程タスク'!$D$4:$D$135,MATCH(A137,'02_工程タスク'!$A$4:$A$135,0))))</f>
        <v>学習・特徴量・データ分割の設計</v>
      </c>
      <c r="C137" s="28" t="str">
        <f>IF(COUNTIF('02_工程タスク'!$A$4:$A$135,A137)&lt;&gt;1,"参照ID不正",IF(INDEX('02_工程タスク'!$G$4:$G$135,MATCH(A137,'02_工程タスク'!$A$4:$A$135,0))="","",INDEX('02_工程タスク'!$G$4:$G$135,MATCH(A137,'02_工程タスク'!$A$4:$A$135,0))))</f>
        <v>R08, R09, R11</v>
      </c>
      <c r="D137" s="28" t="str">
        <f>IF(COUNTIF('02_工程タスク'!$A$4:$A$135,A137)&lt;&gt;1,"参照ID不正",IF(INDEX('02_工程タスク'!$H$4:$H$135,MATCH(A137,'02_工程タスク'!$A$4:$A$135,0))="","",INDEX('02_工程タスク'!$H$4:$H$135,MATCH(A137,'02_工程タスク'!$A$4:$A$135,0))))</f>
        <v>R06</v>
      </c>
      <c r="E137" s="4" t="s">
        <v>2490</v>
      </c>
      <c r="F137" s="28" t="str">
        <f>IF(COUNTIF('07_スキル辞書'!$A$4:$A$109,E137)&lt;&gt;1,"参照ID不正",IF(INDEX('07_スキル辞書'!$D$4:$D$109,MATCH(E137,'07_スキル辞書'!$A$4:$A$109,0))="","",INDEX('07_スキル辞書'!$D$4:$D$109,MATCH(E137,'07_スキル辞書'!$A$4:$A$109,0))))</f>
        <v>モデル構築とハイパーパラメータ最適化</v>
      </c>
      <c r="G137" s="4">
        <v>2</v>
      </c>
      <c r="H137" s="28" t="str">
        <f>IF(COUNTIF('07_スキル辞書'!$A$4:$A$109,E137)&lt;&gt;1,"参照ID不正",IF(INDEX('07_スキル辞書'!$I$4:$I$109,MATCH(E137,'07_スキル辞書'!$A$4:$A$109,0))="","",INDEX('07_スキル辞書'!$I$4:$I$109,MATCH(E137,'07_スキル辞書'!$A$4:$A$109,0))))</f>
        <v>モックアップモデル（またはプロンプト/検索設定一式）、学習・改善ログ、本番用学習済みモデル、学習・評価スクリプト</v>
      </c>
      <c r="I137" s="4" t="s">
        <v>2900</v>
      </c>
    </row>
    <row r="138" spans="1:9" ht="38" customHeight="1" x14ac:dyDescent="0.2">
      <c r="A138" s="2" t="s">
        <v>695</v>
      </c>
      <c r="B138" s="28" t="str">
        <f>IF(COUNTIF('02_工程タスク'!$A$4:$A$135,A138)&lt;&gt;1,"参照ID不正",IF(INDEX('02_工程タスク'!$D$4:$D$135,MATCH(A138,'02_工程タスク'!$A$4:$A$135,0))="","",INDEX('02_工程タスク'!$D$4:$D$135,MATCH(A138,'02_工程タスク'!$A$4:$A$135,0))))</f>
        <v>ツール・状態・行動権限の設計</v>
      </c>
      <c r="C138" s="28" t="str">
        <f>IF(COUNTIF('02_工程タスク'!$A$4:$A$135,A138)&lt;&gt;1,"参照ID不正",IF(INDEX('02_工程タスク'!$G$4:$G$135,MATCH(A138,'02_工程タスク'!$A$4:$A$135,0))="","",INDEX('02_工程タスク'!$G$4:$G$135,MATCH(A138,'02_工程タスク'!$A$4:$A$135,0))))</f>
        <v>R08, R07, R13</v>
      </c>
      <c r="D138" s="28" t="str">
        <f>IF(COUNTIF('02_工程タスク'!$A$4:$A$135,A138)&lt;&gt;1,"参照ID不正",IF(INDEX('02_工程タスク'!$H$4:$H$135,MATCH(A138,'02_工程タスク'!$A$4:$A$135,0))="","",INDEX('02_工程タスク'!$H$4:$H$135,MATCH(A138,'02_工程タスク'!$A$4:$A$135,0))))</f>
        <v>R06</v>
      </c>
      <c r="E138" s="2" t="s">
        <v>2506</v>
      </c>
      <c r="F138" s="28" t="str">
        <f>IF(COUNTIF('07_スキル辞書'!$A$4:$A$109,E138)&lt;&gt;1,"参照ID不正",IF(INDEX('07_スキル辞書'!$D$4:$D$109,MATCH(E138,'07_スキル辞書'!$A$4:$A$109,0))="","",INDEX('07_スキル辞書'!$D$4:$D$109,MATCH(E138,'07_スキル辞書'!$A$4:$A$109,0))))</f>
        <v>エージェント設計と安全制御</v>
      </c>
      <c r="G138" s="2">
        <v>2</v>
      </c>
      <c r="H138" s="28" t="str">
        <f>IF(COUNTIF('07_スキル辞書'!$A$4:$A$109,E138)&lt;&gt;1,"参照ID不正",IF(INDEX('07_スキル辞書'!$I$4:$I$109,MATCH(E138,'07_スキル辞書'!$A$4:$A$109,0))="","",INDEX('07_スキル辞書'!$I$4:$I$109,MATCH(E138,'07_スキル辞書'!$A$4:$A$109,0))))</f>
        <v>LLMアプリケーション実装、ガードレール設定、脅威モデル、AI機能が統合されたバックエンドのソースコード</v>
      </c>
      <c r="I138" s="2" t="s">
        <v>2900</v>
      </c>
    </row>
    <row r="139" spans="1:9" ht="38" customHeight="1" x14ac:dyDescent="0.2">
      <c r="A139" s="4" t="s">
        <v>695</v>
      </c>
      <c r="B139" s="28" t="str">
        <f>IF(COUNTIF('02_工程タスク'!$A$4:$A$135,A139)&lt;&gt;1,"参照ID不正",IF(INDEX('02_工程タスク'!$D$4:$D$135,MATCH(A139,'02_工程タスク'!$A$4:$A$135,0))="","",INDEX('02_工程タスク'!$D$4:$D$135,MATCH(A139,'02_工程タスク'!$A$4:$A$135,0))))</f>
        <v>ツール・状態・行動権限の設計</v>
      </c>
      <c r="C139" s="28" t="str">
        <f>IF(COUNTIF('02_工程タスク'!$A$4:$A$135,A139)&lt;&gt;1,"参照ID不正",IF(INDEX('02_工程タスク'!$G$4:$G$135,MATCH(A139,'02_工程タスク'!$A$4:$A$135,0))="","",INDEX('02_工程タスク'!$G$4:$G$135,MATCH(A139,'02_工程タスク'!$A$4:$A$135,0))))</f>
        <v>R08, R07, R13</v>
      </c>
      <c r="D139" s="28" t="str">
        <f>IF(COUNTIF('02_工程タスク'!$A$4:$A$135,A139)&lt;&gt;1,"参照ID不正",IF(INDEX('02_工程タスク'!$H$4:$H$135,MATCH(A139,'02_工程タスク'!$A$4:$A$135,0))="","",INDEX('02_工程タスク'!$H$4:$H$135,MATCH(A139,'02_工程タスク'!$A$4:$A$135,0))))</f>
        <v>R06</v>
      </c>
      <c r="E139" s="4" t="s">
        <v>2255</v>
      </c>
      <c r="F139" s="28" t="str">
        <f>IF(COUNTIF('07_スキル辞書'!$A$4:$A$109,E139)&lt;&gt;1,"参照ID不正",IF(INDEX('07_スキル辞書'!$D$4:$D$109,MATCH(E139,'07_スキル辞書'!$A$4:$A$109,0))="","",INDEX('07_スキル辞書'!$D$4:$D$109,MATCH(E139,'07_スキル辞書'!$A$4:$A$109,0))))</f>
        <v>API設計・実装と認証認可</v>
      </c>
      <c r="G139" s="4">
        <v>2</v>
      </c>
      <c r="H139" s="28" t="str">
        <f>IF(COUNTIF('07_スキル辞書'!$A$4:$A$109,E139)&lt;&gt;1,"参照ID不正",IF(INDEX('07_スキル辞書'!$I$4:$I$109,MATCH(E139,'07_スキル辞書'!$A$4:$A$109,0))="","",INDEX('07_スキル辞書'!$I$4:$I$109,MATCH(E139,'07_スキル辞書'!$A$4:$A$109,0))))</f>
        <v>APIエンドポイント、API仕様書、サーバーサイドのソースコード、監査ログ設計書</v>
      </c>
      <c r="I139" s="4" t="s">
        <v>2900</v>
      </c>
    </row>
    <row r="140" spans="1:9" ht="38" customHeight="1" x14ac:dyDescent="0.2">
      <c r="A140" s="2" t="s">
        <v>695</v>
      </c>
      <c r="B140" s="28" t="str">
        <f>IF(COUNTIF('02_工程タスク'!$A$4:$A$135,A140)&lt;&gt;1,"参照ID不正",IF(INDEX('02_工程タスク'!$D$4:$D$135,MATCH(A140,'02_工程タスク'!$A$4:$A$135,0))="","",INDEX('02_工程タスク'!$D$4:$D$135,MATCH(A140,'02_工程タスク'!$A$4:$A$135,0))))</f>
        <v>ツール・状態・行動権限の設計</v>
      </c>
      <c r="C140" s="28" t="str">
        <f>IF(COUNTIF('02_工程タスク'!$A$4:$A$135,A140)&lt;&gt;1,"参照ID不正",IF(INDEX('02_工程タスク'!$G$4:$G$135,MATCH(A140,'02_工程タスク'!$A$4:$A$135,0))="","",INDEX('02_工程タスク'!$G$4:$G$135,MATCH(A140,'02_工程タスク'!$A$4:$A$135,0))))</f>
        <v>R08, R07, R13</v>
      </c>
      <c r="D140" s="28" t="str">
        <f>IF(COUNTIF('02_工程タスク'!$A$4:$A$135,A140)&lt;&gt;1,"参照ID不正",IF(INDEX('02_工程タスク'!$H$4:$H$135,MATCH(A140,'02_工程タスク'!$A$4:$A$135,0))="","",INDEX('02_工程タスク'!$H$4:$H$135,MATCH(A140,'02_工程タスク'!$A$4:$A$135,0))))</f>
        <v>R06</v>
      </c>
      <c r="E140" s="2" t="s">
        <v>2818</v>
      </c>
      <c r="F140" s="28" t="str">
        <f>IF(COUNTIF('07_スキル辞書'!$A$4:$A$109,E140)&lt;&gt;1,"参照ID不正",IF(INDEX('07_スキル辞書'!$D$4:$D$109,MATCH(E140,'07_スキル辞書'!$A$4:$A$109,0))="","",INDEX('07_スキル辞書'!$D$4:$D$109,MATCH(E140,'07_スキル辞書'!$A$4:$A$109,0))))</f>
        <v>Tool/MCP認可・副作用・実行制御</v>
      </c>
      <c r="G140" s="2">
        <v>2</v>
      </c>
      <c r="H140" s="28" t="str">
        <f>IF(COUNTIF('07_スキル辞書'!$A$4:$A$109,E140)&lt;&gt;1,"参照ID不正",IF(INDEX('07_スキル辞書'!$I$4:$I$109,MATCH(E140,'07_スキル辞書'!$A$4:$A$109,0))="","",INDEX('07_スキル辞書'!$I$4:$I$109,MATCH(E140,'07_スキル辞書'!$A$4:$A$109,0))))</f>
        <v>Tool契約・Policy・攻撃試験</v>
      </c>
      <c r="I140" s="2" t="s">
        <v>2900</v>
      </c>
    </row>
    <row r="141" spans="1:9" ht="38" customHeight="1" x14ac:dyDescent="0.2">
      <c r="A141" s="4" t="s">
        <v>708</v>
      </c>
      <c r="B141" s="28" t="str">
        <f>IF(COUNTIF('02_工程タスク'!$A$4:$A$135,A141)&lt;&gt;1,"参照ID不正",IF(INDEX('02_工程タスク'!$D$4:$D$135,MATCH(A141,'02_工程タスク'!$A$4:$A$135,0))="","",INDEX('02_工程タスク'!$D$4:$D$135,MATCH(A141,'02_工程タスク'!$A$4:$A$135,0))))</f>
        <v>製品AI・開発Agentの別脅威モデル</v>
      </c>
      <c r="C141" s="28" t="str">
        <f>IF(COUNTIF('02_工程タスク'!$A$4:$A$135,A141)&lt;&gt;1,"参照ID不正",IF(INDEX('02_工程タスク'!$G$4:$G$135,MATCH(A141,'02_工程タスク'!$A$4:$A$135,0))="","",INDEX('02_工程タスク'!$G$4:$G$135,MATCH(A141,'02_工程タスク'!$A$4:$A$135,0))))</f>
        <v>R13, R08, R06</v>
      </c>
      <c r="D141" s="28" t="str">
        <f>IF(COUNTIF('02_工程タスク'!$A$4:$A$135,A141)&lt;&gt;1,"参照ID不正",IF(INDEX('02_工程タスク'!$H$4:$H$135,MATCH(A141,'02_工程タスク'!$A$4:$A$135,0))="","",INDEX('02_工程タスク'!$H$4:$H$135,MATCH(A141,'02_工程タスク'!$A$4:$A$135,0))))</f>
        <v>R13</v>
      </c>
      <c r="E141" s="4" t="s">
        <v>2309</v>
      </c>
      <c r="F141" s="28" t="str">
        <f>IF(COUNTIF('07_スキル辞書'!$A$4:$A$109,E141)&lt;&gt;1,"参照ID不正",IF(INDEX('07_スキル辞書'!$D$4:$D$109,MATCH(E141,'07_スキル辞書'!$A$4:$A$109,0))="","",INDEX('07_スキル辞書'!$D$4:$D$109,MATCH(E141,'07_スキル辞書'!$A$4:$A$109,0))))</f>
        <v>脅威モデリングとセキュリティ設計</v>
      </c>
      <c r="G141" s="4">
        <v>2</v>
      </c>
      <c r="H141" s="28" t="str">
        <f>IF(COUNTIF('07_スキル辞書'!$A$4:$A$109,E141)&lt;&gt;1,"参照ID不正",IF(INDEX('07_スキル辞書'!$I$4:$I$109,MATCH(E141,'07_スキル辞書'!$A$4:$A$109,0))="","",INDEX('07_スキル辞書'!$I$4:$I$109,MATCH(E141,'07_スキル辞書'!$A$4:$A$109,0))))</f>
        <v>脅威モデル、脅威モデル v2、セキュリティ設計書、AIサプライチェーン対策方針</v>
      </c>
      <c r="I141" s="4" t="s">
        <v>2900</v>
      </c>
    </row>
    <row r="142" spans="1:9" ht="38" customHeight="1" x14ac:dyDescent="0.2">
      <c r="A142" s="2" t="s">
        <v>708</v>
      </c>
      <c r="B142" s="28" t="str">
        <f>IF(COUNTIF('02_工程タスク'!$A$4:$A$135,A142)&lt;&gt;1,"参照ID不正",IF(INDEX('02_工程タスク'!$D$4:$D$135,MATCH(A142,'02_工程タスク'!$A$4:$A$135,0))="","",INDEX('02_工程タスク'!$D$4:$D$135,MATCH(A142,'02_工程タスク'!$A$4:$A$135,0))))</f>
        <v>製品AI・開発Agentの別脅威モデル</v>
      </c>
      <c r="C142" s="28" t="str">
        <f>IF(COUNTIF('02_工程タスク'!$A$4:$A$135,A142)&lt;&gt;1,"参照ID不正",IF(INDEX('02_工程タスク'!$G$4:$G$135,MATCH(A142,'02_工程タスク'!$A$4:$A$135,0))="","",INDEX('02_工程タスク'!$G$4:$G$135,MATCH(A142,'02_工程タスク'!$A$4:$A$135,0))))</f>
        <v>R13, R08, R06</v>
      </c>
      <c r="D142" s="28" t="str">
        <f>IF(COUNTIF('02_工程タスク'!$A$4:$A$135,A142)&lt;&gt;1,"参照ID不正",IF(INDEX('02_工程タスク'!$H$4:$H$135,MATCH(A142,'02_工程タスク'!$A$4:$A$135,0))="","",INDEX('02_工程タスク'!$H$4:$H$135,MATCH(A142,'02_工程タスク'!$A$4:$A$135,0))))</f>
        <v>R13</v>
      </c>
      <c r="E142" s="2" t="s">
        <v>2318</v>
      </c>
      <c r="F142" s="28" t="str">
        <f>IF(COUNTIF('07_スキル辞書'!$A$4:$A$109,E142)&lt;&gt;1,"参照ID不正",IF(INDEX('07_スキル辞書'!$D$4:$D$109,MATCH(E142,'07_スキル辞書'!$A$4:$A$109,0))="","",INDEX('07_スキル辞書'!$D$4:$D$109,MATCH(E142,'07_スキル辞書'!$A$4:$A$109,0))))</f>
        <v>AIセキュリティ評価とレッドチーミング</v>
      </c>
      <c r="G142" s="2">
        <v>2</v>
      </c>
      <c r="H142" s="28" t="str">
        <f>IF(COUNTIF('07_スキル辞書'!$A$4:$A$109,E142)&lt;&gt;1,"参照ID不正",IF(INDEX('07_スキル辞書'!$I$4:$I$109,MATCH(E142,'07_スキル辞書'!$A$4:$A$109,0))="","",INDEX('07_スキル辞書'!$I$4:$I$109,MATCH(E142,'07_スキル辞書'!$A$4:$A$109,0))))</f>
        <v>AIセキュリティ評価レポート（残存リスクと本開発への要件を含む）、セキュリティテスト報告書、対策実装の確認記録</v>
      </c>
      <c r="I142" s="2" t="s">
        <v>2900</v>
      </c>
    </row>
    <row r="143" spans="1:9" ht="38" customHeight="1" x14ac:dyDescent="0.2">
      <c r="A143" s="4" t="s">
        <v>708</v>
      </c>
      <c r="B143" s="28" t="str">
        <f>IF(COUNTIF('02_工程タスク'!$A$4:$A$135,A143)&lt;&gt;1,"参照ID不正",IF(INDEX('02_工程タスク'!$D$4:$D$135,MATCH(A143,'02_工程タスク'!$A$4:$A$135,0))="","",INDEX('02_工程タスク'!$D$4:$D$135,MATCH(A143,'02_工程タスク'!$A$4:$A$135,0))))</f>
        <v>製品AI・開発Agentの別脅威モデル</v>
      </c>
      <c r="C143" s="28" t="str">
        <f>IF(COUNTIF('02_工程タスク'!$A$4:$A$135,A143)&lt;&gt;1,"参照ID不正",IF(INDEX('02_工程タスク'!$G$4:$G$135,MATCH(A143,'02_工程タスク'!$A$4:$A$135,0))="","",INDEX('02_工程タスク'!$G$4:$G$135,MATCH(A143,'02_工程タスク'!$A$4:$A$135,0))))</f>
        <v>R13, R08, R06</v>
      </c>
      <c r="D143" s="28" t="str">
        <f>IF(COUNTIF('02_工程タスク'!$A$4:$A$135,A143)&lt;&gt;1,"参照ID不正",IF(INDEX('02_工程タスク'!$H$4:$H$135,MATCH(A143,'02_工程タスク'!$A$4:$A$135,0))="","",INDEX('02_工程タスク'!$H$4:$H$135,MATCH(A143,'02_工程タスク'!$A$4:$A$135,0))))</f>
        <v>R13</v>
      </c>
      <c r="E143" s="4" t="s">
        <v>2623</v>
      </c>
      <c r="F143" s="28" t="str">
        <f>IF(COUNTIF('07_スキル辞書'!$A$4:$A$109,E143)&lt;&gt;1,"参照ID不正",IF(INDEX('07_スキル辞書'!$D$4:$D$109,MATCH(E143,'07_スキル辞書'!$A$4:$A$109,0))="","",INDEX('07_スキル辞書'!$D$4:$D$109,MATCH(E143,'07_スキル辞書'!$A$4:$A$109,0))))</f>
        <v>開発エージェントの権限・通信・供給網統制</v>
      </c>
      <c r="G143" s="4">
        <v>2</v>
      </c>
      <c r="H143" s="28" t="str">
        <f>IF(COUNTIF('07_スキル辞書'!$A$4:$A$109,E143)&lt;&gt;1,"参照ID不正",IF(INDEX('07_スキル辞書'!$I$4:$I$109,MATCH(E143,'07_スキル辞書'!$A$4:$A$109,0))="","",INDEX('07_スキル辞書'!$I$4:$I$109,MATCH(E143,'07_スキル辞書'!$A$4:$A$109,0))))</f>
        <v>ツール許可台帳／sandbox設定／通信・権限試験／秘密検査</v>
      </c>
      <c r="I143" s="4" t="s">
        <v>2900</v>
      </c>
    </row>
    <row r="144" spans="1:9" ht="38" customHeight="1" x14ac:dyDescent="0.2">
      <c r="A144" s="2" t="s">
        <v>708</v>
      </c>
      <c r="B144" s="28" t="str">
        <f>IF(COUNTIF('02_工程タスク'!$A$4:$A$135,A144)&lt;&gt;1,"参照ID不正",IF(INDEX('02_工程タスク'!$D$4:$D$135,MATCH(A144,'02_工程タスク'!$A$4:$A$135,0))="","",INDEX('02_工程タスク'!$D$4:$D$135,MATCH(A144,'02_工程タスク'!$A$4:$A$135,0))))</f>
        <v>製品AI・開発Agentの別脅威モデル</v>
      </c>
      <c r="C144" s="28" t="str">
        <f>IF(COUNTIF('02_工程タスク'!$A$4:$A$135,A144)&lt;&gt;1,"参照ID不正",IF(INDEX('02_工程タスク'!$G$4:$G$135,MATCH(A144,'02_工程タスク'!$A$4:$A$135,0))="","",INDEX('02_工程タスク'!$G$4:$G$135,MATCH(A144,'02_工程タスク'!$A$4:$A$135,0))))</f>
        <v>R13, R08, R06</v>
      </c>
      <c r="D144" s="28" t="str">
        <f>IF(COUNTIF('02_工程タスク'!$A$4:$A$135,A144)&lt;&gt;1,"参照ID不正",IF(INDEX('02_工程タスク'!$H$4:$H$135,MATCH(A144,'02_工程タスク'!$A$4:$A$135,0))="","",INDEX('02_工程タスク'!$H$4:$H$135,MATCH(A144,'02_工程タスク'!$A$4:$A$135,0))))</f>
        <v>R13</v>
      </c>
      <c r="E144" s="2" t="s">
        <v>2818</v>
      </c>
      <c r="F144" s="28" t="str">
        <f>IF(COUNTIF('07_スキル辞書'!$A$4:$A$109,E144)&lt;&gt;1,"参照ID不正",IF(INDEX('07_スキル辞書'!$D$4:$D$109,MATCH(E144,'07_スキル辞書'!$A$4:$A$109,0))="","",INDEX('07_スキル辞書'!$D$4:$D$109,MATCH(E144,'07_スキル辞書'!$A$4:$A$109,0))))</f>
        <v>Tool/MCP認可・副作用・実行制御</v>
      </c>
      <c r="G144" s="2">
        <v>2</v>
      </c>
      <c r="H144" s="28" t="str">
        <f>IF(COUNTIF('07_スキル辞書'!$A$4:$A$109,E144)&lt;&gt;1,"参照ID不正",IF(INDEX('07_スキル辞書'!$I$4:$I$109,MATCH(E144,'07_スキル辞書'!$A$4:$A$109,0))="","",INDEX('07_スキル辞書'!$I$4:$I$109,MATCH(E144,'07_スキル辞書'!$A$4:$A$109,0))))</f>
        <v>Tool契約・Policy・攻撃試験</v>
      </c>
      <c r="I144" s="2" t="s">
        <v>2900</v>
      </c>
    </row>
    <row r="145" spans="1:9" ht="38" customHeight="1" x14ac:dyDescent="0.2">
      <c r="A145" s="4" t="s">
        <v>721</v>
      </c>
      <c r="B145" s="28" t="str">
        <f>IF(COUNTIF('02_工程タスク'!$A$4:$A$135,A145)&lt;&gt;1,"参照ID不正",IF(INDEX('02_工程タスク'!$D$4:$D$135,MATCH(A145,'02_工程タスク'!$A$4:$A$135,0))="","",INDEX('02_工程タスク'!$D$4:$D$135,MATCH(A145,'02_工程タスク'!$A$4:$A$135,0))))</f>
        <v>安全な対話・根拠提示・人への移管</v>
      </c>
      <c r="C145" s="28" t="str">
        <f>IF(COUNTIF('02_工程タスク'!$A$4:$A$135,A145)&lt;&gt;1,"参照ID不正",IF(INDEX('02_工程タスク'!$G$4:$G$135,MATCH(A145,'02_工程タスク'!$A$4:$A$135,0))="","",INDEX('02_工程タスク'!$G$4:$G$135,MATCH(A145,'02_工程タスク'!$A$4:$A$135,0))))</f>
        <v>R05, R04, R17</v>
      </c>
      <c r="D145" s="28" t="str">
        <f>IF(COUNTIF('02_工程タスク'!$A$4:$A$135,A145)&lt;&gt;1,"参照ID不正",IF(INDEX('02_工程タスク'!$H$4:$H$135,MATCH(A145,'02_工程タスク'!$A$4:$A$135,0))="","",INDEX('02_工程タスク'!$H$4:$H$135,MATCH(A145,'02_工程タスク'!$A$4:$A$135,0))))</f>
        <v>R02</v>
      </c>
      <c r="E145" s="4" t="s">
        <v>2210</v>
      </c>
      <c r="F145" s="28" t="str">
        <f>IF(COUNTIF('07_スキル辞書'!$A$4:$A$109,E145)&lt;&gt;1,"参照ID不正",IF(INDEX('07_スキル辞書'!$D$4:$D$109,MATCH(E145,'07_スキル辞書'!$A$4:$A$109,0))="","",INDEX('07_スキル辞書'!$D$4:$D$109,MATCH(E145,'07_スキル辞書'!$A$4:$A$109,0))))</f>
        <v>UI/UX設計（AI出力の提示とHITL）</v>
      </c>
      <c r="G145" s="4">
        <v>2</v>
      </c>
      <c r="H145" s="28" t="str">
        <f>IF(COUNTIF('07_スキル辞書'!$A$4:$A$109,E145)&lt;&gt;1,"参照ID不正",IF(INDEX('07_スキル辞書'!$I$4:$I$109,MATCH(E145,'07_スキル辞書'!$A$4:$A$109,0))="","",INDEX('07_スキル辞書'!$I$4:$I$109,MATCH(E145,'07_スキル辞書'!$A$4:$A$109,0))))</f>
        <v>UI/UXデザインガイドライン、ワイヤーフレーム、モックアップ、プロトタイプ、フロントエンドのソースコード</v>
      </c>
      <c r="I145" s="4" t="s">
        <v>2900</v>
      </c>
    </row>
    <row r="146" spans="1:9" ht="38" customHeight="1" x14ac:dyDescent="0.2">
      <c r="A146" s="2" t="s">
        <v>721</v>
      </c>
      <c r="B146" s="28" t="str">
        <f>IF(COUNTIF('02_工程タスク'!$A$4:$A$135,A146)&lt;&gt;1,"参照ID不正",IF(INDEX('02_工程タスク'!$D$4:$D$135,MATCH(A146,'02_工程タスク'!$A$4:$A$135,0))="","",INDEX('02_工程タスク'!$D$4:$D$135,MATCH(A146,'02_工程タスク'!$A$4:$A$135,0))))</f>
        <v>安全な対話・根拠提示・人への移管</v>
      </c>
      <c r="C146" s="28" t="str">
        <f>IF(COUNTIF('02_工程タスク'!$A$4:$A$135,A146)&lt;&gt;1,"参照ID不正",IF(INDEX('02_工程タスク'!$G$4:$G$135,MATCH(A146,'02_工程タスク'!$A$4:$A$135,0))="","",INDEX('02_工程タスク'!$G$4:$G$135,MATCH(A146,'02_工程タスク'!$A$4:$A$135,0))))</f>
        <v>R05, R04, R17</v>
      </c>
      <c r="D146" s="28" t="str">
        <f>IF(COUNTIF('02_工程タスク'!$A$4:$A$135,A146)&lt;&gt;1,"参照ID不正",IF(INDEX('02_工程タスク'!$H$4:$H$135,MATCH(A146,'02_工程タスク'!$A$4:$A$135,0))="","",INDEX('02_工程タスク'!$H$4:$H$135,MATCH(A146,'02_工程タスク'!$A$4:$A$135,0))))</f>
        <v>R02</v>
      </c>
      <c r="E146" s="2" t="s">
        <v>2780</v>
      </c>
      <c r="F146" s="28" t="str">
        <f>IF(COUNTIF('07_スキル辞書'!$A$4:$A$109,E146)&lt;&gt;1,"参照ID不正",IF(INDEX('07_スキル辞書'!$D$4:$D$109,MATCH(E146,'07_スキル辞書'!$A$4:$A$109,0))="","",INDEX('07_スキル辞書'!$D$4:$D$109,MATCH(E146,'07_スキル辞書'!$A$4:$A$109,0))))</f>
        <v>適切な信頼・説明・介入UX</v>
      </c>
      <c r="G146" s="2">
        <v>2</v>
      </c>
      <c r="H146" s="28" t="str">
        <f>IF(COUNTIF('07_スキル辞書'!$A$4:$A$109,E146)&lt;&gt;1,"参照ID不正",IF(INDEX('07_スキル辞書'!$I$4:$I$109,MATCH(E146,'07_スキル辞書'!$A$4:$A$109,0))="","",INDEX('07_スキル辞書'!$I$4:$I$109,MATCH(E146,'07_スキル辞書'!$A$4:$A$109,0))))</f>
        <v>UX試験・介入評価・救済導線</v>
      </c>
      <c r="I146" s="2" t="s">
        <v>2900</v>
      </c>
    </row>
    <row r="147" spans="1:9" ht="38" customHeight="1" x14ac:dyDescent="0.2">
      <c r="A147" s="4" t="s">
        <v>721</v>
      </c>
      <c r="B147" s="28" t="str">
        <f>IF(COUNTIF('02_工程タスク'!$A$4:$A$135,A147)&lt;&gt;1,"参照ID不正",IF(INDEX('02_工程タスク'!$D$4:$D$135,MATCH(A147,'02_工程タスク'!$A$4:$A$135,0))="","",INDEX('02_工程タスク'!$D$4:$D$135,MATCH(A147,'02_工程タスク'!$A$4:$A$135,0))))</f>
        <v>安全な対話・根拠提示・人への移管</v>
      </c>
      <c r="C147" s="28" t="str">
        <f>IF(COUNTIF('02_工程タスク'!$A$4:$A$135,A147)&lt;&gt;1,"参照ID不正",IF(INDEX('02_工程タスク'!$G$4:$G$135,MATCH(A147,'02_工程タスク'!$A$4:$A$135,0))="","",INDEX('02_工程タスク'!$G$4:$G$135,MATCH(A147,'02_工程タスク'!$A$4:$A$135,0))))</f>
        <v>R05, R04, R17</v>
      </c>
      <c r="D147" s="28" t="str">
        <f>IF(COUNTIF('02_工程タスク'!$A$4:$A$135,A147)&lt;&gt;1,"参照ID不正",IF(INDEX('02_工程タスク'!$H$4:$H$135,MATCH(A147,'02_工程タスク'!$A$4:$A$135,0))="","",INDEX('02_工程タスク'!$H$4:$H$135,MATCH(A147,'02_工程タスク'!$A$4:$A$135,0))))</f>
        <v>R02</v>
      </c>
      <c r="E147" s="4" t="s">
        <v>2790</v>
      </c>
      <c r="F147" s="28" t="str">
        <f>IF(COUNTIF('07_スキル辞書'!$A$4:$A$109,E147)&lt;&gt;1,"参照ID不正",IF(INDEX('07_スキル辞書'!$D$4:$D$109,MATCH(E147,'07_スキル辞書'!$A$4:$A$109,0))="","",INDEX('07_スキル辞書'!$D$4:$D$109,MATCH(E147,'07_スキル辞書'!$A$4:$A$109,0))))</f>
        <v>包摂的なAIサービス設計</v>
      </c>
      <c r="G147" s="4">
        <v>2</v>
      </c>
      <c r="H147" s="28" t="str">
        <f>IF(COUNTIF('07_スキル辞書'!$A$4:$A$109,E147)&lt;&gt;1,"参照ID不正",IF(INDEX('07_スキル辞書'!$I$4:$I$109,MATCH(E147,'07_スキル辞書'!$A$4:$A$109,0))="","",INDEX('07_スキル辞書'!$I$4:$I$109,MATCH(E147,'07_スキル辞書'!$A$4:$A$109,0))))</f>
        <v>利用者試験・改善記録</v>
      </c>
      <c r="I147" s="4" t="s">
        <v>2900</v>
      </c>
    </row>
    <row r="148" spans="1:9" ht="38" customHeight="1" x14ac:dyDescent="0.2">
      <c r="A148" s="2" t="s">
        <v>730</v>
      </c>
      <c r="B148" s="28" t="str">
        <f>IF(COUNTIF('02_工程タスク'!$A$4:$A$135,A148)&lt;&gt;1,"参照ID不正",IF(INDEX('02_工程タスク'!$D$4:$D$135,MATCH(A148,'02_工程タスク'!$A$4:$A$135,0))="","",INDEX('02_工程タスク'!$D$4:$D$135,MATCH(A148,'02_工程タスク'!$A$4:$A$135,0))))</f>
        <v>API・認証・テナント分離</v>
      </c>
      <c r="C148" s="28" t="str">
        <f>IF(COUNTIF('02_工程タスク'!$A$4:$A$135,A148)&lt;&gt;1,"参照ID不正",IF(INDEX('02_工程タスク'!$G$4:$G$135,MATCH(A148,'02_工程タスク'!$A$4:$A$135,0))="","",INDEX('02_工程タスク'!$G$4:$G$135,MATCH(A148,'02_工程タスク'!$A$4:$A$135,0))))</f>
        <v>R07, R06, R13</v>
      </c>
      <c r="D148" s="28" t="str">
        <f>IF(COUNTIF('02_工程タスク'!$A$4:$A$135,A148)&lt;&gt;1,"参照ID不正",IF(INDEX('02_工程タスク'!$H$4:$H$135,MATCH(A148,'02_工程タスク'!$A$4:$A$135,0))="","",INDEX('02_工程タスク'!$H$4:$H$135,MATCH(A148,'02_工程タスク'!$A$4:$A$135,0))))</f>
        <v>R06</v>
      </c>
      <c r="E148" s="2" t="s">
        <v>2255</v>
      </c>
      <c r="F148" s="28" t="str">
        <f>IF(COUNTIF('07_スキル辞書'!$A$4:$A$109,E148)&lt;&gt;1,"参照ID不正",IF(INDEX('07_スキル辞書'!$D$4:$D$109,MATCH(E148,'07_スキル辞書'!$A$4:$A$109,0))="","",INDEX('07_スキル辞書'!$D$4:$D$109,MATCH(E148,'07_スキル辞書'!$A$4:$A$109,0))))</f>
        <v>API設計・実装と認証認可</v>
      </c>
      <c r="G148" s="2">
        <v>2</v>
      </c>
      <c r="H148" s="28" t="str">
        <f>IF(COUNTIF('07_スキル辞書'!$A$4:$A$109,E148)&lt;&gt;1,"参照ID不正",IF(INDEX('07_スキル辞書'!$I$4:$I$109,MATCH(E148,'07_スキル辞書'!$A$4:$A$109,0))="","",INDEX('07_スキル辞書'!$I$4:$I$109,MATCH(E148,'07_スキル辞書'!$A$4:$A$109,0))))</f>
        <v>APIエンドポイント、API仕様書、サーバーサイドのソースコード、監査ログ設計書</v>
      </c>
      <c r="I148" s="2" t="s">
        <v>2900</v>
      </c>
    </row>
    <row r="149" spans="1:9" ht="38" customHeight="1" x14ac:dyDescent="0.2">
      <c r="A149" s="4" t="s">
        <v>730</v>
      </c>
      <c r="B149" s="28" t="str">
        <f>IF(COUNTIF('02_工程タスク'!$A$4:$A$135,A149)&lt;&gt;1,"参照ID不正",IF(INDEX('02_工程タスク'!$D$4:$D$135,MATCH(A149,'02_工程タスク'!$A$4:$A$135,0))="","",INDEX('02_工程タスク'!$D$4:$D$135,MATCH(A149,'02_工程タスク'!$A$4:$A$135,0))))</f>
        <v>API・認証・テナント分離</v>
      </c>
      <c r="C149" s="28" t="str">
        <f>IF(COUNTIF('02_工程タスク'!$A$4:$A$135,A149)&lt;&gt;1,"参照ID不正",IF(INDEX('02_工程タスク'!$G$4:$G$135,MATCH(A149,'02_工程タスク'!$A$4:$A$135,0))="","",INDEX('02_工程タスク'!$G$4:$G$135,MATCH(A149,'02_工程タスク'!$A$4:$A$135,0))))</f>
        <v>R07, R06, R13</v>
      </c>
      <c r="D149" s="28" t="str">
        <f>IF(COUNTIF('02_工程タスク'!$A$4:$A$135,A149)&lt;&gt;1,"参照ID不正",IF(INDEX('02_工程タスク'!$H$4:$H$135,MATCH(A149,'02_工程タスク'!$A$4:$A$135,0))="","",INDEX('02_工程タスク'!$H$4:$H$135,MATCH(A149,'02_工程タスク'!$A$4:$A$135,0))))</f>
        <v>R06</v>
      </c>
      <c r="E149" s="4" t="s">
        <v>2273</v>
      </c>
      <c r="F149" s="28" t="str">
        <f>IF(COUNTIF('07_スキル辞書'!$A$4:$A$109,E149)&lt;&gt;1,"参照ID不正",IF(INDEX('07_スキル辞書'!$D$4:$D$109,MATCH(E149,'07_スキル辞書'!$A$4:$A$109,0))="","",INDEX('07_スキル辞書'!$D$4:$D$109,MATCH(E149,'07_スキル辞書'!$A$4:$A$109,0))))</f>
        <v>AI機能の統合とフォールバック設計</v>
      </c>
      <c r="G149" s="4">
        <v>2</v>
      </c>
      <c r="H149" s="28" t="str">
        <f>IF(COUNTIF('07_スキル辞書'!$A$4:$A$109,E149)&lt;&gt;1,"参照ID不正",IF(INDEX('07_スキル辞書'!$I$4:$I$109,MATCH(E149,'07_スキル辞書'!$A$4:$A$109,0))="","",INDEX('07_スキル辞書'!$I$4:$I$109,MATCH(E149,'07_スキル辞書'!$A$4:$A$109,0))))</f>
        <v>AI機能が統合されたバックエンドのソースコード、モデルロールバック手順書、エスカレーション手順書</v>
      </c>
      <c r="I149" s="4" t="s">
        <v>2900</v>
      </c>
    </row>
    <row r="150" spans="1:9" ht="38" customHeight="1" x14ac:dyDescent="0.2">
      <c r="A150" s="2" t="s">
        <v>730</v>
      </c>
      <c r="B150" s="28" t="str">
        <f>IF(COUNTIF('02_工程タスク'!$A$4:$A$135,A150)&lt;&gt;1,"参照ID不正",IF(INDEX('02_工程タスク'!$D$4:$D$135,MATCH(A150,'02_工程タスク'!$A$4:$A$135,0))="","",INDEX('02_工程タスク'!$D$4:$D$135,MATCH(A150,'02_工程タスク'!$A$4:$A$135,0))))</f>
        <v>API・認証・テナント分離</v>
      </c>
      <c r="C150" s="28" t="str">
        <f>IF(COUNTIF('02_工程タスク'!$A$4:$A$135,A150)&lt;&gt;1,"参照ID不正",IF(INDEX('02_工程タスク'!$G$4:$G$135,MATCH(A150,'02_工程タスク'!$A$4:$A$135,0))="","",INDEX('02_工程タスク'!$G$4:$G$135,MATCH(A150,'02_工程タスク'!$A$4:$A$135,0))))</f>
        <v>R07, R06, R13</v>
      </c>
      <c r="D150" s="28" t="str">
        <f>IF(COUNTIF('02_工程タスク'!$A$4:$A$135,A150)&lt;&gt;1,"参照ID不正",IF(INDEX('02_工程タスク'!$H$4:$H$135,MATCH(A150,'02_工程タスク'!$A$4:$A$135,0))="","",INDEX('02_工程タスク'!$H$4:$H$135,MATCH(A150,'02_工程タスク'!$A$4:$A$135,0))))</f>
        <v>R06</v>
      </c>
      <c r="E150" s="2" t="s">
        <v>2742</v>
      </c>
      <c r="F150" s="28" t="str">
        <f>IF(COUNTIF('07_スキル辞書'!$A$4:$A$109,E150)&lt;&gt;1,"参照ID不正",IF(INDEX('07_スキル辞書'!$D$4:$D$109,MATCH(E150,'07_スキル辞書'!$A$4:$A$109,0))="","",INDEX('07_スキル辞書'!$D$4:$D$109,MATCH(E150,'07_スキル辞書'!$A$4:$A$109,0))))</f>
        <v>利用量計測・課金・返金</v>
      </c>
      <c r="G150" s="2">
        <v>2</v>
      </c>
      <c r="H150" s="28" t="str">
        <f>IF(COUNTIF('07_スキル辞書'!$A$4:$A$109,E150)&lt;&gt;1,"参照ID不正",IF(INDEX('07_スキル辞書'!$I$4:$I$109,MATCH(E150,'07_スキル辞書'!$A$4:$A$109,0))="","",INDEX('07_スキル辞書'!$I$4:$I$109,MATCH(E150,'07_スキル辞書'!$A$4:$A$109,0))))</f>
        <v>課金仕様・照合テスト・精算</v>
      </c>
      <c r="I150" s="2" t="s">
        <v>2900</v>
      </c>
    </row>
    <row r="151" spans="1:9" ht="38" customHeight="1" x14ac:dyDescent="0.2">
      <c r="A151" s="4" t="s">
        <v>740</v>
      </c>
      <c r="B151" s="28" t="str">
        <f>IF(COUNTIF('02_工程タスク'!$A$4:$A$135,A151)&lt;&gt;1,"参照ID不正",IF(INDEX('02_工程タスク'!$D$4:$D$135,MATCH(A151,'02_工程タスク'!$A$4:$A$135,0))="","",INDEX('02_工程タスク'!$D$4:$D$135,MATCH(A151,'02_工程タスク'!$A$4:$A$135,0))))</f>
        <v>Eval Harness・凍結セットの設計</v>
      </c>
      <c r="C151" s="28" t="str">
        <f>IF(COUNTIF('02_工程タスク'!$A$4:$A$135,A151)&lt;&gt;1,"参照ID不正",IF(INDEX('02_工程タスク'!$G$4:$G$135,MATCH(A151,'02_工程タスク'!$A$4:$A$135,0))="","",INDEX('02_工程タスク'!$G$4:$G$135,MATCH(A151,'02_工程タスク'!$A$4:$A$135,0))))</f>
        <v>R11, R08, R13</v>
      </c>
      <c r="D151" s="28" t="str">
        <f>IF(COUNTIF('02_工程タスク'!$A$4:$A$135,A151)&lt;&gt;1,"参照ID不正",IF(INDEX('02_工程タスク'!$H$4:$H$135,MATCH(A151,'02_工程タスク'!$A$4:$A$135,0))="","",INDEX('02_工程タスク'!$H$4:$H$135,MATCH(A151,'02_工程タスク'!$A$4:$A$135,0))))</f>
        <v>R19</v>
      </c>
      <c r="E151" s="4" t="s">
        <v>2453</v>
      </c>
      <c r="F151" s="28" t="str">
        <f>IF(COUNTIF('07_スキル辞書'!$A$4:$A$109,E151)&lt;&gt;1,"参照ID不正",IF(INDEX('07_スキル辞書'!$D$4:$D$109,MATCH(E151,'07_スキル辞書'!$A$4:$A$109,0))="","",INDEX('07_スキル辞書'!$D$4:$D$109,MATCH(E151,'07_スキル辞書'!$A$4:$A$109,0))))</f>
        <v>評価セット構築（生成AI案件）</v>
      </c>
      <c r="G151" s="4">
        <v>2</v>
      </c>
      <c r="H151" s="28" t="str">
        <f>IF(COUNTIF('07_スキル辞書'!$A$4:$A$109,E151)&lt;&gt;1,"参照ID不正",IF(INDEX('07_スキル辞書'!$I$4:$I$109,MATCH(E151,'07_スキル辞書'!$A$4:$A$109,0))="","",INDEX('07_スキル辞書'!$I$4:$I$109,MATCH(E151,'07_スキル辞書'!$A$4:$A$109,0))))</f>
        <v>評価セット仕様書、評価データセット、ゴールデンデータセット、評価ハーネス</v>
      </c>
      <c r="I151" s="4" t="s">
        <v>2900</v>
      </c>
    </row>
    <row r="152" spans="1:9" ht="38" customHeight="1" x14ac:dyDescent="0.2">
      <c r="A152" s="2" t="s">
        <v>740</v>
      </c>
      <c r="B152" s="28" t="str">
        <f>IF(COUNTIF('02_工程タスク'!$A$4:$A$135,A152)&lt;&gt;1,"参照ID不正",IF(INDEX('02_工程タスク'!$D$4:$D$135,MATCH(A152,'02_工程タスク'!$A$4:$A$135,0))="","",INDEX('02_工程タスク'!$D$4:$D$135,MATCH(A152,'02_工程タスク'!$A$4:$A$135,0))))</f>
        <v>Eval Harness・凍結セットの設計</v>
      </c>
      <c r="C152" s="28" t="str">
        <f>IF(COUNTIF('02_工程タスク'!$A$4:$A$135,A152)&lt;&gt;1,"参照ID不正",IF(INDEX('02_工程タスク'!$G$4:$G$135,MATCH(A152,'02_工程タスク'!$A$4:$A$135,0))="","",INDEX('02_工程タスク'!$G$4:$G$135,MATCH(A152,'02_工程タスク'!$A$4:$A$135,0))))</f>
        <v>R11, R08, R13</v>
      </c>
      <c r="D152" s="28" t="str">
        <f>IF(COUNTIF('02_工程タスク'!$A$4:$A$135,A152)&lt;&gt;1,"参照ID不正",IF(INDEX('02_工程タスク'!$H$4:$H$135,MATCH(A152,'02_工程タスク'!$A$4:$A$135,0))="","",INDEX('02_工程タスク'!$H$4:$H$135,MATCH(A152,'02_工程タスク'!$A$4:$A$135,0))))</f>
        <v>R19</v>
      </c>
      <c r="E152" s="2" t="s">
        <v>2551</v>
      </c>
      <c r="F152" s="28" t="str">
        <f>IF(COUNTIF('07_スキル辞書'!$A$4:$A$109,E152)&lt;&gt;1,"参照ID不正",IF(INDEX('07_スキル辞書'!$D$4:$D$109,MATCH(E152,'07_スキル辞書'!$A$4:$A$109,0))="","",INDEX('07_スキル辞書'!$D$4:$D$109,MATCH(E152,'07_スキル辞書'!$A$4:$A$109,0))))</f>
        <v>LLM評価設計</v>
      </c>
      <c r="G152" s="2">
        <v>2</v>
      </c>
      <c r="H152" s="28" t="str">
        <f>IF(COUNTIF('07_スキル辞書'!$A$4:$A$109,E152)&lt;&gt;1,"参照ID不正",IF(INDEX('07_スキル辞書'!$I$4:$I$109,MATCH(E152,'07_スキル辞書'!$A$4:$A$109,0))="","",INDEX('07_スキル辞書'!$I$4:$I$109,MATCH(E152,'07_スキル辞書'!$A$4:$A$109,0))))</f>
        <v>評価ハーネス、AIモデル品質評価レポート、モデル評価レポート、最終性能評価レポート（信頼区間付き）</v>
      </c>
      <c r="I152" s="2" t="s">
        <v>2900</v>
      </c>
    </row>
    <row r="153" spans="1:9" ht="38" customHeight="1" x14ac:dyDescent="0.2">
      <c r="A153" s="4" t="s">
        <v>740</v>
      </c>
      <c r="B153" s="28" t="str">
        <f>IF(COUNTIF('02_工程タスク'!$A$4:$A$135,A153)&lt;&gt;1,"参照ID不正",IF(INDEX('02_工程タスク'!$D$4:$D$135,MATCH(A153,'02_工程タスク'!$A$4:$A$135,0))="","",INDEX('02_工程タスク'!$D$4:$D$135,MATCH(A153,'02_工程タスク'!$A$4:$A$135,0))))</f>
        <v>Eval Harness・凍結セットの設計</v>
      </c>
      <c r="C153" s="28" t="str">
        <f>IF(COUNTIF('02_工程タスク'!$A$4:$A$135,A153)&lt;&gt;1,"参照ID不正",IF(INDEX('02_工程タスク'!$G$4:$G$135,MATCH(A153,'02_工程タスク'!$A$4:$A$135,0))="","",INDEX('02_工程タスク'!$G$4:$G$135,MATCH(A153,'02_工程タスク'!$A$4:$A$135,0))))</f>
        <v>R11, R08, R13</v>
      </c>
      <c r="D153" s="28" t="str">
        <f>IF(COUNTIF('02_工程タスク'!$A$4:$A$135,A153)&lt;&gt;1,"参照ID不正",IF(INDEX('02_工程タスク'!$H$4:$H$135,MATCH(A153,'02_工程タスク'!$A$4:$A$135,0))="","",INDEX('02_工程タスク'!$H$4:$H$135,MATCH(A153,'02_工程タスク'!$A$4:$A$135,0))))</f>
        <v>R19</v>
      </c>
      <c r="E153" s="4" t="s">
        <v>2614</v>
      </c>
      <c r="F153" s="28" t="str">
        <f>IF(COUNTIF('07_スキル辞書'!$A$4:$A$109,E153)&lt;&gt;1,"参照ID不正",IF(INDEX('07_スキル辞書'!$D$4:$D$109,MATCH(E153,'07_スキル辞書'!$A$4:$A$109,0))="","",INDEX('07_スキル辞書'!$D$4:$D$109,MATCH(E153,'07_スキル辞書'!$A$4:$A$109,0))))</f>
        <v>独立評価・採点較正・品質承認証拠</v>
      </c>
      <c r="G153" s="4">
        <v>3</v>
      </c>
      <c r="H153" s="28" t="str">
        <f>IF(COUNTIF('07_スキル辞書'!$A$4:$A$109,E153)&lt;&gt;1,"参照ID不正",IF(INDEX('07_スキル辞書'!$I$4:$I$109,MATCH(E153,'07_スキル辞書'!$A$4:$A$109,0))="","",INDEX('07_スキル辞書'!$I$4:$I$109,MATCH(E153,'07_スキル辞書'!$A$4:$A$109,0))))</f>
        <v>凍結評価・grader較正・G3品質勧告</v>
      </c>
      <c r="I153" s="4" t="s">
        <v>2900</v>
      </c>
    </row>
    <row r="154" spans="1:9" ht="38" customHeight="1" x14ac:dyDescent="0.2">
      <c r="A154" s="2" t="s">
        <v>752</v>
      </c>
      <c r="B154" s="28" t="str">
        <f>IF(COUNTIF('02_工程タスク'!$A$4:$A$135,A154)&lt;&gt;1,"参照ID不正",IF(INDEX('02_工程タスク'!$D$4:$D$135,MATCH(A154,'02_工程タスク'!$A$4:$A$135,0))="","",INDEX('02_工程タスク'!$D$4:$D$135,MATCH(A154,'02_工程タスク'!$A$4:$A$135,0))))</f>
        <v>Repo正本・仕様・機械的制約</v>
      </c>
      <c r="C154" s="28" t="str">
        <f>IF(COUNTIF('02_工程タスク'!$A$4:$A$135,A154)&lt;&gt;1,"参照ID不正",IF(INDEX('02_工程タスク'!$G$4:$G$135,MATCH(A154,'02_工程タスク'!$A$4:$A$135,0))="","",INDEX('02_工程タスク'!$G$4:$G$135,MATCH(A154,'02_工程タスク'!$A$4:$A$135,0))))</f>
        <v>R06, R07, R11</v>
      </c>
      <c r="D154" s="28" t="str">
        <f>IF(COUNTIF('02_工程タスク'!$A$4:$A$135,A154)&lt;&gt;1,"参照ID不正",IF(INDEX('02_工程タスク'!$H$4:$H$135,MATCH(A154,'02_工程タスク'!$A$4:$A$135,0))="","",INDEX('02_工程タスク'!$H$4:$H$135,MATCH(A154,'02_工程タスク'!$A$4:$A$135,0))))</f>
        <v>R06</v>
      </c>
      <c r="E154" s="2" t="s">
        <v>2604</v>
      </c>
      <c r="F154" s="28" t="str">
        <f>IF(COUNTIF('07_スキル辞書'!$A$4:$A$109,E154)&lt;&gt;1,"参照ID不正",IF(INDEX('07_スキル辞書'!$D$4:$D$109,MATCH(E154,'07_スキル辞書'!$A$4:$A$109,0))="","",INDEX('07_スキル辞書'!$D$4:$D$109,MATCH(E154,'07_スキル辞書'!$A$4:$A$109,0))))</f>
        <v>仕様・正本リポジトリ・開発ハーネス</v>
      </c>
      <c r="G154" s="2">
        <v>2</v>
      </c>
      <c r="H154" s="28" t="str">
        <f>IF(COUNTIF('07_スキル辞書'!$A$4:$A$109,E154)&lt;&gt;1,"参照ID不正",IF(INDEX('07_スキル辞書'!$I$4:$I$109,MATCH(E154,'07_スキル辞書'!$A$4:$A$109,0))="","",INDEX('07_スキル辞書'!$I$4:$I$109,MATCH(E154,'07_スキル辞書'!$A$4:$A$109,0))))</f>
        <v>正本リポジトリ／仕様・テスト対応／PRと実行ログ</v>
      </c>
      <c r="I154" s="2" t="s">
        <v>2900</v>
      </c>
    </row>
    <row r="155" spans="1:9" ht="38" customHeight="1" x14ac:dyDescent="0.2">
      <c r="A155" s="4" t="s">
        <v>752</v>
      </c>
      <c r="B155" s="28" t="str">
        <f>IF(COUNTIF('02_工程タスク'!$A$4:$A$135,A155)&lt;&gt;1,"参照ID不正",IF(INDEX('02_工程タスク'!$D$4:$D$135,MATCH(A155,'02_工程タスク'!$A$4:$A$135,0))="","",INDEX('02_工程タスク'!$D$4:$D$135,MATCH(A155,'02_工程タスク'!$A$4:$A$135,0))))</f>
        <v>Repo正本・仕様・機械的制約</v>
      </c>
      <c r="C155" s="28" t="str">
        <f>IF(COUNTIF('02_工程タスク'!$A$4:$A$135,A155)&lt;&gt;1,"参照ID不正",IF(INDEX('02_工程タスク'!$G$4:$G$135,MATCH(A155,'02_工程タスク'!$A$4:$A$135,0))="","",INDEX('02_工程タスク'!$G$4:$G$135,MATCH(A155,'02_工程タスク'!$A$4:$A$135,0))))</f>
        <v>R06, R07, R11</v>
      </c>
      <c r="D155" s="28" t="str">
        <f>IF(COUNTIF('02_工程タスク'!$A$4:$A$135,A155)&lt;&gt;1,"参照ID不正",IF(INDEX('02_工程タスク'!$H$4:$H$135,MATCH(A155,'02_工程タスク'!$A$4:$A$135,0))="","",INDEX('02_工程タスク'!$H$4:$H$135,MATCH(A155,'02_工程タスク'!$A$4:$A$135,0))))</f>
        <v>R06</v>
      </c>
      <c r="E155" s="4" t="s">
        <v>2809</v>
      </c>
      <c r="F155" s="28" t="str">
        <f>IF(COUNTIF('07_スキル辞書'!$A$4:$A$109,E155)&lt;&gt;1,"参照ID不正",IF(INDEX('07_スキル辞書'!$D$4:$D$109,MATCH(E155,'07_スキル辞書'!$A$4:$A$109,0))="","",INDEX('07_スキル辞書'!$D$4:$D$109,MATCH(E155,'07_スキル辞書'!$A$4:$A$109,0))))</f>
        <v>正本文脈・鮮度・段階読込</v>
      </c>
      <c r="G155" s="4">
        <v>2</v>
      </c>
      <c r="H155" s="28" t="str">
        <f>IF(COUNTIF('07_スキル辞書'!$A$4:$A$109,E155)&lt;&gt;1,"参照ID不正",IF(INDEX('07_スキル辞書'!$I$4:$I$109,MATCH(E155,'07_スキル辞書'!$A$4:$A$109,0))="","",INDEX('07_スキル辞書'!$I$4:$I$109,MATCH(E155,'07_スキル辞書'!$A$4:$A$109,0))))</f>
        <v>Repo構造・Context試験・鮮度監査</v>
      </c>
      <c r="I155" s="4" t="s">
        <v>2900</v>
      </c>
    </row>
    <row r="156" spans="1:9" ht="38" customHeight="1" x14ac:dyDescent="0.2">
      <c r="A156" s="2" t="s">
        <v>752</v>
      </c>
      <c r="B156" s="28" t="str">
        <f>IF(COUNTIF('02_工程タスク'!$A$4:$A$135,A156)&lt;&gt;1,"参照ID不正",IF(INDEX('02_工程タスク'!$D$4:$D$135,MATCH(A156,'02_工程タスク'!$A$4:$A$135,0))="","",INDEX('02_工程タスク'!$D$4:$D$135,MATCH(A156,'02_工程タスク'!$A$4:$A$135,0))))</f>
        <v>Repo正本・仕様・機械的制約</v>
      </c>
      <c r="C156" s="28" t="str">
        <f>IF(COUNTIF('02_工程タスク'!$A$4:$A$135,A156)&lt;&gt;1,"参照ID不正",IF(INDEX('02_工程タスク'!$G$4:$G$135,MATCH(A156,'02_工程タスク'!$A$4:$A$135,0))="","",INDEX('02_工程タスク'!$G$4:$G$135,MATCH(A156,'02_工程タスク'!$A$4:$A$135,0))))</f>
        <v>R06, R07, R11</v>
      </c>
      <c r="D156" s="28" t="str">
        <f>IF(COUNTIF('02_工程タスク'!$A$4:$A$135,A156)&lt;&gt;1,"参照ID不正",IF(INDEX('02_工程タスク'!$H$4:$H$135,MATCH(A156,'02_工程タスク'!$A$4:$A$135,0))="","",INDEX('02_工程タスク'!$H$4:$H$135,MATCH(A156,'02_工程タスク'!$A$4:$A$135,0))))</f>
        <v>R06</v>
      </c>
      <c r="E156" s="2" t="s">
        <v>2827</v>
      </c>
      <c r="F156" s="28" t="str">
        <f>IF(COUNTIF('07_スキル辞書'!$A$4:$A$109,E156)&lt;&gt;1,"参照ID不正",IF(INDEX('07_スキル辞書'!$D$4:$D$109,MATCH(E156,'07_スキル辞書'!$A$4:$A$109,0))="","",INDEX('07_スキル辞書'!$D$4:$D$109,MATCH(E156,'07_スキル辞書'!$A$4:$A$109,0))))</f>
        <v>有界ループ・実行環境・検証設計</v>
      </c>
      <c r="G156" s="2">
        <v>2</v>
      </c>
      <c r="H156" s="28" t="str">
        <f>IF(COUNTIF('07_スキル辞書'!$A$4:$A$109,E156)&lt;&gt;1,"参照ID不正",IF(INDEX('07_スキル辞書'!$I$4:$I$109,MATCH(E156,'07_スキル辞書'!$A$4:$A$109,0))="","",INDEX('07_スキル辞書'!$I$4:$I$109,MATCH(E156,'07_スキル辞書'!$A$4:$A$109,0))))</f>
        <v>Harness設定・Loop trace・停止試験</v>
      </c>
      <c r="I156" s="2" t="s">
        <v>2900</v>
      </c>
    </row>
    <row r="157" spans="1:9" ht="38" customHeight="1" x14ac:dyDescent="0.2">
      <c r="A157" s="4" t="s">
        <v>764</v>
      </c>
      <c r="B157" s="28" t="str">
        <f>IF(COUNTIF('02_工程タスク'!$A$4:$A$135,A157)&lt;&gt;1,"参照ID不正",IF(INDEX('02_工程タスク'!$D$4:$D$135,MATCH(A157,'02_工程タスク'!$A$4:$A$135,0))="","",INDEX('02_工程タスク'!$D$4:$D$135,MATCH(A157,'02_工程タスク'!$A$4:$A$135,0))))</f>
        <v>再利用Skillの仕様・審査設計</v>
      </c>
      <c r="C157" s="28" t="str">
        <f>IF(COUNTIF('02_工程タスク'!$A$4:$A$135,A157)&lt;&gt;1,"参照ID不正",IF(INDEX('02_工程タスク'!$G$4:$G$135,MATCH(A157,'02_工程タスク'!$A$4:$A$135,0))="","",INDEX('02_工程タスク'!$G$4:$G$135,MATCH(A157,'02_工程タスク'!$A$4:$A$135,0))))</f>
        <v>R06, R08, R13</v>
      </c>
      <c r="D157" s="28" t="str">
        <f>IF(COUNTIF('02_工程タスク'!$A$4:$A$135,A157)&lt;&gt;1,"参照ID不正",IF(INDEX('02_工程タスク'!$H$4:$H$135,MATCH(A157,'02_工程タスク'!$A$4:$A$135,0))="","",INDEX('02_工程タスク'!$H$4:$H$135,MATCH(A157,'02_工程タスク'!$A$4:$A$135,0))))</f>
        <v>R06</v>
      </c>
      <c r="E157" s="4" t="s">
        <v>2055</v>
      </c>
      <c r="F157" s="28" t="str">
        <f>IF(COUNTIF('07_スキル辞書'!$A$4:$A$109,E157)&lt;&gt;1,"参照ID不正",IF(INDEX('07_スキル辞書'!$D$4:$D$109,MATCH(E157,'07_スキル辞書'!$A$4:$A$109,0))="","",INDEX('07_スキル辞書'!$D$4:$D$109,MATCH(E157,'07_スキル辞書'!$A$4:$A$109,0))))</f>
        <v>知的財産・ライセンスと生成物の権利処理</v>
      </c>
      <c r="G157" s="4">
        <v>2</v>
      </c>
      <c r="H157" s="28" t="str">
        <f>IF(COUNTIF('07_スキル辞書'!$A$4:$A$109,E157)&lt;&gt;1,"参照ID不正",IF(INDEX('07_スキル辞書'!$I$4:$I$109,MATCH(E157,'07_スキル辞書'!$A$4:$A$109,0))="","",INDEX('07_スキル辞書'!$I$4:$I$109,MATCH(E157,'07_スキル辞書'!$A$4:$A$109,0))))</f>
        <v>IP／ライセンス台帳、出所・利用許諾、製品採用判断。外注／販売時は23の契約と権利受入記録。</v>
      </c>
      <c r="I157" s="4" t="s">
        <v>2900</v>
      </c>
    </row>
    <row r="158" spans="1:9" ht="38" customHeight="1" x14ac:dyDescent="0.2">
      <c r="A158" s="2" t="s">
        <v>764</v>
      </c>
      <c r="B158" s="28" t="str">
        <f>IF(COUNTIF('02_工程タスク'!$A$4:$A$135,A158)&lt;&gt;1,"参照ID不正",IF(INDEX('02_工程タスク'!$D$4:$D$135,MATCH(A158,'02_工程タスク'!$A$4:$A$135,0))="","",INDEX('02_工程タスク'!$D$4:$D$135,MATCH(A158,'02_工程タスク'!$A$4:$A$135,0))))</f>
        <v>再利用Skillの仕様・審査設計</v>
      </c>
      <c r="C158" s="28" t="str">
        <f>IF(COUNTIF('02_工程タスク'!$A$4:$A$135,A158)&lt;&gt;1,"参照ID不正",IF(INDEX('02_工程タスク'!$G$4:$G$135,MATCH(A158,'02_工程タスク'!$A$4:$A$135,0))="","",INDEX('02_工程タスク'!$G$4:$G$135,MATCH(A158,'02_工程タスク'!$A$4:$A$135,0))))</f>
        <v>R06, R08, R13</v>
      </c>
      <c r="D158" s="28" t="str">
        <f>IF(COUNTIF('02_工程タスク'!$A$4:$A$135,A158)&lt;&gt;1,"参照ID不正",IF(INDEX('02_工程タスク'!$H$4:$H$135,MATCH(A158,'02_工程タスク'!$A$4:$A$135,0))="","",INDEX('02_工程タスク'!$H$4:$H$135,MATCH(A158,'02_工程タスク'!$A$4:$A$135,0))))</f>
        <v>R06</v>
      </c>
      <c r="E158" s="2" t="s">
        <v>2799</v>
      </c>
      <c r="F158" s="28" t="str">
        <f>IF(COUNTIF('07_スキル辞書'!$A$4:$A$109,E158)&lt;&gt;1,"参照ID不正",IF(INDEX('07_スキル辞書'!$D$4:$D$109,MATCH(E158,'07_スキル辞書'!$A$4:$A$109,0))="","",INDEX('07_スキル辞書'!$D$4:$D$109,MATCH(E158,'07_スキル辞書'!$A$4:$A$109,0))))</f>
        <v>Agent Skillの設計・審査・ライフサイクル</v>
      </c>
      <c r="G158" s="2">
        <v>2</v>
      </c>
      <c r="H158" s="28" t="str">
        <f>IF(COUNTIF('07_スキル辞書'!$A$4:$A$109,E158)&lt;&gt;1,"参照ID不正",IF(INDEX('07_スキル辞書'!$I$4:$I$109,MATCH(E158,'07_スキル辞書'!$A$4:$A$109,0))="","",INDEX('07_スキル辞書'!$I$4:$I$109,MATCH(E158,'07_スキル辞書'!$A$4:$A$109,0))))</f>
        <v>Skill package・回帰・署名/版・廃止</v>
      </c>
      <c r="I158" s="2" t="s">
        <v>2900</v>
      </c>
    </row>
    <row r="159" spans="1:9" ht="38" customHeight="1" x14ac:dyDescent="0.2">
      <c r="A159" s="4" t="s">
        <v>764</v>
      </c>
      <c r="B159" s="28" t="str">
        <f>IF(COUNTIF('02_工程タスク'!$A$4:$A$135,A159)&lt;&gt;1,"参照ID不正",IF(INDEX('02_工程タスク'!$D$4:$D$135,MATCH(A159,'02_工程タスク'!$A$4:$A$135,0))="","",INDEX('02_工程タスク'!$D$4:$D$135,MATCH(A159,'02_工程タスク'!$A$4:$A$135,0))))</f>
        <v>再利用Skillの仕様・審査設計</v>
      </c>
      <c r="C159" s="28" t="str">
        <f>IF(COUNTIF('02_工程タスク'!$A$4:$A$135,A159)&lt;&gt;1,"参照ID不正",IF(INDEX('02_工程タスク'!$G$4:$G$135,MATCH(A159,'02_工程タスク'!$A$4:$A$135,0))="","",INDEX('02_工程タスク'!$G$4:$G$135,MATCH(A159,'02_工程タスク'!$A$4:$A$135,0))))</f>
        <v>R06, R08, R13</v>
      </c>
      <c r="D159" s="28" t="str">
        <f>IF(COUNTIF('02_工程タスク'!$A$4:$A$135,A159)&lt;&gt;1,"参照ID不正",IF(INDEX('02_工程タスク'!$H$4:$H$135,MATCH(A159,'02_工程タスク'!$A$4:$A$135,0))="","",INDEX('02_工程タスク'!$H$4:$H$135,MATCH(A159,'02_工程タスク'!$A$4:$A$135,0))))</f>
        <v>R06</v>
      </c>
      <c r="E159" s="4" t="s">
        <v>2623</v>
      </c>
      <c r="F159" s="28" t="str">
        <f>IF(COUNTIF('07_スキル辞書'!$A$4:$A$109,E159)&lt;&gt;1,"参照ID不正",IF(INDEX('07_スキル辞書'!$D$4:$D$109,MATCH(E159,'07_スキル辞書'!$A$4:$A$109,0))="","",INDEX('07_スキル辞書'!$D$4:$D$109,MATCH(E159,'07_スキル辞書'!$A$4:$A$109,0))))</f>
        <v>開発エージェントの権限・通信・供給網統制</v>
      </c>
      <c r="G159" s="4">
        <v>2</v>
      </c>
      <c r="H159" s="28" t="str">
        <f>IF(COUNTIF('07_スキル辞書'!$A$4:$A$109,E159)&lt;&gt;1,"参照ID不正",IF(INDEX('07_スキル辞書'!$I$4:$I$109,MATCH(E159,'07_スキル辞書'!$A$4:$A$109,0))="","",INDEX('07_スキル辞書'!$I$4:$I$109,MATCH(E159,'07_スキル辞書'!$A$4:$A$109,0))))</f>
        <v>ツール許可台帳／sandbox設定／通信・権限試験／秘密検査</v>
      </c>
      <c r="I159" s="4" t="s">
        <v>2900</v>
      </c>
    </row>
    <row r="160" spans="1:9" ht="38" customHeight="1" x14ac:dyDescent="0.2">
      <c r="A160" s="2" t="s">
        <v>776</v>
      </c>
      <c r="B160" s="28" t="str">
        <f>IF(COUNTIF('02_工程タスク'!$A$4:$A$135,A160)&lt;&gt;1,"参照ID不正",IF(INDEX('02_工程タスク'!$D$4:$D$135,MATCH(A160,'02_工程タスク'!$A$4:$A$135,0))="","",INDEX('02_工程タスク'!$D$4:$D$135,MATCH(A160,'02_工程タスク'!$A$4:$A$135,0))))</f>
        <v>Sandbox・worktree・秘密情報境界</v>
      </c>
      <c r="C160" s="28" t="str">
        <f>IF(COUNTIF('02_工程タスク'!$A$4:$A$135,A160)&lt;&gt;1,"参照ID不正",IF(INDEX('02_工程タスク'!$G$4:$G$135,MATCH(A160,'02_工程タスク'!$A$4:$A$135,0))="","",INDEX('02_工程タスク'!$G$4:$G$135,MATCH(A160,'02_工程タスク'!$A$4:$A$135,0))))</f>
        <v>R12, R13, R07</v>
      </c>
      <c r="D160" s="28" t="str">
        <f>IF(COUNTIF('02_工程タスク'!$A$4:$A$135,A160)&lt;&gt;1,"参照ID不正",IF(INDEX('02_工程タスク'!$H$4:$H$135,MATCH(A160,'02_工程タスク'!$A$4:$A$135,0))="","",INDEX('02_工程タスク'!$H$4:$H$135,MATCH(A160,'02_工程タスク'!$A$4:$A$135,0))))</f>
        <v>R13</v>
      </c>
      <c r="E160" s="2" t="s">
        <v>2219</v>
      </c>
      <c r="F160" s="28" t="str">
        <f>IF(COUNTIF('07_スキル辞書'!$A$4:$A$109,E160)&lt;&gt;1,"参照ID不正",IF(INDEX('07_スキル辞書'!$D$4:$D$109,MATCH(E160,'07_スキル辞書'!$A$4:$A$109,0))="","",INDEX('07_スキル辞書'!$D$4:$D$109,MATCH(E160,'07_スキル辞書'!$A$4:$A$109,0))))</f>
        <v>検証環境構築とIaC</v>
      </c>
      <c r="G160" s="2">
        <v>2</v>
      </c>
      <c r="H160" s="28" t="str">
        <f>IF(COUNTIF('07_スキル辞書'!$A$4:$A$109,E160)&lt;&gt;1,"参照ID不正",IF(INDEX('07_スキル辞書'!$I$4:$I$109,MATCH(E160,'07_スキル辞書'!$A$4:$A$109,0))="","",INDEX('07_スキル辞書'!$I$4:$I$109,MATCH(E160,'07_スキル辞書'!$A$4:$A$109,0))))</f>
        <v>検証環境、環境構築手順書、依存関係定義ファイル、IaCコード、インフラ構成図</v>
      </c>
      <c r="I160" s="2" t="s">
        <v>2900</v>
      </c>
    </row>
    <row r="161" spans="1:9" ht="38" customHeight="1" x14ac:dyDescent="0.2">
      <c r="A161" s="4" t="s">
        <v>776</v>
      </c>
      <c r="B161" s="28" t="str">
        <f>IF(COUNTIF('02_工程タスク'!$A$4:$A$135,A161)&lt;&gt;1,"参照ID不正",IF(INDEX('02_工程タスク'!$D$4:$D$135,MATCH(A161,'02_工程タスク'!$A$4:$A$135,0))="","",INDEX('02_工程タスク'!$D$4:$D$135,MATCH(A161,'02_工程タスク'!$A$4:$A$135,0))))</f>
        <v>Sandbox・worktree・秘密情報境界</v>
      </c>
      <c r="C161" s="28" t="str">
        <f>IF(COUNTIF('02_工程タスク'!$A$4:$A$135,A161)&lt;&gt;1,"参照ID不正",IF(INDEX('02_工程タスク'!$G$4:$G$135,MATCH(A161,'02_工程タスク'!$A$4:$A$135,0))="","",INDEX('02_工程タスク'!$G$4:$G$135,MATCH(A161,'02_工程タスク'!$A$4:$A$135,0))))</f>
        <v>R12, R13, R07</v>
      </c>
      <c r="D161" s="28" t="str">
        <f>IF(COUNTIF('02_工程タスク'!$A$4:$A$135,A161)&lt;&gt;1,"参照ID不正",IF(INDEX('02_工程タスク'!$H$4:$H$135,MATCH(A161,'02_工程タスク'!$A$4:$A$135,0))="","",INDEX('02_工程タスク'!$H$4:$H$135,MATCH(A161,'02_工程タスク'!$A$4:$A$135,0))))</f>
        <v>R13</v>
      </c>
      <c r="E161" s="4" t="s">
        <v>2623</v>
      </c>
      <c r="F161" s="28" t="str">
        <f>IF(COUNTIF('07_スキル辞書'!$A$4:$A$109,E161)&lt;&gt;1,"参照ID不正",IF(INDEX('07_スキル辞書'!$D$4:$D$109,MATCH(E161,'07_スキル辞書'!$A$4:$A$109,0))="","",INDEX('07_スキル辞書'!$D$4:$D$109,MATCH(E161,'07_スキル辞書'!$A$4:$A$109,0))))</f>
        <v>開発エージェントの権限・通信・供給網統制</v>
      </c>
      <c r="G161" s="4">
        <v>2</v>
      </c>
      <c r="H161" s="28" t="str">
        <f>IF(COUNTIF('07_スキル辞書'!$A$4:$A$109,E161)&lt;&gt;1,"参照ID不正",IF(INDEX('07_スキル辞書'!$I$4:$I$109,MATCH(E161,'07_スキル辞書'!$A$4:$A$109,0))="","",INDEX('07_スキル辞書'!$I$4:$I$109,MATCH(E161,'07_スキル辞書'!$A$4:$A$109,0))))</f>
        <v>ツール許可台帳／sandbox設定／通信・権限試験／秘密検査</v>
      </c>
      <c r="I161" s="4" t="s">
        <v>2900</v>
      </c>
    </row>
    <row r="162" spans="1:9" ht="38" customHeight="1" x14ac:dyDescent="0.2">
      <c r="A162" s="2" t="s">
        <v>776</v>
      </c>
      <c r="B162" s="28" t="str">
        <f>IF(COUNTIF('02_工程タスク'!$A$4:$A$135,A162)&lt;&gt;1,"参照ID不正",IF(INDEX('02_工程タスク'!$D$4:$D$135,MATCH(A162,'02_工程タスク'!$A$4:$A$135,0))="","",INDEX('02_工程タスク'!$D$4:$D$135,MATCH(A162,'02_工程タスク'!$A$4:$A$135,0))))</f>
        <v>Sandbox・worktree・秘密情報境界</v>
      </c>
      <c r="C162" s="28" t="str">
        <f>IF(COUNTIF('02_工程タスク'!$A$4:$A$135,A162)&lt;&gt;1,"参照ID不正",IF(INDEX('02_工程タスク'!$G$4:$G$135,MATCH(A162,'02_工程タスク'!$A$4:$A$135,0))="","",INDEX('02_工程タスク'!$G$4:$G$135,MATCH(A162,'02_工程タスク'!$A$4:$A$135,0))))</f>
        <v>R12, R13, R07</v>
      </c>
      <c r="D162" s="28" t="str">
        <f>IF(COUNTIF('02_工程タスク'!$A$4:$A$135,A162)&lt;&gt;1,"参照ID不正",IF(INDEX('02_工程タスク'!$H$4:$H$135,MATCH(A162,'02_工程タスク'!$A$4:$A$135,0))="","",INDEX('02_工程タスク'!$H$4:$H$135,MATCH(A162,'02_工程タスク'!$A$4:$A$135,0))))</f>
        <v>R13</v>
      </c>
      <c r="E162" s="2" t="s">
        <v>2818</v>
      </c>
      <c r="F162" s="28" t="str">
        <f>IF(COUNTIF('07_スキル辞書'!$A$4:$A$109,E162)&lt;&gt;1,"参照ID不正",IF(INDEX('07_スキル辞書'!$D$4:$D$109,MATCH(E162,'07_スキル辞書'!$A$4:$A$109,0))="","",INDEX('07_スキル辞書'!$D$4:$D$109,MATCH(E162,'07_スキル辞書'!$A$4:$A$109,0))))</f>
        <v>Tool/MCP認可・副作用・実行制御</v>
      </c>
      <c r="G162" s="2">
        <v>2</v>
      </c>
      <c r="H162" s="28" t="str">
        <f>IF(COUNTIF('07_スキル辞書'!$A$4:$A$109,E162)&lt;&gt;1,"参照ID不正",IF(INDEX('07_スキル辞書'!$I$4:$I$109,MATCH(E162,'07_スキル辞書'!$A$4:$A$109,0))="","",INDEX('07_スキル辞書'!$I$4:$I$109,MATCH(E162,'07_スキル辞書'!$A$4:$A$109,0))))</f>
        <v>Tool契約・Policy・攻撃試験</v>
      </c>
      <c r="I162" s="2" t="s">
        <v>2900</v>
      </c>
    </row>
    <row r="163" spans="1:9" ht="38" customHeight="1" x14ac:dyDescent="0.2">
      <c r="A163" s="4" t="s">
        <v>787</v>
      </c>
      <c r="B163" s="28" t="str">
        <f>IF(COUNTIF('02_工程タスク'!$A$4:$A$135,A163)&lt;&gt;1,"参照ID不正",IF(INDEX('02_工程タスク'!$D$4:$D$135,MATCH(A163,'02_工程タスク'!$A$4:$A$135,0))="","",INDEX('02_工程タスク'!$D$4:$D$135,MATCH(A163,'02_工程タスク'!$A$4:$A$135,0))))</f>
        <v>有界ループ・再開・並列の設計</v>
      </c>
      <c r="C163" s="28" t="str">
        <f>IF(COUNTIF('02_工程タスク'!$A$4:$A$135,A163)&lt;&gt;1,"参照ID不正",IF(INDEX('02_工程タスク'!$G$4:$G$135,MATCH(A163,'02_工程タスク'!$A$4:$A$135,0))="","",INDEX('02_工程タスク'!$G$4:$G$135,MATCH(A163,'02_工程タスク'!$A$4:$A$135,0))))</f>
        <v>R06, R07, R08</v>
      </c>
      <c r="D163" s="28" t="str">
        <f>IF(COUNTIF('02_工程タスク'!$A$4:$A$135,A163)&lt;&gt;1,"参照ID不正",IF(INDEX('02_工程タスク'!$H$4:$H$135,MATCH(A163,'02_工程タスク'!$A$4:$A$135,0))="","",INDEX('02_工程タスク'!$H$4:$H$135,MATCH(A163,'02_工程タスク'!$A$4:$A$135,0))))</f>
        <v>R06</v>
      </c>
      <c r="E163" s="4" t="s">
        <v>2173</v>
      </c>
      <c r="F163" s="28" t="str">
        <f>IF(COUNTIF('07_スキル辞書'!$A$4:$A$109,E163)&lt;&gt;1,"参照ID不正",IF(INDEX('07_スキル辞書'!$D$4:$D$109,MATCH(E163,'07_スキル辞書'!$A$4:$A$109,0))="","",INDEX('07_スキル辞書'!$D$4:$D$109,MATCH(E163,'07_スキル辞書'!$A$4:$A$109,0))))</f>
        <v>コーディングエージェントの活用</v>
      </c>
      <c r="G163" s="4">
        <v>2</v>
      </c>
      <c r="H163" s="28" t="str">
        <f>IF(COUNTIF('07_スキル辞書'!$A$4:$A$109,E163)&lt;&gt;1,"参照ID不正",IF(INDEX('07_スキル辞書'!$I$4:$I$109,MATCH(E163,'07_スキル辞書'!$A$4:$A$109,0))="","",INDEX('07_スキル辞書'!$I$4:$I$109,MATCH(E163,'07_スキル辞書'!$A$4:$A$109,0))))</f>
        <v>サーバーサイドのソースコード、単体・結合テストコード、クレンジングスクリプト、フロントエンドのソースコード</v>
      </c>
      <c r="I163" s="4" t="s">
        <v>2900</v>
      </c>
    </row>
    <row r="164" spans="1:9" ht="38" customHeight="1" x14ac:dyDescent="0.2">
      <c r="A164" s="2" t="s">
        <v>787</v>
      </c>
      <c r="B164" s="28" t="str">
        <f>IF(COUNTIF('02_工程タスク'!$A$4:$A$135,A164)&lt;&gt;1,"参照ID不正",IF(INDEX('02_工程タスク'!$D$4:$D$135,MATCH(A164,'02_工程タスク'!$A$4:$A$135,0))="","",INDEX('02_工程タスク'!$D$4:$D$135,MATCH(A164,'02_工程タスク'!$A$4:$A$135,0))))</f>
        <v>有界ループ・再開・並列の設計</v>
      </c>
      <c r="C164" s="28" t="str">
        <f>IF(COUNTIF('02_工程タスク'!$A$4:$A$135,A164)&lt;&gt;1,"参照ID不正",IF(INDEX('02_工程タスク'!$G$4:$G$135,MATCH(A164,'02_工程タスク'!$A$4:$A$135,0))="","",INDEX('02_工程タスク'!$G$4:$G$135,MATCH(A164,'02_工程タスク'!$A$4:$A$135,0))))</f>
        <v>R06, R07, R08</v>
      </c>
      <c r="D164" s="28" t="str">
        <f>IF(COUNTIF('02_工程タスク'!$A$4:$A$135,A164)&lt;&gt;1,"参照ID不正",IF(INDEX('02_工程タスク'!$H$4:$H$135,MATCH(A164,'02_工程タスク'!$A$4:$A$135,0))="","",INDEX('02_工程タスク'!$H$4:$H$135,MATCH(A164,'02_工程タスク'!$A$4:$A$135,0))))</f>
        <v>R06</v>
      </c>
      <c r="E164" s="2" t="s">
        <v>2827</v>
      </c>
      <c r="F164" s="28" t="str">
        <f>IF(COUNTIF('07_スキル辞書'!$A$4:$A$109,E164)&lt;&gt;1,"参照ID不正",IF(INDEX('07_スキル辞書'!$D$4:$D$109,MATCH(E164,'07_スキル辞書'!$A$4:$A$109,0))="","",INDEX('07_スキル辞書'!$D$4:$D$109,MATCH(E164,'07_スキル辞書'!$A$4:$A$109,0))))</f>
        <v>有界ループ・実行環境・検証設計</v>
      </c>
      <c r="G164" s="2">
        <v>2</v>
      </c>
      <c r="H164" s="28" t="str">
        <f>IF(COUNTIF('07_スキル辞書'!$A$4:$A$109,E164)&lt;&gt;1,"参照ID不正",IF(INDEX('07_スキル辞書'!$I$4:$I$109,MATCH(E164,'07_スキル辞書'!$A$4:$A$109,0))="","",INDEX('07_スキル辞書'!$I$4:$I$109,MATCH(E164,'07_スキル辞書'!$A$4:$A$109,0))))</f>
        <v>Harness設定・Loop trace・停止試験</v>
      </c>
      <c r="I164" s="2" t="s">
        <v>2900</v>
      </c>
    </row>
    <row r="165" spans="1:9" ht="38" customHeight="1" x14ac:dyDescent="0.2">
      <c r="A165" s="4" t="s">
        <v>787</v>
      </c>
      <c r="B165" s="28" t="str">
        <f>IF(COUNTIF('02_工程タスク'!$A$4:$A$135,A165)&lt;&gt;1,"参照ID不正",IF(INDEX('02_工程タスク'!$D$4:$D$135,MATCH(A165,'02_工程タスク'!$A$4:$A$135,0))="","",INDEX('02_工程タスク'!$D$4:$D$135,MATCH(A165,'02_工程タスク'!$A$4:$A$135,0))))</f>
        <v>有界ループ・再開・並列の設計</v>
      </c>
      <c r="C165" s="28" t="str">
        <f>IF(COUNTIF('02_工程タスク'!$A$4:$A$135,A165)&lt;&gt;1,"参照ID不正",IF(INDEX('02_工程タスク'!$G$4:$G$135,MATCH(A165,'02_工程タスク'!$A$4:$A$135,0))="","",INDEX('02_工程タスク'!$G$4:$G$135,MATCH(A165,'02_工程タスク'!$A$4:$A$135,0))))</f>
        <v>R06, R07, R08</v>
      </c>
      <c r="D165" s="28" t="str">
        <f>IF(COUNTIF('02_工程タスク'!$A$4:$A$135,A165)&lt;&gt;1,"参照ID不正",IF(INDEX('02_工程タスク'!$H$4:$H$135,MATCH(A165,'02_工程タスク'!$A$4:$A$135,0))="","",INDEX('02_工程タスク'!$H$4:$H$135,MATCH(A165,'02_工程タスク'!$A$4:$A$135,0))))</f>
        <v>R06</v>
      </c>
      <c r="E165" s="4" t="s">
        <v>2836</v>
      </c>
      <c r="F165" s="28" t="str">
        <f>IF(COUNTIF('07_スキル辞書'!$A$4:$A$109,E165)&lt;&gt;1,"参照ID不正",IF(INDEX('07_スキル辞書'!$D$4:$D$109,MATCH(E165,'07_スキル辞書'!$A$4:$A$109,0))="","",INDEX('07_スキル辞書'!$D$4:$D$109,MATCH(E165,'07_スキル辞書'!$A$4:$A$109,0))))</f>
        <v>並列Agent・checkpoint・handoff</v>
      </c>
      <c r="G165" s="4">
        <v>2</v>
      </c>
      <c r="H165" s="28" t="str">
        <f>IF(COUNTIF('07_スキル辞書'!$A$4:$A$109,E165)&lt;&gt;1,"参照ID不正",IF(INDEX('07_スキル辞書'!$I$4:$I$109,MATCH(E165,'07_スキル辞書'!$A$4:$A$109,0))="","",INDEX('07_スキル辞書'!$I$4:$I$109,MATCH(E165,'07_スキル辞書'!$A$4:$A$109,0))))</f>
        <v>分割計画・handoff・統合証拠</v>
      </c>
      <c r="I165" s="4" t="s">
        <v>2900</v>
      </c>
    </row>
    <row r="166" spans="1:9" ht="38" customHeight="1" x14ac:dyDescent="0.2">
      <c r="A166" s="2" t="s">
        <v>798</v>
      </c>
      <c r="B166" s="28" t="str">
        <f>IF(COUNTIF('02_工程タスク'!$A$4:$A$135,A166)&lt;&gt;1,"参照ID不正",IF(INDEX('02_工程タスク'!$D$4:$D$135,MATCH(A166,'02_工程タスク'!$A$4:$A$135,0))="","",INDEX('02_工程タスク'!$D$4:$D$135,MATCH(A166,'02_工程タスク'!$A$4:$A$135,0))))</f>
        <v>観測・監査・プライバシー</v>
      </c>
      <c r="C166" s="28" t="str">
        <f>IF(COUNTIF('02_工程タスク'!$A$4:$A$135,A166)&lt;&gt;1,"参照ID不正",IF(INDEX('02_工程タスク'!$G$4:$G$135,MATCH(A166,'02_工程タスク'!$A$4:$A$135,0))="","",INDEX('02_工程タスク'!$G$4:$G$135,MATCH(A166,'02_工程タスク'!$A$4:$A$135,0))))</f>
        <v>R12, R13, R10</v>
      </c>
      <c r="D166" s="28" t="str">
        <f>IF(COUNTIF('02_工程タスク'!$A$4:$A$135,A166)&lt;&gt;1,"参照ID不正",IF(INDEX('02_工程タスク'!$H$4:$H$135,MATCH(A166,'02_工程タスク'!$A$4:$A$135,0))="","",INDEX('02_工程タスク'!$H$4:$H$135,MATCH(A166,'02_工程タスク'!$A$4:$A$135,0))))</f>
        <v>R18</v>
      </c>
      <c r="E166" s="2" t="s">
        <v>2290</v>
      </c>
      <c r="F166" s="28" t="str">
        <f>IF(COUNTIF('07_スキル辞書'!$A$4:$A$109,E166)&lt;&gt;1,"参照ID不正",IF(INDEX('07_スキル辞書'!$D$4:$D$109,MATCH(E166,'07_スキル辞書'!$A$4:$A$109,0))="","",INDEX('07_スキル辞書'!$D$4:$D$109,MATCH(E166,'07_スキル辞書'!$A$4:$A$109,0))))</f>
        <v>監査ログ・意思決定ログの設計と実装</v>
      </c>
      <c r="G166" s="2">
        <v>2</v>
      </c>
      <c r="H166" s="28" t="str">
        <f>IF(COUNTIF('07_スキル辞書'!$A$4:$A$109,E166)&lt;&gt;1,"参照ID不正",IF(INDEX('07_スキル辞書'!$I$4:$I$109,MATCH(E166,'07_スキル辞書'!$A$4:$A$109,0))="","",INDEX('07_スキル辞書'!$I$4:$I$109,MATCH(E166,'07_スキル辞書'!$A$4:$A$109,0))))</f>
        <v>監査ログ設計書、ログ実装、相関ダッシュボード、品質レビュー済みデータセット</v>
      </c>
      <c r="I166" s="2" t="s">
        <v>2900</v>
      </c>
    </row>
    <row r="167" spans="1:9" ht="49" customHeight="1" x14ac:dyDescent="0.2">
      <c r="A167" s="4" t="s">
        <v>798</v>
      </c>
      <c r="B167" s="28" t="str">
        <f>IF(COUNTIF('02_工程タスク'!$A$4:$A$135,A167)&lt;&gt;1,"参照ID不正",IF(INDEX('02_工程タスク'!$D$4:$D$135,MATCH(A167,'02_工程タスク'!$A$4:$A$135,0))="","",INDEX('02_工程タスク'!$D$4:$D$135,MATCH(A167,'02_工程タスク'!$A$4:$A$135,0))))</f>
        <v>観測・監査・プライバシー</v>
      </c>
      <c r="C167" s="28" t="str">
        <f>IF(COUNTIF('02_工程タスク'!$A$4:$A$135,A167)&lt;&gt;1,"参照ID不正",IF(INDEX('02_工程タスク'!$G$4:$G$135,MATCH(A167,'02_工程タスク'!$A$4:$A$135,0))="","",INDEX('02_工程タスク'!$G$4:$G$135,MATCH(A167,'02_工程タスク'!$A$4:$A$135,0))))</f>
        <v>R12, R13, R10</v>
      </c>
      <c r="D167" s="28" t="str">
        <f>IF(COUNTIF('02_工程タスク'!$A$4:$A$135,A167)&lt;&gt;1,"参照ID不正",IF(INDEX('02_工程タスク'!$H$4:$H$135,MATCH(A167,'02_工程タスク'!$A$4:$A$135,0))="","",INDEX('02_工程タスク'!$H$4:$H$135,MATCH(A167,'02_工程タスク'!$A$4:$A$135,0))))</f>
        <v>R18</v>
      </c>
      <c r="E167" s="4" t="s">
        <v>2327</v>
      </c>
      <c r="F167" s="28" t="str">
        <f>IF(COUNTIF('07_スキル辞書'!$A$4:$A$109,E167)&lt;&gt;1,"参照ID不正",IF(INDEX('07_スキル辞書'!$D$4:$D$109,MATCH(E167,'07_スキル辞書'!$A$4:$A$109,0))="","",INDEX('07_スキル辞書'!$D$4:$D$109,MATCH(E167,'07_スキル辞書'!$A$4:$A$109,0))))</f>
        <v>監視設計と可観測性</v>
      </c>
      <c r="G167" s="4">
        <v>2</v>
      </c>
      <c r="H167" s="28" t="str">
        <f>IF(COUNTIF('07_スキル辞書'!$A$4:$A$109,E167)&lt;&gt;1,"参照ID不正",IF(INDEX('07_スキル辞書'!$I$4:$I$109,MATCH(E167,'07_スキル辞書'!$A$4:$A$109,0))="","",INDEX('07_スキル辞書'!$I$4:$I$109,MATCH(E167,'07_スキル辞書'!$A$4:$A$109,0))))</f>
        <v>監視設計書、監視項目一覧、リソース・APIパフォーマンスダッシュボード、ログ管理システム、アラート設定、モデル性能ダッシュボード</v>
      </c>
      <c r="I167" s="4" t="s">
        <v>2900</v>
      </c>
    </row>
    <row r="168" spans="1:9" ht="38" customHeight="1" x14ac:dyDescent="0.2">
      <c r="A168" s="2" t="s">
        <v>798</v>
      </c>
      <c r="B168" s="28" t="str">
        <f>IF(COUNTIF('02_工程タスク'!$A$4:$A$135,A168)&lt;&gt;1,"参照ID不正",IF(INDEX('02_工程タスク'!$D$4:$D$135,MATCH(A168,'02_工程タスク'!$A$4:$A$135,0))="","",INDEX('02_工程タスク'!$D$4:$D$135,MATCH(A168,'02_工程タスク'!$A$4:$A$135,0))))</f>
        <v>観測・監査・プライバシー</v>
      </c>
      <c r="C168" s="28" t="str">
        <f>IF(COUNTIF('02_工程タスク'!$A$4:$A$135,A168)&lt;&gt;1,"参照ID不正",IF(INDEX('02_工程タスク'!$G$4:$G$135,MATCH(A168,'02_工程タスク'!$A$4:$A$135,0))="","",INDEX('02_工程タスク'!$G$4:$G$135,MATCH(A168,'02_工程タスク'!$A$4:$A$135,0))))</f>
        <v>R12, R13, R10</v>
      </c>
      <c r="D168" s="28" t="str">
        <f>IF(COUNTIF('02_工程タスク'!$A$4:$A$135,A168)&lt;&gt;1,"参照ID不正",IF(INDEX('02_工程タスク'!$H$4:$H$135,MATCH(A168,'02_工程タスク'!$A$4:$A$135,0))="","",INDEX('02_工程タスク'!$H$4:$H$135,MATCH(A168,'02_工程タスク'!$A$4:$A$135,0))))</f>
        <v>R18</v>
      </c>
      <c r="E168" s="2" t="s">
        <v>2371</v>
      </c>
      <c r="F168" s="28" t="str">
        <f>IF(COUNTIF('07_スキル辞書'!$A$4:$A$109,E168)&lt;&gt;1,"参照ID不正",IF(INDEX('07_スキル辞書'!$D$4:$D$109,MATCH(E168,'07_スキル辞書'!$A$4:$A$109,0))="","",INDEX('07_スキル辞書'!$D$4:$D$109,MATCH(E168,'07_スキル辞書'!$A$4:$A$109,0))))</f>
        <v>トークンコスト・レイテンシ設計とコスト監視</v>
      </c>
      <c r="G168" s="2">
        <v>2</v>
      </c>
      <c r="H168" s="28" t="str">
        <f>IF(COUNTIF('07_スキル辞書'!$A$4:$A$109,E168)&lt;&gt;1,"参照ID不正",IF(INDEX('07_スキル辞書'!$I$4:$I$109,MATCH(E168,'07_スキル辞書'!$A$4:$A$109,0))="","",INDEX('07_スキル辞書'!$I$4:$I$109,MATCH(E168,'07_スキル辞書'!$A$4:$A$109,0))))</f>
        <v>非機能要件定義書 v1（要件定義書v1の一部）、コストダッシュボード、コスト超過アラート、モデル推論APIのエンドポイント</v>
      </c>
      <c r="I168" s="2" t="s">
        <v>2900</v>
      </c>
    </row>
    <row r="169" spans="1:9" ht="38" customHeight="1" x14ac:dyDescent="0.2">
      <c r="A169" s="4" t="s">
        <v>810</v>
      </c>
      <c r="B169" s="28" t="str">
        <f>IF(COUNTIF('02_工程タスク'!$A$4:$A$135,A169)&lt;&gt;1,"参照ID不正",IF(INDEX('02_工程タスク'!$D$4:$D$135,MATCH(A169,'02_工程タスク'!$A$4:$A$135,0))="","",INDEX('02_工程タスク'!$D$4:$D$135,MATCH(A169,'02_工程タスク'!$A$4:$A$135,0))))</f>
        <v>構成一式のrollback・縮退</v>
      </c>
      <c r="C169" s="28" t="str">
        <f>IF(COUNTIF('02_工程タスク'!$A$4:$A$135,A169)&lt;&gt;1,"参照ID不正",IF(INDEX('02_工程タスク'!$G$4:$G$135,MATCH(A169,'02_工程タスク'!$A$4:$A$135,0))="","",INDEX('02_工程タスク'!$G$4:$G$135,MATCH(A169,'02_工程タスク'!$A$4:$A$135,0))))</f>
        <v>R12, R08, R07</v>
      </c>
      <c r="D169" s="28" t="str">
        <f>IF(COUNTIF('02_工程タスク'!$A$4:$A$135,A169)&lt;&gt;1,"参照ID不正",IF(INDEX('02_工程タスク'!$H$4:$H$135,MATCH(A169,'02_工程タスク'!$A$4:$A$135,0))="","",INDEX('02_工程タスク'!$H$4:$H$135,MATCH(A169,'02_工程タスク'!$A$4:$A$135,0))))</f>
        <v>R18</v>
      </c>
      <c r="E169" s="4" t="s">
        <v>2273</v>
      </c>
      <c r="F169" s="28" t="str">
        <f>IF(COUNTIF('07_スキル辞書'!$A$4:$A$109,E169)&lt;&gt;1,"参照ID不正",IF(INDEX('07_スキル辞書'!$D$4:$D$109,MATCH(E169,'07_スキル辞書'!$A$4:$A$109,0))="","",INDEX('07_スキル辞書'!$D$4:$D$109,MATCH(E169,'07_スキル辞書'!$A$4:$A$109,0))))</f>
        <v>AI機能の統合とフォールバック設計</v>
      </c>
      <c r="G169" s="4">
        <v>2</v>
      </c>
      <c r="H169" s="28" t="str">
        <f>IF(COUNTIF('07_スキル辞書'!$A$4:$A$109,E169)&lt;&gt;1,"参照ID不正",IF(INDEX('07_スキル辞書'!$I$4:$I$109,MATCH(E169,'07_スキル辞書'!$A$4:$A$109,0))="","",INDEX('07_スキル辞書'!$I$4:$I$109,MATCH(E169,'07_スキル辞書'!$A$4:$A$109,0))))</f>
        <v>AI機能が統合されたバックエンドのソースコード、モデルロールバック手順書、エスカレーション手順書</v>
      </c>
      <c r="I169" s="4" t="s">
        <v>2900</v>
      </c>
    </row>
    <row r="170" spans="1:9" ht="38" customHeight="1" x14ac:dyDescent="0.2">
      <c r="A170" s="2" t="s">
        <v>810</v>
      </c>
      <c r="B170" s="28" t="str">
        <f>IF(COUNTIF('02_工程タスク'!$A$4:$A$135,A170)&lt;&gt;1,"参照ID不正",IF(INDEX('02_工程タスク'!$D$4:$D$135,MATCH(A170,'02_工程タスク'!$A$4:$A$135,0))="","",INDEX('02_工程タスク'!$D$4:$D$135,MATCH(A170,'02_工程タスク'!$A$4:$A$135,0))))</f>
        <v>構成一式のrollback・縮退</v>
      </c>
      <c r="C170" s="28" t="str">
        <f>IF(COUNTIF('02_工程タスク'!$A$4:$A$135,A170)&lt;&gt;1,"参照ID不正",IF(INDEX('02_工程タスク'!$G$4:$G$135,MATCH(A170,'02_工程タスク'!$A$4:$A$135,0))="","",INDEX('02_工程タスク'!$G$4:$G$135,MATCH(A170,'02_工程タスク'!$A$4:$A$135,0))))</f>
        <v>R12, R08, R07</v>
      </c>
      <c r="D170" s="28" t="str">
        <f>IF(COUNTIF('02_工程タスク'!$A$4:$A$135,A170)&lt;&gt;1,"参照ID不正",IF(INDEX('02_工程タスク'!$H$4:$H$135,MATCH(A170,'02_工程タスク'!$A$4:$A$135,0))="","",INDEX('02_工程タスク'!$H$4:$H$135,MATCH(A170,'02_工程タスク'!$A$4:$A$135,0))))</f>
        <v>R18</v>
      </c>
      <c r="E170" s="2" t="s">
        <v>2353</v>
      </c>
      <c r="F170" s="28" t="str">
        <f>IF(COUNTIF('07_スキル辞書'!$A$4:$A$109,E170)&lt;&gt;1,"参照ID不正",IF(INDEX('07_スキル辞書'!$D$4:$D$109,MATCH(E170,'07_スキル辞書'!$A$4:$A$109,0))="","",INDEX('07_スキル辞書'!$D$4:$D$109,MATCH(E170,'07_スキル辞書'!$A$4:$A$109,0))))</f>
        <v>リリース・デプロイ戦略とロールバック</v>
      </c>
      <c r="G170" s="2">
        <v>2</v>
      </c>
      <c r="H170" s="28" t="str">
        <f>IF(COUNTIF('07_スキル辞書'!$A$4:$A$109,E170)&lt;&gt;1,"参照ID不正",IF(INDEX('07_スキル辞書'!$I$4:$I$109,MATCH(E170,'07_スキル辞書'!$A$4:$A$109,0))="","",INDEX('07_スキル辞書'!$I$4:$I$109,MATCH(E170,'07_スキル辞書'!$A$4:$A$109,0))))</f>
        <v>リリース計画書、リリースノート、本番稼働中のシステム、デプロイ戦略の実装、切替記録、モデルロールバック手順書</v>
      </c>
      <c r="I170" s="2" t="s">
        <v>2900</v>
      </c>
    </row>
    <row r="171" spans="1:9" ht="38" customHeight="1" x14ac:dyDescent="0.2">
      <c r="A171" s="4" t="s">
        <v>810</v>
      </c>
      <c r="B171" s="28" t="str">
        <f>IF(COUNTIF('02_工程タスク'!$A$4:$A$135,A171)&lt;&gt;1,"参照ID不正",IF(INDEX('02_工程タスク'!$D$4:$D$135,MATCH(A171,'02_工程タスク'!$A$4:$A$135,0))="","",INDEX('02_工程タスク'!$D$4:$D$135,MATCH(A171,'02_工程タスク'!$A$4:$A$135,0))))</f>
        <v>構成一式のrollback・縮退</v>
      </c>
      <c r="C171" s="28" t="str">
        <f>IF(COUNTIF('02_工程タスク'!$A$4:$A$135,A171)&lt;&gt;1,"参照ID不正",IF(INDEX('02_工程タスク'!$G$4:$G$135,MATCH(A171,'02_工程タスク'!$A$4:$A$135,0))="","",INDEX('02_工程タスク'!$G$4:$G$135,MATCH(A171,'02_工程タスク'!$A$4:$A$135,0))))</f>
        <v>R12, R08, R07</v>
      </c>
      <c r="D171" s="28" t="str">
        <f>IF(COUNTIF('02_工程タスク'!$A$4:$A$135,A171)&lt;&gt;1,"参照ID不正",IF(INDEX('02_工程タスク'!$H$4:$H$135,MATCH(A171,'02_工程タスク'!$A$4:$A$135,0))="","",INDEX('02_工程タスク'!$H$4:$H$135,MATCH(A171,'02_工程タスク'!$A$4:$A$135,0))))</f>
        <v>R18</v>
      </c>
      <c r="E171" s="4" t="s">
        <v>2641</v>
      </c>
      <c r="F171" s="28" t="str">
        <f>IF(COUNTIF('07_スキル辞書'!$A$4:$A$109,E171)&lt;&gt;1,"参照ID不正",IF(INDEX('07_スキル辞書'!$D$4:$D$109,MATCH(E171,'07_スキル辞書'!$A$4:$A$109,0))="","",INDEX('07_スキル辞書'!$D$4:$D$109,MATCH(E171,'07_スキル辞書'!$A$4:$A$109,0))))</f>
        <v>AI構成一式の更新・復旧・終了管理</v>
      </c>
      <c r="G171" s="4">
        <v>2</v>
      </c>
      <c r="H171" s="28" t="str">
        <f>IF(COUNTIF('07_スキル辞書'!$A$4:$A$109,E171)&lt;&gt;1,"参照ID不正",IF(INDEX('07_スキル辞書'!$I$4:$I$109,MATCH(E171,'07_スキル辞書'!$A$4:$A$109,0))="","",INDEX('07_スキル辞書'!$I$4:$I$109,MATCH(E171,'07_スキル辞書'!$A$4:$A$109,0))))</f>
        <v>構成manifest／復旧訓練／終了・削除・失効証跡</v>
      </c>
      <c r="I171" s="4" t="s">
        <v>2900</v>
      </c>
    </row>
    <row r="172" spans="1:9" ht="38" customHeight="1" x14ac:dyDescent="0.2">
      <c r="A172" s="2" t="s">
        <v>820</v>
      </c>
      <c r="B172" s="28" t="str">
        <f>IF(COUNTIF('02_工程タスク'!$A$4:$A$135,A172)&lt;&gt;1,"参照ID不正",IF(INDEX('02_工程タスク'!$D$4:$D$135,MATCH(A172,'02_工程タスク'!$A$4:$A$135,0))="","",INDEX('02_工程タスク'!$D$4:$D$135,MATCH(A172,'02_工程タスク'!$A$4:$A$135,0))))</f>
        <v>予算制御・メータリング・成功原価</v>
      </c>
      <c r="C172" s="28" t="str">
        <f>IF(COUNTIF('02_工程タスク'!$A$4:$A$135,A172)&lt;&gt;1,"参照ID不正",IF(INDEX('02_工程タスク'!$G$4:$G$135,MATCH(A172,'02_工程タスク'!$A$4:$A$135,0))="","",INDEX('02_工程タスク'!$G$4:$G$135,MATCH(A172,'02_工程タスク'!$A$4:$A$135,0))))</f>
        <v>R15, R08, R12</v>
      </c>
      <c r="D172" s="28" t="str">
        <f>IF(COUNTIF('02_工程タスク'!$A$4:$A$135,A172)&lt;&gt;1,"参照ID不正",IF(INDEX('02_工程タスク'!$H$4:$H$135,MATCH(A172,'02_工程タスク'!$A$4:$A$135,0))="","",INDEX('02_工程タスク'!$H$4:$H$135,MATCH(A172,'02_工程タスク'!$A$4:$A$135,0))))</f>
        <v>R01</v>
      </c>
      <c r="E172" s="2" t="s">
        <v>2371</v>
      </c>
      <c r="F172" s="28" t="str">
        <f>IF(COUNTIF('07_スキル辞書'!$A$4:$A$109,E172)&lt;&gt;1,"参照ID不正",IF(INDEX('07_スキル辞書'!$D$4:$D$109,MATCH(E172,'07_スキル辞書'!$A$4:$A$109,0))="","",INDEX('07_スキル辞書'!$D$4:$D$109,MATCH(E172,'07_スキル辞書'!$A$4:$A$109,0))))</f>
        <v>トークンコスト・レイテンシ設計とコスト監視</v>
      </c>
      <c r="G172" s="2">
        <v>2</v>
      </c>
      <c r="H172" s="28" t="str">
        <f>IF(COUNTIF('07_スキル辞書'!$A$4:$A$109,E172)&lt;&gt;1,"参照ID不正",IF(INDEX('07_スキル辞書'!$I$4:$I$109,MATCH(E172,'07_スキル辞書'!$A$4:$A$109,0))="","",INDEX('07_スキル辞書'!$I$4:$I$109,MATCH(E172,'07_スキル辞書'!$A$4:$A$109,0))))</f>
        <v>非機能要件定義書 v1（要件定義書v1の一部）、コストダッシュボード、コスト超過アラート、モデル推論APIのエンドポイント</v>
      </c>
      <c r="I172" s="2" t="s">
        <v>2900</v>
      </c>
    </row>
    <row r="173" spans="1:9" ht="38" customHeight="1" x14ac:dyDescent="0.2">
      <c r="A173" s="4" t="s">
        <v>820</v>
      </c>
      <c r="B173" s="28" t="str">
        <f>IF(COUNTIF('02_工程タスク'!$A$4:$A$135,A173)&lt;&gt;1,"参照ID不正",IF(INDEX('02_工程タスク'!$D$4:$D$135,MATCH(A173,'02_工程タスク'!$A$4:$A$135,0))="","",INDEX('02_工程タスク'!$D$4:$D$135,MATCH(A173,'02_工程タスク'!$A$4:$A$135,0))))</f>
        <v>予算制御・メータリング・成功原価</v>
      </c>
      <c r="C173" s="28" t="str">
        <f>IF(COUNTIF('02_工程タスク'!$A$4:$A$135,A173)&lt;&gt;1,"参照ID不正",IF(INDEX('02_工程タスク'!$G$4:$G$135,MATCH(A173,'02_工程タスク'!$A$4:$A$135,0))="","",INDEX('02_工程タスク'!$G$4:$G$135,MATCH(A173,'02_工程タスク'!$A$4:$A$135,0))))</f>
        <v>R15, R08, R12</v>
      </c>
      <c r="D173" s="28" t="str">
        <f>IF(COUNTIF('02_工程タスク'!$A$4:$A$135,A173)&lt;&gt;1,"参照ID不正",IF(INDEX('02_工程タスク'!$H$4:$H$135,MATCH(A173,'02_工程タスク'!$A$4:$A$135,0))="","",INDEX('02_工程タスク'!$H$4:$H$135,MATCH(A173,'02_工程タスク'!$A$4:$A$135,0))))</f>
        <v>R01</v>
      </c>
      <c r="E173" s="4" t="s">
        <v>2742</v>
      </c>
      <c r="F173" s="28" t="str">
        <f>IF(COUNTIF('07_スキル辞書'!$A$4:$A$109,E173)&lt;&gt;1,"参照ID不正",IF(INDEX('07_スキル辞書'!$D$4:$D$109,MATCH(E173,'07_スキル辞書'!$A$4:$A$109,0))="","",INDEX('07_スキル辞書'!$D$4:$D$109,MATCH(E173,'07_スキル辞書'!$A$4:$A$109,0))))</f>
        <v>利用量計測・課金・返金</v>
      </c>
      <c r="G173" s="4">
        <v>2</v>
      </c>
      <c r="H173" s="28" t="str">
        <f>IF(COUNTIF('07_スキル辞書'!$A$4:$A$109,E173)&lt;&gt;1,"参照ID不正",IF(INDEX('07_スキル辞書'!$I$4:$I$109,MATCH(E173,'07_スキル辞書'!$A$4:$A$109,0))="","",INDEX('07_スキル辞書'!$I$4:$I$109,MATCH(E173,'07_スキル辞書'!$A$4:$A$109,0))))</f>
        <v>課金仕様・照合テスト・精算</v>
      </c>
      <c r="I173" s="4" t="s">
        <v>2900</v>
      </c>
    </row>
    <row r="174" spans="1:9" ht="38" customHeight="1" x14ac:dyDescent="0.2">
      <c r="A174" s="2" t="s">
        <v>820</v>
      </c>
      <c r="B174" s="28" t="str">
        <f>IF(COUNTIF('02_工程タスク'!$A$4:$A$135,A174)&lt;&gt;1,"参照ID不正",IF(INDEX('02_工程タスク'!$D$4:$D$135,MATCH(A174,'02_工程タスク'!$A$4:$A$135,0))="","",INDEX('02_工程タスク'!$D$4:$D$135,MATCH(A174,'02_工程タスク'!$A$4:$A$135,0))))</f>
        <v>予算制御・メータリング・成功原価</v>
      </c>
      <c r="C174" s="28" t="str">
        <f>IF(COUNTIF('02_工程タスク'!$A$4:$A$135,A174)&lt;&gt;1,"参照ID不正",IF(INDEX('02_工程タスク'!$G$4:$G$135,MATCH(A174,'02_工程タスク'!$A$4:$A$135,0))="","",INDEX('02_工程タスク'!$G$4:$G$135,MATCH(A174,'02_工程タスク'!$A$4:$A$135,0))))</f>
        <v>R15, R08, R12</v>
      </c>
      <c r="D174" s="28" t="str">
        <f>IF(COUNTIF('02_工程タスク'!$A$4:$A$135,A174)&lt;&gt;1,"参照ID不正",IF(INDEX('02_工程タスク'!$H$4:$H$135,MATCH(A174,'02_工程タスク'!$A$4:$A$135,0))="","",INDEX('02_工程タスク'!$H$4:$H$135,MATCH(A174,'02_工程タスク'!$A$4:$A$135,0))))</f>
        <v>R01</v>
      </c>
      <c r="E174" s="2" t="s">
        <v>2761</v>
      </c>
      <c r="F174" s="28" t="str">
        <f>IF(COUNTIF('07_スキル辞書'!$A$4:$A$109,E174)&lt;&gt;1,"参照ID不正",IF(INDEX('07_スキル辞書'!$D$4:$D$109,MATCH(E174,'07_スキル辞書'!$A$4:$A$109,0))="","",INDEX('07_スキル辞書'!$D$4:$D$109,MATCH(E174,'07_スキル辞書'!$A$4:$A$109,0))))</f>
        <v>成功単位原価・限界利益・費用境界</v>
      </c>
      <c r="G174" s="2">
        <v>2</v>
      </c>
      <c r="H174" s="28" t="str">
        <f>IF(COUNTIF('07_スキル辞書'!$A$4:$A$109,E174)&lt;&gt;1,"参照ID不正",IF(INDEX('07_スキル辞書'!$I$4:$I$109,MATCH(E174,'07_スキル辞書'!$A$4:$A$109,0))="","",INDEX('07_スキル辞書'!$I$4:$I$109,MATCH(E174,'07_スキル辞書'!$A$4:$A$109,0))))</f>
        <v>cost/success・収支・感度分析</v>
      </c>
      <c r="I174" s="2" t="s">
        <v>2900</v>
      </c>
    </row>
    <row r="175" spans="1:9" ht="38" customHeight="1" x14ac:dyDescent="0.2">
      <c r="A175" s="4" t="s">
        <v>829</v>
      </c>
      <c r="B175" s="28" t="str">
        <f>IF(COUNTIF('02_工程タスク'!$A$4:$A$135,A175)&lt;&gt;1,"参照ID不正",IF(INDEX('02_工程タスク'!$D$4:$D$135,MATCH(A175,'02_工程タスク'!$A$4:$A$135,0))="","",INDEX('02_工程タスク'!$D$4:$D$135,MATCH(A175,'02_工程タスク'!$A$4:$A$135,0))))</f>
        <v>依存契約・公開・切替計画</v>
      </c>
      <c r="C175" s="28" t="str">
        <f>IF(COUNTIF('02_工程タスク'!$A$4:$A$135,A175)&lt;&gt;1,"参照ID不正",IF(INDEX('02_工程タスク'!$G$4:$G$135,MATCH(A175,'02_工程タスク'!$A$4:$A$135,0))="","",INDEX('02_工程タスク'!$G$4:$G$135,MATCH(A175,'02_工程タスク'!$A$4:$A$135,0))))</f>
        <v>R20, R14, R18</v>
      </c>
      <c r="D175" s="28" t="str">
        <f>IF(COUNTIF('02_工程タスク'!$A$4:$A$135,A175)&lt;&gt;1,"参照ID不正",IF(INDEX('02_工程タスク'!$H$4:$H$135,MATCH(A175,'02_工程タスク'!$A$4:$A$135,0))="","",INDEX('02_工程タスク'!$H$4:$H$135,MATCH(A175,'02_工程タスク'!$A$4:$A$135,0))))</f>
        <v>R18</v>
      </c>
      <c r="E175" s="4" t="s">
        <v>2046</v>
      </c>
      <c r="F175" s="28" t="str">
        <f>IF(COUNTIF('07_スキル辞書'!$A$4:$A$109,E175)&lt;&gt;1,"参照ID不正",IF(INDEX('07_スキル辞書'!$D$4:$D$109,MATCH(E175,'07_スキル辞書'!$A$4:$A$109,0))="","",INDEX('07_スキル辞書'!$D$4:$D$109,MATCH(E175,'07_スキル辞書'!$A$4:$A$109,0))))</f>
        <v>外部契約・調達・ベンダー受入</v>
      </c>
      <c r="G175" s="4">
        <v>2</v>
      </c>
      <c r="H175" s="28" t="str">
        <f>IF(COUNTIF('07_スキル辞書'!$A$4:$A$109,E175)&lt;&gt;1,"参照ID不正",IF(INDEX('07_スキル辞書'!$I$4:$I$109,MATCH(E175,'07_スキル辞書'!$A$4:$A$109,0))="","",INDEX('07_スキル辞書'!$I$4:$I$109,MATCH(E175,'07_スキル辞書'!$A$4:$A$109,0))))</f>
        <v>外部契約台帳・Supplier Acceptance・退出計画</v>
      </c>
      <c r="I175" s="4" t="s">
        <v>2900</v>
      </c>
    </row>
    <row r="176" spans="1:9" ht="38" customHeight="1" x14ac:dyDescent="0.2">
      <c r="A176" s="2" t="s">
        <v>829</v>
      </c>
      <c r="B176" s="28" t="str">
        <f>IF(COUNTIF('02_工程タスク'!$A$4:$A$135,A176)&lt;&gt;1,"参照ID不正",IF(INDEX('02_工程タスク'!$D$4:$D$135,MATCH(A176,'02_工程タスク'!$A$4:$A$135,0))="","",INDEX('02_工程タスク'!$D$4:$D$135,MATCH(A176,'02_工程タスク'!$A$4:$A$135,0))))</f>
        <v>依存契約・公開・切替計画</v>
      </c>
      <c r="C176" s="28" t="str">
        <f>IF(COUNTIF('02_工程タスク'!$A$4:$A$135,A176)&lt;&gt;1,"参照ID不正",IF(INDEX('02_工程タスク'!$G$4:$G$135,MATCH(A176,'02_工程タスク'!$A$4:$A$135,0))="","",INDEX('02_工程タスク'!$G$4:$G$135,MATCH(A176,'02_工程タスク'!$A$4:$A$135,0))))</f>
        <v>R20, R14, R18</v>
      </c>
      <c r="D176" s="28" t="str">
        <f>IF(COUNTIF('02_工程タスク'!$A$4:$A$135,A176)&lt;&gt;1,"参照ID不正",IF(INDEX('02_工程タスク'!$H$4:$H$135,MATCH(A176,'02_工程タスク'!$A$4:$A$135,0))="","",INDEX('02_工程タスク'!$H$4:$H$135,MATCH(A176,'02_工程タスク'!$A$4:$A$135,0))))</f>
        <v>R18</v>
      </c>
      <c r="E176" s="2" t="s">
        <v>2353</v>
      </c>
      <c r="F176" s="28" t="str">
        <f>IF(COUNTIF('07_スキル辞書'!$A$4:$A$109,E176)&lt;&gt;1,"参照ID不正",IF(INDEX('07_スキル辞書'!$D$4:$D$109,MATCH(E176,'07_スキル辞書'!$A$4:$A$109,0))="","",INDEX('07_スキル辞書'!$D$4:$D$109,MATCH(E176,'07_スキル辞書'!$A$4:$A$109,0))))</f>
        <v>リリース・デプロイ戦略とロールバック</v>
      </c>
      <c r="G176" s="2">
        <v>2</v>
      </c>
      <c r="H176" s="28" t="str">
        <f>IF(COUNTIF('07_スキル辞書'!$A$4:$A$109,E176)&lt;&gt;1,"参照ID不正",IF(INDEX('07_スキル辞書'!$I$4:$I$109,MATCH(E176,'07_スキル辞書'!$A$4:$A$109,0))="","",INDEX('07_スキル辞書'!$I$4:$I$109,MATCH(E176,'07_スキル辞書'!$A$4:$A$109,0))))</f>
        <v>リリース計画書、リリースノート、本番稼働中のシステム、デプロイ戦略の実装、切替記録、モデルロールバック手順書</v>
      </c>
      <c r="I176" s="2" t="s">
        <v>2900</v>
      </c>
    </row>
    <row r="177" spans="1:9" ht="38" customHeight="1" x14ac:dyDescent="0.2">
      <c r="A177" s="4" t="s">
        <v>829</v>
      </c>
      <c r="B177" s="28" t="str">
        <f>IF(COUNTIF('02_工程タスク'!$A$4:$A$135,A177)&lt;&gt;1,"参照ID不正",IF(INDEX('02_工程タスク'!$D$4:$D$135,MATCH(A177,'02_工程タスク'!$A$4:$A$135,0))="","",INDEX('02_工程タスク'!$D$4:$D$135,MATCH(A177,'02_工程タスク'!$A$4:$A$135,0))))</f>
        <v>依存契約・公開・切替計画</v>
      </c>
      <c r="C177" s="28" t="str">
        <f>IF(COUNTIF('02_工程タスク'!$A$4:$A$135,A177)&lt;&gt;1,"参照ID不正",IF(INDEX('02_工程タスク'!$G$4:$G$135,MATCH(A177,'02_工程タスク'!$A$4:$A$135,0))="","",INDEX('02_工程タスク'!$G$4:$G$135,MATCH(A177,'02_工程タスク'!$A$4:$A$135,0))))</f>
        <v>R20, R14, R18</v>
      </c>
      <c r="D177" s="28" t="str">
        <f>IF(COUNTIF('02_工程タスク'!$A$4:$A$135,A177)&lt;&gt;1,"参照ID不正",IF(INDEX('02_工程タスク'!$H$4:$H$135,MATCH(A177,'02_工程タスク'!$A$4:$A$135,0))="","",INDEX('02_工程タスク'!$H$4:$H$135,MATCH(A177,'02_工程タスク'!$A$4:$A$135,0))))</f>
        <v>R18</v>
      </c>
      <c r="E177" s="4" t="s">
        <v>2771</v>
      </c>
      <c r="F177" s="28" t="str">
        <f>IF(COUNTIF('07_スキル辞書'!$A$4:$A$109,E177)&lt;&gt;1,"参照ID不正",IF(INDEX('07_スキル辞書'!$D$4:$D$109,MATCH(E177,'07_スキル辞書'!$A$4:$A$109,0))="","",INDEX('07_スキル辞書'!$D$4:$D$109,MATCH(E177,'07_スキル辞書'!$A$4:$A$109,0))))</f>
        <v>モデル・Provider・処理条件・EOL管理</v>
      </c>
      <c r="G177" s="4">
        <v>2</v>
      </c>
      <c r="H177" s="28" t="str">
        <f>IF(COUNTIF('07_スキル辞書'!$A$4:$A$109,E177)&lt;&gt;1,"参照ID不正",IF(INDEX('07_スキル辞書'!$I$4:$I$109,MATCH(E177,'07_スキル辞書'!$A$4:$A$109,0))="","",INDEX('07_スキル辞書'!$I$4:$I$109,MATCH(E177,'07_スキル辞書'!$A$4:$A$109,0))))</f>
        <v>AI依存台帳・規約差分・切替評価</v>
      </c>
      <c r="I177" s="4" t="s">
        <v>2900</v>
      </c>
    </row>
    <row r="178" spans="1:9" ht="38" customHeight="1" x14ac:dyDescent="0.2">
      <c r="A178" s="2" t="s">
        <v>829</v>
      </c>
      <c r="B178" s="28" t="str">
        <f>IF(COUNTIF('02_工程タスク'!$A$4:$A$135,A178)&lt;&gt;1,"参照ID不正",IF(INDEX('02_工程タスク'!$D$4:$D$135,MATCH(A178,'02_工程タスク'!$A$4:$A$135,0))="","",INDEX('02_工程タスク'!$D$4:$D$135,MATCH(A178,'02_工程タスク'!$A$4:$A$135,0))))</f>
        <v>依存契約・公開・切替計画</v>
      </c>
      <c r="C178" s="28" t="str">
        <f>IF(COUNTIF('02_工程タスク'!$A$4:$A$135,A178)&lt;&gt;1,"参照ID不正",IF(INDEX('02_工程タスク'!$G$4:$G$135,MATCH(A178,'02_工程タスク'!$A$4:$A$135,0))="","",INDEX('02_工程タスク'!$G$4:$G$135,MATCH(A178,'02_工程タスク'!$A$4:$A$135,0))))</f>
        <v>R20, R14, R18</v>
      </c>
      <c r="D178" s="28" t="str">
        <f>IF(COUNTIF('02_工程タスク'!$A$4:$A$135,A178)&lt;&gt;1,"参照ID不正",IF(INDEX('02_工程タスク'!$H$4:$H$135,MATCH(A178,'02_工程タスク'!$A$4:$A$135,0))="","",INDEX('02_工程タスク'!$H$4:$H$135,MATCH(A178,'02_工程タスク'!$A$4:$A$135,0))))</f>
        <v>R18</v>
      </c>
      <c r="E178" s="2" t="s">
        <v>2873</v>
      </c>
      <c r="F178" s="28" t="str">
        <f>IF(COUNTIF('07_スキル辞書'!$A$4:$A$109,E178)&lt;&gt;1,"参照ID不正",IF(INDEX('07_スキル辞書'!$D$4:$D$109,MATCH(E178,'07_スキル辞書'!$A$4:$A$109,0))="","",INDEX('07_スキル辞書'!$D$4:$D$109,MATCH(E178,'07_スキル辞書'!$A$4:$A$109,0))))</f>
        <v>AI生成物・依存・成果物の来歴</v>
      </c>
      <c r="G178" s="2">
        <v>2</v>
      </c>
      <c r="H178" s="28" t="str">
        <f>IF(COUNTIF('07_スキル辞書'!$A$4:$A$109,E178)&lt;&gt;1,"参照ID不正",IF(INDEX('07_スキル辞書'!$I$4:$I$109,MATCH(E178,'07_スキル辞書'!$A$4:$A$109,0))="","",INDEX('07_スキル辞書'!$I$4:$I$109,MATCH(E178,'07_スキル辞書'!$A$4:$A$109,0))))</f>
        <v>SBOM/構成manifest・診断・署名</v>
      </c>
      <c r="I178" s="2" t="s">
        <v>2900</v>
      </c>
    </row>
    <row r="179" spans="1:9" ht="38" customHeight="1" x14ac:dyDescent="0.2">
      <c r="A179" s="4" t="s">
        <v>839</v>
      </c>
      <c r="B179" s="28" t="str">
        <f>IF(COUNTIF('02_工程タスク'!$A$4:$A$135,A179)&lt;&gt;1,"参照ID不正",IF(INDEX('02_工程タスク'!$D$4:$D$135,MATCH(A179,'02_工程タスク'!$A$4:$A$135,0))="","",INDEX('02_工程タスク'!$D$4:$D$135,MATCH(A179,'02_工程タスク'!$A$4:$A$135,0))))</f>
        <v>非機能・安全・採算・実現性レビュー</v>
      </c>
      <c r="C179" s="28" t="str">
        <f>IF(COUNTIF('02_工程タスク'!$A$4:$A$135,A179)&lt;&gt;1,"参照ID不正",IF(INDEX('02_工程タスク'!$G$4:$G$135,MATCH(A179,'02_工程タスク'!$A$4:$A$135,0))="","",INDEX('02_工程タスク'!$G$4:$G$135,MATCH(A179,'02_工程タスク'!$A$4:$A$135,0))))</f>
        <v>R06, R11, R13, R15</v>
      </c>
      <c r="D179" s="28" t="str">
        <f>IF(COUNTIF('02_工程タスク'!$A$4:$A$135,A179)&lt;&gt;1,"参照ID不正",IF(INDEX('02_工程タスク'!$H$4:$H$135,MATCH(A179,'02_工程タスク'!$A$4:$A$135,0))="","",INDEX('02_工程タスク'!$H$4:$H$135,MATCH(A179,'02_工程タスク'!$A$4:$A$135,0))))</f>
        <v>R06</v>
      </c>
      <c r="E179" s="4" t="s">
        <v>2192</v>
      </c>
      <c r="F179" s="28" t="str">
        <f>IF(COUNTIF('07_スキル辞書'!$A$4:$A$109,E179)&lt;&gt;1,"参照ID不正",IF(INDEX('07_スキル辞書'!$D$4:$D$109,MATCH(E179,'07_スキル辞書'!$A$4:$A$109,0))="","",INDEX('07_スキル辞書'!$D$4:$D$109,MATCH(E179,'07_スキル辞書'!$A$4:$A$109,0))))</f>
        <v>システムアーキテクチャ設計</v>
      </c>
      <c r="G179" s="4">
        <v>2</v>
      </c>
      <c r="H179" s="28" t="str">
        <f>IF(COUNTIF('07_スキル辞書'!$A$4:$A$109,E179)&lt;&gt;1,"参照ID不正",IF(INDEX('07_スキル辞書'!$I$4:$I$109,MATCH(E179,'07_スキル辞書'!$A$4:$A$109,0))="","",INDEX('07_スキル辞書'!$I$4:$I$109,MATCH(E179,'07_スキル辞書'!$A$4:$A$109,0))))</f>
        <v>システムアーキテクチャ設計書、技術スタック一覧、インフラ構成図、AI機能が統合されたバックエンドのソースコード</v>
      </c>
      <c r="I179" s="4" t="s">
        <v>2900</v>
      </c>
    </row>
    <row r="180" spans="1:9" ht="38" customHeight="1" x14ac:dyDescent="0.2">
      <c r="A180" s="2" t="s">
        <v>839</v>
      </c>
      <c r="B180" s="28" t="str">
        <f>IF(COUNTIF('02_工程タスク'!$A$4:$A$135,A180)&lt;&gt;1,"参照ID不正",IF(INDEX('02_工程タスク'!$D$4:$D$135,MATCH(A180,'02_工程タスク'!$A$4:$A$135,0))="","",INDEX('02_工程タスク'!$D$4:$D$135,MATCH(A180,'02_工程タスク'!$A$4:$A$135,0))))</f>
        <v>非機能・安全・採算・実現性レビュー</v>
      </c>
      <c r="C180" s="28" t="str">
        <f>IF(COUNTIF('02_工程タスク'!$A$4:$A$135,A180)&lt;&gt;1,"参照ID不正",IF(INDEX('02_工程タスク'!$G$4:$G$135,MATCH(A180,'02_工程タスク'!$A$4:$A$135,0))="","",INDEX('02_工程タスク'!$G$4:$G$135,MATCH(A180,'02_工程タスク'!$A$4:$A$135,0))))</f>
        <v>R06, R11, R13, R15</v>
      </c>
      <c r="D180" s="28" t="str">
        <f>IF(COUNTIF('02_工程タスク'!$A$4:$A$135,A180)&lt;&gt;1,"参照ID不正",IF(INDEX('02_工程タスク'!$H$4:$H$135,MATCH(A180,'02_工程タスク'!$A$4:$A$135,0))="","",INDEX('02_工程タスク'!$H$4:$H$135,MATCH(A180,'02_工程タスク'!$A$4:$A$135,0))))</f>
        <v>R06</v>
      </c>
      <c r="E180" s="2" t="s">
        <v>2309</v>
      </c>
      <c r="F180" s="28" t="str">
        <f>IF(COUNTIF('07_スキル辞書'!$A$4:$A$109,E180)&lt;&gt;1,"参照ID不正",IF(INDEX('07_スキル辞書'!$D$4:$D$109,MATCH(E180,'07_スキル辞書'!$A$4:$A$109,0))="","",INDEX('07_スキル辞書'!$D$4:$D$109,MATCH(E180,'07_スキル辞書'!$A$4:$A$109,0))))</f>
        <v>脅威モデリングとセキュリティ設計</v>
      </c>
      <c r="G180" s="2">
        <v>2</v>
      </c>
      <c r="H180" s="28" t="str">
        <f>IF(COUNTIF('07_スキル辞書'!$A$4:$A$109,E180)&lt;&gt;1,"参照ID不正",IF(INDEX('07_スキル辞書'!$I$4:$I$109,MATCH(E180,'07_スキル辞書'!$A$4:$A$109,0))="","",INDEX('07_スキル辞書'!$I$4:$I$109,MATCH(E180,'07_スキル辞書'!$A$4:$A$109,0))))</f>
        <v>脅威モデル、脅威モデル v2、セキュリティ設計書、AIサプライチェーン対策方針</v>
      </c>
      <c r="I180" s="2" t="s">
        <v>2900</v>
      </c>
    </row>
    <row r="181" spans="1:9" ht="38" customHeight="1" x14ac:dyDescent="0.2">
      <c r="A181" s="4" t="s">
        <v>839</v>
      </c>
      <c r="B181" s="28" t="str">
        <f>IF(COUNTIF('02_工程タスク'!$A$4:$A$135,A181)&lt;&gt;1,"参照ID不正",IF(INDEX('02_工程タスク'!$D$4:$D$135,MATCH(A181,'02_工程タスク'!$A$4:$A$135,0))="","",INDEX('02_工程タスク'!$D$4:$D$135,MATCH(A181,'02_工程タスク'!$A$4:$A$135,0))))</f>
        <v>非機能・安全・採算・実現性レビュー</v>
      </c>
      <c r="C181" s="28" t="str">
        <f>IF(COUNTIF('02_工程タスク'!$A$4:$A$135,A181)&lt;&gt;1,"参照ID不正",IF(INDEX('02_工程タスク'!$G$4:$G$135,MATCH(A181,'02_工程タスク'!$A$4:$A$135,0))="","",INDEX('02_工程タスク'!$G$4:$G$135,MATCH(A181,'02_工程タスク'!$A$4:$A$135,0))))</f>
        <v>R06, R11, R13, R15</v>
      </c>
      <c r="D181" s="28" t="str">
        <f>IF(COUNTIF('02_工程タスク'!$A$4:$A$135,A181)&lt;&gt;1,"参照ID不正",IF(INDEX('02_工程タスク'!$H$4:$H$135,MATCH(A181,'02_工程タスク'!$A$4:$A$135,0))="","",INDEX('02_工程タスク'!$H$4:$H$135,MATCH(A181,'02_工程タスク'!$A$4:$A$135,0))))</f>
        <v>R06</v>
      </c>
      <c r="E181" s="4" t="s">
        <v>2651</v>
      </c>
      <c r="F181" s="28" t="str">
        <f>IF(COUNTIF('07_スキル辞書'!$A$4:$A$109,E181)&lt;&gt;1,"参照ID不正",IF(INDEX('07_スキル辞書'!$D$4:$D$109,MATCH(E181,'07_スキル辞書'!$A$4:$A$109,0))="","",INDEX('07_スキル辞書'!$D$4:$D$109,MATCH(E181,'07_スキル辞書'!$A$4:$A$109,0))))</f>
        <v>リスク比例の投資・公開・継続・変更判断</v>
      </c>
      <c r="G181" s="4">
        <v>3</v>
      </c>
      <c r="H181" s="28" t="str">
        <f>IF(COUNTIF('07_スキル辞書'!$A$4:$A$109,E181)&lt;&gt;1,"参照ID不正",IF(INDEX('07_スキル辞書'!$I$4:$I$109,MATCH(E181,'07_スキル辞書'!$A$4:$A$109,0))="","",INDEX('07_スキル辞書'!$I$4:$I$109,MATCH(E181,'07_スキル辞書'!$A$4:$A$109,0))))</f>
        <v>投資・Release・例外・継続判断記録</v>
      </c>
      <c r="I181" s="4" t="s">
        <v>2900</v>
      </c>
    </row>
    <row r="182" spans="1:9" ht="38" customHeight="1" x14ac:dyDescent="0.2">
      <c r="A182" s="2" t="s">
        <v>849</v>
      </c>
      <c r="B182" s="28" t="str">
        <f>IF(COUNTIF('02_工程タスク'!$A$4:$A$135,A182)&lt;&gt;1,"参照ID不正",IF(INDEX('02_工程タスク'!$D$4:$D$135,MATCH(A182,'02_工程タスク'!$A$4:$A$135,0))="","",INDEX('02_工程タスク'!$D$4:$D$135,MATCH(A182,'02_工程タスク'!$A$4:$A$135,0))))</f>
        <v>Architecture/Build承認</v>
      </c>
      <c r="C182" s="28" t="str">
        <f>IF(COUNTIF('02_工程タスク'!$A$4:$A$135,A182)&lt;&gt;1,"参照ID不正",IF(INDEX('02_工程タスク'!$G$4:$G$135,MATCH(A182,'02_工程タスク'!$A$4:$A$135,0))="","",INDEX('02_工程タスク'!$G$4:$G$135,MATCH(A182,'02_工程タスク'!$A$4:$A$135,0))))</f>
        <v>R03, R06</v>
      </c>
      <c r="D182" s="28" t="str">
        <f>IF(COUNTIF('02_工程タスク'!$A$4:$A$135,A182)&lt;&gt;1,"参照ID不正",IF(INDEX('02_工程タスク'!$H$4:$H$135,MATCH(A182,'02_工程タスク'!$A$4:$A$135,0))="","",INDEX('02_工程タスク'!$H$4:$H$135,MATCH(A182,'02_工程タスク'!$A$4:$A$135,0))))</f>
        <v>R01</v>
      </c>
      <c r="E182" s="2" t="s">
        <v>1924</v>
      </c>
      <c r="F182" s="28" t="str">
        <f>IF(COUNTIF('07_スキル辞書'!$A$4:$A$109,E182)&lt;&gt;1,"参照ID不正",IF(INDEX('07_スキル辞書'!$D$4:$D$109,MATCH(E182,'07_スキル辞書'!$A$4:$A$109,0))="","",INDEX('07_スキル辞書'!$D$4:$D$109,MATCH(E182,'07_スキル辞書'!$A$4:$A$109,0))))</f>
        <v>七工程と事業投資・公開ゲートの運用</v>
      </c>
      <c r="G182" s="2">
        <v>3</v>
      </c>
      <c r="H182" s="28" t="str">
        <f>IF(COUNTIF('07_スキル辞書'!$A$4:$A$109,E182)&lt;&gt;1,"参照ID不正",IF(INDEX('07_スキル辞書'!$I$4:$I$109,MATCH(E182,'07_スキル辞書'!$A$4:$A$109,0))="","",INDEX('07_スキル辞書'!$I$4:$I$109,MATCH(E182,'07_スキル辞書'!$A$4:$A$109,0))))</f>
        <v>G0〜G5判断記録・再Gate計画</v>
      </c>
      <c r="I182" s="2" t="s">
        <v>2900</v>
      </c>
    </row>
    <row r="183" spans="1:9" ht="38" customHeight="1" x14ac:dyDescent="0.2">
      <c r="A183" s="4" t="s">
        <v>849</v>
      </c>
      <c r="B183" s="28" t="str">
        <f>IF(COUNTIF('02_工程タスク'!$A$4:$A$135,A183)&lt;&gt;1,"参照ID不正",IF(INDEX('02_工程タスク'!$D$4:$D$135,MATCH(A183,'02_工程タスク'!$A$4:$A$135,0))="","",INDEX('02_工程タスク'!$D$4:$D$135,MATCH(A183,'02_工程タスク'!$A$4:$A$135,0))))</f>
        <v>Architecture/Build承認</v>
      </c>
      <c r="C183" s="28" t="str">
        <f>IF(COUNTIF('02_工程タスク'!$A$4:$A$135,A183)&lt;&gt;1,"参照ID不正",IF(INDEX('02_工程タスク'!$G$4:$G$135,MATCH(A183,'02_工程タスク'!$A$4:$A$135,0))="","",INDEX('02_工程タスク'!$G$4:$G$135,MATCH(A183,'02_工程タスク'!$A$4:$A$135,0))))</f>
        <v>R03, R06</v>
      </c>
      <c r="D183" s="28" t="str">
        <f>IF(COUNTIF('02_工程タスク'!$A$4:$A$135,A183)&lt;&gt;1,"参照ID不正",IF(INDEX('02_工程タスク'!$H$4:$H$135,MATCH(A183,'02_工程タスク'!$A$4:$A$135,0))="","",INDEX('02_工程タスク'!$H$4:$H$135,MATCH(A183,'02_工程タスク'!$A$4:$A$135,0))))</f>
        <v>R01</v>
      </c>
      <c r="E183" s="4" t="s">
        <v>2651</v>
      </c>
      <c r="F183" s="28" t="str">
        <f>IF(COUNTIF('07_スキル辞書'!$A$4:$A$109,E183)&lt;&gt;1,"参照ID不正",IF(INDEX('07_スキル辞書'!$D$4:$D$109,MATCH(E183,'07_スキル辞書'!$A$4:$A$109,0))="","",INDEX('07_スキル辞書'!$D$4:$D$109,MATCH(E183,'07_スキル辞書'!$A$4:$A$109,0))))</f>
        <v>リスク比例の投資・公開・継続・変更判断</v>
      </c>
      <c r="G183" s="4">
        <v>3</v>
      </c>
      <c r="H183" s="28" t="str">
        <f>IF(COUNTIF('07_スキル辞書'!$A$4:$A$109,E183)&lt;&gt;1,"参照ID不正",IF(INDEX('07_スキル辞書'!$I$4:$I$109,MATCH(E183,'07_スキル辞書'!$A$4:$A$109,0))="","",INDEX('07_スキル辞書'!$I$4:$I$109,MATCH(E183,'07_スキル辞書'!$A$4:$A$109,0))))</f>
        <v>投資・Release・例外・継続判断記録</v>
      </c>
      <c r="I183" s="4" t="s">
        <v>2900</v>
      </c>
    </row>
    <row r="184" spans="1:9" ht="38" customHeight="1" x14ac:dyDescent="0.2">
      <c r="A184" s="2" t="s">
        <v>849</v>
      </c>
      <c r="B184" s="28" t="str">
        <f>IF(COUNTIF('02_工程タスク'!$A$4:$A$135,A184)&lt;&gt;1,"参照ID不正",IF(INDEX('02_工程タスク'!$D$4:$D$135,MATCH(A184,'02_工程タスク'!$A$4:$A$135,0))="","",INDEX('02_工程タスク'!$D$4:$D$135,MATCH(A184,'02_工程タスク'!$A$4:$A$135,0))))</f>
        <v>Architecture/Build承認</v>
      </c>
      <c r="C184" s="28" t="str">
        <f>IF(COUNTIF('02_工程タスク'!$A$4:$A$135,A184)&lt;&gt;1,"参照ID不正",IF(INDEX('02_工程タスク'!$G$4:$G$135,MATCH(A184,'02_工程タスク'!$A$4:$A$135,0))="","",INDEX('02_工程タスク'!$G$4:$G$135,MATCH(A184,'02_工程タスク'!$A$4:$A$135,0))))</f>
        <v>R03, R06</v>
      </c>
      <c r="D184" s="28" t="str">
        <f>IF(COUNTIF('02_工程タスク'!$A$4:$A$135,A184)&lt;&gt;1,"参照ID不正",IF(INDEX('02_工程タスク'!$H$4:$H$135,MATCH(A184,'02_工程タスク'!$A$4:$A$135,0))="","",INDEX('02_工程タスク'!$H$4:$H$135,MATCH(A184,'02_工程タスク'!$A$4:$A$135,0))))</f>
        <v>R01</v>
      </c>
      <c r="E184" s="2" t="s">
        <v>2863</v>
      </c>
      <c r="F184" s="28" t="str">
        <f>IF(COUNTIF('07_スキル辞書'!$A$4:$A$109,E184)&lt;&gt;1,"参照ID不正",IF(INDEX('07_スキル辞書'!$D$4:$D$109,MATCH(E184,'07_スキル辞書'!$A$4:$A$109,0))="","",INDEX('07_スキル辞書'!$D$4:$D$109,MATCH(E184,'07_スキル辞書'!$A$4:$A$109,0))))</f>
        <v>段階投資・学習価値・Pivot/Stop</v>
      </c>
      <c r="G184" s="2">
        <v>3</v>
      </c>
      <c r="H184" s="28" t="str">
        <f>IF(COUNTIF('07_スキル辞書'!$A$4:$A$109,E184)&lt;&gt;1,"参照ID不正",IF(INDEX('07_スキル辞書'!$I$4:$I$109,MATCH(E184,'07_スキル辞書'!$A$4:$A$109,0))="","",INDEX('07_スキル辞書'!$I$4:$I$109,MATCH(E184,'07_スキル辞書'!$A$4:$A$109,0))))</f>
        <v>G0/G4・実験・投資レビュー</v>
      </c>
      <c r="I184" s="2" t="s">
        <v>2900</v>
      </c>
    </row>
    <row r="185" spans="1:9" ht="38" customHeight="1" x14ac:dyDescent="0.2">
      <c r="A185" s="4" t="s">
        <v>857</v>
      </c>
      <c r="B185" s="28" t="str">
        <f>IF(COUNTIF('02_工程タスク'!$A$4:$A$135,A185)&lt;&gt;1,"参照ID不正",IF(INDEX('02_工程タスク'!$D$4:$D$135,MATCH(A185,'02_工程タスク'!$A$4:$A$135,0))="","",INDEX('02_工程タスク'!$D$4:$D$135,MATCH(A185,'02_工程タスク'!$A$4:$A$135,0))))</f>
        <v>Repo・CI・IaCの最小実装</v>
      </c>
      <c r="C185" s="28" t="str">
        <f>IF(COUNTIF('02_工程タスク'!$A$4:$A$135,A185)&lt;&gt;1,"参照ID不正",IF(INDEX('02_工程タスク'!$G$4:$G$135,MATCH(A185,'02_工程タスク'!$A$4:$A$135,0))="","",INDEX('02_工程タスク'!$G$4:$G$135,MATCH(A185,'02_工程タスク'!$A$4:$A$135,0))))</f>
        <v>R07, R12</v>
      </c>
      <c r="D185" s="28" t="str">
        <f>IF(COUNTIF('02_工程タスク'!$A$4:$A$135,A185)&lt;&gt;1,"参照ID不正",IF(INDEX('02_工程タスク'!$H$4:$H$135,MATCH(A185,'02_工程タスク'!$A$4:$A$135,0))="","",INDEX('02_工程タスク'!$H$4:$H$135,MATCH(A185,'02_工程タスク'!$A$4:$A$135,0))))</f>
        <v>R06</v>
      </c>
      <c r="E185" s="4" t="s">
        <v>2164</v>
      </c>
      <c r="F185" s="28" t="str">
        <f>IF(COUNTIF('07_スキル辞書'!$A$4:$A$109,E185)&lt;&gt;1,"参照ID不正",IF(INDEX('07_スキル辞書'!$D$4:$D$109,MATCH(E185,'07_スキル辞書'!$A$4:$A$109,0))="","",INDEX('07_スキル辞書'!$D$4:$D$109,MATCH(E185,'07_スキル辞書'!$A$4:$A$109,0))))</f>
        <v>コード・データ・モデルのバージョン管理と再現性確保</v>
      </c>
      <c r="G185" s="4">
        <v>2</v>
      </c>
      <c r="H185" s="28" t="str">
        <f>IF(COUNTIF('07_スキル辞書'!$A$4:$A$109,E185)&lt;&gt;1,"参照ID不正",IF(INDEX('07_スキル辞書'!$I$4:$I$109,MATCH(E185,'07_スキル辞書'!$A$4:$A$109,0))="","",INDEX('07_スキル辞書'!$I$4:$I$109,MATCH(E185,'07_スキル辞書'!$A$4:$A$109,0))))</f>
        <v>依存関係定義ファイル、バージョン管理規約、モデルレジストリ、来歴記録、学習・改善ログ、プロンプト仕様書（版管理）</v>
      </c>
      <c r="I185" s="4" t="s">
        <v>2900</v>
      </c>
    </row>
    <row r="186" spans="1:9" ht="38" customHeight="1" x14ac:dyDescent="0.2">
      <c r="A186" s="2" t="s">
        <v>857</v>
      </c>
      <c r="B186" s="28" t="str">
        <f>IF(COUNTIF('02_工程タスク'!$A$4:$A$135,A186)&lt;&gt;1,"参照ID不正",IF(INDEX('02_工程タスク'!$D$4:$D$135,MATCH(A186,'02_工程タスク'!$A$4:$A$135,0))="","",INDEX('02_工程タスク'!$D$4:$D$135,MATCH(A186,'02_工程タスク'!$A$4:$A$135,0))))</f>
        <v>Repo・CI・IaCの最小実装</v>
      </c>
      <c r="C186" s="28" t="str">
        <f>IF(COUNTIF('02_工程タスク'!$A$4:$A$135,A186)&lt;&gt;1,"参照ID不正",IF(INDEX('02_工程タスク'!$G$4:$G$135,MATCH(A186,'02_工程タスク'!$A$4:$A$135,0))="","",INDEX('02_工程タスク'!$G$4:$G$135,MATCH(A186,'02_工程タスク'!$A$4:$A$135,0))))</f>
        <v>R07, R12</v>
      </c>
      <c r="D186" s="28" t="str">
        <f>IF(COUNTIF('02_工程タスク'!$A$4:$A$135,A186)&lt;&gt;1,"参照ID不正",IF(INDEX('02_工程タスク'!$H$4:$H$135,MATCH(A186,'02_工程タスク'!$A$4:$A$135,0))="","",INDEX('02_工程タスク'!$H$4:$H$135,MATCH(A186,'02_工程タスク'!$A$4:$A$135,0))))</f>
        <v>R06</v>
      </c>
      <c r="E186" s="2" t="s">
        <v>2219</v>
      </c>
      <c r="F186" s="28" t="str">
        <f>IF(COUNTIF('07_スキル辞書'!$A$4:$A$109,E186)&lt;&gt;1,"参照ID不正",IF(INDEX('07_スキル辞書'!$D$4:$D$109,MATCH(E186,'07_スキル辞書'!$A$4:$A$109,0))="","",INDEX('07_スキル辞書'!$D$4:$D$109,MATCH(E186,'07_スキル辞書'!$A$4:$A$109,0))))</f>
        <v>検証環境構築とIaC</v>
      </c>
      <c r="G186" s="2">
        <v>2</v>
      </c>
      <c r="H186" s="28" t="str">
        <f>IF(COUNTIF('07_スキル辞書'!$A$4:$A$109,E186)&lt;&gt;1,"参照ID不正",IF(INDEX('07_スキル辞書'!$I$4:$I$109,MATCH(E186,'07_スキル辞書'!$A$4:$A$109,0))="","",INDEX('07_スキル辞書'!$I$4:$I$109,MATCH(E186,'07_スキル辞書'!$A$4:$A$109,0))))</f>
        <v>検証環境、環境構築手順書、依存関係定義ファイル、IaCコード、インフラ構成図</v>
      </c>
      <c r="I186" s="2" t="s">
        <v>2900</v>
      </c>
    </row>
    <row r="187" spans="1:9" ht="49" customHeight="1" x14ac:dyDescent="0.2">
      <c r="A187" s="4" t="s">
        <v>857</v>
      </c>
      <c r="B187" s="28" t="str">
        <f>IF(COUNTIF('02_工程タスク'!$A$4:$A$135,A187)&lt;&gt;1,"参照ID不正",IF(INDEX('02_工程タスク'!$D$4:$D$135,MATCH(A187,'02_工程タスク'!$A$4:$A$135,0))="","",INDEX('02_工程タスク'!$D$4:$D$135,MATCH(A187,'02_工程タスク'!$A$4:$A$135,0))))</f>
        <v>Repo・CI・IaCの最小実装</v>
      </c>
      <c r="C187" s="28" t="str">
        <f>IF(COUNTIF('02_工程タスク'!$A$4:$A$135,A187)&lt;&gt;1,"参照ID不正",IF(INDEX('02_工程タスク'!$G$4:$G$135,MATCH(A187,'02_工程タスク'!$A$4:$A$135,0))="","",INDEX('02_工程タスク'!$G$4:$G$135,MATCH(A187,'02_工程タスク'!$A$4:$A$135,0))))</f>
        <v>R07, R12</v>
      </c>
      <c r="D187" s="28" t="str">
        <f>IF(COUNTIF('02_工程タスク'!$A$4:$A$135,A187)&lt;&gt;1,"参照ID不正",IF(INDEX('02_工程タスク'!$H$4:$H$135,MATCH(A187,'02_工程タスク'!$A$4:$A$135,0))="","",INDEX('02_工程タスク'!$H$4:$H$135,MATCH(A187,'02_工程タスク'!$A$4:$A$135,0))))</f>
        <v>R06</v>
      </c>
      <c r="E187" s="4" t="s">
        <v>2229</v>
      </c>
      <c r="F187" s="28" t="str">
        <f>IF(COUNTIF('07_スキル辞書'!$A$4:$A$109,E187)&lt;&gt;1,"参照ID不正",IF(INDEX('07_スキル辞書'!$D$4:$D$109,MATCH(E187,'07_スキル辞書'!$A$4:$A$109,0))="","",INDEX('07_スキル辞書'!$D$4:$D$109,MATCH(E187,'07_スキル辞書'!$A$4:$A$109,0))))</f>
        <v>CI/CD・MLOps/LLMOpsパイプライン構築</v>
      </c>
      <c r="G187" s="4">
        <v>2</v>
      </c>
      <c r="H187" s="28" t="str">
        <f>IF(COUNTIF('07_スキル辞書'!$A$4:$A$109,E187)&lt;&gt;1,"参照ID不正",IF(INDEX('07_スキル辞書'!$I$4:$I$109,MATCH(E187,'07_スキル辞書'!$A$4:$A$109,0))="","",INDEX('07_スキル辞書'!$I$4:$I$109,MATCH(E187,'07_スキル辞書'!$A$4:$A$109,0))))</f>
        <v>CI/CDパイプライン定義ファイル、再学習パイプライン v1、自動化された学習・評価パイプライン、MLOps成熟度アセスメントレポート、改善ロードマップ</v>
      </c>
      <c r="I187" s="4" t="s">
        <v>2900</v>
      </c>
    </row>
    <row r="188" spans="1:9" ht="38" customHeight="1" x14ac:dyDescent="0.2">
      <c r="A188" s="2" t="s">
        <v>857</v>
      </c>
      <c r="B188" s="28" t="str">
        <f>IF(COUNTIF('02_工程タスク'!$A$4:$A$135,A188)&lt;&gt;1,"参照ID不正",IF(INDEX('02_工程タスク'!$D$4:$D$135,MATCH(A188,'02_工程タスク'!$A$4:$A$135,0))="","",INDEX('02_工程タスク'!$D$4:$D$135,MATCH(A188,'02_工程タスク'!$A$4:$A$135,0))))</f>
        <v>Repo・CI・IaCの最小実装</v>
      </c>
      <c r="C188" s="28" t="str">
        <f>IF(COUNTIF('02_工程タスク'!$A$4:$A$135,A188)&lt;&gt;1,"参照ID不正",IF(INDEX('02_工程タスク'!$G$4:$G$135,MATCH(A188,'02_工程タスク'!$A$4:$A$135,0))="","",INDEX('02_工程タスク'!$G$4:$G$135,MATCH(A188,'02_工程タスク'!$A$4:$A$135,0))))</f>
        <v>R07, R12</v>
      </c>
      <c r="D188" s="28" t="str">
        <f>IF(COUNTIF('02_工程タスク'!$A$4:$A$135,A188)&lt;&gt;1,"参照ID不正",IF(INDEX('02_工程タスク'!$H$4:$H$135,MATCH(A188,'02_工程タスク'!$A$4:$A$135,0))="","",INDEX('02_工程タスク'!$H$4:$H$135,MATCH(A188,'02_工程タスク'!$A$4:$A$135,0))))</f>
        <v>R06</v>
      </c>
      <c r="E188" s="2" t="s">
        <v>2604</v>
      </c>
      <c r="F188" s="28" t="str">
        <f>IF(COUNTIF('07_スキル辞書'!$A$4:$A$109,E188)&lt;&gt;1,"参照ID不正",IF(INDEX('07_スキル辞書'!$D$4:$D$109,MATCH(E188,'07_スキル辞書'!$A$4:$A$109,0))="","",INDEX('07_スキル辞書'!$D$4:$D$109,MATCH(E188,'07_スキル辞書'!$A$4:$A$109,0))))</f>
        <v>仕様・正本リポジトリ・開発ハーネス</v>
      </c>
      <c r="G188" s="2">
        <v>2</v>
      </c>
      <c r="H188" s="28" t="str">
        <f>IF(COUNTIF('07_スキル辞書'!$A$4:$A$109,E188)&lt;&gt;1,"参照ID不正",IF(INDEX('07_スキル辞書'!$I$4:$I$109,MATCH(E188,'07_スキル辞書'!$A$4:$A$109,0))="","",INDEX('07_スキル辞書'!$I$4:$I$109,MATCH(E188,'07_スキル辞書'!$A$4:$A$109,0))))</f>
        <v>正本リポジトリ／仕様・テスト対応／PRと実行ログ</v>
      </c>
      <c r="I188" s="2" t="s">
        <v>2900</v>
      </c>
    </row>
    <row r="189" spans="1:9" ht="38" customHeight="1" x14ac:dyDescent="0.2">
      <c r="A189" s="4" t="s">
        <v>870</v>
      </c>
      <c r="B189" s="28" t="str">
        <f>IF(COUNTIF('02_工程タスク'!$A$4:$A$135,A189)&lt;&gt;1,"参照ID不正",IF(INDEX('02_工程タスク'!$D$4:$D$135,MATCH(A189,'02_工程タスク'!$A$4:$A$135,0))="","",INDEX('02_工程タスク'!$D$4:$D$135,MATCH(A189,'02_工程タスク'!$A$4:$A$135,0))))</f>
        <v>開発AgentのID・Sandbox・通信制御</v>
      </c>
      <c r="C189" s="28" t="str">
        <f>IF(COUNTIF('02_工程タスク'!$A$4:$A$135,A189)&lt;&gt;1,"参照ID不正",IF(INDEX('02_工程タスク'!$G$4:$G$135,MATCH(A189,'02_工程タスク'!$A$4:$A$135,0))="","",INDEX('02_工程タスク'!$G$4:$G$135,MATCH(A189,'02_工程タスク'!$A$4:$A$135,0))))</f>
        <v>R12, R13</v>
      </c>
      <c r="D189" s="28" t="str">
        <f>IF(COUNTIF('02_工程タスク'!$A$4:$A$135,A189)&lt;&gt;1,"参照ID不正",IF(INDEX('02_工程タスク'!$H$4:$H$135,MATCH(A189,'02_工程タスク'!$A$4:$A$135,0))="","",INDEX('02_工程タスク'!$H$4:$H$135,MATCH(A189,'02_工程タスク'!$A$4:$A$135,0))))</f>
        <v>R13</v>
      </c>
      <c r="E189" s="4" t="s">
        <v>2623</v>
      </c>
      <c r="F189" s="28" t="str">
        <f>IF(COUNTIF('07_スキル辞書'!$A$4:$A$109,E189)&lt;&gt;1,"参照ID不正",IF(INDEX('07_スキル辞書'!$D$4:$D$109,MATCH(E189,'07_スキル辞書'!$A$4:$A$109,0))="","",INDEX('07_スキル辞書'!$D$4:$D$109,MATCH(E189,'07_スキル辞書'!$A$4:$A$109,0))))</f>
        <v>開発エージェントの権限・通信・供給網統制</v>
      </c>
      <c r="G189" s="4">
        <v>2</v>
      </c>
      <c r="H189" s="28" t="str">
        <f>IF(COUNTIF('07_スキル辞書'!$A$4:$A$109,E189)&lt;&gt;1,"参照ID不正",IF(INDEX('07_スキル辞書'!$I$4:$I$109,MATCH(E189,'07_スキル辞書'!$A$4:$A$109,0))="","",INDEX('07_スキル辞書'!$I$4:$I$109,MATCH(E189,'07_スキル辞書'!$A$4:$A$109,0))))</f>
        <v>ツール許可台帳／sandbox設定／通信・権限試験／秘密検査</v>
      </c>
      <c r="I189" s="4" t="s">
        <v>2900</v>
      </c>
    </row>
    <row r="190" spans="1:9" ht="38" customHeight="1" x14ac:dyDescent="0.2">
      <c r="A190" s="2" t="s">
        <v>870</v>
      </c>
      <c r="B190" s="28" t="str">
        <f>IF(COUNTIF('02_工程タスク'!$A$4:$A$135,A190)&lt;&gt;1,"参照ID不正",IF(INDEX('02_工程タスク'!$D$4:$D$135,MATCH(A190,'02_工程タスク'!$A$4:$A$135,0))="","",INDEX('02_工程タスク'!$D$4:$D$135,MATCH(A190,'02_工程タスク'!$A$4:$A$135,0))))</f>
        <v>開発AgentのID・Sandbox・通信制御</v>
      </c>
      <c r="C190" s="28" t="str">
        <f>IF(COUNTIF('02_工程タスク'!$A$4:$A$135,A190)&lt;&gt;1,"参照ID不正",IF(INDEX('02_工程タスク'!$G$4:$G$135,MATCH(A190,'02_工程タスク'!$A$4:$A$135,0))="","",INDEX('02_工程タスク'!$G$4:$G$135,MATCH(A190,'02_工程タスク'!$A$4:$A$135,0))))</f>
        <v>R12, R13</v>
      </c>
      <c r="D190" s="28" t="str">
        <f>IF(COUNTIF('02_工程タスク'!$A$4:$A$135,A190)&lt;&gt;1,"参照ID不正",IF(INDEX('02_工程タスク'!$H$4:$H$135,MATCH(A190,'02_工程タスク'!$A$4:$A$135,0))="","",INDEX('02_工程タスク'!$H$4:$H$135,MATCH(A190,'02_工程タスク'!$A$4:$A$135,0))))</f>
        <v>R13</v>
      </c>
      <c r="E190" s="2" t="s">
        <v>2818</v>
      </c>
      <c r="F190" s="28" t="str">
        <f>IF(COUNTIF('07_スキル辞書'!$A$4:$A$109,E190)&lt;&gt;1,"参照ID不正",IF(INDEX('07_スキル辞書'!$D$4:$D$109,MATCH(E190,'07_スキル辞書'!$A$4:$A$109,0))="","",INDEX('07_スキル辞書'!$D$4:$D$109,MATCH(E190,'07_スキル辞書'!$A$4:$A$109,0))))</f>
        <v>Tool/MCP認可・副作用・実行制御</v>
      </c>
      <c r="G190" s="2">
        <v>2</v>
      </c>
      <c r="H190" s="28" t="str">
        <f>IF(COUNTIF('07_スキル辞書'!$A$4:$A$109,E190)&lt;&gt;1,"参照ID不正",IF(INDEX('07_スキル辞書'!$I$4:$I$109,MATCH(E190,'07_スキル辞書'!$A$4:$A$109,0))="","",INDEX('07_スキル辞書'!$I$4:$I$109,MATCH(E190,'07_スキル辞書'!$A$4:$A$109,0))))</f>
        <v>Tool契約・Policy・攻撃試験</v>
      </c>
      <c r="I190" s="2" t="s">
        <v>2900</v>
      </c>
    </row>
    <row r="191" spans="1:9" ht="38" customHeight="1" x14ac:dyDescent="0.2">
      <c r="A191" s="4" t="s">
        <v>870</v>
      </c>
      <c r="B191" s="28" t="str">
        <f>IF(COUNTIF('02_工程タスク'!$A$4:$A$135,A191)&lt;&gt;1,"参照ID不正",IF(INDEX('02_工程タスク'!$D$4:$D$135,MATCH(A191,'02_工程タスク'!$A$4:$A$135,0))="","",INDEX('02_工程タスク'!$D$4:$D$135,MATCH(A191,'02_工程タスク'!$A$4:$A$135,0))))</f>
        <v>開発AgentのID・Sandbox・通信制御</v>
      </c>
      <c r="C191" s="28" t="str">
        <f>IF(COUNTIF('02_工程タスク'!$A$4:$A$135,A191)&lt;&gt;1,"参照ID不正",IF(INDEX('02_工程タスク'!$G$4:$G$135,MATCH(A191,'02_工程タスク'!$A$4:$A$135,0))="","",INDEX('02_工程タスク'!$G$4:$G$135,MATCH(A191,'02_工程タスク'!$A$4:$A$135,0))))</f>
        <v>R12, R13</v>
      </c>
      <c r="D191" s="28" t="str">
        <f>IF(COUNTIF('02_工程タスク'!$A$4:$A$135,A191)&lt;&gt;1,"参照ID不正",IF(INDEX('02_工程タスク'!$H$4:$H$135,MATCH(A191,'02_工程タスク'!$A$4:$A$135,0))="","",INDEX('02_工程タスク'!$H$4:$H$135,MATCH(A191,'02_工程タスク'!$A$4:$A$135,0))))</f>
        <v>R13</v>
      </c>
      <c r="E191" s="4" t="s">
        <v>2827</v>
      </c>
      <c r="F191" s="28" t="str">
        <f>IF(COUNTIF('07_スキル辞書'!$A$4:$A$109,E191)&lt;&gt;1,"参照ID不正",IF(INDEX('07_スキル辞書'!$D$4:$D$109,MATCH(E191,'07_スキル辞書'!$A$4:$A$109,0))="","",INDEX('07_スキル辞書'!$D$4:$D$109,MATCH(E191,'07_スキル辞書'!$A$4:$A$109,0))))</f>
        <v>有界ループ・実行環境・検証設計</v>
      </c>
      <c r="G191" s="4">
        <v>2</v>
      </c>
      <c r="H191" s="28" t="str">
        <f>IF(COUNTIF('07_スキル辞書'!$A$4:$A$109,E191)&lt;&gt;1,"参照ID不正",IF(INDEX('07_スキル辞書'!$I$4:$I$109,MATCH(E191,'07_スキル辞書'!$A$4:$A$109,0))="","",INDEX('07_スキル辞書'!$I$4:$I$109,MATCH(E191,'07_スキル辞書'!$A$4:$A$109,0))))</f>
        <v>Harness設定・Loop trace・停止試験</v>
      </c>
      <c r="I191" s="4" t="s">
        <v>2900</v>
      </c>
    </row>
    <row r="192" spans="1:9" ht="38" customHeight="1" x14ac:dyDescent="0.2">
      <c r="A192" s="2" t="s">
        <v>881</v>
      </c>
      <c r="B192" s="28" t="str">
        <f>IF(COUNTIF('02_工程タスク'!$A$4:$A$135,A192)&lt;&gt;1,"参照ID不正",IF(INDEX('02_工程タスク'!$D$4:$D$135,MATCH(A192,'02_工程タスク'!$A$4:$A$135,0))="","",INDEX('02_工程タスク'!$D$4:$D$135,MATCH(A192,'02_工程タスク'!$A$4:$A$135,0))))</f>
        <v>Agent Skillの作成・検証・登録</v>
      </c>
      <c r="C192" s="28" t="str">
        <f>IF(COUNTIF('02_工程タスク'!$A$4:$A$135,A192)&lt;&gt;1,"参照ID不正",IF(INDEX('02_工程タスク'!$G$4:$G$135,MATCH(A192,'02_工程タスク'!$A$4:$A$135,0))="","",INDEX('02_工程タスク'!$G$4:$G$135,MATCH(A192,'02_工程タスク'!$A$4:$A$135,0))))</f>
        <v>R07, R08, R13</v>
      </c>
      <c r="D192" s="28" t="str">
        <f>IF(COUNTIF('02_工程タスク'!$A$4:$A$135,A192)&lt;&gt;1,"参照ID不正",IF(INDEX('02_工程タスク'!$H$4:$H$135,MATCH(A192,'02_工程タスク'!$A$4:$A$135,0))="","",INDEX('02_工程タスク'!$H$4:$H$135,MATCH(A192,'02_工程タスク'!$A$4:$A$135,0))))</f>
        <v>R06</v>
      </c>
      <c r="E192" s="2" t="s">
        <v>2799</v>
      </c>
      <c r="F192" s="28" t="str">
        <f>IF(COUNTIF('07_スキル辞書'!$A$4:$A$109,E192)&lt;&gt;1,"参照ID不正",IF(INDEX('07_スキル辞書'!$D$4:$D$109,MATCH(E192,'07_スキル辞書'!$A$4:$A$109,0))="","",INDEX('07_スキル辞書'!$D$4:$D$109,MATCH(E192,'07_スキル辞書'!$A$4:$A$109,0))))</f>
        <v>Agent Skillの設計・審査・ライフサイクル</v>
      </c>
      <c r="G192" s="2">
        <v>2</v>
      </c>
      <c r="H192" s="28" t="str">
        <f>IF(COUNTIF('07_スキル辞書'!$A$4:$A$109,E192)&lt;&gt;1,"参照ID不正",IF(INDEX('07_スキル辞書'!$I$4:$I$109,MATCH(E192,'07_スキル辞書'!$A$4:$A$109,0))="","",INDEX('07_スキル辞書'!$I$4:$I$109,MATCH(E192,'07_スキル辞書'!$A$4:$A$109,0))))</f>
        <v>Skill package・回帰・署名/版・廃止</v>
      </c>
      <c r="I192" s="2" t="s">
        <v>2900</v>
      </c>
    </row>
    <row r="193" spans="1:9" ht="38" customHeight="1" x14ac:dyDescent="0.2">
      <c r="A193" s="4" t="s">
        <v>881</v>
      </c>
      <c r="B193" s="28" t="str">
        <f>IF(COUNTIF('02_工程タスク'!$A$4:$A$135,A193)&lt;&gt;1,"参照ID不正",IF(INDEX('02_工程タスク'!$D$4:$D$135,MATCH(A193,'02_工程タスク'!$A$4:$A$135,0))="","",INDEX('02_工程タスク'!$D$4:$D$135,MATCH(A193,'02_工程タスク'!$A$4:$A$135,0))))</f>
        <v>Agent Skillの作成・検証・登録</v>
      </c>
      <c r="C193" s="28" t="str">
        <f>IF(COUNTIF('02_工程タスク'!$A$4:$A$135,A193)&lt;&gt;1,"参照ID不正",IF(INDEX('02_工程タスク'!$G$4:$G$135,MATCH(A193,'02_工程タスク'!$A$4:$A$135,0))="","",INDEX('02_工程タスク'!$G$4:$G$135,MATCH(A193,'02_工程タスク'!$A$4:$A$135,0))))</f>
        <v>R07, R08, R13</v>
      </c>
      <c r="D193" s="28" t="str">
        <f>IF(COUNTIF('02_工程タスク'!$A$4:$A$135,A193)&lt;&gt;1,"参照ID不正",IF(INDEX('02_工程タスク'!$H$4:$H$135,MATCH(A193,'02_工程タスク'!$A$4:$A$135,0))="","",INDEX('02_工程タスク'!$H$4:$H$135,MATCH(A193,'02_工程タスク'!$A$4:$A$135,0))))</f>
        <v>R06</v>
      </c>
      <c r="E193" s="4" t="s">
        <v>2299</v>
      </c>
      <c r="F193" s="28" t="str">
        <f>IF(COUNTIF('07_スキル辞書'!$A$4:$A$109,E193)&lt;&gt;1,"参照ID不正",IF(INDEX('07_スキル辞書'!$D$4:$D$109,MATCH(E193,'07_スキル辞書'!$A$4:$A$109,0))="","",INDEX('07_スキル辞書'!$D$4:$D$109,MATCH(E193,'07_スキル辞書'!$A$4:$A$109,0))))</f>
        <v>テスト設計と自動テスト</v>
      </c>
      <c r="G193" s="4">
        <v>2</v>
      </c>
      <c r="H193" s="28" t="str">
        <f>IF(COUNTIF('07_スキル辞書'!$A$4:$A$109,E193)&lt;&gt;1,"参照ID不正",IF(INDEX('07_スキル辞書'!$I$4:$I$109,MATCH(E193,'07_スキル辞書'!$A$4:$A$109,0))="","",INDEX('07_スキル辞書'!$I$4:$I$109,MATCH(E193,'07_スキル辞書'!$A$4:$A$109,0))))</f>
        <v>単体・結合テストコード、テストカバレッジレポート、システム総合テスト報告書、性能テスト報告書</v>
      </c>
      <c r="I193" s="4" t="s">
        <v>2900</v>
      </c>
    </row>
    <row r="194" spans="1:9" ht="38" customHeight="1" x14ac:dyDescent="0.2">
      <c r="A194" s="2" t="s">
        <v>881</v>
      </c>
      <c r="B194" s="28" t="str">
        <f>IF(COUNTIF('02_工程タスク'!$A$4:$A$135,A194)&lt;&gt;1,"参照ID不正",IF(INDEX('02_工程タスク'!$D$4:$D$135,MATCH(A194,'02_工程タスク'!$A$4:$A$135,0))="","",INDEX('02_工程タスク'!$D$4:$D$135,MATCH(A194,'02_工程タスク'!$A$4:$A$135,0))))</f>
        <v>Agent Skillの作成・検証・登録</v>
      </c>
      <c r="C194" s="28" t="str">
        <f>IF(COUNTIF('02_工程タスク'!$A$4:$A$135,A194)&lt;&gt;1,"参照ID不正",IF(INDEX('02_工程タスク'!$G$4:$G$135,MATCH(A194,'02_工程タスク'!$A$4:$A$135,0))="","",INDEX('02_工程タスク'!$G$4:$G$135,MATCH(A194,'02_工程タスク'!$A$4:$A$135,0))))</f>
        <v>R07, R08, R13</v>
      </c>
      <c r="D194" s="28" t="str">
        <f>IF(COUNTIF('02_工程タスク'!$A$4:$A$135,A194)&lt;&gt;1,"参照ID不正",IF(INDEX('02_工程タスク'!$H$4:$H$135,MATCH(A194,'02_工程タスク'!$A$4:$A$135,0))="","",INDEX('02_工程タスク'!$H$4:$H$135,MATCH(A194,'02_工程タスク'!$A$4:$A$135,0))))</f>
        <v>R06</v>
      </c>
      <c r="E194" s="2" t="s">
        <v>2623</v>
      </c>
      <c r="F194" s="28" t="str">
        <f>IF(COUNTIF('07_スキル辞書'!$A$4:$A$109,E194)&lt;&gt;1,"参照ID不正",IF(INDEX('07_スキル辞書'!$D$4:$D$109,MATCH(E194,'07_スキル辞書'!$A$4:$A$109,0))="","",INDEX('07_スキル辞書'!$D$4:$D$109,MATCH(E194,'07_スキル辞書'!$A$4:$A$109,0))))</f>
        <v>開発エージェントの権限・通信・供給網統制</v>
      </c>
      <c r="G194" s="2">
        <v>2</v>
      </c>
      <c r="H194" s="28" t="str">
        <f>IF(COUNTIF('07_スキル辞書'!$A$4:$A$109,E194)&lt;&gt;1,"参照ID不正",IF(INDEX('07_スキル辞書'!$I$4:$I$109,MATCH(E194,'07_スキル辞書'!$A$4:$A$109,0))="","",INDEX('07_スキル辞書'!$I$4:$I$109,MATCH(E194,'07_スキル辞書'!$A$4:$A$109,0))))</f>
        <v>ツール許可台帳／sandbox設定／通信・権限試験／秘密検査</v>
      </c>
      <c r="I194" s="2" t="s">
        <v>2900</v>
      </c>
    </row>
    <row r="195" spans="1:9" ht="38" customHeight="1" x14ac:dyDescent="0.2">
      <c r="A195" s="4" t="s">
        <v>891</v>
      </c>
      <c r="B195" s="28" t="str">
        <f>IF(COUNTIF('02_工程タスク'!$A$4:$A$135,A195)&lt;&gt;1,"参照ID不正",IF(INDEX('02_工程タスク'!$D$4:$D$135,MATCH(A195,'02_工程タスク'!$A$4:$A$135,0))="","",INDEX('02_工程タスク'!$D$4:$D$135,MATCH(A195,'02_工程タスク'!$A$4:$A$135,0))))</f>
        <v>計画・実装・検証・修復ループ</v>
      </c>
      <c r="C195" s="28" t="str">
        <f>IF(COUNTIF('02_工程タスク'!$A$4:$A$135,A195)&lt;&gt;1,"参照ID不正",IF(INDEX('02_工程タスク'!$G$4:$G$135,MATCH(A195,'02_工程タスク'!$A$4:$A$135,0))="","",INDEX('02_工程タスク'!$G$4:$G$135,MATCH(A195,'02_工程タスク'!$A$4:$A$135,0))))</f>
        <v>R07, R08</v>
      </c>
      <c r="D195" s="28" t="str">
        <f>IF(COUNTIF('02_工程タスク'!$A$4:$A$135,A195)&lt;&gt;1,"参照ID不正",IF(INDEX('02_工程タスク'!$H$4:$H$135,MATCH(A195,'02_工程タスク'!$A$4:$A$135,0))="","",INDEX('02_工程タスク'!$H$4:$H$135,MATCH(A195,'02_工程タスク'!$A$4:$A$135,0))))</f>
        <v>R06</v>
      </c>
      <c r="E195" s="4" t="s">
        <v>2173</v>
      </c>
      <c r="F195" s="28" t="str">
        <f>IF(COUNTIF('07_スキル辞書'!$A$4:$A$109,E195)&lt;&gt;1,"参照ID不正",IF(INDEX('07_スキル辞書'!$D$4:$D$109,MATCH(E195,'07_スキル辞書'!$A$4:$A$109,0))="","",INDEX('07_スキル辞書'!$D$4:$D$109,MATCH(E195,'07_スキル辞書'!$A$4:$A$109,0))))</f>
        <v>コーディングエージェントの活用</v>
      </c>
      <c r="G195" s="4">
        <v>2</v>
      </c>
      <c r="H195" s="28" t="str">
        <f>IF(COUNTIF('07_スキル辞書'!$A$4:$A$109,E195)&lt;&gt;1,"参照ID不正",IF(INDEX('07_スキル辞書'!$I$4:$I$109,MATCH(E195,'07_スキル辞書'!$A$4:$A$109,0))="","",INDEX('07_スキル辞書'!$I$4:$I$109,MATCH(E195,'07_スキル辞書'!$A$4:$A$109,0))))</f>
        <v>サーバーサイドのソースコード、単体・結合テストコード、クレンジングスクリプト、フロントエンドのソースコード</v>
      </c>
      <c r="I195" s="4" t="s">
        <v>2900</v>
      </c>
    </row>
    <row r="196" spans="1:9" ht="38" customHeight="1" x14ac:dyDescent="0.2">
      <c r="A196" s="2" t="s">
        <v>891</v>
      </c>
      <c r="B196" s="28" t="str">
        <f>IF(COUNTIF('02_工程タスク'!$A$4:$A$135,A196)&lt;&gt;1,"参照ID不正",IF(INDEX('02_工程タスク'!$D$4:$D$135,MATCH(A196,'02_工程タスク'!$A$4:$A$135,0))="","",INDEX('02_工程タスク'!$D$4:$D$135,MATCH(A196,'02_工程タスク'!$A$4:$A$135,0))))</f>
        <v>計画・実装・検証・修復ループ</v>
      </c>
      <c r="C196" s="28" t="str">
        <f>IF(COUNTIF('02_工程タスク'!$A$4:$A$135,A196)&lt;&gt;1,"参照ID不正",IF(INDEX('02_工程タスク'!$G$4:$G$135,MATCH(A196,'02_工程タスク'!$A$4:$A$135,0))="","",INDEX('02_工程タスク'!$G$4:$G$135,MATCH(A196,'02_工程タスク'!$A$4:$A$135,0))))</f>
        <v>R07, R08</v>
      </c>
      <c r="D196" s="28" t="str">
        <f>IF(COUNTIF('02_工程タスク'!$A$4:$A$135,A196)&lt;&gt;1,"参照ID不正",IF(INDEX('02_工程タスク'!$H$4:$H$135,MATCH(A196,'02_工程タスク'!$A$4:$A$135,0))="","",INDEX('02_工程タスク'!$H$4:$H$135,MATCH(A196,'02_工程タスク'!$A$4:$A$135,0))))</f>
        <v>R06</v>
      </c>
      <c r="E196" s="2" t="s">
        <v>2827</v>
      </c>
      <c r="F196" s="28" t="str">
        <f>IF(COUNTIF('07_スキル辞書'!$A$4:$A$109,E196)&lt;&gt;1,"参照ID不正",IF(INDEX('07_スキル辞書'!$D$4:$D$109,MATCH(E196,'07_スキル辞書'!$A$4:$A$109,0))="","",INDEX('07_スキル辞書'!$D$4:$D$109,MATCH(E196,'07_スキル辞書'!$A$4:$A$109,0))))</f>
        <v>有界ループ・実行環境・検証設計</v>
      </c>
      <c r="G196" s="2">
        <v>2</v>
      </c>
      <c r="H196" s="28" t="str">
        <f>IF(COUNTIF('07_スキル辞書'!$A$4:$A$109,E196)&lt;&gt;1,"参照ID不正",IF(INDEX('07_スキル辞書'!$I$4:$I$109,MATCH(E196,'07_スキル辞書'!$A$4:$A$109,0))="","",INDEX('07_スキル辞書'!$I$4:$I$109,MATCH(E196,'07_スキル辞書'!$A$4:$A$109,0))))</f>
        <v>Harness設定・Loop trace・停止試験</v>
      </c>
      <c r="I196" s="2" t="s">
        <v>2900</v>
      </c>
    </row>
    <row r="197" spans="1:9" ht="38" customHeight="1" x14ac:dyDescent="0.2">
      <c r="A197" s="4" t="s">
        <v>891</v>
      </c>
      <c r="B197" s="28" t="str">
        <f>IF(COUNTIF('02_工程タスク'!$A$4:$A$135,A197)&lt;&gt;1,"参照ID不正",IF(INDEX('02_工程タスク'!$D$4:$D$135,MATCH(A197,'02_工程タスク'!$A$4:$A$135,0))="","",INDEX('02_工程タスク'!$D$4:$D$135,MATCH(A197,'02_工程タスク'!$A$4:$A$135,0))))</f>
        <v>計画・実装・検証・修復ループ</v>
      </c>
      <c r="C197" s="28" t="str">
        <f>IF(COUNTIF('02_工程タスク'!$A$4:$A$135,A197)&lt;&gt;1,"参照ID不正",IF(INDEX('02_工程タスク'!$G$4:$G$135,MATCH(A197,'02_工程タスク'!$A$4:$A$135,0))="","",INDEX('02_工程タスク'!$G$4:$G$135,MATCH(A197,'02_工程タスク'!$A$4:$A$135,0))))</f>
        <v>R07, R08</v>
      </c>
      <c r="D197" s="28" t="str">
        <f>IF(COUNTIF('02_工程タスク'!$A$4:$A$135,A197)&lt;&gt;1,"参照ID不正",IF(INDEX('02_工程タスク'!$H$4:$H$135,MATCH(A197,'02_工程タスク'!$A$4:$A$135,0))="","",INDEX('02_工程タスク'!$H$4:$H$135,MATCH(A197,'02_工程タスク'!$A$4:$A$135,0))))</f>
        <v>R06</v>
      </c>
      <c r="E197" s="4" t="s">
        <v>2836</v>
      </c>
      <c r="F197" s="28" t="str">
        <f>IF(COUNTIF('07_スキル辞書'!$A$4:$A$109,E197)&lt;&gt;1,"参照ID不正",IF(INDEX('07_スキル辞書'!$D$4:$D$109,MATCH(E197,'07_スキル辞書'!$A$4:$A$109,0))="","",INDEX('07_スキル辞書'!$D$4:$D$109,MATCH(E197,'07_スキル辞書'!$A$4:$A$109,0))))</f>
        <v>並列Agent・checkpoint・handoff</v>
      </c>
      <c r="G197" s="4">
        <v>2</v>
      </c>
      <c r="H197" s="28" t="str">
        <f>IF(COUNTIF('07_スキル辞書'!$A$4:$A$109,E197)&lt;&gt;1,"参照ID不正",IF(INDEX('07_スキル辞書'!$I$4:$I$109,MATCH(E197,'07_スキル辞書'!$A$4:$A$109,0))="","",INDEX('07_スキル辞書'!$I$4:$I$109,MATCH(E197,'07_スキル辞書'!$A$4:$A$109,0))))</f>
        <v>分割計画・handoff・統合証拠</v>
      </c>
      <c r="I197" s="4" t="s">
        <v>2900</v>
      </c>
    </row>
    <row r="198" spans="1:9" ht="38" customHeight="1" x14ac:dyDescent="0.2">
      <c r="A198" s="2" t="s">
        <v>900</v>
      </c>
      <c r="B198" s="28" t="str">
        <f>IF(COUNTIF('02_工程タスク'!$A$4:$A$135,A198)&lt;&gt;1,"参照ID不正",IF(INDEX('02_工程タスク'!$D$4:$D$135,MATCH(A198,'02_工程タスク'!$A$4:$A$135,0))="","",INDEX('02_工程タスク'!$D$4:$D$135,MATCH(A198,'02_工程タスク'!$A$4:$A$135,0))))</f>
        <v>分割・worktree・handoff・統合</v>
      </c>
      <c r="C198" s="28" t="str">
        <f>IF(COUNTIF('02_工程タスク'!$A$4:$A$135,A198)&lt;&gt;1,"参照ID不正",IF(INDEX('02_工程タスク'!$G$4:$G$135,MATCH(A198,'02_工程タスク'!$A$4:$A$135,0))="","",INDEX('02_工程タスク'!$G$4:$G$135,MATCH(A198,'02_工程タスク'!$A$4:$A$135,0))))</f>
        <v>R03, R07</v>
      </c>
      <c r="D198" s="28" t="str">
        <f>IF(COUNTIF('02_工程タスク'!$A$4:$A$135,A198)&lt;&gt;1,"参照ID不正",IF(INDEX('02_工程タスク'!$H$4:$H$135,MATCH(A198,'02_工程タスク'!$A$4:$A$135,0))="","",INDEX('02_工程タスク'!$H$4:$H$135,MATCH(A198,'02_工程タスク'!$A$4:$A$135,0))))</f>
        <v>R06</v>
      </c>
      <c r="E198" s="2" t="s">
        <v>2064</v>
      </c>
      <c r="F198" s="28" t="str">
        <f>IF(COUNTIF('07_スキル辞書'!$A$4:$A$109,E198)&lt;&gt;1,"参照ID不正",IF(INDEX('07_スキル辞書'!$D$4:$D$109,MATCH(E198,'07_スキル辞書'!$A$4:$A$109,0))="","",INDEX('07_スキル辞書'!$D$4:$D$109,MATCH(E198,'07_スキル辞書'!$A$4:$A$109,0))))</f>
        <v>プロジェクト計画・進捗・変更管理</v>
      </c>
      <c r="G198" s="2">
        <v>2</v>
      </c>
      <c r="H198" s="28" t="str">
        <f>IF(COUNTIF('07_スキル辞書'!$A$4:$A$109,E198)&lt;&gt;1,"参照ID不正",IF(INDEX('07_スキル辞書'!$I$4:$I$109,MATCH(E198,'07_スキル辞書'!$A$4:$A$109,0))="","",INDEX('07_スキル辞書'!$I$4:$I$109,MATCH(E198,'07_スキル辞書'!$A$4:$A$109,0))))</f>
        <v>Issue／ロードマップ、投資枠・検証予算、変更影響評価、事業・品質レビュー、継続／停止判断。</v>
      </c>
      <c r="I198" s="2" t="s">
        <v>2900</v>
      </c>
    </row>
    <row r="199" spans="1:9" ht="38" customHeight="1" x14ac:dyDescent="0.2">
      <c r="A199" s="4" t="s">
        <v>900</v>
      </c>
      <c r="B199" s="28" t="str">
        <f>IF(COUNTIF('02_工程タスク'!$A$4:$A$135,A199)&lt;&gt;1,"参照ID不正",IF(INDEX('02_工程タスク'!$D$4:$D$135,MATCH(A199,'02_工程タスク'!$A$4:$A$135,0))="","",INDEX('02_工程タスク'!$D$4:$D$135,MATCH(A199,'02_工程タスク'!$A$4:$A$135,0))))</f>
        <v>分割・worktree・handoff・統合</v>
      </c>
      <c r="C199" s="28" t="str">
        <f>IF(COUNTIF('02_工程タスク'!$A$4:$A$135,A199)&lt;&gt;1,"参照ID不正",IF(INDEX('02_工程タスク'!$G$4:$G$135,MATCH(A199,'02_工程タスク'!$A$4:$A$135,0))="","",INDEX('02_工程タスク'!$G$4:$G$135,MATCH(A199,'02_工程タスク'!$A$4:$A$135,0))))</f>
        <v>R03, R07</v>
      </c>
      <c r="D199" s="28" t="str">
        <f>IF(COUNTIF('02_工程タスク'!$A$4:$A$135,A199)&lt;&gt;1,"参照ID不正",IF(INDEX('02_工程タスク'!$H$4:$H$135,MATCH(A199,'02_工程タスク'!$A$4:$A$135,0))="","",INDEX('02_工程タスク'!$H$4:$H$135,MATCH(A199,'02_工程タスク'!$A$4:$A$135,0))))</f>
        <v>R06</v>
      </c>
      <c r="E199" s="4" t="s">
        <v>2836</v>
      </c>
      <c r="F199" s="28" t="str">
        <f>IF(COUNTIF('07_スキル辞書'!$A$4:$A$109,E199)&lt;&gt;1,"参照ID不正",IF(INDEX('07_スキル辞書'!$D$4:$D$109,MATCH(E199,'07_スキル辞書'!$A$4:$A$109,0))="","",INDEX('07_スキル辞書'!$D$4:$D$109,MATCH(E199,'07_スキル辞書'!$A$4:$A$109,0))))</f>
        <v>並列Agent・checkpoint・handoff</v>
      </c>
      <c r="G199" s="4">
        <v>2</v>
      </c>
      <c r="H199" s="28" t="str">
        <f>IF(COUNTIF('07_スキル辞書'!$A$4:$A$109,E199)&lt;&gt;1,"参照ID不正",IF(INDEX('07_スキル辞書'!$I$4:$I$109,MATCH(E199,'07_スキル辞書'!$A$4:$A$109,0))="","",INDEX('07_スキル辞書'!$I$4:$I$109,MATCH(E199,'07_スキル辞書'!$A$4:$A$109,0))))</f>
        <v>分割計画・handoff・統合証拠</v>
      </c>
      <c r="I199" s="4" t="s">
        <v>2900</v>
      </c>
    </row>
    <row r="200" spans="1:9" ht="38" customHeight="1" x14ac:dyDescent="0.2">
      <c r="A200" s="2" t="s">
        <v>900</v>
      </c>
      <c r="B200" s="28" t="str">
        <f>IF(COUNTIF('02_工程タスク'!$A$4:$A$135,A200)&lt;&gt;1,"参照ID不正",IF(INDEX('02_工程タスク'!$D$4:$D$135,MATCH(A200,'02_工程タスク'!$A$4:$A$135,0))="","",INDEX('02_工程タスク'!$D$4:$D$135,MATCH(A200,'02_工程タスク'!$A$4:$A$135,0))))</f>
        <v>分割・worktree・handoff・統合</v>
      </c>
      <c r="C200" s="28" t="str">
        <f>IF(COUNTIF('02_工程タスク'!$A$4:$A$135,A200)&lt;&gt;1,"参照ID不正",IF(INDEX('02_工程タスク'!$G$4:$G$135,MATCH(A200,'02_工程タスク'!$A$4:$A$135,0))="","",INDEX('02_工程タスク'!$G$4:$G$135,MATCH(A200,'02_工程タスク'!$A$4:$A$135,0))))</f>
        <v>R03, R07</v>
      </c>
      <c r="D200" s="28" t="str">
        <f>IF(COUNTIF('02_工程タスク'!$A$4:$A$135,A200)&lt;&gt;1,"参照ID不正",IF(INDEX('02_工程タスク'!$H$4:$H$135,MATCH(A200,'02_工程タスク'!$A$4:$A$135,0))="","",INDEX('02_工程タスク'!$H$4:$H$135,MATCH(A200,'02_工程タスク'!$A$4:$A$135,0))))</f>
        <v>R06</v>
      </c>
      <c r="E200" s="2" t="s">
        <v>2632</v>
      </c>
      <c r="F200" s="28" t="str">
        <f>IF(COUNTIF('07_スキル辞書'!$A$4:$A$109,E200)&lt;&gt;1,"参照ID不正",IF(INDEX('07_スキル辞書'!$D$4:$D$109,MATCH(E200,'07_スキル辞書'!$A$4:$A$109,0))="","",INDEX('07_スキル辞書'!$D$4:$D$109,MATCH(E200,'07_スキル辞書'!$A$4:$A$109,0))))</f>
        <v>AI開発効果の実測と段階見積</v>
      </c>
      <c r="G200" s="2">
        <v>2</v>
      </c>
      <c r="H200" s="28" t="str">
        <f>IF(COUNTIF('07_スキル辞書'!$A$4:$A$109,E200)&lt;&gt;1,"参照ID不正",IF(INDEX('07_スキル辞書'!$I$4:$I$109,MATCH(E200,'07_スキル辞書'!$A$4:$A$109,0))="","",INDEX('07_スキル辞書'!$I$4:$I$109,MATCH(E200,'07_スキル辞書'!$A$4:$A$109,0))))</f>
        <v>16シート／計測ログ／品質・不具合追跡／較正記録</v>
      </c>
      <c r="I200" s="2" t="s">
        <v>2900</v>
      </c>
    </row>
    <row r="201" spans="1:9" ht="38" customHeight="1" x14ac:dyDescent="0.2">
      <c r="A201" s="4" t="s">
        <v>911</v>
      </c>
      <c r="B201" s="28" t="str">
        <f>IF(COUNTIF('02_工程タスク'!$A$4:$A$135,A201)&lt;&gt;1,"参照ID不正",IF(INDEX('02_工程タスク'!$D$4:$D$135,MATCH(A201,'02_工程タスク'!$A$4:$A$135,0))="","",INDEX('02_工程タスク'!$D$4:$D$135,MATCH(A201,'02_工程タスク'!$A$4:$A$135,0))))</f>
        <v>承認済みデータの取得・品質処理</v>
      </c>
      <c r="C201" s="28" t="str">
        <f>IF(COUNTIF('02_工程タスク'!$A$4:$A$135,A201)&lt;&gt;1,"参照ID不正",IF(INDEX('02_工程タスク'!$G$4:$G$135,MATCH(A201,'02_工程タスク'!$A$4:$A$135,0))="","",INDEX('02_工程タスク'!$G$4:$G$135,MATCH(A201,'02_工程タスク'!$A$4:$A$135,0))))</f>
        <v>R09, R10</v>
      </c>
      <c r="D201" s="28" t="str">
        <f>IF(COUNTIF('02_工程タスク'!$A$4:$A$135,A201)&lt;&gt;1,"参照ID不正",IF(INDEX('02_工程タスク'!$H$4:$H$135,MATCH(A201,'02_工程タスク'!$A$4:$A$135,0))="","",INDEX('02_工程タスク'!$H$4:$H$135,MATCH(A201,'02_工程タスク'!$A$4:$A$135,0))))</f>
        <v>R10</v>
      </c>
      <c r="E201" s="4" t="s">
        <v>2138</v>
      </c>
      <c r="F201" s="28" t="str">
        <f>IF(COUNTIF('07_スキル辞書'!$A$4:$A$109,E201)&lt;&gt;1,"参照ID不正",IF(INDEX('07_スキル辞書'!$D$4:$D$109,MATCH(E201,'07_スキル辞書'!$A$4:$A$109,0))="","",INDEX('07_スキル辞書'!$D$4:$D$109,MATCH(E201,'07_スキル辞書'!$A$4:$A$109,0))))</f>
        <v>Pythonとデータ処理プログラミング</v>
      </c>
      <c r="G201" s="4">
        <v>2</v>
      </c>
      <c r="H201" s="28" t="str">
        <f>IF(COUNTIF('07_スキル辞書'!$A$4:$A$109,E201)&lt;&gt;1,"参照ID不正",IF(INDEX('07_スキル辞書'!$I$4:$I$109,MATCH(E201,'07_スキル辞書'!$A$4:$A$109,0))="","",INDEX('07_スキル辞書'!$I$4:$I$109,MATCH(E201,'07_スキル辞書'!$A$4:$A$109,0))))</f>
        <v>クレンジングスクリプト、特徴量セット、学習・改善ログ、品質レビュー済みデータセット</v>
      </c>
      <c r="I201" s="4" t="s">
        <v>2900</v>
      </c>
    </row>
    <row r="202" spans="1:9" ht="38" customHeight="1" x14ac:dyDescent="0.2">
      <c r="A202" s="2" t="s">
        <v>911</v>
      </c>
      <c r="B202" s="28" t="str">
        <f>IF(COUNTIF('02_工程タスク'!$A$4:$A$135,A202)&lt;&gt;1,"参照ID不正",IF(INDEX('02_工程タスク'!$D$4:$D$135,MATCH(A202,'02_工程タスク'!$A$4:$A$135,0))="","",INDEX('02_工程タスク'!$D$4:$D$135,MATCH(A202,'02_工程タスク'!$A$4:$A$135,0))))</f>
        <v>承認済みデータの取得・品質処理</v>
      </c>
      <c r="C202" s="28" t="str">
        <f>IF(COUNTIF('02_工程タスク'!$A$4:$A$135,A202)&lt;&gt;1,"参照ID不正",IF(INDEX('02_工程タスク'!$G$4:$G$135,MATCH(A202,'02_工程タスク'!$A$4:$A$135,0))="","",INDEX('02_工程タスク'!$G$4:$G$135,MATCH(A202,'02_工程タスク'!$A$4:$A$135,0))))</f>
        <v>R09, R10</v>
      </c>
      <c r="D202" s="28" t="str">
        <f>IF(COUNTIF('02_工程タスク'!$A$4:$A$135,A202)&lt;&gt;1,"参照ID不正",IF(INDEX('02_工程タスク'!$H$4:$H$135,MATCH(A202,'02_工程タスク'!$A$4:$A$135,0))="","",INDEX('02_工程タスク'!$H$4:$H$135,MATCH(A202,'02_工程タスク'!$A$4:$A$135,0))))</f>
        <v>R10</v>
      </c>
      <c r="E202" s="2" t="s">
        <v>2147</v>
      </c>
      <c r="F202" s="28" t="str">
        <f>IF(COUNTIF('07_スキル辞書'!$A$4:$A$109,E202)&lt;&gt;1,"参照ID不正",IF(INDEX('07_スキル辞書'!$D$4:$D$109,MATCH(E202,'07_スキル辞書'!$A$4:$A$109,0))="","",INDEX('07_スキル辞書'!$D$4:$D$109,MATCH(E202,'07_スキル辞書'!$A$4:$A$109,0))))</f>
        <v>SQLとデータモデリング</v>
      </c>
      <c r="G202" s="2">
        <v>2</v>
      </c>
      <c r="H202" s="28" t="str">
        <f>IF(COUNTIF('07_スキル辞書'!$A$4:$A$109,E202)&lt;&gt;1,"参照ID不正",IF(INDEX('07_スキル辞書'!$I$4:$I$109,MATCH(E202,'07_スキル辞書'!$A$4:$A$109,0))="","",INDEX('07_スキル辞書'!$I$4:$I$109,MATCH(E202,'07_スキル辞書'!$A$4:$A$109,0))))</f>
        <v>データモデル定義書、スキーマ定義書、データ品質評価レポート（クラス分布を含む）、要件定義書 v2（サインオフ済み）</v>
      </c>
      <c r="I202" s="2" t="s">
        <v>2900</v>
      </c>
    </row>
    <row r="203" spans="1:9" ht="38" customHeight="1" x14ac:dyDescent="0.2">
      <c r="A203" s="4" t="s">
        <v>911</v>
      </c>
      <c r="B203" s="28" t="str">
        <f>IF(COUNTIF('02_工程タスク'!$A$4:$A$135,A203)&lt;&gt;1,"参照ID不正",IF(INDEX('02_工程タスク'!$D$4:$D$135,MATCH(A203,'02_工程タスク'!$A$4:$A$135,0))="","",INDEX('02_工程タスク'!$D$4:$D$135,MATCH(A203,'02_工程タスク'!$A$4:$A$135,0))))</f>
        <v>承認済みデータの取得・品質処理</v>
      </c>
      <c r="C203" s="28" t="str">
        <f>IF(COUNTIF('02_工程タスク'!$A$4:$A$135,A203)&lt;&gt;1,"参照ID不正",IF(INDEX('02_工程タスク'!$G$4:$G$135,MATCH(A203,'02_工程タスク'!$A$4:$A$135,0))="","",INDEX('02_工程タスク'!$G$4:$G$135,MATCH(A203,'02_工程タスク'!$A$4:$A$135,0))))</f>
        <v>R09, R10</v>
      </c>
      <c r="D203" s="28" t="str">
        <f>IF(COUNTIF('02_工程タスク'!$A$4:$A$135,A203)&lt;&gt;1,"参照ID不正",IF(INDEX('02_工程タスク'!$H$4:$H$135,MATCH(A203,'02_工程タスク'!$A$4:$A$135,0))="","",INDEX('02_工程タスク'!$H$4:$H$135,MATCH(A203,'02_工程タスク'!$A$4:$A$135,0))))</f>
        <v>R10</v>
      </c>
      <c r="E203" s="4" t="s">
        <v>2417</v>
      </c>
      <c r="F203" s="28" t="str">
        <f>IF(COUNTIF('07_スキル辞書'!$A$4:$A$109,E203)&lt;&gt;1,"参照ID不正",IF(INDEX('07_スキル辞書'!$D$4:$D$109,MATCH(E203,'07_スキル辞書'!$A$4:$A$109,0))="","",INDEX('07_スキル辞書'!$D$4:$D$109,MATCH(E203,'07_スキル辞書'!$A$4:$A$109,0))))</f>
        <v>データアセスメントと探索的データ分析（EDA）</v>
      </c>
      <c r="G203" s="4">
        <v>2</v>
      </c>
      <c r="H203" s="28" t="str">
        <f>IF(COUNTIF('07_スキル辞書'!$A$4:$A$109,E203)&lt;&gt;1,"参照ID不正",IF(INDEX('07_スキル辞書'!$I$4:$I$109,MATCH(E203,'07_スキル辞書'!$A$4:$A$109,0))="","",INDEX('07_スキル辞書'!$I$4:$I$109,MATCH(E203,'07_スキル辞書'!$A$4:$A$109,0))))</f>
        <v>予備データアセスメントレポート、データ品質評価レポート（クラス分布を含む）</v>
      </c>
      <c r="I203" s="4" t="s">
        <v>2900</v>
      </c>
    </row>
    <row r="204" spans="1:9" ht="38" customHeight="1" x14ac:dyDescent="0.2">
      <c r="A204" s="2" t="s">
        <v>911</v>
      </c>
      <c r="B204" s="28" t="str">
        <f>IF(COUNTIF('02_工程タスク'!$A$4:$A$135,A204)&lt;&gt;1,"参照ID不正",IF(INDEX('02_工程タスク'!$D$4:$D$135,MATCH(A204,'02_工程タスク'!$A$4:$A$135,0))="","",INDEX('02_工程タスク'!$D$4:$D$135,MATCH(A204,'02_工程タスク'!$A$4:$A$135,0))))</f>
        <v>承認済みデータの取得・品質処理</v>
      </c>
      <c r="C204" s="28" t="str">
        <f>IF(COUNTIF('02_工程タスク'!$A$4:$A$135,A204)&lt;&gt;1,"参照ID不正",IF(INDEX('02_工程タスク'!$G$4:$G$135,MATCH(A204,'02_工程タスク'!$A$4:$A$135,0))="","",INDEX('02_工程タスク'!$G$4:$G$135,MATCH(A204,'02_工程タスク'!$A$4:$A$135,0))))</f>
        <v>R09, R10</v>
      </c>
      <c r="D204" s="28" t="str">
        <f>IF(COUNTIF('02_工程タスク'!$A$4:$A$135,A204)&lt;&gt;1,"参照ID不正",IF(INDEX('02_工程タスク'!$H$4:$H$135,MATCH(A204,'02_工程タスク'!$A$4:$A$135,0))="","",INDEX('02_工程タスク'!$H$4:$H$135,MATCH(A204,'02_工程タスク'!$A$4:$A$135,0))))</f>
        <v>R10</v>
      </c>
      <c r="E204" s="2" t="s">
        <v>2426</v>
      </c>
      <c r="F204" s="28" t="str">
        <f>IF(COUNTIF('07_スキル辞書'!$A$4:$A$109,E204)&lt;&gt;1,"参照ID不正",IF(INDEX('07_スキル辞書'!$D$4:$D$109,MATCH(E204,'07_スキル辞書'!$A$4:$A$109,0))="","",INDEX('07_スキル辞書'!$D$4:$D$109,MATCH(E204,'07_スキル辞書'!$A$4:$A$109,0))))</f>
        <v>データ品質管理とクレンジング設計</v>
      </c>
      <c r="G204" s="2">
        <v>2</v>
      </c>
      <c r="H204" s="28" t="str">
        <f>IF(COUNTIF('07_スキル辞書'!$A$4:$A$109,E204)&lt;&gt;1,"参照ID不正",IF(INDEX('07_スキル辞書'!$I$4:$I$109,MATCH(E204,'07_スキル辞書'!$A$4:$A$109,0))="","",INDEX('07_スキル辞書'!$I$4:$I$109,MATCH(E204,'07_スキル辞書'!$A$4:$A$109,0))))</f>
        <v>データ品質基準定義書、クレンジングスクリプト、クレンジング済みデータ、データ品質レポート、品質レビュー済みデータセット</v>
      </c>
      <c r="I204" s="2" t="s">
        <v>2900</v>
      </c>
    </row>
    <row r="205" spans="1:9" ht="38" customHeight="1" x14ac:dyDescent="0.2">
      <c r="A205" s="4" t="s">
        <v>921</v>
      </c>
      <c r="B205" s="28" t="str">
        <f>IF(COUNTIF('02_工程タスク'!$A$4:$A$135,A205)&lt;&gt;1,"参照ID不正",IF(INDEX('02_工程タスク'!$D$4:$D$135,MATCH(A205,'02_工程タスク'!$A$4:$A$135,0))="","",INDEX('02_工程タスク'!$D$4:$D$135,MATCH(A205,'02_工程タスク'!$A$4:$A$135,0))))</f>
        <v>開発・回帰・凍結評価セットの実装</v>
      </c>
      <c r="C205" s="28" t="str">
        <f>IF(COUNTIF('02_工程タスク'!$A$4:$A$135,A205)&lt;&gt;1,"参照ID不正",IF(INDEX('02_工程タスク'!$G$4:$G$135,MATCH(A205,'02_工程タスク'!$A$4:$A$135,0))="","",INDEX('02_工程タスク'!$G$4:$G$135,MATCH(A205,'02_工程タスク'!$A$4:$A$135,0))))</f>
        <v>R11, R04, R09</v>
      </c>
      <c r="D205" s="28" t="str">
        <f>IF(COUNTIF('02_工程タスク'!$A$4:$A$135,A205)&lt;&gt;1,"参照ID不正",IF(INDEX('02_工程タスク'!$H$4:$H$135,MATCH(A205,'02_工程タスク'!$A$4:$A$135,0))="","",INDEX('02_工程タスク'!$H$4:$H$135,MATCH(A205,'02_工程タスク'!$A$4:$A$135,0))))</f>
        <v>R19</v>
      </c>
      <c r="E205" s="4" t="s">
        <v>2435</v>
      </c>
      <c r="F205" s="28" t="str">
        <f>IF(COUNTIF('07_スキル辞書'!$A$4:$A$109,E205)&lt;&gt;1,"参照ID不正",IF(INDEX('07_スキル辞書'!$D$4:$D$109,MATCH(E205,'07_スキル辞書'!$A$4:$A$109,0))="","",INDEX('07_スキル辞書'!$D$4:$D$109,MATCH(E205,'07_スキル辞書'!$A$4:$A$109,0))))</f>
        <v>データ分割設計とリーク防止</v>
      </c>
      <c r="G205" s="4">
        <v>2</v>
      </c>
      <c r="H205" s="28" t="str">
        <f>IF(COUNTIF('07_スキル辞書'!$A$4:$A$109,E205)&lt;&gt;1,"参照ID不正",IF(INDEX('07_スキル辞書'!$I$4:$I$109,MATCH(E205,'07_スキル辞書'!$A$4:$A$109,0))="","",INDEX('07_スキル辞書'!$I$4:$I$109,MATCH(E205,'07_スキル辞書'!$A$4:$A$109,0))))</f>
        <v>データ分割仕様書、分割済みデータセット（学習・検証・テスト）、最終性能評価レポート（信頼区間付き）、データパイプライン設計書</v>
      </c>
      <c r="I205" s="4" t="s">
        <v>2900</v>
      </c>
    </row>
    <row r="206" spans="1:9" ht="38" customHeight="1" x14ac:dyDescent="0.2">
      <c r="A206" s="2" t="s">
        <v>921</v>
      </c>
      <c r="B206" s="28" t="str">
        <f>IF(COUNTIF('02_工程タスク'!$A$4:$A$135,A206)&lt;&gt;1,"参照ID不正",IF(INDEX('02_工程タスク'!$D$4:$D$135,MATCH(A206,'02_工程タスク'!$A$4:$A$135,0))="","",INDEX('02_工程タスク'!$D$4:$D$135,MATCH(A206,'02_工程タスク'!$A$4:$A$135,0))))</f>
        <v>開発・回帰・凍結評価セットの実装</v>
      </c>
      <c r="C206" s="28" t="str">
        <f>IF(COUNTIF('02_工程タスク'!$A$4:$A$135,A206)&lt;&gt;1,"参照ID不正",IF(INDEX('02_工程タスク'!$G$4:$G$135,MATCH(A206,'02_工程タスク'!$A$4:$A$135,0))="","",INDEX('02_工程タスク'!$G$4:$G$135,MATCH(A206,'02_工程タスク'!$A$4:$A$135,0))))</f>
        <v>R11, R04, R09</v>
      </c>
      <c r="D206" s="28" t="str">
        <f>IF(COUNTIF('02_工程タスク'!$A$4:$A$135,A206)&lt;&gt;1,"参照ID不正",IF(INDEX('02_工程タスク'!$H$4:$H$135,MATCH(A206,'02_工程タスク'!$A$4:$A$135,0))="","",INDEX('02_工程タスク'!$H$4:$H$135,MATCH(A206,'02_工程タスク'!$A$4:$A$135,0))))</f>
        <v>R19</v>
      </c>
      <c r="E206" s="2" t="s">
        <v>2444</v>
      </c>
      <c r="F206" s="28" t="str">
        <f>IF(COUNTIF('07_スキル辞書'!$A$4:$A$109,E206)&lt;&gt;1,"参照ID不正",IF(INDEX('07_スキル辞書'!$D$4:$D$109,MATCH(E206,'07_スキル辞書'!$A$4:$A$109,0))="","",INDEX('07_スキル辞書'!$D$4:$D$109,MATCH(E206,'07_スキル辞書'!$A$4:$A$109,0))))</f>
        <v>アノテーション設計と一致度管理</v>
      </c>
      <c r="G206" s="2">
        <v>2</v>
      </c>
      <c r="H206" s="28" t="str">
        <f>IF(COUNTIF('07_スキル辞書'!$A$4:$A$109,E206)&lt;&gt;1,"参照ID不正",IF(INDEX('07_スキル辞書'!$I$4:$I$109,MATCH(E206,'07_スキル辞書'!$A$4:$A$109,0))="","",INDEX('07_スキル辞書'!$I$4:$I$109,MATCH(E206,'07_スキル辞書'!$A$4:$A$109,0))))</f>
        <v>アノテーション仕様書v1、アノテーション仕様書 v2、教師データセット、品質管理レポート、品質レビュー済みデータセット</v>
      </c>
      <c r="I206" s="2" t="s">
        <v>2900</v>
      </c>
    </row>
    <row r="207" spans="1:9" ht="38" customHeight="1" x14ac:dyDescent="0.2">
      <c r="A207" s="4" t="s">
        <v>921</v>
      </c>
      <c r="B207" s="28" t="str">
        <f>IF(COUNTIF('02_工程タスク'!$A$4:$A$135,A207)&lt;&gt;1,"参照ID不正",IF(INDEX('02_工程タスク'!$D$4:$D$135,MATCH(A207,'02_工程タスク'!$A$4:$A$135,0))="","",INDEX('02_工程タスク'!$D$4:$D$135,MATCH(A207,'02_工程タスク'!$A$4:$A$135,0))))</f>
        <v>開発・回帰・凍結評価セットの実装</v>
      </c>
      <c r="C207" s="28" t="str">
        <f>IF(COUNTIF('02_工程タスク'!$A$4:$A$135,A207)&lt;&gt;1,"参照ID不正",IF(INDEX('02_工程タスク'!$G$4:$G$135,MATCH(A207,'02_工程タスク'!$A$4:$A$135,0))="","",INDEX('02_工程タスク'!$G$4:$G$135,MATCH(A207,'02_工程タスク'!$A$4:$A$135,0))))</f>
        <v>R11, R04, R09</v>
      </c>
      <c r="D207" s="28" t="str">
        <f>IF(COUNTIF('02_工程タスク'!$A$4:$A$135,A207)&lt;&gt;1,"参照ID不正",IF(INDEX('02_工程タスク'!$H$4:$H$135,MATCH(A207,'02_工程タスク'!$A$4:$A$135,0))="","",INDEX('02_工程タスク'!$H$4:$H$135,MATCH(A207,'02_工程タスク'!$A$4:$A$135,0))))</f>
        <v>R19</v>
      </c>
      <c r="E207" s="4" t="s">
        <v>2453</v>
      </c>
      <c r="F207" s="28" t="str">
        <f>IF(COUNTIF('07_スキル辞書'!$A$4:$A$109,E207)&lt;&gt;1,"参照ID不正",IF(INDEX('07_スキル辞書'!$D$4:$D$109,MATCH(E207,'07_スキル辞書'!$A$4:$A$109,0))="","",INDEX('07_スキル辞書'!$D$4:$D$109,MATCH(E207,'07_スキル辞書'!$A$4:$A$109,0))))</f>
        <v>評価セット構築（生成AI案件）</v>
      </c>
      <c r="G207" s="4">
        <v>2</v>
      </c>
      <c r="H207" s="28" t="str">
        <f>IF(COUNTIF('07_スキル辞書'!$A$4:$A$109,E207)&lt;&gt;1,"参照ID不正",IF(INDEX('07_スキル辞書'!$I$4:$I$109,MATCH(E207,'07_スキル辞書'!$A$4:$A$109,0))="","",INDEX('07_スキル辞書'!$I$4:$I$109,MATCH(E207,'07_スキル辞書'!$A$4:$A$109,0))))</f>
        <v>評価セット仕様書、評価データセット、ゴールデンデータセット、評価ハーネス</v>
      </c>
      <c r="I207" s="4" t="s">
        <v>2900</v>
      </c>
    </row>
    <row r="208" spans="1:9" ht="38" customHeight="1" x14ac:dyDescent="0.2">
      <c r="A208" s="2" t="s">
        <v>921</v>
      </c>
      <c r="B208" s="28" t="str">
        <f>IF(COUNTIF('02_工程タスク'!$A$4:$A$135,A208)&lt;&gt;1,"参照ID不正",IF(INDEX('02_工程タスク'!$D$4:$D$135,MATCH(A208,'02_工程タスク'!$A$4:$A$135,0))="","",INDEX('02_工程タスク'!$D$4:$D$135,MATCH(A208,'02_工程タスク'!$A$4:$A$135,0))))</f>
        <v>開発・回帰・凍結評価セットの実装</v>
      </c>
      <c r="C208" s="28" t="str">
        <f>IF(COUNTIF('02_工程タスク'!$A$4:$A$135,A208)&lt;&gt;1,"参照ID不正",IF(INDEX('02_工程タスク'!$G$4:$G$135,MATCH(A208,'02_工程タスク'!$A$4:$A$135,0))="","",INDEX('02_工程タスク'!$G$4:$G$135,MATCH(A208,'02_工程タスク'!$A$4:$A$135,0))))</f>
        <v>R11, R04, R09</v>
      </c>
      <c r="D208" s="28" t="str">
        <f>IF(COUNTIF('02_工程タスク'!$A$4:$A$135,A208)&lt;&gt;1,"参照ID不正",IF(INDEX('02_工程タスク'!$H$4:$H$135,MATCH(A208,'02_工程タスク'!$A$4:$A$135,0))="","",INDEX('02_工程タスク'!$H$4:$H$135,MATCH(A208,'02_工程タスク'!$A$4:$A$135,0))))</f>
        <v>R19</v>
      </c>
      <c r="E208" s="2" t="s">
        <v>2614</v>
      </c>
      <c r="F208" s="28" t="str">
        <f>IF(COUNTIF('07_スキル辞書'!$A$4:$A$109,E208)&lt;&gt;1,"参照ID不正",IF(INDEX('07_スキル辞書'!$D$4:$D$109,MATCH(E208,'07_スキル辞書'!$A$4:$A$109,0))="","",INDEX('07_スキル辞書'!$D$4:$D$109,MATCH(E208,'07_スキル辞書'!$A$4:$A$109,0))))</f>
        <v>独立評価・採点較正・品質承認証拠</v>
      </c>
      <c r="G208" s="2">
        <v>3</v>
      </c>
      <c r="H208" s="28" t="str">
        <f>IF(COUNTIF('07_スキル辞書'!$A$4:$A$109,E208)&lt;&gt;1,"参照ID不正",IF(INDEX('07_スキル辞書'!$I$4:$I$109,MATCH(E208,'07_スキル辞書'!$A$4:$A$109,0))="","",INDEX('07_スキル辞書'!$I$4:$I$109,MATCH(E208,'07_スキル辞書'!$A$4:$A$109,0))))</f>
        <v>凍結評価・grader較正・G3品質勧告</v>
      </c>
      <c r="I208" s="2" t="s">
        <v>2900</v>
      </c>
    </row>
    <row r="209" spans="1:9" ht="38" customHeight="1" x14ac:dyDescent="0.2">
      <c r="A209" s="4" t="s">
        <v>931</v>
      </c>
      <c r="B209" s="28" t="str">
        <f>IF(COUNTIF('02_工程タスク'!$A$4:$A$135,A209)&lt;&gt;1,"参照ID不正",IF(INDEX('02_工程タスク'!$D$4:$D$135,MATCH(A209,'02_工程タスク'!$A$4:$A$135,0))="","",INDEX('02_工程タスク'!$D$4:$D$135,MATCH(A209,'02_工程タスク'!$A$4:$A$135,0))))</f>
        <v>検索・引用・ACL・更新の実装</v>
      </c>
      <c r="C209" s="28" t="str">
        <f>IF(COUNTIF('02_工程タスク'!$A$4:$A$135,A209)&lt;&gt;1,"参照ID不正",IF(INDEX('02_工程タスク'!$G$4:$G$135,MATCH(A209,'02_工程タスク'!$A$4:$A$135,0))="","",INDEX('02_工程タスク'!$G$4:$G$135,MATCH(A209,'02_工程タスク'!$A$4:$A$135,0))))</f>
        <v>R08, R09, R07</v>
      </c>
      <c r="D209" s="28" t="str">
        <f>IF(COUNTIF('02_工程タスク'!$A$4:$A$135,A209)&lt;&gt;1,"参照ID不正",IF(INDEX('02_工程タスク'!$H$4:$H$135,MATCH(A209,'02_工程タスク'!$A$4:$A$135,0))="","",INDEX('02_工程タスク'!$H$4:$H$135,MATCH(A209,'02_工程タスク'!$A$4:$A$135,0))))</f>
        <v>R06</v>
      </c>
      <c r="E209" s="4" t="s">
        <v>2471</v>
      </c>
      <c r="F209" s="28" t="str">
        <f>IF(COUNTIF('07_スキル辞書'!$A$4:$A$109,E209)&lt;&gt;1,"参照ID不正",IF(INDEX('07_スキル辞書'!$D$4:$D$109,MATCH(E209,'07_スキル辞書'!$A$4:$A$109,0))="","",INDEX('07_スキル辞書'!$D$4:$D$109,MATCH(E209,'07_スキル辞書'!$A$4:$A$109,0))))</f>
        <v>RAG設計と検索評価</v>
      </c>
      <c r="G209" s="4">
        <v>2</v>
      </c>
      <c r="H209" s="28" t="str">
        <f>IF(COUNTIF('07_スキル辞書'!$A$4:$A$109,E209)&lt;&gt;1,"参照ID不正",IF(INDEX('07_スキル辞書'!$I$4:$I$109,MATCH(E209,'07_スキル辞書'!$A$4:$A$109,0))="","",INDEX('07_スキル辞書'!$I$4:$I$109,MATCH(E209,'07_スキル辞書'!$A$4:$A$109,0))))</f>
        <v>コーパス整備仕様書、検索インデックス、モデル評価レポート、AIモデル品質評価レポート</v>
      </c>
      <c r="I209" s="4" t="s">
        <v>2900</v>
      </c>
    </row>
    <row r="210" spans="1:9" ht="38" customHeight="1" x14ac:dyDescent="0.2">
      <c r="A210" s="2" t="s">
        <v>931</v>
      </c>
      <c r="B210" s="28" t="str">
        <f>IF(COUNTIF('02_工程タスク'!$A$4:$A$135,A210)&lt;&gt;1,"参照ID不正",IF(INDEX('02_工程タスク'!$D$4:$D$135,MATCH(A210,'02_工程タスク'!$A$4:$A$135,0))="","",INDEX('02_工程タスク'!$D$4:$D$135,MATCH(A210,'02_工程タスク'!$A$4:$A$135,0))))</f>
        <v>検索・引用・ACL・更新の実装</v>
      </c>
      <c r="C210" s="28" t="str">
        <f>IF(COUNTIF('02_工程タスク'!$A$4:$A$135,A210)&lt;&gt;1,"参照ID不正",IF(INDEX('02_工程タスク'!$G$4:$G$135,MATCH(A210,'02_工程タスク'!$A$4:$A$135,0))="","",INDEX('02_工程タスク'!$G$4:$G$135,MATCH(A210,'02_工程タスク'!$A$4:$A$135,0))))</f>
        <v>R08, R09, R07</v>
      </c>
      <c r="D210" s="28" t="str">
        <f>IF(COUNTIF('02_工程タスク'!$A$4:$A$135,A210)&lt;&gt;1,"参照ID不正",IF(INDEX('02_工程タスク'!$H$4:$H$135,MATCH(A210,'02_工程タスク'!$A$4:$A$135,0))="","",INDEX('02_工程タスク'!$H$4:$H$135,MATCH(A210,'02_工程タスク'!$A$4:$A$135,0))))</f>
        <v>R06</v>
      </c>
      <c r="E210" s="2" t="s">
        <v>2255</v>
      </c>
      <c r="F210" s="28" t="str">
        <f>IF(COUNTIF('07_スキル辞書'!$A$4:$A$109,E210)&lt;&gt;1,"参照ID不正",IF(INDEX('07_スキル辞書'!$D$4:$D$109,MATCH(E210,'07_スキル辞書'!$A$4:$A$109,0))="","",INDEX('07_スキル辞書'!$D$4:$D$109,MATCH(E210,'07_スキル辞書'!$A$4:$A$109,0))))</f>
        <v>API設計・実装と認証認可</v>
      </c>
      <c r="G210" s="2">
        <v>2</v>
      </c>
      <c r="H210" s="28" t="str">
        <f>IF(COUNTIF('07_スキル辞書'!$A$4:$A$109,E210)&lt;&gt;1,"参照ID不正",IF(INDEX('07_スキル辞書'!$I$4:$I$109,MATCH(E210,'07_スキル辞書'!$A$4:$A$109,0))="","",INDEX('07_スキル辞書'!$I$4:$I$109,MATCH(E210,'07_スキル辞書'!$A$4:$A$109,0))))</f>
        <v>APIエンドポイント、API仕様書、サーバーサイドのソースコード、監査ログ設計書</v>
      </c>
      <c r="I210" s="2" t="s">
        <v>2900</v>
      </c>
    </row>
    <row r="211" spans="1:9" ht="38" customHeight="1" x14ac:dyDescent="0.2">
      <c r="A211" s="4" t="s">
        <v>931</v>
      </c>
      <c r="B211" s="28" t="str">
        <f>IF(COUNTIF('02_工程タスク'!$A$4:$A$135,A211)&lt;&gt;1,"参照ID不正",IF(INDEX('02_工程タスク'!$D$4:$D$135,MATCH(A211,'02_工程タスク'!$A$4:$A$135,0))="","",INDEX('02_工程タスク'!$D$4:$D$135,MATCH(A211,'02_工程タスク'!$A$4:$A$135,0))))</f>
        <v>検索・引用・ACL・更新の実装</v>
      </c>
      <c r="C211" s="28" t="str">
        <f>IF(COUNTIF('02_工程タスク'!$A$4:$A$135,A211)&lt;&gt;1,"参照ID不正",IF(INDEX('02_工程タスク'!$G$4:$G$135,MATCH(A211,'02_工程タスク'!$A$4:$A$135,0))="","",INDEX('02_工程タスク'!$G$4:$G$135,MATCH(A211,'02_工程タスク'!$A$4:$A$135,0))))</f>
        <v>R08, R09, R07</v>
      </c>
      <c r="D211" s="28" t="str">
        <f>IF(COUNTIF('02_工程タスク'!$A$4:$A$135,A211)&lt;&gt;1,"参照ID不正",IF(INDEX('02_工程タスク'!$H$4:$H$135,MATCH(A211,'02_工程タスク'!$A$4:$A$135,0))="","",INDEX('02_工程タスク'!$H$4:$H$135,MATCH(A211,'02_工程タスク'!$A$4:$A$135,0))))</f>
        <v>R06</v>
      </c>
      <c r="E211" s="4" t="s">
        <v>2426</v>
      </c>
      <c r="F211" s="28" t="str">
        <f>IF(COUNTIF('07_スキル辞書'!$A$4:$A$109,E211)&lt;&gt;1,"参照ID不正",IF(INDEX('07_スキル辞書'!$D$4:$D$109,MATCH(E211,'07_スキル辞書'!$A$4:$A$109,0))="","",INDEX('07_スキル辞書'!$D$4:$D$109,MATCH(E211,'07_スキル辞書'!$A$4:$A$109,0))))</f>
        <v>データ品質管理とクレンジング設計</v>
      </c>
      <c r="G211" s="4">
        <v>2</v>
      </c>
      <c r="H211" s="28" t="str">
        <f>IF(COUNTIF('07_スキル辞書'!$A$4:$A$109,E211)&lt;&gt;1,"参照ID不正",IF(INDEX('07_スキル辞書'!$I$4:$I$109,MATCH(E211,'07_スキル辞書'!$A$4:$A$109,0))="","",INDEX('07_スキル辞書'!$I$4:$I$109,MATCH(E211,'07_スキル辞書'!$A$4:$A$109,0))))</f>
        <v>データ品質基準定義書、クレンジングスクリプト、クレンジング済みデータ、データ品質レポート、品質レビュー済みデータセット</v>
      </c>
      <c r="I211" s="4" t="s">
        <v>2900</v>
      </c>
    </row>
    <row r="212" spans="1:9" ht="38" customHeight="1" x14ac:dyDescent="0.2">
      <c r="A212" s="2" t="s">
        <v>941</v>
      </c>
      <c r="B212" s="28" t="str">
        <f>IF(COUNTIF('02_工程タスク'!$A$4:$A$135,A212)&lt;&gt;1,"参照ID不正",IF(INDEX('02_工程タスク'!$D$4:$D$135,MATCH(A212,'02_工程タスク'!$A$4:$A$135,0))="","",INDEX('02_工程タスク'!$D$4:$D$135,MATCH(A212,'02_工程タスク'!$A$4:$A$135,0))))</f>
        <v>特徴量・学習・比較実験</v>
      </c>
      <c r="C212" s="28" t="str">
        <f>IF(COUNTIF('02_工程タスク'!$A$4:$A$135,A212)&lt;&gt;1,"参照ID不正",IF(INDEX('02_工程タスク'!$G$4:$G$135,MATCH(A212,'02_工程タスク'!$A$4:$A$135,0))="","",INDEX('02_工程タスク'!$G$4:$G$135,MATCH(A212,'02_工程タスク'!$A$4:$A$135,0))))</f>
        <v>R08, R09</v>
      </c>
      <c r="D212" s="28" t="str">
        <f>IF(COUNTIF('02_工程タスク'!$A$4:$A$135,A212)&lt;&gt;1,"参照ID不正",IF(INDEX('02_工程タスク'!$H$4:$H$135,MATCH(A212,'02_工程タスク'!$A$4:$A$135,0))="","",INDEX('02_工程タスク'!$H$4:$H$135,MATCH(A212,'02_工程タスク'!$A$4:$A$135,0))))</f>
        <v>R06</v>
      </c>
      <c r="E212" s="2" t="s">
        <v>2462</v>
      </c>
      <c r="F212" s="28" t="str">
        <f>IF(COUNTIF('07_スキル辞書'!$A$4:$A$109,E212)&lt;&gt;1,"参照ID不正",IF(INDEX('07_スキル辞書'!$D$4:$D$109,MATCH(E212,'07_スキル辞書'!$A$4:$A$109,0))="","",INDEX('07_スキル辞書'!$D$4:$D$109,MATCH(E212,'07_スキル辞書'!$A$4:$A$109,0))))</f>
        <v>特徴量エンジニアリング</v>
      </c>
      <c r="G212" s="2">
        <v>2</v>
      </c>
      <c r="H212" s="28" t="str">
        <f>IF(COUNTIF('07_スキル辞書'!$A$4:$A$109,E212)&lt;&gt;1,"参照ID不正",IF(INDEX('07_スキル辞書'!$I$4:$I$109,MATCH(E212,'07_スキル辞書'!$A$4:$A$109,0))="","",INDEX('07_スキル辞書'!$I$4:$I$109,MATCH(E212,'07_スキル辞書'!$A$4:$A$109,0))))</f>
        <v>特徴量定義書、特徴量セット、データ分割仕様書、本番用学習済みモデル</v>
      </c>
      <c r="I212" s="2" t="s">
        <v>2900</v>
      </c>
    </row>
    <row r="213" spans="1:9" ht="38" customHeight="1" x14ac:dyDescent="0.2">
      <c r="A213" s="4" t="s">
        <v>941</v>
      </c>
      <c r="B213" s="28" t="str">
        <f>IF(COUNTIF('02_工程タスク'!$A$4:$A$135,A213)&lt;&gt;1,"参照ID不正",IF(INDEX('02_工程タスク'!$D$4:$D$135,MATCH(A213,'02_工程タスク'!$A$4:$A$135,0))="","",INDEX('02_工程タスク'!$D$4:$D$135,MATCH(A213,'02_工程タスク'!$A$4:$A$135,0))))</f>
        <v>特徴量・学習・比較実験</v>
      </c>
      <c r="C213" s="28" t="str">
        <f>IF(COUNTIF('02_工程タスク'!$A$4:$A$135,A213)&lt;&gt;1,"参照ID不正",IF(INDEX('02_工程タスク'!$G$4:$G$135,MATCH(A213,'02_工程タスク'!$A$4:$A$135,0))="","",INDEX('02_工程タスク'!$G$4:$G$135,MATCH(A213,'02_工程タスク'!$A$4:$A$135,0))))</f>
        <v>R08, R09</v>
      </c>
      <c r="D213" s="28" t="str">
        <f>IF(COUNTIF('02_工程タスク'!$A$4:$A$135,A213)&lt;&gt;1,"参照ID不正",IF(INDEX('02_工程タスク'!$H$4:$H$135,MATCH(A213,'02_工程タスク'!$A$4:$A$135,0))="","",INDEX('02_工程タスク'!$H$4:$H$135,MATCH(A213,'02_工程タスク'!$A$4:$A$135,0))))</f>
        <v>R06</v>
      </c>
      <c r="E213" s="4" t="s">
        <v>2490</v>
      </c>
      <c r="F213" s="28" t="str">
        <f>IF(COUNTIF('07_スキル辞書'!$A$4:$A$109,E213)&lt;&gt;1,"参照ID不正",IF(INDEX('07_スキル辞書'!$D$4:$D$109,MATCH(E213,'07_スキル辞書'!$A$4:$A$109,0))="","",INDEX('07_スキル辞書'!$D$4:$D$109,MATCH(E213,'07_スキル辞書'!$A$4:$A$109,0))))</f>
        <v>モデル構築とハイパーパラメータ最適化</v>
      </c>
      <c r="G213" s="4">
        <v>2</v>
      </c>
      <c r="H213" s="28" t="str">
        <f>IF(COUNTIF('07_スキル辞書'!$A$4:$A$109,E213)&lt;&gt;1,"参照ID不正",IF(INDEX('07_スキル辞書'!$I$4:$I$109,MATCH(E213,'07_スキル辞書'!$A$4:$A$109,0))="","",INDEX('07_スキル辞書'!$I$4:$I$109,MATCH(E213,'07_スキル辞書'!$A$4:$A$109,0))))</f>
        <v>モックアップモデル（またはプロンプト/検索設定一式）、学習・改善ログ、本番用学習済みモデル、学習・評価スクリプト</v>
      </c>
      <c r="I213" s="4" t="s">
        <v>2900</v>
      </c>
    </row>
    <row r="214" spans="1:9" ht="38" customHeight="1" x14ac:dyDescent="0.2">
      <c r="A214" s="2" t="s">
        <v>941</v>
      </c>
      <c r="B214" s="28" t="str">
        <f>IF(COUNTIF('02_工程タスク'!$A$4:$A$135,A214)&lt;&gt;1,"参照ID不正",IF(INDEX('02_工程タスク'!$D$4:$D$135,MATCH(A214,'02_工程タスク'!$A$4:$A$135,0))="","",INDEX('02_工程タスク'!$D$4:$D$135,MATCH(A214,'02_工程タスク'!$A$4:$A$135,0))))</f>
        <v>特徴量・学習・比較実験</v>
      </c>
      <c r="C214" s="28" t="str">
        <f>IF(COUNTIF('02_工程タスク'!$A$4:$A$135,A214)&lt;&gt;1,"参照ID不正",IF(INDEX('02_工程タスク'!$G$4:$G$135,MATCH(A214,'02_工程タスク'!$A$4:$A$135,0))="","",INDEX('02_工程タスク'!$G$4:$G$135,MATCH(A214,'02_工程タスク'!$A$4:$A$135,0))))</f>
        <v>R08, R09</v>
      </c>
      <c r="D214" s="28" t="str">
        <f>IF(COUNTIF('02_工程タスク'!$A$4:$A$135,A214)&lt;&gt;1,"参照ID不正",IF(INDEX('02_工程タスク'!$H$4:$H$135,MATCH(A214,'02_工程タスク'!$A$4:$A$135,0))="","",INDEX('02_工程タスク'!$H$4:$H$135,MATCH(A214,'02_工程タスク'!$A$4:$A$135,0))))</f>
        <v>R06</v>
      </c>
      <c r="E214" s="2" t="s">
        <v>2515</v>
      </c>
      <c r="F214" s="28" t="str">
        <f>IF(COUNTIF('07_スキル辞書'!$A$4:$A$109,E214)&lt;&gt;1,"参照ID不正",IF(INDEX('07_スキル辞書'!$D$4:$D$109,MATCH(E214,'07_スキル辞書'!$A$4:$A$109,0))="","",INDEX('07_スキル辞書'!$D$4:$D$109,MATCH(E214,'07_スキル辞書'!$A$4:$A$109,0))))</f>
        <v>本番モデルの最適化と再学習</v>
      </c>
      <c r="G214" s="2">
        <v>2</v>
      </c>
      <c r="H214" s="28" t="str">
        <f>IF(COUNTIF('07_スキル辞書'!$A$4:$A$109,E214)&lt;&gt;1,"参照ID不正",IF(INDEX('07_スキル辞書'!$I$4:$I$109,MATCH(E214,'07_スキル辞書'!$A$4:$A$109,0))="","",INDEX('07_スキル辞書'!$I$4:$I$109,MATCH(E214,'07_スキル辞書'!$A$4:$A$109,0))))</f>
        <v>本番用学習済みモデル、学習・評価スクリプト、最終モデル評価レポート、自動化された学習・評価パイプライン</v>
      </c>
      <c r="I214" s="2" t="s">
        <v>2900</v>
      </c>
    </row>
    <row r="215" spans="1:9" ht="38" customHeight="1" x14ac:dyDescent="0.2">
      <c r="A215" s="4" t="s">
        <v>951</v>
      </c>
      <c r="B215" s="28" t="str">
        <f>IF(COUNTIF('02_工程タスク'!$A$4:$A$135,A215)&lt;&gt;1,"参照ID不正",IF(INDEX('02_工程タスク'!$D$4:$D$135,MATCH(A215,'02_工程タスク'!$A$4:$A$135,0))="","",INDEX('02_工程タスク'!$D$4:$D$135,MATCH(A215,'02_工程タスク'!$A$4:$A$135,0))))</f>
        <v>prompt・構造化出力・モデル統合</v>
      </c>
      <c r="C215" s="28" t="str">
        <f>IF(COUNTIF('02_工程タスク'!$A$4:$A$135,A215)&lt;&gt;1,"参照ID不正",IF(INDEX('02_工程タスク'!$G$4:$G$135,MATCH(A215,'02_工程タスク'!$A$4:$A$135,0))="","",INDEX('02_工程タスク'!$G$4:$G$135,MATCH(A215,'02_工程タスク'!$A$4:$A$135,0))))</f>
        <v>R08, R07</v>
      </c>
      <c r="D215" s="28" t="str">
        <f>IF(COUNTIF('02_工程タスク'!$A$4:$A$135,A215)&lt;&gt;1,"参照ID不正",IF(INDEX('02_工程タスク'!$H$4:$H$135,MATCH(A215,'02_工程タスク'!$A$4:$A$135,0))="","",INDEX('02_工程タスク'!$H$4:$H$135,MATCH(A215,'02_工程タスク'!$A$4:$A$135,0))))</f>
        <v>R06</v>
      </c>
      <c r="E215" s="4" t="s">
        <v>2237</v>
      </c>
      <c r="F215" s="28" t="str">
        <f>IF(COUNTIF('07_スキル辞書'!$A$4:$A$109,E215)&lt;&gt;1,"参照ID不正",IF(INDEX('07_スキル辞書'!$D$4:$D$109,MATCH(E215,'07_スキル辞書'!$A$4:$A$109,0))="","",INDEX('07_スキル辞書'!$D$4:$D$109,MATCH(E215,'07_スキル辞書'!$A$4:$A$109,0))))</f>
        <v>モデルサービングとコンテナ化</v>
      </c>
      <c r="G215" s="4">
        <v>2</v>
      </c>
      <c r="H215" s="28" t="str">
        <f>IF(COUNTIF('07_スキル辞書'!$A$4:$A$109,E215)&lt;&gt;1,"参照ID不正",IF(INDEX('07_スキル辞書'!$I$4:$I$109,MATCH(E215,'07_スキル辞書'!$A$4:$A$109,0))="","",INDEX('07_スキル辞書'!$I$4:$I$109,MATCH(E215,'07_スキル辞書'!$A$4:$A$109,0))))</f>
        <v>モデル推論APIのエンドポイント、コンテナイメージ、API仕様書、Dockerfile、コンテナイメージリポジトリ</v>
      </c>
      <c r="I215" s="4" t="s">
        <v>2900</v>
      </c>
    </row>
    <row r="216" spans="1:9" ht="38" customHeight="1" x14ac:dyDescent="0.2">
      <c r="A216" s="2" t="s">
        <v>951</v>
      </c>
      <c r="B216" s="28" t="str">
        <f>IF(COUNTIF('02_工程タスク'!$A$4:$A$135,A216)&lt;&gt;1,"参照ID不正",IF(INDEX('02_工程タスク'!$D$4:$D$135,MATCH(A216,'02_工程タスク'!$A$4:$A$135,0))="","",INDEX('02_工程タスク'!$D$4:$D$135,MATCH(A216,'02_工程タスク'!$A$4:$A$135,0))))</f>
        <v>prompt・構造化出力・モデル統合</v>
      </c>
      <c r="C216" s="28" t="str">
        <f>IF(COUNTIF('02_工程タスク'!$A$4:$A$135,A216)&lt;&gt;1,"参照ID不正",IF(INDEX('02_工程タスク'!$G$4:$G$135,MATCH(A216,'02_工程タスク'!$A$4:$A$135,0))="","",INDEX('02_工程タスク'!$G$4:$G$135,MATCH(A216,'02_工程タスク'!$A$4:$A$135,0))))</f>
        <v>R08, R07</v>
      </c>
      <c r="D216" s="28" t="str">
        <f>IF(COUNTIF('02_工程タスク'!$A$4:$A$135,A216)&lt;&gt;1,"参照ID不正",IF(INDEX('02_工程タスク'!$H$4:$H$135,MATCH(A216,'02_工程タスク'!$A$4:$A$135,0))="","",INDEX('02_工程タスク'!$H$4:$H$135,MATCH(A216,'02_工程タスク'!$A$4:$A$135,0))))</f>
        <v>R06</v>
      </c>
      <c r="E216" s="2" t="s">
        <v>2265</v>
      </c>
      <c r="F216" s="28" t="str">
        <f>IF(COUNTIF('07_スキル辞書'!$A$4:$A$109,E216)&lt;&gt;1,"参照ID不正",IF(INDEX('07_スキル辞書'!$D$4:$D$109,MATCH(E216,'07_スキル辞書'!$A$4:$A$109,0))="","",INDEX('07_スキル辞書'!$D$4:$D$109,MATCH(E216,'07_スキル辞書'!$A$4:$A$109,0))))</f>
        <v>LLMアプリケーション層の実装</v>
      </c>
      <c r="G216" s="2">
        <v>2</v>
      </c>
      <c r="H216" s="28" t="str">
        <f>IF(COUNTIF('07_スキル辞書'!$A$4:$A$109,E216)&lt;&gt;1,"参照ID不正",IF(INDEX('07_スキル辞書'!$I$4:$I$109,MATCH(E216,'07_スキル辞書'!$A$4:$A$109,0))="","",INDEX('07_スキル辞書'!$I$4:$I$109,MATCH(E216,'07_スキル辞書'!$A$4:$A$109,0))))</f>
        <v>プロンプト仕様書（版管理）、LLMアプリケーション実装、ガードレール設定、モデル・プロンプト更新方針</v>
      </c>
      <c r="I216" s="2" t="s">
        <v>2900</v>
      </c>
    </row>
    <row r="217" spans="1:9" ht="38" customHeight="1" x14ac:dyDescent="0.2">
      <c r="A217" s="4" t="s">
        <v>951</v>
      </c>
      <c r="B217" s="28" t="str">
        <f>IF(COUNTIF('02_工程タスク'!$A$4:$A$135,A217)&lt;&gt;1,"参照ID不正",IF(INDEX('02_工程タスク'!$D$4:$D$135,MATCH(A217,'02_工程タスク'!$A$4:$A$135,0))="","",INDEX('02_工程タスク'!$D$4:$D$135,MATCH(A217,'02_工程タスク'!$A$4:$A$135,0))))</f>
        <v>prompt・構造化出力・モデル統合</v>
      </c>
      <c r="C217" s="28" t="str">
        <f>IF(COUNTIF('02_工程タスク'!$A$4:$A$135,A217)&lt;&gt;1,"参照ID不正",IF(INDEX('02_工程タスク'!$G$4:$G$135,MATCH(A217,'02_工程タスク'!$A$4:$A$135,0))="","",INDEX('02_工程タスク'!$G$4:$G$135,MATCH(A217,'02_工程タスク'!$A$4:$A$135,0))))</f>
        <v>R08, R07</v>
      </c>
      <c r="D217" s="28" t="str">
        <f>IF(COUNTIF('02_工程タスク'!$A$4:$A$135,A217)&lt;&gt;1,"参照ID不正",IF(INDEX('02_工程タスク'!$H$4:$H$135,MATCH(A217,'02_工程タスク'!$A$4:$A$135,0))="","",INDEX('02_工程タスク'!$H$4:$H$135,MATCH(A217,'02_工程タスク'!$A$4:$A$135,0))))</f>
        <v>R06</v>
      </c>
      <c r="E217" s="4" t="s">
        <v>2498</v>
      </c>
      <c r="F217" s="28" t="str">
        <f>IF(COUNTIF('07_スキル辞書'!$A$4:$A$109,E217)&lt;&gt;1,"参照ID不正",IF(INDEX('07_スキル辞書'!$D$4:$D$109,MATCH(E217,'07_スキル辞書'!$A$4:$A$109,0))="","",INDEX('07_スキル辞書'!$D$4:$D$109,MATCH(E217,'07_スキル辞書'!$A$4:$A$109,0))))</f>
        <v>プロンプト設計と構造化出力</v>
      </c>
      <c r="G217" s="4">
        <v>2</v>
      </c>
      <c r="H217" s="28" t="str">
        <f>IF(COUNTIF('07_スキル辞書'!$A$4:$A$109,E217)&lt;&gt;1,"参照ID不正",IF(INDEX('07_スキル辞書'!$I$4:$I$109,MATCH(E217,'07_スキル辞書'!$A$4:$A$109,0))="","",INDEX('07_スキル辞書'!$I$4:$I$109,MATCH(E217,'07_スキル辞書'!$A$4:$A$109,0))))</f>
        <v>プロンプト仕様書（版管理）、学習・改善ログ、LLMアプリケーション実装、モデル・プロンプト更新方針</v>
      </c>
      <c r="I217" s="4" t="s">
        <v>2900</v>
      </c>
    </row>
    <row r="218" spans="1:9" ht="38" customHeight="1" x14ac:dyDescent="0.2">
      <c r="A218" s="2" t="s">
        <v>961</v>
      </c>
      <c r="B218" s="28" t="str">
        <f>IF(COUNTIF('02_工程タスク'!$A$4:$A$135,A218)&lt;&gt;1,"参照ID不正",IF(INDEX('02_工程タスク'!$D$4:$D$135,MATCH(A218,'02_工程タスク'!$A$4:$A$135,0))="","",INDEX('02_工程タスク'!$D$4:$D$135,MATCH(A218,'02_工程タスク'!$A$4:$A$135,0))))</f>
        <v>Tool/MCP・権限・副作用制御</v>
      </c>
      <c r="C218" s="28" t="str">
        <f>IF(COUNTIF('02_工程タスク'!$A$4:$A$135,A218)&lt;&gt;1,"参照ID不正",IF(INDEX('02_工程タスク'!$G$4:$G$135,MATCH(A218,'02_工程タスク'!$A$4:$A$135,0))="","",INDEX('02_工程タスク'!$G$4:$G$135,MATCH(A218,'02_工程タスク'!$A$4:$A$135,0))))</f>
        <v>R08, R07, R13</v>
      </c>
      <c r="D218" s="28" t="str">
        <f>IF(COUNTIF('02_工程タスク'!$A$4:$A$135,A218)&lt;&gt;1,"参照ID不正",IF(INDEX('02_工程タスク'!$H$4:$H$135,MATCH(A218,'02_工程タスク'!$A$4:$A$135,0))="","",INDEX('02_工程タスク'!$H$4:$H$135,MATCH(A218,'02_工程タスク'!$A$4:$A$135,0))))</f>
        <v>R13</v>
      </c>
      <c r="E218" s="2" t="s">
        <v>2506</v>
      </c>
      <c r="F218" s="28" t="str">
        <f>IF(COUNTIF('07_スキル辞書'!$A$4:$A$109,E218)&lt;&gt;1,"参照ID不正",IF(INDEX('07_スキル辞書'!$D$4:$D$109,MATCH(E218,'07_スキル辞書'!$A$4:$A$109,0))="","",INDEX('07_スキル辞書'!$D$4:$D$109,MATCH(E218,'07_スキル辞書'!$A$4:$A$109,0))))</f>
        <v>エージェント設計と安全制御</v>
      </c>
      <c r="G218" s="2">
        <v>2</v>
      </c>
      <c r="H218" s="28" t="str">
        <f>IF(COUNTIF('07_スキル辞書'!$A$4:$A$109,E218)&lt;&gt;1,"参照ID不正",IF(INDEX('07_スキル辞書'!$I$4:$I$109,MATCH(E218,'07_スキル辞書'!$A$4:$A$109,0))="","",INDEX('07_スキル辞書'!$I$4:$I$109,MATCH(E218,'07_スキル辞書'!$A$4:$A$109,0))))</f>
        <v>LLMアプリケーション実装、ガードレール設定、脅威モデル、AI機能が統合されたバックエンドのソースコード</v>
      </c>
      <c r="I218" s="2" t="s">
        <v>2900</v>
      </c>
    </row>
    <row r="219" spans="1:9" ht="38" customHeight="1" x14ac:dyDescent="0.2">
      <c r="A219" s="4" t="s">
        <v>961</v>
      </c>
      <c r="B219" s="28" t="str">
        <f>IF(COUNTIF('02_工程タスク'!$A$4:$A$135,A219)&lt;&gt;1,"参照ID不正",IF(INDEX('02_工程タスク'!$D$4:$D$135,MATCH(A219,'02_工程タスク'!$A$4:$A$135,0))="","",INDEX('02_工程タスク'!$D$4:$D$135,MATCH(A219,'02_工程タスク'!$A$4:$A$135,0))))</f>
        <v>Tool/MCP・権限・副作用制御</v>
      </c>
      <c r="C219" s="28" t="str">
        <f>IF(COUNTIF('02_工程タスク'!$A$4:$A$135,A219)&lt;&gt;1,"参照ID不正",IF(INDEX('02_工程タスク'!$G$4:$G$135,MATCH(A219,'02_工程タスク'!$A$4:$A$135,0))="","",INDEX('02_工程タスク'!$G$4:$G$135,MATCH(A219,'02_工程タスク'!$A$4:$A$135,0))))</f>
        <v>R08, R07, R13</v>
      </c>
      <c r="D219" s="28" t="str">
        <f>IF(COUNTIF('02_工程タスク'!$A$4:$A$135,A219)&lt;&gt;1,"参照ID不正",IF(INDEX('02_工程タスク'!$H$4:$H$135,MATCH(A219,'02_工程タスク'!$A$4:$A$135,0))="","",INDEX('02_工程タスク'!$H$4:$H$135,MATCH(A219,'02_工程タスク'!$A$4:$A$135,0))))</f>
        <v>R13</v>
      </c>
      <c r="E219" s="4" t="s">
        <v>2255</v>
      </c>
      <c r="F219" s="28" t="str">
        <f>IF(COUNTIF('07_スキル辞書'!$A$4:$A$109,E219)&lt;&gt;1,"参照ID不正",IF(INDEX('07_スキル辞書'!$D$4:$D$109,MATCH(E219,'07_スキル辞書'!$A$4:$A$109,0))="","",INDEX('07_スキル辞書'!$D$4:$D$109,MATCH(E219,'07_スキル辞書'!$A$4:$A$109,0))))</f>
        <v>API設計・実装と認証認可</v>
      </c>
      <c r="G219" s="4">
        <v>2</v>
      </c>
      <c r="H219" s="28" t="str">
        <f>IF(COUNTIF('07_スキル辞書'!$A$4:$A$109,E219)&lt;&gt;1,"参照ID不正",IF(INDEX('07_スキル辞書'!$I$4:$I$109,MATCH(E219,'07_スキル辞書'!$A$4:$A$109,0))="","",INDEX('07_スキル辞書'!$I$4:$I$109,MATCH(E219,'07_スキル辞書'!$A$4:$A$109,0))))</f>
        <v>APIエンドポイント、API仕様書、サーバーサイドのソースコード、監査ログ設計書</v>
      </c>
      <c r="I219" s="4" t="s">
        <v>2900</v>
      </c>
    </row>
    <row r="220" spans="1:9" ht="38" customHeight="1" x14ac:dyDescent="0.2">
      <c r="A220" s="2" t="s">
        <v>961</v>
      </c>
      <c r="B220" s="28" t="str">
        <f>IF(COUNTIF('02_工程タスク'!$A$4:$A$135,A220)&lt;&gt;1,"参照ID不正",IF(INDEX('02_工程タスク'!$D$4:$D$135,MATCH(A220,'02_工程タスク'!$A$4:$A$135,0))="","",INDEX('02_工程タスク'!$D$4:$D$135,MATCH(A220,'02_工程タスク'!$A$4:$A$135,0))))</f>
        <v>Tool/MCP・権限・副作用制御</v>
      </c>
      <c r="C220" s="28" t="str">
        <f>IF(COUNTIF('02_工程タスク'!$A$4:$A$135,A220)&lt;&gt;1,"参照ID不正",IF(INDEX('02_工程タスク'!$G$4:$G$135,MATCH(A220,'02_工程タスク'!$A$4:$A$135,0))="","",INDEX('02_工程タスク'!$G$4:$G$135,MATCH(A220,'02_工程タスク'!$A$4:$A$135,0))))</f>
        <v>R08, R07, R13</v>
      </c>
      <c r="D220" s="28" t="str">
        <f>IF(COUNTIF('02_工程タスク'!$A$4:$A$135,A220)&lt;&gt;1,"参照ID不正",IF(INDEX('02_工程タスク'!$H$4:$H$135,MATCH(A220,'02_工程タスク'!$A$4:$A$135,0))="","",INDEX('02_工程タスク'!$H$4:$H$135,MATCH(A220,'02_工程タスク'!$A$4:$A$135,0))))</f>
        <v>R13</v>
      </c>
      <c r="E220" s="2" t="s">
        <v>2818</v>
      </c>
      <c r="F220" s="28" t="str">
        <f>IF(COUNTIF('07_スキル辞書'!$A$4:$A$109,E220)&lt;&gt;1,"参照ID不正",IF(INDEX('07_スキル辞書'!$D$4:$D$109,MATCH(E220,'07_スキル辞書'!$A$4:$A$109,0))="","",INDEX('07_スキル辞書'!$D$4:$D$109,MATCH(E220,'07_スキル辞書'!$A$4:$A$109,0))))</f>
        <v>Tool/MCP認可・副作用・実行制御</v>
      </c>
      <c r="G220" s="2">
        <v>2</v>
      </c>
      <c r="H220" s="28" t="str">
        <f>IF(COUNTIF('07_スキル辞書'!$A$4:$A$109,E220)&lt;&gt;1,"参照ID不正",IF(INDEX('07_スキル辞書'!$I$4:$I$109,MATCH(E220,'07_スキル辞書'!$A$4:$A$109,0))="","",INDEX('07_スキル辞書'!$I$4:$I$109,MATCH(E220,'07_スキル辞書'!$A$4:$A$109,0))))</f>
        <v>Tool契約・Policy・攻撃試験</v>
      </c>
      <c r="I220" s="2" t="s">
        <v>2900</v>
      </c>
    </row>
    <row r="221" spans="1:9" ht="38" customHeight="1" x14ac:dyDescent="0.2">
      <c r="A221" s="4" t="s">
        <v>971</v>
      </c>
      <c r="B221" s="28" t="str">
        <f>IF(COUNTIF('02_工程タスク'!$A$4:$A$135,A221)&lt;&gt;1,"参照ID不正",IF(INDEX('02_工程タスク'!$D$4:$D$135,MATCH(A221,'02_工程タスク'!$A$4:$A$135,0))="","",INDEX('02_工程タスク'!$D$4:$D$135,MATCH(A221,'02_工程タスク'!$A$4:$A$135,0))))</f>
        <v>API・業務ロジック・認証の実装</v>
      </c>
      <c r="C221" s="28" t="str">
        <f>IF(COUNTIF('02_工程タスク'!$A$4:$A$135,A221)&lt;&gt;1,"参照ID不正",IF(INDEX('02_工程タスク'!$G$4:$G$135,MATCH(A221,'02_工程タスク'!$A$4:$A$135,0))="","",INDEX('02_工程タスク'!$G$4:$G$135,MATCH(A221,'02_工程タスク'!$A$4:$A$135,0))))</f>
        <v>R07</v>
      </c>
      <c r="D221" s="28" t="str">
        <f>IF(COUNTIF('02_工程タスク'!$A$4:$A$135,A221)&lt;&gt;1,"参照ID不正",IF(INDEX('02_工程タスク'!$H$4:$H$135,MATCH(A221,'02_工程タスク'!$A$4:$A$135,0))="","",INDEX('02_工程タスク'!$H$4:$H$135,MATCH(A221,'02_工程タスク'!$A$4:$A$135,0))))</f>
        <v>R06</v>
      </c>
      <c r="E221" s="4" t="s">
        <v>2255</v>
      </c>
      <c r="F221" s="28" t="str">
        <f>IF(COUNTIF('07_スキル辞書'!$A$4:$A$109,E221)&lt;&gt;1,"参照ID不正",IF(INDEX('07_スキル辞書'!$D$4:$D$109,MATCH(E221,'07_スキル辞書'!$A$4:$A$109,0))="","",INDEX('07_スキル辞書'!$D$4:$D$109,MATCH(E221,'07_スキル辞書'!$A$4:$A$109,0))))</f>
        <v>API設計・実装と認証認可</v>
      </c>
      <c r="G221" s="4">
        <v>2</v>
      </c>
      <c r="H221" s="28" t="str">
        <f>IF(COUNTIF('07_スキル辞書'!$A$4:$A$109,E221)&lt;&gt;1,"参照ID不正",IF(INDEX('07_スキル辞書'!$I$4:$I$109,MATCH(E221,'07_スキル辞書'!$A$4:$A$109,0))="","",INDEX('07_スキル辞書'!$I$4:$I$109,MATCH(E221,'07_スキル辞書'!$A$4:$A$109,0))))</f>
        <v>APIエンドポイント、API仕様書、サーバーサイドのソースコード、監査ログ設計書</v>
      </c>
      <c r="I221" s="4" t="s">
        <v>2900</v>
      </c>
    </row>
    <row r="222" spans="1:9" ht="38" customHeight="1" x14ac:dyDescent="0.2">
      <c r="A222" s="2" t="s">
        <v>971</v>
      </c>
      <c r="B222" s="28" t="str">
        <f>IF(COUNTIF('02_工程タスク'!$A$4:$A$135,A222)&lt;&gt;1,"参照ID不正",IF(INDEX('02_工程タスク'!$D$4:$D$135,MATCH(A222,'02_工程タスク'!$A$4:$A$135,0))="","",INDEX('02_工程タスク'!$D$4:$D$135,MATCH(A222,'02_工程タスク'!$A$4:$A$135,0))))</f>
        <v>API・業務ロジック・認証の実装</v>
      </c>
      <c r="C222" s="28" t="str">
        <f>IF(COUNTIF('02_工程タスク'!$A$4:$A$135,A222)&lt;&gt;1,"参照ID不正",IF(INDEX('02_工程タスク'!$G$4:$G$135,MATCH(A222,'02_工程タスク'!$A$4:$A$135,0))="","",INDEX('02_工程タスク'!$G$4:$G$135,MATCH(A222,'02_工程タスク'!$A$4:$A$135,0))))</f>
        <v>R07</v>
      </c>
      <c r="D222" s="28" t="str">
        <f>IF(COUNTIF('02_工程タスク'!$A$4:$A$135,A222)&lt;&gt;1,"参照ID不正",IF(INDEX('02_工程タスク'!$H$4:$H$135,MATCH(A222,'02_工程タスク'!$A$4:$A$135,0))="","",INDEX('02_工程タスク'!$H$4:$H$135,MATCH(A222,'02_工程タスク'!$A$4:$A$135,0))))</f>
        <v>R06</v>
      </c>
      <c r="E222" s="2" t="s">
        <v>2273</v>
      </c>
      <c r="F222" s="28" t="str">
        <f>IF(COUNTIF('07_スキル辞書'!$A$4:$A$109,E222)&lt;&gt;1,"参照ID不正",IF(INDEX('07_スキル辞書'!$D$4:$D$109,MATCH(E222,'07_スキル辞書'!$A$4:$A$109,0))="","",INDEX('07_スキル辞書'!$D$4:$D$109,MATCH(E222,'07_スキル辞書'!$A$4:$A$109,0))))</f>
        <v>AI機能の統合とフォールバック設計</v>
      </c>
      <c r="G222" s="2">
        <v>2</v>
      </c>
      <c r="H222" s="28" t="str">
        <f>IF(COUNTIF('07_スキル辞書'!$A$4:$A$109,E222)&lt;&gt;1,"参照ID不正",IF(INDEX('07_スキル辞書'!$I$4:$I$109,MATCH(E222,'07_スキル辞書'!$A$4:$A$109,0))="","",INDEX('07_スキル辞書'!$I$4:$I$109,MATCH(E222,'07_スキル辞書'!$A$4:$A$109,0))))</f>
        <v>AI機能が統合されたバックエンドのソースコード、モデルロールバック手順書、エスカレーション手順書</v>
      </c>
      <c r="I222" s="2" t="s">
        <v>2900</v>
      </c>
    </row>
    <row r="223" spans="1:9" ht="38" customHeight="1" x14ac:dyDescent="0.2">
      <c r="A223" s="4" t="s">
        <v>971</v>
      </c>
      <c r="B223" s="28" t="str">
        <f>IF(COUNTIF('02_工程タスク'!$A$4:$A$135,A223)&lt;&gt;1,"参照ID不正",IF(INDEX('02_工程タスク'!$D$4:$D$135,MATCH(A223,'02_工程タスク'!$A$4:$A$135,0))="","",INDEX('02_工程タスク'!$D$4:$D$135,MATCH(A223,'02_工程タスク'!$A$4:$A$135,0))))</f>
        <v>API・業務ロジック・認証の実装</v>
      </c>
      <c r="C223" s="28" t="str">
        <f>IF(COUNTIF('02_工程タスク'!$A$4:$A$135,A223)&lt;&gt;1,"参照ID不正",IF(INDEX('02_工程タスク'!$G$4:$G$135,MATCH(A223,'02_工程タスク'!$A$4:$A$135,0))="","",INDEX('02_工程タスク'!$G$4:$G$135,MATCH(A223,'02_工程タスク'!$A$4:$A$135,0))))</f>
        <v>R07</v>
      </c>
      <c r="D223" s="28" t="str">
        <f>IF(COUNTIF('02_工程タスク'!$A$4:$A$135,A223)&lt;&gt;1,"参照ID不正",IF(INDEX('02_工程タスク'!$H$4:$H$135,MATCH(A223,'02_工程タスク'!$A$4:$A$135,0))="","",INDEX('02_工程タスク'!$H$4:$H$135,MATCH(A223,'02_工程タスク'!$A$4:$A$135,0))))</f>
        <v>R06</v>
      </c>
      <c r="E223" s="4" t="s">
        <v>2299</v>
      </c>
      <c r="F223" s="28" t="str">
        <f>IF(COUNTIF('07_スキル辞書'!$A$4:$A$109,E223)&lt;&gt;1,"参照ID不正",IF(INDEX('07_スキル辞書'!$D$4:$D$109,MATCH(E223,'07_スキル辞書'!$A$4:$A$109,0))="","",INDEX('07_スキル辞書'!$D$4:$D$109,MATCH(E223,'07_スキル辞書'!$A$4:$A$109,0))))</f>
        <v>テスト設計と自動テスト</v>
      </c>
      <c r="G223" s="4">
        <v>2</v>
      </c>
      <c r="H223" s="28" t="str">
        <f>IF(COUNTIF('07_スキル辞書'!$A$4:$A$109,E223)&lt;&gt;1,"参照ID不正",IF(INDEX('07_スキル辞書'!$I$4:$I$109,MATCH(E223,'07_スキル辞書'!$A$4:$A$109,0))="","",INDEX('07_スキル辞書'!$I$4:$I$109,MATCH(E223,'07_スキル辞書'!$A$4:$A$109,0))))</f>
        <v>単体・結合テストコード、テストカバレッジレポート、システム総合テスト報告書、性能テスト報告書</v>
      </c>
      <c r="I223" s="4" t="s">
        <v>2900</v>
      </c>
    </row>
    <row r="224" spans="1:9" ht="38" customHeight="1" x14ac:dyDescent="0.2">
      <c r="A224" s="2" t="s">
        <v>981</v>
      </c>
      <c r="B224" s="28" t="str">
        <f>IF(COUNTIF('02_工程タスク'!$A$4:$A$135,A224)&lt;&gt;1,"参照ID不正",IF(INDEX('02_工程タスク'!$D$4:$D$135,MATCH(A224,'02_工程タスク'!$A$4:$A$135,0))="","",INDEX('02_工程タスク'!$D$4:$D$135,MATCH(A224,'02_工程タスク'!$A$4:$A$135,0))))</f>
        <v>UI・承認・説明・アクセシビリティ</v>
      </c>
      <c r="C224" s="28" t="str">
        <f>IF(COUNTIF('02_工程タスク'!$A$4:$A$135,A224)&lt;&gt;1,"参照ID不正",IF(INDEX('02_工程タスク'!$G$4:$G$135,MATCH(A224,'02_工程タスク'!$A$4:$A$135,0))="","",INDEX('02_工程タスク'!$G$4:$G$135,MATCH(A224,'02_工程タスク'!$A$4:$A$135,0))))</f>
        <v>R07, R05</v>
      </c>
      <c r="D224" s="28" t="str">
        <f>IF(COUNTIF('02_工程タスク'!$A$4:$A$135,A224)&lt;&gt;1,"参照ID不正",IF(INDEX('02_工程タスク'!$H$4:$H$135,MATCH(A224,'02_工程タスク'!$A$4:$A$135,0))="","",INDEX('02_工程タスク'!$H$4:$H$135,MATCH(A224,'02_工程タスク'!$A$4:$A$135,0))))</f>
        <v>R02</v>
      </c>
      <c r="E224" s="2" t="s">
        <v>2282</v>
      </c>
      <c r="F224" s="28" t="str">
        <f>IF(COUNTIF('07_スキル辞書'!$A$4:$A$109,E224)&lt;&gt;1,"参照ID不正",IF(INDEX('07_スキル辞書'!$D$4:$D$109,MATCH(E224,'07_スキル辞書'!$A$4:$A$109,0))="","",INDEX('07_スキル辞書'!$D$4:$D$109,MATCH(E224,'07_スキル辞書'!$A$4:$A$109,0))))</f>
        <v>フロントエンド実装</v>
      </c>
      <c r="G224" s="2">
        <v>2</v>
      </c>
      <c r="H224" s="28" t="str">
        <f>IF(COUNTIF('07_スキル辞書'!$A$4:$A$109,E224)&lt;&gt;1,"参照ID不正",IF(INDEX('07_スキル辞書'!$I$4:$I$109,MATCH(E224,'07_スキル辞書'!$A$4:$A$109,0))="","",INDEX('07_スキル辞書'!$I$4:$I$109,MATCH(E224,'07_スキル辞書'!$A$4:$A$109,0))))</f>
        <v>フロントエンドのソースコード、コンポーネントライブラリ、モックアップ、プロトタイプ</v>
      </c>
      <c r="I224" s="2" t="s">
        <v>2900</v>
      </c>
    </row>
    <row r="225" spans="1:9" ht="38" customHeight="1" x14ac:dyDescent="0.2">
      <c r="A225" s="4" t="s">
        <v>981</v>
      </c>
      <c r="B225" s="28" t="str">
        <f>IF(COUNTIF('02_工程タスク'!$A$4:$A$135,A225)&lt;&gt;1,"参照ID不正",IF(INDEX('02_工程タスク'!$D$4:$D$135,MATCH(A225,'02_工程タスク'!$A$4:$A$135,0))="","",INDEX('02_工程タスク'!$D$4:$D$135,MATCH(A225,'02_工程タスク'!$A$4:$A$135,0))))</f>
        <v>UI・承認・説明・アクセシビリティ</v>
      </c>
      <c r="C225" s="28" t="str">
        <f>IF(COUNTIF('02_工程タスク'!$A$4:$A$135,A225)&lt;&gt;1,"参照ID不正",IF(INDEX('02_工程タスク'!$G$4:$G$135,MATCH(A225,'02_工程タスク'!$A$4:$A$135,0))="","",INDEX('02_工程タスク'!$G$4:$G$135,MATCH(A225,'02_工程タスク'!$A$4:$A$135,0))))</f>
        <v>R07, R05</v>
      </c>
      <c r="D225" s="28" t="str">
        <f>IF(COUNTIF('02_工程タスク'!$A$4:$A$135,A225)&lt;&gt;1,"参照ID不正",IF(INDEX('02_工程タスク'!$H$4:$H$135,MATCH(A225,'02_工程タスク'!$A$4:$A$135,0))="","",INDEX('02_工程タスク'!$H$4:$H$135,MATCH(A225,'02_工程タスク'!$A$4:$A$135,0))))</f>
        <v>R02</v>
      </c>
      <c r="E225" s="4" t="s">
        <v>2210</v>
      </c>
      <c r="F225" s="28" t="str">
        <f>IF(COUNTIF('07_スキル辞書'!$A$4:$A$109,E225)&lt;&gt;1,"参照ID不正",IF(INDEX('07_スキル辞書'!$D$4:$D$109,MATCH(E225,'07_スキル辞書'!$A$4:$A$109,0))="","",INDEX('07_スキル辞書'!$D$4:$D$109,MATCH(E225,'07_スキル辞書'!$A$4:$A$109,0))))</f>
        <v>UI/UX設計（AI出力の提示とHITL）</v>
      </c>
      <c r="G225" s="4">
        <v>2</v>
      </c>
      <c r="H225" s="28" t="str">
        <f>IF(COUNTIF('07_スキル辞書'!$A$4:$A$109,E225)&lt;&gt;1,"参照ID不正",IF(INDEX('07_スキル辞書'!$I$4:$I$109,MATCH(E225,'07_スキル辞書'!$A$4:$A$109,0))="","",INDEX('07_スキル辞書'!$I$4:$I$109,MATCH(E225,'07_スキル辞書'!$A$4:$A$109,0))))</f>
        <v>UI/UXデザインガイドライン、ワイヤーフレーム、モックアップ、プロトタイプ、フロントエンドのソースコード</v>
      </c>
      <c r="I225" s="4" t="s">
        <v>2900</v>
      </c>
    </row>
    <row r="226" spans="1:9" ht="38" customHeight="1" x14ac:dyDescent="0.2">
      <c r="A226" s="2" t="s">
        <v>981</v>
      </c>
      <c r="B226" s="28" t="str">
        <f>IF(COUNTIF('02_工程タスク'!$A$4:$A$135,A226)&lt;&gt;1,"参照ID不正",IF(INDEX('02_工程タスク'!$D$4:$D$135,MATCH(A226,'02_工程タスク'!$A$4:$A$135,0))="","",INDEX('02_工程タスク'!$D$4:$D$135,MATCH(A226,'02_工程タスク'!$A$4:$A$135,0))))</f>
        <v>UI・承認・説明・アクセシビリティ</v>
      </c>
      <c r="C226" s="28" t="str">
        <f>IF(COUNTIF('02_工程タスク'!$A$4:$A$135,A226)&lt;&gt;1,"参照ID不正",IF(INDEX('02_工程タスク'!$G$4:$G$135,MATCH(A226,'02_工程タスク'!$A$4:$A$135,0))="","",INDEX('02_工程タスク'!$G$4:$G$135,MATCH(A226,'02_工程タスク'!$A$4:$A$135,0))))</f>
        <v>R07, R05</v>
      </c>
      <c r="D226" s="28" t="str">
        <f>IF(COUNTIF('02_工程タスク'!$A$4:$A$135,A226)&lt;&gt;1,"参照ID不正",IF(INDEX('02_工程タスク'!$H$4:$H$135,MATCH(A226,'02_工程タスク'!$A$4:$A$135,0))="","",INDEX('02_工程タスク'!$H$4:$H$135,MATCH(A226,'02_工程タスク'!$A$4:$A$135,0))))</f>
        <v>R02</v>
      </c>
      <c r="E226" s="2" t="s">
        <v>2790</v>
      </c>
      <c r="F226" s="28" t="str">
        <f>IF(COUNTIF('07_スキル辞書'!$A$4:$A$109,E226)&lt;&gt;1,"参照ID不正",IF(INDEX('07_スキル辞書'!$D$4:$D$109,MATCH(E226,'07_スキル辞書'!$A$4:$A$109,0))="","",INDEX('07_スキル辞書'!$D$4:$D$109,MATCH(E226,'07_スキル辞書'!$A$4:$A$109,0))))</f>
        <v>包摂的なAIサービス設計</v>
      </c>
      <c r="G226" s="2">
        <v>2</v>
      </c>
      <c r="H226" s="28" t="str">
        <f>IF(COUNTIF('07_スキル辞書'!$A$4:$A$109,E226)&lt;&gt;1,"参照ID不正",IF(INDEX('07_スキル辞書'!$I$4:$I$109,MATCH(E226,'07_スキル辞書'!$A$4:$A$109,0))="","",INDEX('07_スキル辞書'!$I$4:$I$109,MATCH(E226,'07_スキル辞書'!$A$4:$A$109,0))))</f>
        <v>利用者試験・改善記録</v>
      </c>
      <c r="I226" s="2" t="s">
        <v>2900</v>
      </c>
    </row>
    <row r="227" spans="1:9" ht="38" customHeight="1" x14ac:dyDescent="0.2">
      <c r="A227" s="4" t="s">
        <v>991</v>
      </c>
      <c r="B227" s="28" t="str">
        <f>IF(COUNTIF('02_工程タスク'!$A$4:$A$135,A227)&lt;&gt;1,"参照ID不正",IF(INDEX('02_工程タスク'!$D$4:$D$135,MATCH(A227,'02_工程タスク'!$A$4:$A$135,0))="","",INDEX('02_工程タスク'!$D$4:$D$135,MATCH(A227,'02_工程タスク'!$A$4:$A$135,0))))</f>
        <v>課金・利用制限・返金の実装</v>
      </c>
      <c r="C227" s="28" t="str">
        <f>IF(COUNTIF('02_工程タスク'!$A$4:$A$135,A227)&lt;&gt;1,"参照ID不正",IF(INDEX('02_工程タスク'!$G$4:$G$135,MATCH(A227,'02_工程タスク'!$A$4:$A$135,0))="","",INDEX('02_工程タスク'!$G$4:$G$135,MATCH(A227,'02_工程タスク'!$A$4:$A$135,0))))</f>
        <v>R07, R15</v>
      </c>
      <c r="D227" s="28" t="str">
        <f>IF(COUNTIF('02_工程タスク'!$A$4:$A$135,A227)&lt;&gt;1,"参照ID不正",IF(INDEX('02_工程タスク'!$H$4:$H$135,MATCH(A227,'02_工程タスク'!$A$4:$A$135,0))="","",INDEX('02_工程タスク'!$H$4:$H$135,MATCH(A227,'02_工程タスク'!$A$4:$A$135,0))))</f>
        <v>R01</v>
      </c>
      <c r="E227" s="4" t="s">
        <v>2742</v>
      </c>
      <c r="F227" s="28" t="str">
        <f>IF(COUNTIF('07_スキル辞書'!$A$4:$A$109,E227)&lt;&gt;1,"参照ID不正",IF(INDEX('07_スキル辞書'!$D$4:$D$109,MATCH(E227,'07_スキル辞書'!$A$4:$A$109,0))="","",INDEX('07_スキル辞書'!$D$4:$D$109,MATCH(E227,'07_スキル辞書'!$A$4:$A$109,0))))</f>
        <v>利用量計測・課金・返金</v>
      </c>
      <c r="G227" s="4">
        <v>2</v>
      </c>
      <c r="H227" s="28" t="str">
        <f>IF(COUNTIF('07_スキル辞書'!$A$4:$A$109,E227)&lt;&gt;1,"参照ID不正",IF(INDEX('07_スキル辞書'!$I$4:$I$109,MATCH(E227,'07_スキル辞書'!$A$4:$A$109,0))="","",INDEX('07_スキル辞書'!$I$4:$I$109,MATCH(E227,'07_スキル辞書'!$A$4:$A$109,0))))</f>
        <v>課金仕様・照合テスト・精算</v>
      </c>
      <c r="I227" s="4" t="s">
        <v>2900</v>
      </c>
    </row>
    <row r="228" spans="1:9" ht="38" customHeight="1" x14ac:dyDescent="0.2">
      <c r="A228" s="2" t="s">
        <v>991</v>
      </c>
      <c r="B228" s="28" t="str">
        <f>IF(COUNTIF('02_工程タスク'!$A$4:$A$135,A228)&lt;&gt;1,"参照ID不正",IF(INDEX('02_工程タスク'!$D$4:$D$135,MATCH(A228,'02_工程タスク'!$A$4:$A$135,0))="","",INDEX('02_工程タスク'!$D$4:$D$135,MATCH(A228,'02_工程タスク'!$A$4:$A$135,0))))</f>
        <v>課金・利用制限・返金の実装</v>
      </c>
      <c r="C228" s="28" t="str">
        <f>IF(COUNTIF('02_工程タスク'!$A$4:$A$135,A228)&lt;&gt;1,"参照ID不正",IF(INDEX('02_工程タスク'!$G$4:$G$135,MATCH(A228,'02_工程タスク'!$A$4:$A$135,0))="","",INDEX('02_工程タスク'!$G$4:$G$135,MATCH(A228,'02_工程タスク'!$A$4:$A$135,0))))</f>
        <v>R07, R15</v>
      </c>
      <c r="D228" s="28" t="str">
        <f>IF(COUNTIF('02_工程タスク'!$A$4:$A$135,A228)&lt;&gt;1,"参照ID不正",IF(INDEX('02_工程タスク'!$H$4:$H$135,MATCH(A228,'02_工程タスク'!$A$4:$A$135,0))="","",INDEX('02_工程タスク'!$H$4:$H$135,MATCH(A228,'02_工程タスク'!$A$4:$A$135,0))))</f>
        <v>R01</v>
      </c>
      <c r="E228" s="2" t="s">
        <v>2761</v>
      </c>
      <c r="F228" s="28" t="str">
        <f>IF(COUNTIF('07_スキル辞書'!$A$4:$A$109,E228)&lt;&gt;1,"参照ID不正",IF(INDEX('07_スキル辞書'!$D$4:$D$109,MATCH(E228,'07_スキル辞書'!$A$4:$A$109,0))="","",INDEX('07_スキル辞書'!$D$4:$D$109,MATCH(E228,'07_スキル辞書'!$A$4:$A$109,0))))</f>
        <v>成功単位原価・限界利益・費用境界</v>
      </c>
      <c r="G228" s="2">
        <v>2</v>
      </c>
      <c r="H228" s="28" t="str">
        <f>IF(COUNTIF('07_スキル辞書'!$A$4:$A$109,E228)&lt;&gt;1,"参照ID不正",IF(INDEX('07_スキル辞書'!$I$4:$I$109,MATCH(E228,'07_スキル辞書'!$A$4:$A$109,0))="","",INDEX('07_スキル辞書'!$I$4:$I$109,MATCH(E228,'07_スキル辞書'!$A$4:$A$109,0))))</f>
        <v>cost/success・収支・感度分析</v>
      </c>
      <c r="I228" s="2" t="s">
        <v>2900</v>
      </c>
    </row>
    <row r="229" spans="1:9" ht="38" customHeight="1" x14ac:dyDescent="0.2">
      <c r="A229" s="4" t="s">
        <v>991</v>
      </c>
      <c r="B229" s="28" t="str">
        <f>IF(COUNTIF('02_工程タスク'!$A$4:$A$135,A229)&lt;&gt;1,"参照ID不正",IF(INDEX('02_工程タスク'!$D$4:$D$135,MATCH(A229,'02_工程タスク'!$A$4:$A$135,0))="","",INDEX('02_工程タスク'!$D$4:$D$135,MATCH(A229,'02_工程タスク'!$A$4:$A$135,0))))</f>
        <v>課金・利用制限・返金の実装</v>
      </c>
      <c r="C229" s="28" t="str">
        <f>IF(COUNTIF('02_工程タスク'!$A$4:$A$135,A229)&lt;&gt;1,"参照ID不正",IF(INDEX('02_工程タスク'!$G$4:$G$135,MATCH(A229,'02_工程タスク'!$A$4:$A$135,0))="","",INDEX('02_工程タスク'!$G$4:$G$135,MATCH(A229,'02_工程タスク'!$A$4:$A$135,0))))</f>
        <v>R07, R15</v>
      </c>
      <c r="D229" s="28" t="str">
        <f>IF(COUNTIF('02_工程タスク'!$A$4:$A$135,A229)&lt;&gt;1,"参照ID不正",IF(INDEX('02_工程タスク'!$H$4:$H$135,MATCH(A229,'02_工程タスク'!$A$4:$A$135,0))="","",INDEX('02_工程タスク'!$H$4:$H$135,MATCH(A229,'02_工程タスク'!$A$4:$A$135,0))))</f>
        <v>R01</v>
      </c>
      <c r="E229" s="4" t="s">
        <v>2255</v>
      </c>
      <c r="F229" s="28" t="str">
        <f>IF(COUNTIF('07_スキル辞書'!$A$4:$A$109,E229)&lt;&gt;1,"参照ID不正",IF(INDEX('07_スキル辞書'!$D$4:$D$109,MATCH(E229,'07_スキル辞書'!$A$4:$A$109,0))="","",INDEX('07_スキル辞書'!$D$4:$D$109,MATCH(E229,'07_スキル辞書'!$A$4:$A$109,0))))</f>
        <v>API設計・実装と認証認可</v>
      </c>
      <c r="G229" s="4">
        <v>2</v>
      </c>
      <c r="H229" s="28" t="str">
        <f>IF(COUNTIF('07_スキル辞書'!$A$4:$A$109,E229)&lt;&gt;1,"参照ID不正",IF(INDEX('07_スキル辞書'!$I$4:$I$109,MATCH(E229,'07_スキル辞書'!$A$4:$A$109,0))="","",INDEX('07_スキル辞書'!$I$4:$I$109,MATCH(E229,'07_スキル辞書'!$A$4:$A$109,0))))</f>
        <v>APIエンドポイント、API仕様書、サーバーサイドのソースコード、監査ログ設計書</v>
      </c>
      <c r="I229" s="4" t="s">
        <v>2900</v>
      </c>
    </row>
    <row r="230" spans="1:9" ht="38" customHeight="1" x14ac:dyDescent="0.2">
      <c r="A230" s="2" t="s">
        <v>1000</v>
      </c>
      <c r="B230" s="28" t="str">
        <f>IF(COUNTIF('02_工程タスク'!$A$4:$A$135,A230)&lt;&gt;1,"参照ID不正",IF(INDEX('02_工程タスク'!$D$4:$D$135,MATCH(A230,'02_工程タスク'!$A$4:$A$135,0))="","",INDEX('02_工程タスク'!$D$4:$D$135,MATCH(A230,'02_工程タスク'!$A$4:$A$135,0))))</f>
        <v>trace・監査・品質・原価の計測実装</v>
      </c>
      <c r="C230" s="28" t="str">
        <f>IF(COUNTIF('02_工程タスク'!$A$4:$A$135,A230)&lt;&gt;1,"参照ID不正",IF(INDEX('02_工程タスク'!$G$4:$G$135,MATCH(A230,'02_工程タスク'!$A$4:$A$135,0))="","",INDEX('02_工程タスク'!$G$4:$G$135,MATCH(A230,'02_工程タスク'!$A$4:$A$135,0))))</f>
        <v>R12, R07, R08</v>
      </c>
      <c r="D230" s="28" t="str">
        <f>IF(COUNTIF('02_工程タスク'!$A$4:$A$135,A230)&lt;&gt;1,"参照ID不正",IF(INDEX('02_工程タスク'!$H$4:$H$135,MATCH(A230,'02_工程タスク'!$A$4:$A$135,0))="","",INDEX('02_工程タスク'!$H$4:$H$135,MATCH(A230,'02_工程タスク'!$A$4:$A$135,0))))</f>
        <v>R18</v>
      </c>
      <c r="E230" s="2" t="s">
        <v>2290</v>
      </c>
      <c r="F230" s="28" t="str">
        <f>IF(COUNTIF('07_スキル辞書'!$A$4:$A$109,E230)&lt;&gt;1,"参照ID不正",IF(INDEX('07_スキル辞書'!$D$4:$D$109,MATCH(E230,'07_スキル辞書'!$A$4:$A$109,0))="","",INDEX('07_スキル辞書'!$D$4:$D$109,MATCH(E230,'07_スキル辞書'!$A$4:$A$109,0))))</f>
        <v>監査ログ・意思決定ログの設計と実装</v>
      </c>
      <c r="G230" s="2">
        <v>2</v>
      </c>
      <c r="H230" s="28" t="str">
        <f>IF(COUNTIF('07_スキル辞書'!$A$4:$A$109,E230)&lt;&gt;1,"参照ID不正",IF(INDEX('07_スキル辞書'!$I$4:$I$109,MATCH(E230,'07_スキル辞書'!$A$4:$A$109,0))="","",INDEX('07_スキル辞書'!$I$4:$I$109,MATCH(E230,'07_スキル辞書'!$A$4:$A$109,0))))</f>
        <v>監査ログ設計書、ログ実装、相関ダッシュボード、品質レビュー済みデータセット</v>
      </c>
      <c r="I230" s="2" t="s">
        <v>2900</v>
      </c>
    </row>
    <row r="231" spans="1:9" ht="49" customHeight="1" x14ac:dyDescent="0.2">
      <c r="A231" s="4" t="s">
        <v>1000</v>
      </c>
      <c r="B231" s="28" t="str">
        <f>IF(COUNTIF('02_工程タスク'!$A$4:$A$135,A231)&lt;&gt;1,"参照ID不正",IF(INDEX('02_工程タスク'!$D$4:$D$135,MATCH(A231,'02_工程タスク'!$A$4:$A$135,0))="","",INDEX('02_工程タスク'!$D$4:$D$135,MATCH(A231,'02_工程タスク'!$A$4:$A$135,0))))</f>
        <v>trace・監査・品質・原価の計測実装</v>
      </c>
      <c r="C231" s="28" t="str">
        <f>IF(COUNTIF('02_工程タスク'!$A$4:$A$135,A231)&lt;&gt;1,"参照ID不正",IF(INDEX('02_工程タスク'!$G$4:$G$135,MATCH(A231,'02_工程タスク'!$A$4:$A$135,0))="","",INDEX('02_工程タスク'!$G$4:$G$135,MATCH(A231,'02_工程タスク'!$A$4:$A$135,0))))</f>
        <v>R12, R07, R08</v>
      </c>
      <c r="D231" s="28" t="str">
        <f>IF(COUNTIF('02_工程タスク'!$A$4:$A$135,A231)&lt;&gt;1,"参照ID不正",IF(INDEX('02_工程タスク'!$H$4:$H$135,MATCH(A231,'02_工程タスク'!$A$4:$A$135,0))="","",INDEX('02_工程タスク'!$H$4:$H$135,MATCH(A231,'02_工程タスク'!$A$4:$A$135,0))))</f>
        <v>R18</v>
      </c>
      <c r="E231" s="4" t="s">
        <v>2327</v>
      </c>
      <c r="F231" s="28" t="str">
        <f>IF(COUNTIF('07_スキル辞書'!$A$4:$A$109,E231)&lt;&gt;1,"参照ID不正",IF(INDEX('07_スキル辞書'!$D$4:$D$109,MATCH(E231,'07_スキル辞書'!$A$4:$A$109,0))="","",INDEX('07_スキル辞書'!$D$4:$D$109,MATCH(E231,'07_スキル辞書'!$A$4:$A$109,0))))</f>
        <v>監視設計と可観測性</v>
      </c>
      <c r="G231" s="4">
        <v>2</v>
      </c>
      <c r="H231" s="28" t="str">
        <f>IF(COUNTIF('07_スキル辞書'!$A$4:$A$109,E231)&lt;&gt;1,"参照ID不正",IF(INDEX('07_スキル辞書'!$I$4:$I$109,MATCH(E231,'07_スキル辞書'!$A$4:$A$109,0))="","",INDEX('07_スキル辞書'!$I$4:$I$109,MATCH(E231,'07_スキル辞書'!$A$4:$A$109,0))))</f>
        <v>監視設計書、監視項目一覧、リソース・APIパフォーマンスダッシュボード、ログ管理システム、アラート設定、モデル性能ダッシュボード</v>
      </c>
      <c r="I231" s="4" t="s">
        <v>2900</v>
      </c>
    </row>
    <row r="232" spans="1:9" ht="38" customHeight="1" x14ac:dyDescent="0.2">
      <c r="A232" s="2" t="s">
        <v>1000</v>
      </c>
      <c r="B232" s="28" t="str">
        <f>IF(COUNTIF('02_工程タスク'!$A$4:$A$135,A232)&lt;&gt;1,"参照ID不正",IF(INDEX('02_工程タスク'!$D$4:$D$135,MATCH(A232,'02_工程タスク'!$A$4:$A$135,0))="","",INDEX('02_工程タスク'!$D$4:$D$135,MATCH(A232,'02_工程タスク'!$A$4:$A$135,0))))</f>
        <v>trace・監査・品質・原価の計測実装</v>
      </c>
      <c r="C232" s="28" t="str">
        <f>IF(COUNTIF('02_工程タスク'!$A$4:$A$135,A232)&lt;&gt;1,"参照ID不正",IF(INDEX('02_工程タスク'!$G$4:$G$135,MATCH(A232,'02_工程タスク'!$A$4:$A$135,0))="","",INDEX('02_工程タスク'!$G$4:$G$135,MATCH(A232,'02_工程タスク'!$A$4:$A$135,0))))</f>
        <v>R12, R07, R08</v>
      </c>
      <c r="D232" s="28" t="str">
        <f>IF(COUNTIF('02_工程タスク'!$A$4:$A$135,A232)&lt;&gt;1,"参照ID不正",IF(INDEX('02_工程タスク'!$H$4:$H$135,MATCH(A232,'02_工程タスク'!$A$4:$A$135,0))="","",INDEX('02_工程タスク'!$H$4:$H$135,MATCH(A232,'02_工程タスク'!$A$4:$A$135,0))))</f>
        <v>R18</v>
      </c>
      <c r="E232" s="2" t="s">
        <v>2371</v>
      </c>
      <c r="F232" s="28" t="str">
        <f>IF(COUNTIF('07_スキル辞書'!$A$4:$A$109,E232)&lt;&gt;1,"参照ID不正",IF(INDEX('07_スキル辞書'!$D$4:$D$109,MATCH(E232,'07_スキル辞書'!$A$4:$A$109,0))="","",INDEX('07_スキル辞書'!$D$4:$D$109,MATCH(E232,'07_スキル辞書'!$A$4:$A$109,0))))</f>
        <v>トークンコスト・レイテンシ設計とコスト監視</v>
      </c>
      <c r="G232" s="2">
        <v>2</v>
      </c>
      <c r="H232" s="28" t="str">
        <f>IF(COUNTIF('07_スキル辞書'!$A$4:$A$109,E232)&lt;&gt;1,"参照ID不正",IF(INDEX('07_スキル辞書'!$I$4:$I$109,MATCH(E232,'07_スキル辞書'!$A$4:$A$109,0))="","",INDEX('07_スキル辞書'!$I$4:$I$109,MATCH(E232,'07_スキル辞書'!$A$4:$A$109,0))))</f>
        <v>非機能要件定義書 v1（要件定義書v1の一部）、コストダッシュボード、コスト超過アラート、モデル推論APIのエンドポイント</v>
      </c>
      <c r="I232" s="2" t="s">
        <v>2900</v>
      </c>
    </row>
    <row r="233" spans="1:9" ht="38" customHeight="1" x14ac:dyDescent="0.2">
      <c r="A233" s="4" t="s">
        <v>1008</v>
      </c>
      <c r="B233" s="28" t="str">
        <f>IF(COUNTIF('02_工程タスク'!$A$4:$A$135,A233)&lt;&gt;1,"参照ID不正",IF(INDEX('02_工程タスク'!$D$4:$D$135,MATCH(A233,'02_工程タスク'!$A$4:$A$135,0))="","",INDEX('02_工程タスク'!$D$4:$D$135,MATCH(A233,'02_工程タスク'!$A$4:$A$135,0))))</f>
        <v>単体・結合・契約・構造テスト</v>
      </c>
      <c r="C233" s="28" t="str">
        <f>IF(COUNTIF('02_工程タスク'!$A$4:$A$135,A233)&lt;&gt;1,"参照ID不正",IF(INDEX('02_工程タスク'!$G$4:$G$135,MATCH(A233,'02_工程タスク'!$A$4:$A$135,0))="","",INDEX('02_工程タスク'!$G$4:$G$135,MATCH(A233,'02_工程タスク'!$A$4:$A$135,0))))</f>
        <v>R07, R11</v>
      </c>
      <c r="D233" s="28" t="str">
        <f>IF(COUNTIF('02_工程タスク'!$A$4:$A$135,A233)&lt;&gt;1,"参照ID不正",IF(INDEX('02_工程タスク'!$H$4:$H$135,MATCH(A233,'02_工程タスク'!$A$4:$A$135,0))="","",INDEX('02_工程タスク'!$H$4:$H$135,MATCH(A233,'02_工程タスク'!$A$4:$A$135,0))))</f>
        <v>R06</v>
      </c>
      <c r="E233" s="4" t="s">
        <v>2299</v>
      </c>
      <c r="F233" s="28" t="str">
        <f>IF(COUNTIF('07_スキル辞書'!$A$4:$A$109,E233)&lt;&gt;1,"参照ID不正",IF(INDEX('07_スキル辞書'!$D$4:$D$109,MATCH(E233,'07_スキル辞書'!$A$4:$A$109,0))="","",INDEX('07_スキル辞書'!$D$4:$D$109,MATCH(E233,'07_スキル辞書'!$A$4:$A$109,0))))</f>
        <v>テスト設計と自動テスト</v>
      </c>
      <c r="G233" s="4">
        <v>2</v>
      </c>
      <c r="H233" s="28" t="str">
        <f>IF(COUNTIF('07_スキル辞書'!$A$4:$A$109,E233)&lt;&gt;1,"参照ID不正",IF(INDEX('07_スキル辞書'!$I$4:$I$109,MATCH(E233,'07_スキル辞書'!$A$4:$A$109,0))="","",INDEX('07_スキル辞書'!$I$4:$I$109,MATCH(E233,'07_スキル辞書'!$A$4:$A$109,0))))</f>
        <v>単体・結合テストコード、テストカバレッジレポート、システム総合テスト報告書、性能テスト報告書</v>
      </c>
      <c r="I233" s="4" t="s">
        <v>2900</v>
      </c>
    </row>
    <row r="234" spans="1:9" ht="38" customHeight="1" x14ac:dyDescent="0.2">
      <c r="A234" s="2" t="s">
        <v>1008</v>
      </c>
      <c r="B234" s="28" t="str">
        <f>IF(COUNTIF('02_工程タスク'!$A$4:$A$135,A234)&lt;&gt;1,"参照ID不正",IF(INDEX('02_工程タスク'!$D$4:$D$135,MATCH(A234,'02_工程タスク'!$A$4:$A$135,0))="","",INDEX('02_工程タスク'!$D$4:$D$135,MATCH(A234,'02_工程タスク'!$A$4:$A$135,0))))</f>
        <v>単体・結合・契約・構造テスト</v>
      </c>
      <c r="C234" s="28" t="str">
        <f>IF(COUNTIF('02_工程タスク'!$A$4:$A$135,A234)&lt;&gt;1,"参照ID不正",IF(INDEX('02_工程タスク'!$G$4:$G$135,MATCH(A234,'02_工程タスク'!$A$4:$A$135,0))="","",INDEX('02_工程タスク'!$G$4:$G$135,MATCH(A234,'02_工程タスク'!$A$4:$A$135,0))))</f>
        <v>R07, R11</v>
      </c>
      <c r="D234" s="28" t="str">
        <f>IF(COUNTIF('02_工程タスク'!$A$4:$A$135,A234)&lt;&gt;1,"参照ID不正",IF(INDEX('02_工程タスク'!$H$4:$H$135,MATCH(A234,'02_工程タスク'!$A$4:$A$135,0))="","",INDEX('02_工程タスク'!$H$4:$H$135,MATCH(A234,'02_工程タスク'!$A$4:$A$135,0))))</f>
        <v>R06</v>
      </c>
      <c r="E234" s="2" t="s">
        <v>2569</v>
      </c>
      <c r="F234" s="28" t="str">
        <f>IF(COUNTIF('07_スキル辞書'!$A$4:$A$109,E234)&lt;&gt;1,"参照ID不正",IF(INDEX('07_スキル辞書'!$D$4:$D$109,MATCH(E234,'07_スキル辞書'!$A$4:$A$109,0))="","",INDEX('07_スキル辞書'!$D$4:$D$109,MATCH(E234,'07_スキル辞書'!$A$4:$A$109,0))))</f>
        <v>AI特化テスト設計</v>
      </c>
      <c r="G234" s="2">
        <v>2</v>
      </c>
      <c r="H234" s="28" t="str">
        <f>IF(COUNTIF('07_スキル辞書'!$A$4:$A$109,E234)&lt;&gt;1,"参照ID不正",IF(INDEX('07_スキル辞書'!$I$4:$I$109,MATCH(E234,'07_スキル辞書'!$A$4:$A$109,0))="","",INDEX('07_スキル辞書'!$I$4:$I$109,MATCH(E234,'07_スキル辞書'!$A$4:$A$109,0))))</f>
        <v>AIモデル品質評価レポート、評価ハーネス、ゴールデンデータセット、システム総合テスト報告書</v>
      </c>
      <c r="I234" s="2" t="s">
        <v>2900</v>
      </c>
    </row>
    <row r="235" spans="1:9" ht="38" customHeight="1" x14ac:dyDescent="0.2">
      <c r="A235" s="4" t="s">
        <v>1008</v>
      </c>
      <c r="B235" s="28" t="str">
        <f>IF(COUNTIF('02_工程タスク'!$A$4:$A$135,A235)&lt;&gt;1,"参照ID不正",IF(INDEX('02_工程タスク'!$D$4:$D$135,MATCH(A235,'02_工程タスク'!$A$4:$A$135,0))="","",INDEX('02_工程タスク'!$D$4:$D$135,MATCH(A235,'02_工程タスク'!$A$4:$A$135,0))))</f>
        <v>単体・結合・契約・構造テスト</v>
      </c>
      <c r="C235" s="28" t="str">
        <f>IF(COUNTIF('02_工程タスク'!$A$4:$A$135,A235)&lt;&gt;1,"参照ID不正",IF(INDEX('02_工程タスク'!$G$4:$G$135,MATCH(A235,'02_工程タスク'!$A$4:$A$135,0))="","",INDEX('02_工程タスク'!$G$4:$G$135,MATCH(A235,'02_工程タスク'!$A$4:$A$135,0))))</f>
        <v>R07, R11</v>
      </c>
      <c r="D235" s="28" t="str">
        <f>IF(COUNTIF('02_工程タスク'!$A$4:$A$135,A235)&lt;&gt;1,"参照ID不正",IF(INDEX('02_工程タスク'!$H$4:$H$135,MATCH(A235,'02_工程タスク'!$A$4:$A$135,0))="","",INDEX('02_工程タスク'!$H$4:$H$135,MATCH(A235,'02_工程タスク'!$A$4:$A$135,0))))</f>
        <v>R06</v>
      </c>
      <c r="E235" s="4" t="s">
        <v>2604</v>
      </c>
      <c r="F235" s="28" t="str">
        <f>IF(COUNTIF('07_スキル辞書'!$A$4:$A$109,E235)&lt;&gt;1,"参照ID不正",IF(INDEX('07_スキル辞書'!$D$4:$D$109,MATCH(E235,'07_スキル辞書'!$A$4:$A$109,0))="","",INDEX('07_スキル辞書'!$D$4:$D$109,MATCH(E235,'07_スキル辞書'!$A$4:$A$109,0))))</f>
        <v>仕様・正本リポジトリ・開発ハーネス</v>
      </c>
      <c r="G235" s="4">
        <v>2</v>
      </c>
      <c r="H235" s="28" t="str">
        <f>IF(COUNTIF('07_スキル辞書'!$A$4:$A$109,E235)&lt;&gt;1,"参照ID不正",IF(INDEX('07_スキル辞書'!$I$4:$I$109,MATCH(E235,'07_スキル辞書'!$A$4:$A$109,0))="","",INDEX('07_スキル辞書'!$I$4:$I$109,MATCH(E235,'07_スキル辞書'!$A$4:$A$109,0))))</f>
        <v>正本リポジトリ／仕様・テスト対応／PRと実行ログ</v>
      </c>
      <c r="I235" s="4" t="s">
        <v>2900</v>
      </c>
    </row>
    <row r="236" spans="1:9" ht="38" customHeight="1" x14ac:dyDescent="0.2">
      <c r="A236" s="2" t="s">
        <v>1018</v>
      </c>
      <c r="B236" s="28" t="str">
        <f>IF(COUNTIF('02_工程タスク'!$A$4:$A$135,A236)&lt;&gt;1,"参照ID不正",IF(INDEX('02_工程タスク'!$D$4:$D$135,MATCH(A236,'02_工程タスク'!$A$4:$A$135,0))="","",INDEX('02_工程タスク'!$D$4:$D$135,MATCH(A236,'02_工程タスク'!$A$4:$A$135,0))))</f>
        <v>回帰・adversarial・grader較正</v>
      </c>
      <c r="C236" s="28" t="str">
        <f>IF(COUNTIF('02_工程タスク'!$A$4:$A$135,A236)&lt;&gt;1,"参照ID不正",IF(INDEX('02_工程タスク'!$G$4:$G$135,MATCH(A236,'02_工程タスク'!$A$4:$A$135,0))="","",INDEX('02_工程タスク'!$G$4:$G$135,MATCH(A236,'02_工程タスク'!$A$4:$A$135,0))))</f>
        <v>R11, R08</v>
      </c>
      <c r="D236" s="28" t="str">
        <f>IF(COUNTIF('02_工程タスク'!$A$4:$A$135,A236)&lt;&gt;1,"参照ID不正",IF(INDEX('02_工程タスク'!$H$4:$H$135,MATCH(A236,'02_工程タスク'!$A$4:$A$135,0))="","",INDEX('02_工程タスク'!$H$4:$H$135,MATCH(A236,'02_工程タスク'!$A$4:$A$135,0))))</f>
        <v>R19</v>
      </c>
      <c r="E236" s="2" t="s">
        <v>2533</v>
      </c>
      <c r="F236" s="28" t="str">
        <f>IF(COUNTIF('07_スキル辞書'!$A$4:$A$109,E236)&lt;&gt;1,"参照ID不正",IF(INDEX('07_スキル辞書'!$D$4:$D$109,MATCH(E236,'07_スキル辞書'!$A$4:$A$109,0))="","",INDEX('07_スキル辞書'!$D$4:$D$109,MATCH(E236,'07_スキル辞書'!$A$4:$A$109,0))))</f>
        <v>モデル評価とエラー分析</v>
      </c>
      <c r="G236" s="2">
        <v>2</v>
      </c>
      <c r="H236" s="28" t="str">
        <f>IF(COUNTIF('07_スキル辞書'!$A$4:$A$109,E236)&lt;&gt;1,"参照ID不正",IF(INDEX('07_スキル辞書'!$I$4:$I$109,MATCH(E236,'07_スキル辞書'!$A$4:$A$109,0))="","",INDEX('07_スキル辞書'!$I$4:$I$109,MATCH(E236,'07_スキル辞書'!$A$4:$A$109,0))))</f>
        <v>モデル評価レポート、エラー分析レポート、最終性能評価レポート（信頼区間付き）、AIモデル品質評価レポート</v>
      </c>
      <c r="I236" s="2" t="s">
        <v>2900</v>
      </c>
    </row>
    <row r="237" spans="1:9" ht="38" customHeight="1" x14ac:dyDescent="0.2">
      <c r="A237" s="4" t="s">
        <v>1018</v>
      </c>
      <c r="B237" s="28" t="str">
        <f>IF(COUNTIF('02_工程タスク'!$A$4:$A$135,A237)&lt;&gt;1,"参照ID不正",IF(INDEX('02_工程タスク'!$D$4:$D$135,MATCH(A237,'02_工程タスク'!$A$4:$A$135,0))="","",INDEX('02_工程タスク'!$D$4:$D$135,MATCH(A237,'02_工程タスク'!$A$4:$A$135,0))))</f>
        <v>回帰・adversarial・grader較正</v>
      </c>
      <c r="C237" s="28" t="str">
        <f>IF(COUNTIF('02_工程タスク'!$A$4:$A$135,A237)&lt;&gt;1,"参照ID不正",IF(INDEX('02_工程タスク'!$G$4:$G$135,MATCH(A237,'02_工程タスク'!$A$4:$A$135,0))="","",INDEX('02_工程タスク'!$G$4:$G$135,MATCH(A237,'02_工程タスク'!$A$4:$A$135,0))))</f>
        <v>R11, R08</v>
      </c>
      <c r="D237" s="28" t="str">
        <f>IF(COUNTIF('02_工程タスク'!$A$4:$A$135,A237)&lt;&gt;1,"参照ID不正",IF(INDEX('02_工程タスク'!$H$4:$H$135,MATCH(A237,'02_工程タスク'!$A$4:$A$135,0))="","",INDEX('02_工程タスク'!$H$4:$H$135,MATCH(A237,'02_工程タスク'!$A$4:$A$135,0))))</f>
        <v>R19</v>
      </c>
      <c r="E237" s="4" t="s">
        <v>2551</v>
      </c>
      <c r="F237" s="28" t="str">
        <f>IF(COUNTIF('07_スキル辞書'!$A$4:$A$109,E237)&lt;&gt;1,"参照ID不正",IF(INDEX('07_スキル辞書'!$D$4:$D$109,MATCH(E237,'07_スキル辞書'!$A$4:$A$109,0))="","",INDEX('07_スキル辞書'!$D$4:$D$109,MATCH(E237,'07_スキル辞書'!$A$4:$A$109,0))))</f>
        <v>LLM評価設計</v>
      </c>
      <c r="G237" s="4">
        <v>2</v>
      </c>
      <c r="H237" s="28" t="str">
        <f>IF(COUNTIF('07_スキル辞書'!$A$4:$A$109,E237)&lt;&gt;1,"参照ID不正",IF(INDEX('07_スキル辞書'!$I$4:$I$109,MATCH(E237,'07_スキル辞書'!$A$4:$A$109,0))="","",INDEX('07_スキル辞書'!$I$4:$I$109,MATCH(E237,'07_スキル辞書'!$A$4:$A$109,0))))</f>
        <v>評価ハーネス、AIモデル品質評価レポート、モデル評価レポート、最終性能評価レポート（信頼区間付き）</v>
      </c>
      <c r="I237" s="4" t="s">
        <v>2900</v>
      </c>
    </row>
    <row r="238" spans="1:9" ht="38" customHeight="1" x14ac:dyDescent="0.2">
      <c r="A238" s="2" t="s">
        <v>1018</v>
      </c>
      <c r="B238" s="28" t="str">
        <f>IF(COUNTIF('02_工程タスク'!$A$4:$A$135,A238)&lt;&gt;1,"参照ID不正",IF(INDEX('02_工程タスク'!$D$4:$D$135,MATCH(A238,'02_工程タスク'!$A$4:$A$135,0))="","",INDEX('02_工程タスク'!$D$4:$D$135,MATCH(A238,'02_工程タスク'!$A$4:$A$135,0))))</f>
        <v>回帰・adversarial・grader較正</v>
      </c>
      <c r="C238" s="28" t="str">
        <f>IF(COUNTIF('02_工程タスク'!$A$4:$A$135,A238)&lt;&gt;1,"参照ID不正",IF(INDEX('02_工程タスク'!$G$4:$G$135,MATCH(A238,'02_工程タスク'!$A$4:$A$135,0))="","",INDEX('02_工程タスク'!$G$4:$G$135,MATCH(A238,'02_工程タスク'!$A$4:$A$135,0))))</f>
        <v>R11, R08</v>
      </c>
      <c r="D238" s="28" t="str">
        <f>IF(COUNTIF('02_工程タスク'!$A$4:$A$135,A238)&lt;&gt;1,"参照ID不正",IF(INDEX('02_工程タスク'!$H$4:$H$135,MATCH(A238,'02_工程タスク'!$A$4:$A$135,0))="","",INDEX('02_工程タスク'!$H$4:$H$135,MATCH(A238,'02_工程タスク'!$A$4:$A$135,0))))</f>
        <v>R19</v>
      </c>
      <c r="E238" s="2" t="s">
        <v>2569</v>
      </c>
      <c r="F238" s="28" t="str">
        <f>IF(COUNTIF('07_スキル辞書'!$A$4:$A$109,E238)&lt;&gt;1,"参照ID不正",IF(INDEX('07_スキル辞書'!$D$4:$D$109,MATCH(E238,'07_スキル辞書'!$A$4:$A$109,0))="","",INDEX('07_スキル辞書'!$D$4:$D$109,MATCH(E238,'07_スキル辞書'!$A$4:$A$109,0))))</f>
        <v>AI特化テスト設計</v>
      </c>
      <c r="G238" s="2">
        <v>2</v>
      </c>
      <c r="H238" s="28" t="str">
        <f>IF(COUNTIF('07_スキル辞書'!$A$4:$A$109,E238)&lt;&gt;1,"参照ID不正",IF(INDEX('07_スキル辞書'!$I$4:$I$109,MATCH(E238,'07_スキル辞書'!$A$4:$A$109,0))="","",INDEX('07_スキル辞書'!$I$4:$I$109,MATCH(E238,'07_スキル辞書'!$A$4:$A$109,0))))</f>
        <v>AIモデル品質評価レポート、評価ハーネス、ゴールデンデータセット、システム総合テスト報告書</v>
      </c>
      <c r="I238" s="2" t="s">
        <v>2900</v>
      </c>
    </row>
    <row r="239" spans="1:9" ht="38" customHeight="1" x14ac:dyDescent="0.2">
      <c r="A239" s="4" t="s">
        <v>1018</v>
      </c>
      <c r="B239" s="28" t="str">
        <f>IF(COUNTIF('02_工程タスク'!$A$4:$A$135,A239)&lt;&gt;1,"参照ID不正",IF(INDEX('02_工程タスク'!$D$4:$D$135,MATCH(A239,'02_工程タスク'!$A$4:$A$135,0))="","",INDEX('02_工程タスク'!$D$4:$D$135,MATCH(A239,'02_工程タスク'!$A$4:$A$135,0))))</f>
        <v>回帰・adversarial・grader較正</v>
      </c>
      <c r="C239" s="28" t="str">
        <f>IF(COUNTIF('02_工程タスク'!$A$4:$A$135,A239)&lt;&gt;1,"参照ID不正",IF(INDEX('02_工程タスク'!$G$4:$G$135,MATCH(A239,'02_工程タスク'!$A$4:$A$135,0))="","",INDEX('02_工程タスク'!$G$4:$G$135,MATCH(A239,'02_工程タスク'!$A$4:$A$135,0))))</f>
        <v>R11, R08</v>
      </c>
      <c r="D239" s="28" t="str">
        <f>IF(COUNTIF('02_工程タスク'!$A$4:$A$135,A239)&lt;&gt;1,"参照ID不正",IF(INDEX('02_工程タスク'!$H$4:$H$135,MATCH(A239,'02_工程タスク'!$A$4:$A$135,0))="","",INDEX('02_工程タスク'!$H$4:$H$135,MATCH(A239,'02_工程タスク'!$A$4:$A$135,0))))</f>
        <v>R19</v>
      </c>
      <c r="E239" s="4" t="s">
        <v>2614</v>
      </c>
      <c r="F239" s="28" t="str">
        <f>IF(COUNTIF('07_スキル辞書'!$A$4:$A$109,E239)&lt;&gt;1,"参照ID不正",IF(INDEX('07_スキル辞書'!$D$4:$D$109,MATCH(E239,'07_スキル辞書'!$A$4:$A$109,0))="","",INDEX('07_スキル辞書'!$D$4:$D$109,MATCH(E239,'07_スキル辞書'!$A$4:$A$109,0))))</f>
        <v>独立評価・採点較正・品質承認証拠</v>
      </c>
      <c r="G239" s="4">
        <v>3</v>
      </c>
      <c r="H239" s="28" t="str">
        <f>IF(COUNTIF('07_スキル辞書'!$A$4:$A$109,E239)&lt;&gt;1,"参照ID不正",IF(INDEX('07_スキル辞書'!$I$4:$I$109,MATCH(E239,'07_スキル辞書'!$A$4:$A$109,0))="","",INDEX('07_スキル辞書'!$I$4:$I$109,MATCH(E239,'07_スキル辞書'!$A$4:$A$109,0))))</f>
        <v>凍結評価・grader較正・G3品質勧告</v>
      </c>
      <c r="I239" s="4" t="s">
        <v>2900</v>
      </c>
    </row>
    <row r="240" spans="1:9" ht="38" customHeight="1" x14ac:dyDescent="0.2">
      <c r="A240" s="2" t="s">
        <v>1028</v>
      </c>
      <c r="B240" s="28" t="str">
        <f>IF(COUNTIF('02_工程タスク'!$A$4:$A$135,A240)&lt;&gt;1,"参照ID不正",IF(INDEX('02_工程タスク'!$D$4:$D$135,MATCH(A240,'02_工程タスク'!$A$4:$A$135,0))="","",INDEX('02_工程タスク'!$D$4:$D$135,MATCH(A240,'02_工程タスク'!$A$4:$A$135,0))))</f>
        <v>独立レビュー・供給網・機密検査</v>
      </c>
      <c r="C240" s="28" t="str">
        <f>IF(COUNTIF('02_工程タスク'!$A$4:$A$135,A240)&lt;&gt;1,"参照ID不正",IF(INDEX('02_工程タスク'!$G$4:$G$135,MATCH(A240,'02_工程タスク'!$A$4:$A$135,0))="","",INDEX('02_工程タスク'!$G$4:$G$135,MATCH(A240,'02_工程タスク'!$A$4:$A$135,0))))</f>
        <v>R07, R11, R13, R20</v>
      </c>
      <c r="D240" s="28" t="str">
        <f>IF(COUNTIF('02_工程タスク'!$A$4:$A$135,A240)&lt;&gt;1,"参照ID不正",IF(INDEX('02_工程タスク'!$H$4:$H$135,MATCH(A240,'02_工程タスク'!$A$4:$A$135,0))="","",INDEX('02_工程タスク'!$H$4:$H$135,MATCH(A240,'02_工程タスク'!$A$4:$A$135,0))))</f>
        <v>R06</v>
      </c>
      <c r="E240" s="2" t="s">
        <v>2055</v>
      </c>
      <c r="F240" s="28" t="str">
        <f>IF(COUNTIF('07_スキル辞書'!$A$4:$A$109,E240)&lt;&gt;1,"参照ID不正",IF(INDEX('07_スキル辞書'!$D$4:$D$109,MATCH(E240,'07_スキル辞書'!$A$4:$A$109,0))="","",INDEX('07_スキル辞書'!$D$4:$D$109,MATCH(E240,'07_スキル辞書'!$A$4:$A$109,0))))</f>
        <v>知的財産・ライセンスと生成物の権利処理</v>
      </c>
      <c r="G240" s="2">
        <v>2</v>
      </c>
      <c r="H240" s="28" t="str">
        <f>IF(COUNTIF('07_スキル辞書'!$A$4:$A$109,E240)&lt;&gt;1,"参照ID不正",IF(INDEX('07_スキル辞書'!$I$4:$I$109,MATCH(E240,'07_スキル辞書'!$A$4:$A$109,0))="","",INDEX('07_スキル辞書'!$I$4:$I$109,MATCH(E240,'07_スキル辞書'!$A$4:$A$109,0))))</f>
        <v>IP／ライセンス台帳、出所・利用許諾、製品採用判断。外注／販売時は23の契約と権利受入記録。</v>
      </c>
      <c r="I240" s="2" t="s">
        <v>2900</v>
      </c>
    </row>
    <row r="241" spans="1:9" ht="38" customHeight="1" x14ac:dyDescent="0.2">
      <c r="A241" s="4" t="s">
        <v>1028</v>
      </c>
      <c r="B241" s="28" t="str">
        <f>IF(COUNTIF('02_工程タスク'!$A$4:$A$135,A241)&lt;&gt;1,"参照ID不正",IF(INDEX('02_工程タスク'!$D$4:$D$135,MATCH(A241,'02_工程タスク'!$A$4:$A$135,0))="","",INDEX('02_工程タスク'!$D$4:$D$135,MATCH(A241,'02_工程タスク'!$A$4:$A$135,0))))</f>
        <v>独立レビュー・供給網・機密検査</v>
      </c>
      <c r="C241" s="28" t="str">
        <f>IF(COUNTIF('02_工程タスク'!$A$4:$A$135,A241)&lt;&gt;1,"参照ID不正",IF(INDEX('02_工程タスク'!$G$4:$G$135,MATCH(A241,'02_工程タスク'!$A$4:$A$135,0))="","",INDEX('02_工程タスク'!$G$4:$G$135,MATCH(A241,'02_工程タスク'!$A$4:$A$135,0))))</f>
        <v>R07, R11, R13, R20</v>
      </c>
      <c r="D241" s="28" t="str">
        <f>IF(COUNTIF('02_工程タスク'!$A$4:$A$135,A241)&lt;&gt;1,"参照ID不正",IF(INDEX('02_工程タスク'!$H$4:$H$135,MATCH(A241,'02_工程タスク'!$A$4:$A$135,0))="","",INDEX('02_工程タスク'!$H$4:$H$135,MATCH(A241,'02_工程タスク'!$A$4:$A$135,0))))</f>
        <v>R06</v>
      </c>
      <c r="E241" s="4" t="s">
        <v>2299</v>
      </c>
      <c r="F241" s="28" t="str">
        <f>IF(COUNTIF('07_スキル辞書'!$A$4:$A$109,E241)&lt;&gt;1,"参照ID不正",IF(INDEX('07_スキル辞書'!$D$4:$D$109,MATCH(E241,'07_スキル辞書'!$A$4:$A$109,0))="","",INDEX('07_スキル辞書'!$D$4:$D$109,MATCH(E241,'07_スキル辞書'!$A$4:$A$109,0))))</f>
        <v>テスト設計と自動テスト</v>
      </c>
      <c r="G241" s="4">
        <v>2</v>
      </c>
      <c r="H241" s="28" t="str">
        <f>IF(COUNTIF('07_スキル辞書'!$A$4:$A$109,E241)&lt;&gt;1,"参照ID不正",IF(INDEX('07_スキル辞書'!$I$4:$I$109,MATCH(E241,'07_スキル辞書'!$A$4:$A$109,0))="","",INDEX('07_スキル辞書'!$I$4:$I$109,MATCH(E241,'07_スキル辞書'!$A$4:$A$109,0))))</f>
        <v>単体・結合テストコード、テストカバレッジレポート、システム総合テスト報告書、性能テスト報告書</v>
      </c>
      <c r="I241" s="4" t="s">
        <v>2900</v>
      </c>
    </row>
    <row r="242" spans="1:9" ht="38" customHeight="1" x14ac:dyDescent="0.2">
      <c r="A242" s="2" t="s">
        <v>1028</v>
      </c>
      <c r="B242" s="28" t="str">
        <f>IF(COUNTIF('02_工程タスク'!$A$4:$A$135,A242)&lt;&gt;1,"参照ID不正",IF(INDEX('02_工程タスク'!$D$4:$D$135,MATCH(A242,'02_工程タスク'!$A$4:$A$135,0))="","",INDEX('02_工程タスク'!$D$4:$D$135,MATCH(A242,'02_工程タスク'!$A$4:$A$135,0))))</f>
        <v>独立レビュー・供給網・機密検査</v>
      </c>
      <c r="C242" s="28" t="str">
        <f>IF(COUNTIF('02_工程タスク'!$A$4:$A$135,A242)&lt;&gt;1,"参照ID不正",IF(INDEX('02_工程タスク'!$G$4:$G$135,MATCH(A242,'02_工程タスク'!$A$4:$A$135,0))="","",INDEX('02_工程タスク'!$G$4:$G$135,MATCH(A242,'02_工程タスク'!$A$4:$A$135,0))))</f>
        <v>R07, R11, R13, R20</v>
      </c>
      <c r="D242" s="28" t="str">
        <f>IF(COUNTIF('02_工程タスク'!$A$4:$A$135,A242)&lt;&gt;1,"参照ID不正",IF(INDEX('02_工程タスク'!$H$4:$H$135,MATCH(A242,'02_工程タスク'!$A$4:$A$135,0))="","",INDEX('02_工程タスク'!$H$4:$H$135,MATCH(A242,'02_工程タスク'!$A$4:$A$135,0))))</f>
        <v>R06</v>
      </c>
      <c r="E242" s="2" t="s">
        <v>2623</v>
      </c>
      <c r="F242" s="28" t="str">
        <f>IF(COUNTIF('07_スキル辞書'!$A$4:$A$109,E242)&lt;&gt;1,"参照ID不正",IF(INDEX('07_スキル辞書'!$D$4:$D$109,MATCH(E242,'07_スキル辞書'!$A$4:$A$109,0))="","",INDEX('07_スキル辞書'!$D$4:$D$109,MATCH(E242,'07_スキル辞書'!$A$4:$A$109,0))))</f>
        <v>開発エージェントの権限・通信・供給網統制</v>
      </c>
      <c r="G242" s="2">
        <v>2</v>
      </c>
      <c r="H242" s="28" t="str">
        <f>IF(COUNTIF('07_スキル辞書'!$A$4:$A$109,E242)&lt;&gt;1,"参照ID不正",IF(INDEX('07_スキル辞書'!$I$4:$I$109,MATCH(E242,'07_スキル辞書'!$A$4:$A$109,0))="","",INDEX('07_スキル辞書'!$I$4:$I$109,MATCH(E242,'07_スキル辞書'!$A$4:$A$109,0))))</f>
        <v>ツール許可台帳／sandbox設定／通信・権限試験／秘密検査</v>
      </c>
      <c r="I242" s="2" t="s">
        <v>2900</v>
      </c>
    </row>
    <row r="243" spans="1:9" ht="38" customHeight="1" x14ac:dyDescent="0.2">
      <c r="A243" s="4" t="s">
        <v>1028</v>
      </c>
      <c r="B243" s="28" t="str">
        <f>IF(COUNTIF('02_工程タスク'!$A$4:$A$135,A243)&lt;&gt;1,"参照ID不正",IF(INDEX('02_工程タスク'!$D$4:$D$135,MATCH(A243,'02_工程タスク'!$A$4:$A$135,0))="","",INDEX('02_工程タスク'!$D$4:$D$135,MATCH(A243,'02_工程タスク'!$A$4:$A$135,0))))</f>
        <v>独立レビュー・供給網・機密検査</v>
      </c>
      <c r="C243" s="28" t="str">
        <f>IF(COUNTIF('02_工程タスク'!$A$4:$A$135,A243)&lt;&gt;1,"参照ID不正",IF(INDEX('02_工程タスク'!$G$4:$G$135,MATCH(A243,'02_工程タスク'!$A$4:$A$135,0))="","",INDEX('02_工程タスク'!$G$4:$G$135,MATCH(A243,'02_工程タスク'!$A$4:$A$135,0))))</f>
        <v>R07, R11, R13, R20</v>
      </c>
      <c r="D243" s="28" t="str">
        <f>IF(COUNTIF('02_工程タスク'!$A$4:$A$135,A243)&lt;&gt;1,"参照ID不正",IF(INDEX('02_工程タスク'!$H$4:$H$135,MATCH(A243,'02_工程タスク'!$A$4:$A$135,0))="","",INDEX('02_工程タスク'!$H$4:$H$135,MATCH(A243,'02_工程タスク'!$A$4:$A$135,0))))</f>
        <v>R06</v>
      </c>
      <c r="E243" s="4" t="s">
        <v>2046</v>
      </c>
      <c r="F243" s="28" t="str">
        <f>IF(COUNTIF('07_スキル辞書'!$A$4:$A$109,E243)&lt;&gt;1,"参照ID不正",IF(INDEX('07_スキル辞書'!$D$4:$D$109,MATCH(E243,'07_スキル辞書'!$A$4:$A$109,0))="","",INDEX('07_スキル辞書'!$D$4:$D$109,MATCH(E243,'07_スキル辞書'!$A$4:$A$109,0))))</f>
        <v>外部契約・調達・ベンダー受入</v>
      </c>
      <c r="G243" s="4">
        <v>2</v>
      </c>
      <c r="H243" s="28" t="str">
        <f>IF(COUNTIF('07_スキル辞書'!$A$4:$A$109,E243)&lt;&gt;1,"参照ID不正",IF(INDEX('07_スキル辞書'!$I$4:$I$109,MATCH(E243,'07_スキル辞書'!$A$4:$A$109,0))="","",INDEX('07_スキル辞書'!$I$4:$I$109,MATCH(E243,'07_スキル辞書'!$A$4:$A$109,0))))</f>
        <v>外部契約台帳・Supplier Acceptance・退出計画</v>
      </c>
      <c r="I243" s="4" t="s">
        <v>2900</v>
      </c>
    </row>
    <row r="244" spans="1:9" ht="38" customHeight="1" x14ac:dyDescent="0.2">
      <c r="A244" s="2" t="s">
        <v>1028</v>
      </c>
      <c r="B244" s="28" t="str">
        <f>IF(COUNTIF('02_工程タスク'!$A$4:$A$135,A244)&lt;&gt;1,"参照ID不正",IF(INDEX('02_工程タスク'!$D$4:$D$135,MATCH(A244,'02_工程タスク'!$A$4:$A$135,0))="","",INDEX('02_工程タスク'!$D$4:$D$135,MATCH(A244,'02_工程タスク'!$A$4:$A$135,0))))</f>
        <v>独立レビュー・供給網・機密検査</v>
      </c>
      <c r="C244" s="28" t="str">
        <f>IF(COUNTIF('02_工程タスク'!$A$4:$A$135,A244)&lt;&gt;1,"参照ID不正",IF(INDEX('02_工程タスク'!$G$4:$G$135,MATCH(A244,'02_工程タスク'!$A$4:$A$135,0))="","",INDEX('02_工程タスク'!$G$4:$G$135,MATCH(A244,'02_工程タスク'!$A$4:$A$135,0))))</f>
        <v>R07, R11, R13, R20</v>
      </c>
      <c r="D244" s="28" t="str">
        <f>IF(COUNTIF('02_工程タスク'!$A$4:$A$135,A244)&lt;&gt;1,"参照ID不正",IF(INDEX('02_工程タスク'!$H$4:$H$135,MATCH(A244,'02_工程タスク'!$A$4:$A$135,0))="","",INDEX('02_工程タスク'!$H$4:$H$135,MATCH(A244,'02_工程タスク'!$A$4:$A$135,0))))</f>
        <v>R06</v>
      </c>
      <c r="E244" s="2" t="s">
        <v>2873</v>
      </c>
      <c r="F244" s="28" t="str">
        <f>IF(COUNTIF('07_スキル辞書'!$A$4:$A$109,E244)&lt;&gt;1,"参照ID不正",IF(INDEX('07_スキル辞書'!$D$4:$D$109,MATCH(E244,'07_スキル辞書'!$A$4:$A$109,0))="","",INDEX('07_スキル辞書'!$D$4:$D$109,MATCH(E244,'07_スキル辞書'!$A$4:$A$109,0))))</f>
        <v>AI生成物・依存・成果物の来歴</v>
      </c>
      <c r="G244" s="2">
        <v>2</v>
      </c>
      <c r="H244" s="28" t="str">
        <f>IF(COUNTIF('07_スキル辞書'!$A$4:$A$109,E244)&lt;&gt;1,"参照ID不正",IF(INDEX('07_スキル辞書'!$I$4:$I$109,MATCH(E244,'07_スキル辞書'!$A$4:$A$109,0))="","",INDEX('07_スキル辞書'!$I$4:$I$109,MATCH(E244,'07_スキル辞書'!$A$4:$A$109,0))))</f>
        <v>SBOM/構成manifest・診断・署名</v>
      </c>
      <c r="I244" s="2" t="s">
        <v>2900</v>
      </c>
    </row>
    <row r="245" spans="1:9" ht="38" customHeight="1" x14ac:dyDescent="0.2">
      <c r="A245" s="4" t="s">
        <v>1040</v>
      </c>
      <c r="B245" s="28" t="str">
        <f>IF(COUNTIF('02_工程タスク'!$A$4:$A$135,A245)&lt;&gt;1,"参照ID不正",IF(INDEX('02_工程タスク'!$D$4:$D$135,MATCH(A245,'02_工程タスク'!$A$4:$A$135,0))="","",INDEX('02_工程タスク'!$D$4:$D$135,MATCH(A245,'02_工程タスク'!$A$4:$A$135,0))))</f>
        <v>rollback・停止・削除の実装</v>
      </c>
      <c r="C245" s="28" t="str">
        <f>IF(COUNTIF('02_工程タスク'!$A$4:$A$135,A245)&lt;&gt;1,"参照ID不正",IF(INDEX('02_工程タスク'!$G$4:$G$135,MATCH(A245,'02_工程タスク'!$A$4:$A$135,0))="","",INDEX('02_工程タスク'!$G$4:$G$135,MATCH(A245,'02_工程タスク'!$A$4:$A$135,0))))</f>
        <v>R12, R09, R13</v>
      </c>
      <c r="D245" s="28" t="str">
        <f>IF(COUNTIF('02_工程タスク'!$A$4:$A$135,A245)&lt;&gt;1,"参照ID不正",IF(INDEX('02_工程タスク'!$H$4:$H$135,MATCH(A245,'02_工程タスク'!$A$4:$A$135,0))="","",INDEX('02_工程タスク'!$H$4:$H$135,MATCH(A245,'02_工程タスク'!$A$4:$A$135,0))))</f>
        <v>R18</v>
      </c>
      <c r="E245" s="4" t="s">
        <v>2246</v>
      </c>
      <c r="F245" s="28" t="str">
        <f>IF(COUNTIF('07_スキル辞書'!$A$4:$A$109,E245)&lt;&gt;1,"参照ID不正",IF(INDEX('07_スキル辞書'!$D$4:$D$109,MATCH(E245,'07_スキル辞書'!$A$4:$A$109,0))="","",INDEX('07_スキル辞書'!$D$4:$D$109,MATCH(E245,'07_スキル辞書'!$A$4:$A$109,0))))</f>
        <v>データベース構築とバックアップ・リストア</v>
      </c>
      <c r="G245" s="4">
        <v>2</v>
      </c>
      <c r="H245" s="28" t="str">
        <f>IF(COUNTIF('07_スキル辞書'!$A$4:$A$109,E245)&lt;&gt;1,"参照ID不正",IF(INDEX('07_スキル辞書'!$I$4:$I$109,MATCH(E245,'07_スキル辞書'!$A$4:$A$109,0))="","",INDEX('07_スキル辞書'!$I$4:$I$109,MATCH(E245,'07_スキル辞書'!$A$4:$A$109,0))))</f>
        <v>構築済みデータベース、スキーマ定義書、バックアップ・リストア手順書、データ受領記録、アクセス制御設定</v>
      </c>
      <c r="I245" s="4" t="s">
        <v>2900</v>
      </c>
    </row>
    <row r="246" spans="1:9" ht="38" customHeight="1" x14ac:dyDescent="0.2">
      <c r="A246" s="2" t="s">
        <v>1040</v>
      </c>
      <c r="B246" s="28" t="str">
        <f>IF(COUNTIF('02_工程タスク'!$A$4:$A$135,A246)&lt;&gt;1,"参照ID不正",IF(INDEX('02_工程タスク'!$D$4:$D$135,MATCH(A246,'02_工程タスク'!$A$4:$A$135,0))="","",INDEX('02_工程タスク'!$D$4:$D$135,MATCH(A246,'02_工程タスク'!$A$4:$A$135,0))))</f>
        <v>rollback・停止・削除の実装</v>
      </c>
      <c r="C246" s="28" t="str">
        <f>IF(COUNTIF('02_工程タスク'!$A$4:$A$135,A246)&lt;&gt;1,"参照ID不正",IF(INDEX('02_工程タスク'!$G$4:$G$135,MATCH(A246,'02_工程タスク'!$A$4:$A$135,0))="","",INDEX('02_工程タスク'!$G$4:$G$135,MATCH(A246,'02_工程タスク'!$A$4:$A$135,0))))</f>
        <v>R12, R09, R13</v>
      </c>
      <c r="D246" s="28" t="str">
        <f>IF(COUNTIF('02_工程タスク'!$A$4:$A$135,A246)&lt;&gt;1,"参照ID不正",IF(INDEX('02_工程タスク'!$H$4:$H$135,MATCH(A246,'02_工程タスク'!$A$4:$A$135,0))="","",INDEX('02_工程タスク'!$H$4:$H$135,MATCH(A246,'02_工程タスク'!$A$4:$A$135,0))))</f>
        <v>R18</v>
      </c>
      <c r="E246" s="2" t="s">
        <v>2353</v>
      </c>
      <c r="F246" s="28" t="str">
        <f>IF(COUNTIF('07_スキル辞書'!$A$4:$A$109,E246)&lt;&gt;1,"参照ID不正",IF(INDEX('07_スキル辞書'!$D$4:$D$109,MATCH(E246,'07_スキル辞書'!$A$4:$A$109,0))="","",INDEX('07_スキル辞書'!$D$4:$D$109,MATCH(E246,'07_スキル辞書'!$A$4:$A$109,0))))</f>
        <v>リリース・デプロイ戦略とロールバック</v>
      </c>
      <c r="G246" s="2">
        <v>2</v>
      </c>
      <c r="H246" s="28" t="str">
        <f>IF(COUNTIF('07_スキル辞書'!$A$4:$A$109,E246)&lt;&gt;1,"参照ID不正",IF(INDEX('07_スキル辞書'!$I$4:$I$109,MATCH(E246,'07_スキル辞書'!$A$4:$A$109,0))="","",INDEX('07_スキル辞書'!$I$4:$I$109,MATCH(E246,'07_スキル辞書'!$A$4:$A$109,0))))</f>
        <v>リリース計画書、リリースノート、本番稼働中のシステム、デプロイ戦略の実装、切替記録、モデルロールバック手順書</v>
      </c>
      <c r="I246" s="2" t="s">
        <v>2900</v>
      </c>
    </row>
    <row r="247" spans="1:9" ht="38" customHeight="1" x14ac:dyDescent="0.2">
      <c r="A247" s="4" t="s">
        <v>1040</v>
      </c>
      <c r="B247" s="28" t="str">
        <f>IF(COUNTIF('02_工程タスク'!$A$4:$A$135,A247)&lt;&gt;1,"参照ID不正",IF(INDEX('02_工程タスク'!$D$4:$D$135,MATCH(A247,'02_工程タスク'!$A$4:$A$135,0))="","",INDEX('02_工程タスク'!$D$4:$D$135,MATCH(A247,'02_工程タスク'!$A$4:$A$135,0))))</f>
        <v>rollback・停止・削除の実装</v>
      </c>
      <c r="C247" s="28" t="str">
        <f>IF(COUNTIF('02_工程タスク'!$A$4:$A$135,A247)&lt;&gt;1,"参照ID不正",IF(INDEX('02_工程タスク'!$G$4:$G$135,MATCH(A247,'02_工程タスク'!$A$4:$A$135,0))="","",INDEX('02_工程タスク'!$G$4:$G$135,MATCH(A247,'02_工程タスク'!$A$4:$A$135,0))))</f>
        <v>R12, R09, R13</v>
      </c>
      <c r="D247" s="28" t="str">
        <f>IF(COUNTIF('02_工程タスク'!$A$4:$A$135,A247)&lt;&gt;1,"参照ID不正",IF(INDEX('02_工程タスク'!$H$4:$H$135,MATCH(A247,'02_工程タスク'!$A$4:$A$135,0))="","",INDEX('02_工程タスク'!$H$4:$H$135,MATCH(A247,'02_工程タスク'!$A$4:$A$135,0))))</f>
        <v>R18</v>
      </c>
      <c r="E247" s="4" t="s">
        <v>2641</v>
      </c>
      <c r="F247" s="28" t="str">
        <f>IF(COUNTIF('07_スキル辞書'!$A$4:$A$109,E247)&lt;&gt;1,"参照ID不正",IF(INDEX('07_スキル辞書'!$D$4:$D$109,MATCH(E247,'07_スキル辞書'!$A$4:$A$109,0))="","",INDEX('07_スキル辞書'!$D$4:$D$109,MATCH(E247,'07_スキル辞書'!$A$4:$A$109,0))))</f>
        <v>AI構成一式の更新・復旧・終了管理</v>
      </c>
      <c r="G247" s="4">
        <v>2</v>
      </c>
      <c r="H247" s="28" t="str">
        <f>IF(COUNTIF('07_スキル辞書'!$A$4:$A$109,E247)&lt;&gt;1,"参照ID不正",IF(INDEX('07_スキル辞書'!$I$4:$I$109,MATCH(E247,'07_スキル辞書'!$A$4:$A$109,0))="","",INDEX('07_スキル辞書'!$I$4:$I$109,MATCH(E247,'07_スキル辞書'!$A$4:$A$109,0))))</f>
        <v>構成manifest／復旧訓練／終了・削除・失効証跡</v>
      </c>
      <c r="I247" s="4" t="s">
        <v>2900</v>
      </c>
    </row>
    <row r="248" spans="1:9" ht="38" customHeight="1" x14ac:dyDescent="0.2">
      <c r="A248" s="2" t="s">
        <v>1040</v>
      </c>
      <c r="B248" s="28" t="str">
        <f>IF(COUNTIF('02_工程タスク'!$A$4:$A$135,A248)&lt;&gt;1,"参照ID不正",IF(INDEX('02_工程タスク'!$D$4:$D$135,MATCH(A248,'02_工程タスク'!$A$4:$A$135,0))="","",INDEX('02_工程タスク'!$D$4:$D$135,MATCH(A248,'02_工程タスク'!$A$4:$A$135,0))))</f>
        <v>rollback・停止・削除の実装</v>
      </c>
      <c r="C248" s="28" t="str">
        <f>IF(COUNTIF('02_工程タスク'!$A$4:$A$135,A248)&lt;&gt;1,"参照ID不正",IF(INDEX('02_工程タスク'!$G$4:$G$135,MATCH(A248,'02_工程タスク'!$A$4:$A$135,0))="","",INDEX('02_工程タスク'!$G$4:$G$135,MATCH(A248,'02_工程タスク'!$A$4:$A$135,0))))</f>
        <v>R12, R09, R13</v>
      </c>
      <c r="D248" s="28" t="str">
        <f>IF(COUNTIF('02_工程タスク'!$A$4:$A$135,A248)&lt;&gt;1,"参照ID不正",IF(INDEX('02_工程タスク'!$H$4:$H$135,MATCH(A248,'02_工程タスク'!$A$4:$A$135,0))="","",INDEX('02_工程タスク'!$H$4:$H$135,MATCH(A248,'02_工程タスク'!$A$4:$A$135,0))))</f>
        <v>R18</v>
      </c>
      <c r="E248" s="2" t="s">
        <v>2854</v>
      </c>
      <c r="F248" s="28" t="str">
        <f>IF(COUNTIF('07_スキル辞書'!$A$4:$A$109,E248)&lt;&gt;1,"参照ID不正",IF(INDEX('07_スキル辞書'!$D$4:$D$109,MATCH(E248,'07_スキル辞書'!$A$4:$A$109,0))="","",INDEX('07_スキル辞書'!$D$4:$D$109,MATCH(E248,'07_スキル辞書'!$A$4:$A$109,0))))</f>
        <v>移管・削除・権限失効・請求終了</v>
      </c>
      <c r="G248" s="2">
        <v>2</v>
      </c>
      <c r="H248" s="28" t="str">
        <f>IF(COUNTIF('07_スキル辞書'!$A$4:$A$109,E248)&lt;&gt;1,"参照ID不正",IF(INDEX('07_スキル辞書'!$I$4:$I$109,MATCH(E248,'07_スキル辞書'!$A$4:$A$109,0))="","",INDEX('07_スキル辞書'!$I$4:$I$109,MATCH(E248,'07_スキル辞書'!$A$4:$A$109,0))))</f>
        <v>廃止計画・Deletion/Retention・G5</v>
      </c>
      <c r="I248" s="2" t="s">
        <v>2900</v>
      </c>
    </row>
    <row r="249" spans="1:9" ht="38" customHeight="1" x14ac:dyDescent="0.2">
      <c r="A249" s="4" t="s">
        <v>1049</v>
      </c>
      <c r="B249" s="28" t="str">
        <f>IF(COUNTIF('02_工程タスク'!$A$4:$A$135,A249)&lt;&gt;1,"参照ID不正",IF(INDEX('02_工程タスク'!$D$4:$D$135,MATCH(A249,'02_工程タスク'!$A$4:$A$135,0))="","",INDEX('02_工程タスク'!$D$4:$D$135,MATCH(A249,'02_工程タスク'!$A$4:$A$135,0))))</f>
        <v>利用者資料・CS・GTM実装</v>
      </c>
      <c r="C249" s="28" t="str">
        <f>IF(COUNTIF('02_工程タスク'!$A$4:$A$135,A249)&lt;&gt;1,"参照ID不正",IF(INDEX('02_工程タスク'!$G$4:$G$135,MATCH(A249,'02_工程タスク'!$A$4:$A$135,0))="","",INDEX('02_工程タスク'!$G$4:$G$135,MATCH(A249,'02_工程タスク'!$A$4:$A$135,0))))</f>
        <v>R16, R17, R05</v>
      </c>
      <c r="D249" s="28" t="str">
        <f>IF(COUNTIF('02_工程タスク'!$A$4:$A$135,A249)&lt;&gt;1,"参照ID不正",IF(INDEX('02_工程タスク'!$H$4:$H$135,MATCH(A249,'02_工程タスク'!$A$4:$A$135,0))="","",INDEX('02_工程タスク'!$H$4:$H$135,MATCH(A249,'02_工程タスク'!$A$4:$A$135,0))))</f>
        <v>R02</v>
      </c>
      <c r="E249" s="4" t="s">
        <v>2119</v>
      </c>
      <c r="F249" s="28" t="str">
        <f>IF(COUNTIF('07_スキル辞書'!$A$4:$A$109,E249)&lt;&gt;1,"参照ID不正",IF(INDEX('07_スキル辞書'!$D$4:$D$109,MATCH(E249,'07_スキル辞書'!$A$4:$A$109,0))="","",INDEX('07_スキル辞書'!$D$4:$D$109,MATCH(E249,'07_スキル辞書'!$A$4:$A$109,0))))</f>
        <v>業務定着支援とチェンジマネジメント</v>
      </c>
      <c r="G249" s="4">
        <v>2</v>
      </c>
      <c r="H249" s="28" t="str">
        <f>IF(COUNTIF('07_スキル辞書'!$A$4:$A$109,E249)&lt;&gt;1,"参照ID不正",IF(INDEX('07_スキル辞書'!$I$4:$I$109,MATCH(E249,'07_スキル辞書'!$A$4:$A$109,0))="","",INDEX('07_スキル辞書'!$I$4:$I$109,MATCH(E249,'07_スキル辞書'!$A$4:$A$109,0))))</f>
        <v>利用者向けトレーニング資料、段階展開計画、効果測定レポート、運用引継ぎ完了報告書</v>
      </c>
      <c r="I249" s="4" t="s">
        <v>2900</v>
      </c>
    </row>
    <row r="250" spans="1:9" ht="38" customHeight="1" x14ac:dyDescent="0.2">
      <c r="A250" s="2" t="s">
        <v>1049</v>
      </c>
      <c r="B250" s="28" t="str">
        <f>IF(COUNTIF('02_工程タスク'!$A$4:$A$135,A250)&lt;&gt;1,"参照ID不正",IF(INDEX('02_工程タスク'!$D$4:$D$135,MATCH(A250,'02_工程タスク'!$A$4:$A$135,0))="","",INDEX('02_工程タスク'!$D$4:$D$135,MATCH(A250,'02_工程タスク'!$A$4:$A$135,0))))</f>
        <v>利用者資料・CS・GTM実装</v>
      </c>
      <c r="C250" s="28" t="str">
        <f>IF(COUNTIF('02_工程タスク'!$A$4:$A$135,A250)&lt;&gt;1,"参照ID不正",IF(INDEX('02_工程タスク'!$G$4:$G$135,MATCH(A250,'02_工程タスク'!$A$4:$A$135,0))="","",INDEX('02_工程タスク'!$G$4:$G$135,MATCH(A250,'02_工程タスク'!$A$4:$A$135,0))))</f>
        <v>R16, R17, R05</v>
      </c>
      <c r="D250" s="28" t="str">
        <f>IF(COUNTIF('02_工程タスク'!$A$4:$A$135,A250)&lt;&gt;1,"参照ID不正",IF(INDEX('02_工程タスク'!$H$4:$H$135,MATCH(A250,'02_工程タスク'!$A$4:$A$135,0))="","",INDEX('02_工程タスク'!$H$4:$H$135,MATCH(A250,'02_工程タスク'!$A$4:$A$135,0))))</f>
        <v>R02</v>
      </c>
      <c r="E250" s="2" t="s">
        <v>2380</v>
      </c>
      <c r="F250" s="28" t="str">
        <f>IF(COUNTIF('07_スキル辞書'!$A$4:$A$109,E250)&lt;&gt;1,"参照ID不正",IF(INDEX('07_スキル辞書'!$D$4:$D$109,MATCH(E250,'07_スキル辞書'!$A$4:$A$109,0))="","",INDEX('07_スキル辞書'!$D$4:$D$109,MATCH(E250,'07_スキル辞書'!$A$4:$A$109,0))))</f>
        <v>テクニカルドキュメンテーションと引継ぎ</v>
      </c>
      <c r="G250" s="2">
        <v>2</v>
      </c>
      <c r="H250" s="28" t="str">
        <f>IF(COUNTIF('07_スキル辞書'!$A$4:$A$109,E250)&lt;&gt;1,"参照ID不正",IF(INDEX('07_スキル辞書'!$I$4:$I$109,MATCH(E250,'07_スキル辞書'!$A$4:$A$109,0))="","",INDEX('07_スキル辞書'!$I$4:$I$109,MATCH(E250,'07_スキル辞書'!$A$4:$A$109,0))))</f>
        <v>システム運用マニュアル、障害対応マニュアル、運用引継ぎ完了報告書、最終版プロジェクトドキュメント一式、監視項目一覧</v>
      </c>
      <c r="I250" s="2" t="s">
        <v>2900</v>
      </c>
    </row>
    <row r="251" spans="1:9" ht="38" customHeight="1" x14ac:dyDescent="0.2">
      <c r="A251" s="4" t="s">
        <v>1049</v>
      </c>
      <c r="B251" s="28" t="str">
        <f>IF(COUNTIF('02_工程タスク'!$A$4:$A$135,A251)&lt;&gt;1,"参照ID不正",IF(INDEX('02_工程タスク'!$D$4:$D$135,MATCH(A251,'02_工程タスク'!$A$4:$A$135,0))="","",INDEX('02_工程タスク'!$D$4:$D$135,MATCH(A251,'02_工程タスク'!$A$4:$A$135,0))))</f>
        <v>利用者資料・CS・GTM実装</v>
      </c>
      <c r="C251" s="28" t="str">
        <f>IF(COUNTIF('02_工程タスク'!$A$4:$A$135,A251)&lt;&gt;1,"参照ID不正",IF(INDEX('02_工程タスク'!$G$4:$G$135,MATCH(A251,'02_工程タスク'!$A$4:$A$135,0))="","",INDEX('02_工程タスク'!$G$4:$G$135,MATCH(A251,'02_工程タスク'!$A$4:$A$135,0))))</f>
        <v>R16, R17, R05</v>
      </c>
      <c r="D251" s="28" t="str">
        <f>IF(COUNTIF('02_工程タスク'!$A$4:$A$135,A251)&lt;&gt;1,"参照ID不正",IF(INDEX('02_工程タスク'!$H$4:$H$135,MATCH(A251,'02_工程タスク'!$A$4:$A$135,0))="","",INDEX('02_工程タスク'!$H$4:$H$135,MATCH(A251,'02_工程タスク'!$A$4:$A$135,0))))</f>
        <v>R02</v>
      </c>
      <c r="E251" s="4" t="s">
        <v>2688</v>
      </c>
      <c r="F251" s="28" t="str">
        <f>IF(COUNTIF('07_スキル辞書'!$A$4:$A$109,E251)&lt;&gt;1,"参照ID不正",IF(INDEX('07_スキル辞書'!$D$4:$D$109,MATCH(E251,'07_スキル辞書'!$A$4:$A$109,0))="","",INDEX('07_スキル辞書'!$D$4:$D$109,MATCH(E251,'07_スキル辞書'!$A$4:$A$109,0))))</f>
        <v>市場投入・販売・導入設計</v>
      </c>
      <c r="G251" s="4">
        <v>2</v>
      </c>
      <c r="H251" s="28" t="str">
        <f>IF(COUNTIF('07_スキル辞書'!$A$4:$A$109,E251)&lt;&gt;1,"参照ID不正",IF(INDEX('07_スキル辞書'!$I$4:$I$109,MATCH(E251,'07_スキル辞書'!$A$4:$A$109,0))="","",INDEX('07_スキル辞書'!$I$4:$I$109,MATCH(E251,'07_スキル辞書'!$A$4:$A$109,0))))</f>
        <v>Launch計画・販売資料・導入実績</v>
      </c>
      <c r="I251" s="4" t="s">
        <v>2900</v>
      </c>
    </row>
    <row r="252" spans="1:9" ht="38" customHeight="1" x14ac:dyDescent="0.2">
      <c r="A252" s="2" t="s">
        <v>1049</v>
      </c>
      <c r="B252" s="28" t="str">
        <f>IF(COUNTIF('02_工程タスク'!$A$4:$A$135,A252)&lt;&gt;1,"参照ID不正",IF(INDEX('02_工程タスク'!$D$4:$D$135,MATCH(A252,'02_工程タスク'!$A$4:$A$135,0))="","",INDEX('02_工程タスク'!$D$4:$D$135,MATCH(A252,'02_工程タスク'!$A$4:$A$135,0))))</f>
        <v>利用者資料・CS・GTM実装</v>
      </c>
      <c r="C252" s="28" t="str">
        <f>IF(COUNTIF('02_工程タスク'!$A$4:$A$135,A252)&lt;&gt;1,"参照ID不正",IF(INDEX('02_工程タスク'!$G$4:$G$135,MATCH(A252,'02_工程タスク'!$A$4:$A$135,0))="","",INDEX('02_工程タスク'!$G$4:$G$135,MATCH(A252,'02_工程タスク'!$A$4:$A$135,0))))</f>
        <v>R16, R17, R05</v>
      </c>
      <c r="D252" s="28" t="str">
        <f>IF(COUNTIF('02_工程タスク'!$A$4:$A$135,A252)&lt;&gt;1,"参照ID不正",IF(INDEX('02_工程タスク'!$H$4:$H$135,MATCH(A252,'02_工程タスク'!$A$4:$A$135,0))="","",INDEX('02_工程タスク'!$H$4:$H$135,MATCH(A252,'02_工程タスク'!$A$4:$A$135,0))))</f>
        <v>R02</v>
      </c>
      <c r="E252" s="2" t="s">
        <v>2723</v>
      </c>
      <c r="F252" s="28" t="str">
        <f>IF(COUNTIF('07_スキル辞書'!$A$4:$A$109,E252)&lt;&gt;1,"参照ID不正",IF(INDEX('07_スキル辞書'!$D$4:$D$109,MATCH(E252,'07_スキル辞書'!$A$4:$A$109,0))="","",INDEX('07_スキル辞書'!$D$4:$D$109,MATCH(E252,'07_スキル辞書'!$A$4:$A$109,0))))</f>
        <v>導入・顧客成功・救済</v>
      </c>
      <c r="G252" s="2">
        <v>2</v>
      </c>
      <c r="H252" s="28" t="str">
        <f>IF(COUNTIF('07_スキル辞書'!$A$4:$A$109,E252)&lt;&gt;1,"参照ID不正",IF(INDEX('07_スキル辞書'!$I$4:$I$109,MATCH(E252,'07_スキル辞書'!$A$4:$A$109,0))="","",INDEX('07_スキル辞書'!$I$4:$I$109,MATCH(E252,'07_スキル辞書'!$A$4:$A$109,0))))</f>
        <v>CS記録・導入指標・救済記録</v>
      </c>
      <c r="I252" s="2" t="s">
        <v>2900</v>
      </c>
    </row>
    <row r="253" spans="1:9" ht="38" customHeight="1" x14ac:dyDescent="0.2">
      <c r="A253" s="4" t="s">
        <v>1058</v>
      </c>
      <c r="B253" s="28" t="str">
        <f>IF(COUNTIF('02_工程タスク'!$A$4:$A$135,A253)&lt;&gt;1,"参照ID不正",IF(INDEX('02_工程タスク'!$D$4:$D$135,MATCH(A253,'02_工程タスク'!$A$4:$A$135,0))="","",INDEX('02_工程タスク'!$D$4:$D$135,MATCH(A253,'02_工程タスク'!$A$4:$A$135,0))))</f>
        <v>実行知見を仕様・Skillへ還流</v>
      </c>
      <c r="C253" s="28" t="str">
        <f>IF(COUNTIF('02_工程タスク'!$A$4:$A$135,A253)&lt;&gt;1,"参照ID不正",IF(INDEX('02_工程タスク'!$G$4:$G$135,MATCH(A253,'02_工程タスク'!$A$4:$A$135,0))="","",INDEX('02_工程タスク'!$G$4:$G$135,MATCH(A253,'02_工程タスク'!$A$4:$A$135,0))))</f>
        <v>R06, R08, R11</v>
      </c>
      <c r="D253" s="28" t="str">
        <f>IF(COUNTIF('02_工程タスク'!$A$4:$A$135,A253)&lt;&gt;1,"参照ID不正",IF(INDEX('02_工程タスク'!$H$4:$H$135,MATCH(A253,'02_工程タスク'!$A$4:$A$135,0))="","",INDEX('02_工程タスク'!$H$4:$H$135,MATCH(A253,'02_工程タスク'!$A$4:$A$135,0))))</f>
        <v>R06</v>
      </c>
      <c r="E253" s="4" t="s">
        <v>2380</v>
      </c>
      <c r="F253" s="28" t="str">
        <f>IF(COUNTIF('07_スキル辞書'!$A$4:$A$109,E253)&lt;&gt;1,"参照ID不正",IF(INDEX('07_スキル辞書'!$D$4:$D$109,MATCH(E253,'07_スキル辞書'!$A$4:$A$109,0))="","",INDEX('07_スキル辞書'!$D$4:$D$109,MATCH(E253,'07_スキル辞書'!$A$4:$A$109,0))))</f>
        <v>テクニカルドキュメンテーションと引継ぎ</v>
      </c>
      <c r="G253" s="4">
        <v>2</v>
      </c>
      <c r="H253" s="28" t="str">
        <f>IF(COUNTIF('07_スキル辞書'!$A$4:$A$109,E253)&lt;&gt;1,"参照ID不正",IF(INDEX('07_スキル辞書'!$I$4:$I$109,MATCH(E253,'07_スキル辞書'!$A$4:$A$109,0))="","",INDEX('07_スキル辞書'!$I$4:$I$109,MATCH(E253,'07_スキル辞書'!$A$4:$A$109,0))))</f>
        <v>システム運用マニュアル、障害対応マニュアル、運用引継ぎ完了報告書、最終版プロジェクトドキュメント一式、監視項目一覧</v>
      </c>
      <c r="I253" s="4" t="s">
        <v>2900</v>
      </c>
    </row>
    <row r="254" spans="1:9" ht="38" customHeight="1" x14ac:dyDescent="0.2">
      <c r="A254" s="2" t="s">
        <v>1058</v>
      </c>
      <c r="B254" s="28" t="str">
        <f>IF(COUNTIF('02_工程タスク'!$A$4:$A$135,A254)&lt;&gt;1,"参照ID不正",IF(INDEX('02_工程タスク'!$D$4:$D$135,MATCH(A254,'02_工程タスク'!$A$4:$A$135,0))="","",INDEX('02_工程タスク'!$D$4:$D$135,MATCH(A254,'02_工程タスク'!$A$4:$A$135,0))))</f>
        <v>実行知見を仕様・Skillへ還流</v>
      </c>
      <c r="C254" s="28" t="str">
        <f>IF(COUNTIF('02_工程タスク'!$A$4:$A$135,A254)&lt;&gt;1,"参照ID不正",IF(INDEX('02_工程タスク'!$G$4:$G$135,MATCH(A254,'02_工程タスク'!$A$4:$A$135,0))="","",INDEX('02_工程タスク'!$G$4:$G$135,MATCH(A254,'02_工程タスク'!$A$4:$A$135,0))))</f>
        <v>R06, R08, R11</v>
      </c>
      <c r="D254" s="28" t="str">
        <f>IF(COUNTIF('02_工程タスク'!$A$4:$A$135,A254)&lt;&gt;1,"参照ID不正",IF(INDEX('02_工程タスク'!$H$4:$H$135,MATCH(A254,'02_工程タスク'!$A$4:$A$135,0))="","",INDEX('02_工程タスク'!$H$4:$H$135,MATCH(A254,'02_工程タスク'!$A$4:$A$135,0))))</f>
        <v>R06</v>
      </c>
      <c r="E254" s="2" t="s">
        <v>2604</v>
      </c>
      <c r="F254" s="28" t="str">
        <f>IF(COUNTIF('07_スキル辞書'!$A$4:$A$109,E254)&lt;&gt;1,"参照ID不正",IF(INDEX('07_スキル辞書'!$D$4:$D$109,MATCH(E254,'07_スキル辞書'!$A$4:$A$109,0))="","",INDEX('07_スキル辞書'!$D$4:$D$109,MATCH(E254,'07_スキル辞書'!$A$4:$A$109,0))))</f>
        <v>仕様・正本リポジトリ・開発ハーネス</v>
      </c>
      <c r="G254" s="2">
        <v>2</v>
      </c>
      <c r="H254" s="28" t="str">
        <f>IF(COUNTIF('07_スキル辞書'!$A$4:$A$109,E254)&lt;&gt;1,"参照ID不正",IF(INDEX('07_スキル辞書'!$I$4:$I$109,MATCH(E254,'07_スキル辞書'!$A$4:$A$109,0))="","",INDEX('07_スキル辞書'!$I$4:$I$109,MATCH(E254,'07_スキル辞書'!$A$4:$A$109,0))))</f>
        <v>正本リポジトリ／仕様・テスト対応／PRと実行ログ</v>
      </c>
      <c r="I254" s="2" t="s">
        <v>2900</v>
      </c>
    </row>
    <row r="255" spans="1:9" ht="38" customHeight="1" x14ac:dyDescent="0.2">
      <c r="A255" s="4" t="s">
        <v>1058</v>
      </c>
      <c r="B255" s="28" t="str">
        <f>IF(COUNTIF('02_工程タスク'!$A$4:$A$135,A255)&lt;&gt;1,"参照ID不正",IF(INDEX('02_工程タスク'!$D$4:$D$135,MATCH(A255,'02_工程タスク'!$A$4:$A$135,0))="","",INDEX('02_工程タスク'!$D$4:$D$135,MATCH(A255,'02_工程タスク'!$A$4:$A$135,0))))</f>
        <v>実行知見を仕様・Skillへ還流</v>
      </c>
      <c r="C255" s="28" t="str">
        <f>IF(COUNTIF('02_工程タスク'!$A$4:$A$135,A255)&lt;&gt;1,"参照ID不正",IF(INDEX('02_工程タスク'!$G$4:$G$135,MATCH(A255,'02_工程タスク'!$A$4:$A$135,0))="","",INDEX('02_工程タスク'!$G$4:$G$135,MATCH(A255,'02_工程タスク'!$A$4:$A$135,0))))</f>
        <v>R06, R08, R11</v>
      </c>
      <c r="D255" s="28" t="str">
        <f>IF(COUNTIF('02_工程タスク'!$A$4:$A$135,A255)&lt;&gt;1,"参照ID不正",IF(INDEX('02_工程タスク'!$H$4:$H$135,MATCH(A255,'02_工程タスク'!$A$4:$A$135,0))="","",INDEX('02_工程タスク'!$H$4:$H$135,MATCH(A255,'02_工程タスク'!$A$4:$A$135,0))))</f>
        <v>R06</v>
      </c>
      <c r="E255" s="4" t="s">
        <v>2799</v>
      </c>
      <c r="F255" s="28" t="str">
        <f>IF(COUNTIF('07_スキル辞書'!$A$4:$A$109,E255)&lt;&gt;1,"参照ID不正",IF(INDEX('07_スキル辞書'!$D$4:$D$109,MATCH(E255,'07_スキル辞書'!$A$4:$A$109,0))="","",INDEX('07_スキル辞書'!$D$4:$D$109,MATCH(E255,'07_スキル辞書'!$A$4:$A$109,0))))</f>
        <v>Agent Skillの設計・審査・ライフサイクル</v>
      </c>
      <c r="G255" s="4">
        <v>2</v>
      </c>
      <c r="H255" s="28" t="str">
        <f>IF(COUNTIF('07_スキル辞書'!$A$4:$A$109,E255)&lt;&gt;1,"参照ID不正",IF(INDEX('07_スキル辞書'!$I$4:$I$109,MATCH(E255,'07_スキル辞書'!$A$4:$A$109,0))="","",INDEX('07_スキル辞書'!$I$4:$I$109,MATCH(E255,'07_スキル辞書'!$A$4:$A$109,0))))</f>
        <v>Skill package・回帰・署名/版・廃止</v>
      </c>
      <c r="I255" s="4" t="s">
        <v>2900</v>
      </c>
    </row>
    <row r="256" spans="1:9" ht="38" customHeight="1" x14ac:dyDescent="0.2">
      <c r="A256" s="2" t="s">
        <v>1058</v>
      </c>
      <c r="B256" s="28" t="str">
        <f>IF(COUNTIF('02_工程タスク'!$A$4:$A$135,A256)&lt;&gt;1,"参照ID不正",IF(INDEX('02_工程タスク'!$D$4:$D$135,MATCH(A256,'02_工程タスク'!$A$4:$A$135,0))="","",INDEX('02_工程タスク'!$D$4:$D$135,MATCH(A256,'02_工程タスク'!$A$4:$A$135,0))))</f>
        <v>実行知見を仕様・Skillへ還流</v>
      </c>
      <c r="C256" s="28" t="str">
        <f>IF(COUNTIF('02_工程タスク'!$A$4:$A$135,A256)&lt;&gt;1,"参照ID不正",IF(INDEX('02_工程タスク'!$G$4:$G$135,MATCH(A256,'02_工程タスク'!$A$4:$A$135,0))="","",INDEX('02_工程タスク'!$G$4:$G$135,MATCH(A256,'02_工程タスク'!$A$4:$A$135,0))))</f>
        <v>R06, R08, R11</v>
      </c>
      <c r="D256" s="28" t="str">
        <f>IF(COUNTIF('02_工程タスク'!$A$4:$A$135,A256)&lt;&gt;1,"参照ID不正",IF(INDEX('02_工程タスク'!$H$4:$H$135,MATCH(A256,'02_工程タスク'!$A$4:$A$135,0))="","",INDEX('02_工程タスク'!$H$4:$H$135,MATCH(A256,'02_工程タスク'!$A$4:$A$135,0))))</f>
        <v>R06</v>
      </c>
      <c r="E256" s="2" t="s">
        <v>2809</v>
      </c>
      <c r="F256" s="28" t="str">
        <f>IF(COUNTIF('07_スキル辞書'!$A$4:$A$109,E256)&lt;&gt;1,"参照ID不正",IF(INDEX('07_スキル辞書'!$D$4:$D$109,MATCH(E256,'07_スキル辞書'!$A$4:$A$109,0))="","",INDEX('07_スキル辞書'!$D$4:$D$109,MATCH(E256,'07_スキル辞書'!$A$4:$A$109,0))))</f>
        <v>正本文脈・鮮度・段階読込</v>
      </c>
      <c r="G256" s="2">
        <v>2</v>
      </c>
      <c r="H256" s="28" t="str">
        <f>IF(COUNTIF('07_スキル辞書'!$A$4:$A$109,E256)&lt;&gt;1,"参照ID不正",IF(INDEX('07_スキル辞書'!$I$4:$I$109,MATCH(E256,'07_スキル辞書'!$A$4:$A$109,0))="","",INDEX('07_スキル辞書'!$I$4:$I$109,MATCH(E256,'07_スキル辞書'!$A$4:$A$109,0))))</f>
        <v>Repo構造・Context試験・鮮度監査</v>
      </c>
      <c r="I256" s="2" t="s">
        <v>2900</v>
      </c>
    </row>
    <row r="257" spans="1:9" ht="38" customHeight="1" x14ac:dyDescent="0.2">
      <c r="A257" s="4" t="s">
        <v>1067</v>
      </c>
      <c r="B257" s="28" t="str">
        <f>IF(COUNTIF('02_工程タスク'!$A$4:$A$135,A257)&lt;&gt;1,"参照ID不正",IF(INDEX('02_工程タスク'!$D$4:$D$135,MATCH(A257,'02_工程タスク'!$A$4:$A$135,0))="","",INDEX('02_工程タスク'!$D$4:$D$135,MATCH(A257,'02_工程タスク'!$A$4:$A$135,0))))</f>
        <v>人時間・レビュー・手戻り・費用測定</v>
      </c>
      <c r="C257" s="28" t="str">
        <f>IF(COUNTIF('02_工程タスク'!$A$4:$A$135,A257)&lt;&gt;1,"参照ID不正",IF(INDEX('02_工程タスク'!$G$4:$G$135,MATCH(A257,'02_工程タスク'!$A$4:$A$135,0))="","",INDEX('02_工程タスク'!$G$4:$G$135,MATCH(A257,'02_工程タスク'!$A$4:$A$135,0))))</f>
        <v>R03, R15, R11</v>
      </c>
      <c r="D257" s="28" t="str">
        <f>IF(COUNTIF('02_工程タスク'!$A$4:$A$135,A257)&lt;&gt;1,"参照ID不正",IF(INDEX('02_工程タスク'!$H$4:$H$135,MATCH(A257,'02_工程タスク'!$A$4:$A$135,0))="","",INDEX('02_工程タスク'!$H$4:$H$135,MATCH(A257,'02_工程タスク'!$A$4:$A$135,0))))</f>
        <v>R06</v>
      </c>
      <c r="E257" s="4" t="s">
        <v>2632</v>
      </c>
      <c r="F257" s="28" t="str">
        <f>IF(COUNTIF('07_スキル辞書'!$A$4:$A$109,E257)&lt;&gt;1,"参照ID不正",IF(INDEX('07_スキル辞書'!$D$4:$D$109,MATCH(E257,'07_スキル辞書'!$A$4:$A$109,0))="","",INDEX('07_スキル辞書'!$D$4:$D$109,MATCH(E257,'07_スキル辞書'!$A$4:$A$109,0))))</f>
        <v>AI開発効果の実測と段階見積</v>
      </c>
      <c r="G257" s="4">
        <v>2</v>
      </c>
      <c r="H257" s="28" t="str">
        <f>IF(COUNTIF('07_スキル辞書'!$A$4:$A$109,E257)&lt;&gt;1,"参照ID不正",IF(INDEX('07_スキル辞書'!$I$4:$I$109,MATCH(E257,'07_スキル辞書'!$A$4:$A$109,0))="","",INDEX('07_スキル辞書'!$I$4:$I$109,MATCH(E257,'07_スキル辞書'!$A$4:$A$109,0))))</f>
        <v>16シート／計測ログ／品質・不具合追跡／較正記録</v>
      </c>
      <c r="I257" s="4" t="s">
        <v>2900</v>
      </c>
    </row>
    <row r="258" spans="1:9" ht="38" customHeight="1" x14ac:dyDescent="0.2">
      <c r="A258" s="2" t="s">
        <v>1067</v>
      </c>
      <c r="B258" s="28" t="str">
        <f>IF(COUNTIF('02_工程タスク'!$A$4:$A$135,A258)&lt;&gt;1,"参照ID不正",IF(INDEX('02_工程タスク'!$D$4:$D$135,MATCH(A258,'02_工程タスク'!$A$4:$A$135,0))="","",INDEX('02_工程タスク'!$D$4:$D$135,MATCH(A258,'02_工程タスク'!$A$4:$A$135,0))))</f>
        <v>人時間・レビュー・手戻り・費用測定</v>
      </c>
      <c r="C258" s="28" t="str">
        <f>IF(COUNTIF('02_工程タスク'!$A$4:$A$135,A258)&lt;&gt;1,"参照ID不正",IF(INDEX('02_工程タスク'!$G$4:$G$135,MATCH(A258,'02_工程タスク'!$A$4:$A$135,0))="","",INDEX('02_工程タスク'!$G$4:$G$135,MATCH(A258,'02_工程タスク'!$A$4:$A$135,0))))</f>
        <v>R03, R15, R11</v>
      </c>
      <c r="D258" s="28" t="str">
        <f>IF(COUNTIF('02_工程タスク'!$A$4:$A$135,A258)&lt;&gt;1,"参照ID不正",IF(INDEX('02_工程タスク'!$H$4:$H$135,MATCH(A258,'02_工程タスク'!$A$4:$A$135,0))="","",INDEX('02_工程タスク'!$H$4:$H$135,MATCH(A258,'02_工程タスク'!$A$4:$A$135,0))))</f>
        <v>R06</v>
      </c>
      <c r="E258" s="2" t="s">
        <v>2389</v>
      </c>
      <c r="F258" s="28" t="str">
        <f>IF(COUNTIF('07_スキル辞書'!$A$4:$A$109,E258)&lt;&gt;1,"参照ID不正",IF(INDEX('07_スキル辞書'!$D$4:$D$109,MATCH(E258,'07_スキル辞書'!$A$4:$A$109,0))="","",INDEX('07_スキル辞書'!$D$4:$D$109,MATCH(E258,'07_スキル辞書'!$A$4:$A$109,0))))</f>
        <v>統計学の基礎</v>
      </c>
      <c r="G258" s="2">
        <v>2</v>
      </c>
      <c r="H258" s="28" t="str">
        <f>IF(COUNTIF('07_スキル辞書'!$A$4:$A$109,E258)&lt;&gt;1,"参照ID不正",IF(INDEX('07_スキル辞書'!$I$4:$I$109,MATCH(E258,'07_スキル辞書'!$A$4:$A$109,0))="","",INDEX('07_スキル辞書'!$I$4:$I$109,MATCH(E258,'07_スキル辞書'!$A$4:$A$109,0))))</f>
        <v>データ品質評価レポート（クラス分布を含む）、最終性能評価レポート（信頼区間付き）、ドリフト検知レポート</v>
      </c>
      <c r="I258" s="2" t="s">
        <v>2900</v>
      </c>
    </row>
    <row r="259" spans="1:9" ht="38" customHeight="1" x14ac:dyDescent="0.2">
      <c r="A259" s="4" t="s">
        <v>1067</v>
      </c>
      <c r="B259" s="28" t="str">
        <f>IF(COUNTIF('02_工程タスク'!$A$4:$A$135,A259)&lt;&gt;1,"参照ID不正",IF(INDEX('02_工程タスク'!$D$4:$D$135,MATCH(A259,'02_工程タスク'!$A$4:$A$135,0))="","",INDEX('02_工程タスク'!$D$4:$D$135,MATCH(A259,'02_工程タスク'!$A$4:$A$135,0))))</f>
        <v>人時間・レビュー・手戻り・費用測定</v>
      </c>
      <c r="C259" s="28" t="str">
        <f>IF(COUNTIF('02_工程タスク'!$A$4:$A$135,A259)&lt;&gt;1,"参照ID不正",IF(INDEX('02_工程タスク'!$G$4:$G$135,MATCH(A259,'02_工程タスク'!$A$4:$A$135,0))="","",INDEX('02_工程タスク'!$G$4:$G$135,MATCH(A259,'02_工程タスク'!$A$4:$A$135,0))))</f>
        <v>R03, R15, R11</v>
      </c>
      <c r="D259" s="28" t="str">
        <f>IF(COUNTIF('02_工程タスク'!$A$4:$A$135,A259)&lt;&gt;1,"参照ID不正",IF(INDEX('02_工程タスク'!$H$4:$H$135,MATCH(A259,'02_工程タスク'!$A$4:$A$135,0))="","",INDEX('02_工程タスク'!$H$4:$H$135,MATCH(A259,'02_工程タスク'!$A$4:$A$135,0))))</f>
        <v>R06</v>
      </c>
      <c r="E259" s="4" t="s">
        <v>2761</v>
      </c>
      <c r="F259" s="28" t="str">
        <f>IF(COUNTIF('07_スキル辞書'!$A$4:$A$109,E259)&lt;&gt;1,"参照ID不正",IF(INDEX('07_スキル辞書'!$D$4:$D$109,MATCH(E259,'07_スキル辞書'!$A$4:$A$109,0))="","",INDEX('07_スキル辞書'!$D$4:$D$109,MATCH(E259,'07_スキル辞書'!$A$4:$A$109,0))))</f>
        <v>成功単位原価・限界利益・費用境界</v>
      </c>
      <c r="G259" s="4">
        <v>2</v>
      </c>
      <c r="H259" s="28" t="str">
        <f>IF(COUNTIF('07_スキル辞書'!$A$4:$A$109,E259)&lt;&gt;1,"参照ID不正",IF(INDEX('07_スキル辞書'!$I$4:$I$109,MATCH(E259,'07_スキル辞書'!$A$4:$A$109,0))="","",INDEX('07_スキル辞書'!$I$4:$I$109,MATCH(E259,'07_スキル辞書'!$A$4:$A$109,0))))</f>
        <v>cost/success・収支・感度分析</v>
      </c>
      <c r="I259" s="4" t="s">
        <v>2900</v>
      </c>
    </row>
    <row r="260" spans="1:9" ht="38" customHeight="1" x14ac:dyDescent="0.2">
      <c r="A260" s="2" t="s">
        <v>1076</v>
      </c>
      <c r="B260" s="28" t="str">
        <f>IF(COUNTIF('02_工程タスク'!$A$4:$A$135,A260)&lt;&gt;1,"参照ID不正",IF(INDEX('02_工程タスク'!$D$4:$D$135,MATCH(A260,'02_工程タスク'!$A$4:$A$135,0))="","",INDEX('02_工程タスク'!$D$4:$D$135,MATCH(A260,'02_工程タスク'!$A$4:$A$135,0))))</f>
        <v>変更固定・RC manifestの作成</v>
      </c>
      <c r="C260" s="28" t="str">
        <f>IF(COUNTIF('02_工程タスク'!$A$4:$A$135,A260)&lt;&gt;1,"参照ID不正",IF(INDEX('02_工程タスク'!$G$4:$G$135,MATCH(A260,'02_工程タスク'!$A$4:$A$135,0))="","",INDEX('02_工程タスク'!$G$4:$G$135,MATCH(A260,'02_工程タスク'!$A$4:$A$135,0))))</f>
        <v>R06, R12</v>
      </c>
      <c r="D260" s="28" t="str">
        <f>IF(COUNTIF('02_工程タスク'!$A$4:$A$135,A260)&lt;&gt;1,"参照ID不正",IF(INDEX('02_工程タスク'!$H$4:$H$135,MATCH(A260,'02_工程タスク'!$A$4:$A$135,0))="","",INDEX('02_工程タスク'!$H$4:$H$135,MATCH(A260,'02_工程タスク'!$A$4:$A$135,0))))</f>
        <v>R06</v>
      </c>
      <c r="E260" s="2" t="s">
        <v>2164</v>
      </c>
      <c r="F260" s="28" t="str">
        <f>IF(COUNTIF('07_スキル辞書'!$A$4:$A$109,E260)&lt;&gt;1,"参照ID不正",IF(INDEX('07_スキル辞書'!$D$4:$D$109,MATCH(E260,'07_スキル辞書'!$A$4:$A$109,0))="","",INDEX('07_スキル辞書'!$D$4:$D$109,MATCH(E260,'07_スキル辞書'!$A$4:$A$109,0))))</f>
        <v>コード・データ・モデルのバージョン管理と再現性確保</v>
      </c>
      <c r="G260" s="2">
        <v>2</v>
      </c>
      <c r="H260" s="28" t="str">
        <f>IF(COUNTIF('07_スキル辞書'!$A$4:$A$109,E260)&lt;&gt;1,"参照ID不正",IF(INDEX('07_スキル辞書'!$I$4:$I$109,MATCH(E260,'07_スキル辞書'!$A$4:$A$109,0))="","",INDEX('07_スキル辞書'!$I$4:$I$109,MATCH(E260,'07_スキル辞書'!$A$4:$A$109,0))))</f>
        <v>依存関係定義ファイル、バージョン管理規約、モデルレジストリ、来歴記録、学習・改善ログ、プロンプト仕様書（版管理）</v>
      </c>
      <c r="I260" s="2" t="s">
        <v>2900</v>
      </c>
    </row>
    <row r="261" spans="1:9" ht="38" customHeight="1" x14ac:dyDescent="0.2">
      <c r="A261" s="4" t="s">
        <v>1076</v>
      </c>
      <c r="B261" s="28" t="str">
        <f>IF(COUNTIF('02_工程タスク'!$A$4:$A$135,A261)&lt;&gt;1,"参照ID不正",IF(INDEX('02_工程タスク'!$D$4:$D$135,MATCH(A261,'02_工程タスク'!$A$4:$A$135,0))="","",INDEX('02_工程タスク'!$D$4:$D$135,MATCH(A261,'02_工程タスク'!$A$4:$A$135,0))))</f>
        <v>変更固定・RC manifestの作成</v>
      </c>
      <c r="C261" s="28" t="str">
        <f>IF(COUNTIF('02_工程タスク'!$A$4:$A$135,A261)&lt;&gt;1,"参照ID不正",IF(INDEX('02_工程タスク'!$G$4:$G$135,MATCH(A261,'02_工程タスク'!$A$4:$A$135,0))="","",INDEX('02_工程タスク'!$G$4:$G$135,MATCH(A261,'02_工程タスク'!$A$4:$A$135,0))))</f>
        <v>R06, R12</v>
      </c>
      <c r="D261" s="28" t="str">
        <f>IF(COUNTIF('02_工程タスク'!$A$4:$A$135,A261)&lt;&gt;1,"参照ID不正",IF(INDEX('02_工程タスク'!$H$4:$H$135,MATCH(A261,'02_工程タスク'!$A$4:$A$135,0))="","",INDEX('02_工程タスク'!$H$4:$H$135,MATCH(A261,'02_工程タスク'!$A$4:$A$135,0))))</f>
        <v>R06</v>
      </c>
      <c r="E261" s="4" t="s">
        <v>2353</v>
      </c>
      <c r="F261" s="28" t="str">
        <f>IF(COUNTIF('07_スキル辞書'!$A$4:$A$109,E261)&lt;&gt;1,"参照ID不正",IF(INDEX('07_スキル辞書'!$D$4:$D$109,MATCH(E261,'07_スキル辞書'!$A$4:$A$109,0))="","",INDEX('07_スキル辞書'!$D$4:$D$109,MATCH(E261,'07_スキル辞書'!$A$4:$A$109,0))))</f>
        <v>リリース・デプロイ戦略とロールバック</v>
      </c>
      <c r="G261" s="4">
        <v>2</v>
      </c>
      <c r="H261" s="28" t="str">
        <f>IF(COUNTIF('07_スキル辞書'!$A$4:$A$109,E261)&lt;&gt;1,"参照ID不正",IF(INDEX('07_スキル辞書'!$I$4:$I$109,MATCH(E261,'07_スキル辞書'!$A$4:$A$109,0))="","",INDEX('07_スキル辞書'!$I$4:$I$109,MATCH(E261,'07_スキル辞書'!$A$4:$A$109,0))))</f>
        <v>リリース計画書、リリースノート、本番稼働中のシステム、デプロイ戦略の実装、切替記録、モデルロールバック手順書</v>
      </c>
      <c r="I261" s="4" t="s">
        <v>2900</v>
      </c>
    </row>
    <row r="262" spans="1:9" ht="38" customHeight="1" x14ac:dyDescent="0.2">
      <c r="A262" s="2" t="s">
        <v>1076</v>
      </c>
      <c r="B262" s="28" t="str">
        <f>IF(COUNTIF('02_工程タスク'!$A$4:$A$135,A262)&lt;&gt;1,"参照ID不正",IF(INDEX('02_工程タスク'!$D$4:$D$135,MATCH(A262,'02_工程タスク'!$A$4:$A$135,0))="","",INDEX('02_工程タスク'!$D$4:$D$135,MATCH(A262,'02_工程タスク'!$A$4:$A$135,0))))</f>
        <v>変更固定・RC manifestの作成</v>
      </c>
      <c r="C262" s="28" t="str">
        <f>IF(COUNTIF('02_工程タスク'!$A$4:$A$135,A262)&lt;&gt;1,"参照ID不正",IF(INDEX('02_工程タスク'!$G$4:$G$135,MATCH(A262,'02_工程タスク'!$A$4:$A$135,0))="","",INDEX('02_工程タスク'!$G$4:$G$135,MATCH(A262,'02_工程タスク'!$A$4:$A$135,0))))</f>
        <v>R06, R12</v>
      </c>
      <c r="D262" s="28" t="str">
        <f>IF(COUNTIF('02_工程タスク'!$A$4:$A$135,A262)&lt;&gt;1,"参照ID不正",IF(INDEX('02_工程タスク'!$H$4:$H$135,MATCH(A262,'02_工程タスク'!$A$4:$A$135,0))="","",INDEX('02_工程タスク'!$H$4:$H$135,MATCH(A262,'02_工程タスク'!$A$4:$A$135,0))))</f>
        <v>R06</v>
      </c>
      <c r="E262" s="2" t="s">
        <v>2641</v>
      </c>
      <c r="F262" s="28" t="str">
        <f>IF(COUNTIF('07_スキル辞書'!$A$4:$A$109,E262)&lt;&gt;1,"参照ID不正",IF(INDEX('07_スキル辞書'!$D$4:$D$109,MATCH(E262,'07_スキル辞書'!$A$4:$A$109,0))="","",INDEX('07_スキル辞書'!$D$4:$D$109,MATCH(E262,'07_スキル辞書'!$A$4:$A$109,0))))</f>
        <v>AI構成一式の更新・復旧・終了管理</v>
      </c>
      <c r="G262" s="2">
        <v>2</v>
      </c>
      <c r="H262" s="28" t="str">
        <f>IF(COUNTIF('07_スキル辞書'!$A$4:$A$109,E262)&lt;&gt;1,"参照ID不正",IF(INDEX('07_スキル辞書'!$I$4:$I$109,MATCH(E262,'07_スキル辞書'!$A$4:$A$109,0))="","",INDEX('07_スキル辞書'!$I$4:$I$109,MATCH(E262,'07_スキル辞書'!$A$4:$A$109,0))))</f>
        <v>構成manifest／復旧訓練／終了・削除・失効証跡</v>
      </c>
      <c r="I262" s="2" t="s">
        <v>2900</v>
      </c>
    </row>
    <row r="263" spans="1:9" ht="38" customHeight="1" x14ac:dyDescent="0.2">
      <c r="A263" s="4" t="s">
        <v>1076</v>
      </c>
      <c r="B263" s="28" t="str">
        <f>IF(COUNTIF('02_工程タスク'!$A$4:$A$135,A263)&lt;&gt;1,"参照ID不正",IF(INDEX('02_工程タスク'!$D$4:$D$135,MATCH(A263,'02_工程タスク'!$A$4:$A$135,0))="","",INDEX('02_工程タスク'!$D$4:$D$135,MATCH(A263,'02_工程タスク'!$A$4:$A$135,0))))</f>
        <v>変更固定・RC manifestの作成</v>
      </c>
      <c r="C263" s="28" t="str">
        <f>IF(COUNTIF('02_工程タスク'!$A$4:$A$135,A263)&lt;&gt;1,"参照ID不正",IF(INDEX('02_工程タスク'!$G$4:$G$135,MATCH(A263,'02_工程タスク'!$A$4:$A$135,0))="","",INDEX('02_工程タスク'!$G$4:$G$135,MATCH(A263,'02_工程タスク'!$A$4:$A$135,0))))</f>
        <v>R06, R12</v>
      </c>
      <c r="D263" s="28" t="str">
        <f>IF(COUNTIF('02_工程タスク'!$A$4:$A$135,A263)&lt;&gt;1,"参照ID不正",IF(INDEX('02_工程タスク'!$H$4:$H$135,MATCH(A263,'02_工程タスク'!$A$4:$A$135,0))="","",INDEX('02_工程タスク'!$H$4:$H$135,MATCH(A263,'02_工程タスク'!$A$4:$A$135,0))))</f>
        <v>R06</v>
      </c>
      <c r="E263" s="4" t="s">
        <v>2596</v>
      </c>
      <c r="F263" s="28" t="str">
        <f>IF(COUNTIF('07_スキル辞書'!$A$4:$A$109,E263)&lt;&gt;1,"参照ID不正",IF(INDEX('07_スキル辞書'!$D$4:$D$109,MATCH(E263,'07_スキル辞書'!$A$4:$A$109,0))="","",INDEX('07_スキル辞書'!$D$4:$D$109,MATCH(E263,'07_スキル辞書'!$A$4:$A$109,0))))</f>
        <v>モデルカード・データシートの作成</v>
      </c>
      <c r="G263" s="4">
        <v>2</v>
      </c>
      <c r="H263" s="28" t="str">
        <f>IF(COUNTIF('07_スキル辞書'!$A$4:$A$109,E263)&lt;&gt;1,"参照ID不正",IF(INDEX('07_スキル辞書'!$I$4:$I$109,MATCH(E263,'07_スキル辞書'!$A$4:$A$109,0))="","",INDEX('07_スキル辞書'!$I$4:$I$109,MATCH(E263,'07_スキル辞書'!$A$4:$A$109,0))))</f>
        <v>モデルカード、データシート、責任あるAI評価レポート（許容基準と残存リスクを含む）</v>
      </c>
      <c r="I263" s="4" t="s">
        <v>2900</v>
      </c>
    </row>
    <row r="264" spans="1:9" ht="38" customHeight="1" x14ac:dyDescent="0.2">
      <c r="A264" s="2" t="s">
        <v>1086</v>
      </c>
      <c r="B264" s="28" t="str">
        <f>IF(COUNTIF('02_工程タスク'!$A$4:$A$135,A264)&lt;&gt;1,"参照ID不正",IF(INDEX('02_工程タスク'!$D$4:$D$135,MATCH(A264,'02_工程タスク'!$A$4:$A$135,0))="","",INDEX('02_工程タスク'!$D$4:$D$135,MATCH(A264,'02_工程タスク'!$A$4:$A$135,0))))</f>
        <v>評価環境・対象版・アクセスの確認</v>
      </c>
      <c r="C264" s="28" t="str">
        <f>IF(COUNTIF('02_工程タスク'!$A$4:$A$135,A264)&lt;&gt;1,"参照ID不正",IF(INDEX('02_工程タスク'!$G$4:$G$135,MATCH(A264,'02_工程タスク'!$A$4:$A$135,0))="","",INDEX('02_工程タスク'!$G$4:$G$135,MATCH(A264,'02_工程タスク'!$A$4:$A$135,0))))</f>
        <v>R11</v>
      </c>
      <c r="D264" s="28" t="str">
        <f>IF(COUNTIF('02_工程タスク'!$A$4:$A$135,A264)&lt;&gt;1,"参照ID不正",IF(INDEX('02_工程タスク'!$H$4:$H$135,MATCH(A264,'02_工程タスク'!$A$4:$A$135,0))="","",INDEX('02_工程タスク'!$H$4:$H$135,MATCH(A264,'02_工程タスク'!$A$4:$A$135,0))))</f>
        <v>R19</v>
      </c>
      <c r="E264" s="2" t="s">
        <v>2435</v>
      </c>
      <c r="F264" s="28" t="str">
        <f>IF(COUNTIF('07_スキル辞書'!$A$4:$A$109,E264)&lt;&gt;1,"参照ID不正",IF(INDEX('07_スキル辞書'!$D$4:$D$109,MATCH(E264,'07_スキル辞書'!$A$4:$A$109,0))="","",INDEX('07_スキル辞書'!$D$4:$D$109,MATCH(E264,'07_スキル辞書'!$A$4:$A$109,0))))</f>
        <v>データ分割設計とリーク防止</v>
      </c>
      <c r="G264" s="2">
        <v>2</v>
      </c>
      <c r="H264" s="28" t="str">
        <f>IF(COUNTIF('07_スキル辞書'!$A$4:$A$109,E264)&lt;&gt;1,"参照ID不正",IF(INDEX('07_スキル辞書'!$I$4:$I$109,MATCH(E264,'07_スキル辞書'!$A$4:$A$109,0))="","",INDEX('07_スキル辞書'!$I$4:$I$109,MATCH(E264,'07_スキル辞書'!$A$4:$A$109,0))))</f>
        <v>データ分割仕様書、分割済みデータセット（学習・検証・テスト）、最終性能評価レポート（信頼区間付き）、データパイプライン設計書</v>
      </c>
      <c r="I264" s="2" t="s">
        <v>2900</v>
      </c>
    </row>
    <row r="265" spans="1:9" ht="38" customHeight="1" x14ac:dyDescent="0.2">
      <c r="A265" s="4" t="s">
        <v>1086</v>
      </c>
      <c r="B265" s="28" t="str">
        <f>IF(COUNTIF('02_工程タスク'!$A$4:$A$135,A265)&lt;&gt;1,"参照ID不正",IF(INDEX('02_工程タスク'!$D$4:$D$135,MATCH(A265,'02_工程タスク'!$A$4:$A$135,0))="","",INDEX('02_工程タスク'!$D$4:$D$135,MATCH(A265,'02_工程タスク'!$A$4:$A$135,0))))</f>
        <v>評価環境・対象版・アクセスの確認</v>
      </c>
      <c r="C265" s="28" t="str">
        <f>IF(COUNTIF('02_工程タスク'!$A$4:$A$135,A265)&lt;&gt;1,"参照ID不正",IF(INDEX('02_工程タスク'!$G$4:$G$135,MATCH(A265,'02_工程タスク'!$A$4:$A$135,0))="","",INDEX('02_工程タスク'!$G$4:$G$135,MATCH(A265,'02_工程タスク'!$A$4:$A$135,0))))</f>
        <v>R11</v>
      </c>
      <c r="D265" s="28" t="str">
        <f>IF(COUNTIF('02_工程タスク'!$A$4:$A$135,A265)&lt;&gt;1,"参照ID不正",IF(INDEX('02_工程タスク'!$H$4:$H$135,MATCH(A265,'02_工程タスク'!$A$4:$A$135,0))="","",INDEX('02_工程タスク'!$H$4:$H$135,MATCH(A265,'02_工程タスク'!$A$4:$A$135,0))))</f>
        <v>R19</v>
      </c>
      <c r="E265" s="4" t="s">
        <v>2551</v>
      </c>
      <c r="F265" s="28" t="str">
        <f>IF(COUNTIF('07_スキル辞書'!$A$4:$A$109,E265)&lt;&gt;1,"参照ID不正",IF(INDEX('07_スキル辞書'!$D$4:$D$109,MATCH(E265,'07_スキル辞書'!$A$4:$A$109,0))="","",INDEX('07_スキル辞書'!$D$4:$D$109,MATCH(E265,'07_スキル辞書'!$A$4:$A$109,0))))</f>
        <v>LLM評価設計</v>
      </c>
      <c r="G265" s="4">
        <v>2</v>
      </c>
      <c r="H265" s="28" t="str">
        <f>IF(COUNTIF('07_スキル辞書'!$A$4:$A$109,E265)&lt;&gt;1,"参照ID不正",IF(INDEX('07_スキル辞書'!$I$4:$I$109,MATCH(E265,'07_スキル辞書'!$A$4:$A$109,0))="","",INDEX('07_スキル辞書'!$I$4:$I$109,MATCH(E265,'07_スキル辞書'!$A$4:$A$109,0))))</f>
        <v>評価ハーネス、AIモデル品質評価レポート、モデル評価レポート、最終性能評価レポート（信頼区間付き）</v>
      </c>
      <c r="I265" s="4" t="s">
        <v>2900</v>
      </c>
    </row>
    <row r="266" spans="1:9" ht="38" customHeight="1" x14ac:dyDescent="0.2">
      <c r="A266" s="2" t="s">
        <v>1086</v>
      </c>
      <c r="B266" s="28" t="str">
        <f>IF(COUNTIF('02_工程タスク'!$A$4:$A$135,A266)&lt;&gt;1,"参照ID不正",IF(INDEX('02_工程タスク'!$D$4:$D$135,MATCH(A266,'02_工程タスク'!$A$4:$A$135,0))="","",INDEX('02_工程タスク'!$D$4:$D$135,MATCH(A266,'02_工程タスク'!$A$4:$A$135,0))))</f>
        <v>評価環境・対象版・アクセスの確認</v>
      </c>
      <c r="C266" s="28" t="str">
        <f>IF(COUNTIF('02_工程タスク'!$A$4:$A$135,A266)&lt;&gt;1,"参照ID不正",IF(INDEX('02_工程タスク'!$G$4:$G$135,MATCH(A266,'02_工程タスク'!$A$4:$A$135,0))="","",INDEX('02_工程タスク'!$G$4:$G$135,MATCH(A266,'02_工程タスク'!$A$4:$A$135,0))))</f>
        <v>R11</v>
      </c>
      <c r="D266" s="28" t="str">
        <f>IF(COUNTIF('02_工程タスク'!$A$4:$A$135,A266)&lt;&gt;1,"参照ID不正",IF(INDEX('02_工程タスク'!$H$4:$H$135,MATCH(A266,'02_工程タスク'!$A$4:$A$135,0))="","",INDEX('02_工程タスク'!$H$4:$H$135,MATCH(A266,'02_工程タスク'!$A$4:$A$135,0))))</f>
        <v>R19</v>
      </c>
      <c r="E266" s="2" t="s">
        <v>2614</v>
      </c>
      <c r="F266" s="28" t="str">
        <f>IF(COUNTIF('07_スキル辞書'!$A$4:$A$109,E266)&lt;&gt;1,"参照ID不正",IF(INDEX('07_スキル辞書'!$D$4:$D$109,MATCH(E266,'07_スキル辞書'!$A$4:$A$109,0))="","",INDEX('07_スキル辞書'!$D$4:$D$109,MATCH(E266,'07_スキル辞書'!$A$4:$A$109,0))))</f>
        <v>独立評価・採点較正・品質承認証拠</v>
      </c>
      <c r="G266" s="2">
        <v>3</v>
      </c>
      <c r="H266" s="28" t="str">
        <f>IF(COUNTIF('07_スキル辞書'!$A$4:$A$109,E266)&lt;&gt;1,"参照ID不正",IF(INDEX('07_スキル辞書'!$I$4:$I$109,MATCH(E266,'07_スキル辞書'!$A$4:$A$109,0))="","",INDEX('07_スキル辞書'!$I$4:$I$109,MATCH(E266,'07_スキル辞書'!$A$4:$A$109,0))))</f>
        <v>凍結評価・grader較正・G3品質勧告</v>
      </c>
      <c r="I266" s="2" t="s">
        <v>2900</v>
      </c>
    </row>
    <row r="267" spans="1:9" ht="38" customHeight="1" x14ac:dyDescent="0.2">
      <c r="A267" s="4" t="s">
        <v>1097</v>
      </c>
      <c r="B267" s="28" t="str">
        <f>IF(COUNTIF('02_工程タスク'!$A$4:$A$135,A267)&lt;&gt;1,"参照ID不正",IF(INDEX('02_工程タスク'!$D$4:$D$135,MATCH(A267,'02_工程タスク'!$A$4:$A$135,0))="","",INDEX('02_工程タスク'!$D$4:$D$135,MATCH(A267,'02_工程タスク'!$A$4:$A$135,0))))</f>
        <v>業務・AI性能・重要slice評価</v>
      </c>
      <c r="C267" s="28" t="str">
        <f>IF(COUNTIF('02_工程タスク'!$A$4:$A$135,A267)&lt;&gt;1,"参照ID不正",IF(INDEX('02_工程タスク'!$G$4:$G$135,MATCH(A267,'02_工程タスク'!$A$4:$A$135,0))="","",INDEX('02_工程タスク'!$G$4:$G$135,MATCH(A267,'02_工程タスク'!$A$4:$A$135,0))))</f>
        <v>R11, R04, R08</v>
      </c>
      <c r="D267" s="28" t="str">
        <f>IF(COUNTIF('02_工程タスク'!$A$4:$A$135,A267)&lt;&gt;1,"参照ID不正",IF(INDEX('02_工程タスク'!$H$4:$H$135,MATCH(A267,'02_工程タスク'!$A$4:$A$135,0))="","",INDEX('02_工程タスク'!$H$4:$H$135,MATCH(A267,'02_工程タスク'!$A$4:$A$135,0))))</f>
        <v>R19</v>
      </c>
      <c r="E267" s="4" t="s">
        <v>2389</v>
      </c>
      <c r="F267" s="28" t="str">
        <f>IF(COUNTIF('07_スキル辞書'!$A$4:$A$109,E267)&lt;&gt;1,"参照ID不正",IF(INDEX('07_スキル辞書'!$D$4:$D$109,MATCH(E267,'07_スキル辞書'!$A$4:$A$109,0))="","",INDEX('07_スキル辞書'!$D$4:$D$109,MATCH(E267,'07_スキル辞書'!$A$4:$A$109,0))))</f>
        <v>統計学の基礎</v>
      </c>
      <c r="G267" s="4">
        <v>2</v>
      </c>
      <c r="H267" s="28" t="str">
        <f>IF(COUNTIF('07_スキル辞書'!$A$4:$A$109,E267)&lt;&gt;1,"参照ID不正",IF(INDEX('07_スキル辞書'!$I$4:$I$109,MATCH(E267,'07_スキル辞書'!$A$4:$A$109,0))="","",INDEX('07_スキル辞書'!$I$4:$I$109,MATCH(E267,'07_スキル辞書'!$A$4:$A$109,0))))</f>
        <v>データ品質評価レポート（クラス分布を含む）、最終性能評価レポート（信頼区間付き）、ドリフト検知レポート</v>
      </c>
      <c r="I267" s="4" t="s">
        <v>2900</v>
      </c>
    </row>
    <row r="268" spans="1:9" ht="38" customHeight="1" x14ac:dyDescent="0.2">
      <c r="A268" s="2" t="s">
        <v>1097</v>
      </c>
      <c r="B268" s="28" t="str">
        <f>IF(COUNTIF('02_工程タスク'!$A$4:$A$135,A268)&lt;&gt;1,"参照ID不正",IF(INDEX('02_工程タスク'!$D$4:$D$135,MATCH(A268,'02_工程タスク'!$A$4:$A$135,0))="","",INDEX('02_工程タスク'!$D$4:$D$135,MATCH(A268,'02_工程タスク'!$A$4:$A$135,0))))</f>
        <v>業務・AI性能・重要slice評価</v>
      </c>
      <c r="C268" s="28" t="str">
        <f>IF(COUNTIF('02_工程タスク'!$A$4:$A$135,A268)&lt;&gt;1,"参照ID不正",IF(INDEX('02_工程タスク'!$G$4:$G$135,MATCH(A268,'02_工程タスク'!$A$4:$A$135,0))="","",INDEX('02_工程タスク'!$G$4:$G$135,MATCH(A268,'02_工程タスク'!$A$4:$A$135,0))))</f>
        <v>R11, R04, R08</v>
      </c>
      <c r="D268" s="28" t="str">
        <f>IF(COUNTIF('02_工程タスク'!$A$4:$A$135,A268)&lt;&gt;1,"参照ID不正",IF(INDEX('02_工程タスク'!$H$4:$H$135,MATCH(A268,'02_工程タスク'!$A$4:$A$135,0))="","",INDEX('02_工程タスク'!$H$4:$H$135,MATCH(A268,'02_工程タスク'!$A$4:$A$135,0))))</f>
        <v>R19</v>
      </c>
      <c r="E268" s="2" t="s">
        <v>2524</v>
      </c>
      <c r="F268" s="28" t="str">
        <f>IF(COUNTIF('07_スキル辞書'!$A$4:$A$109,E268)&lt;&gt;1,"参照ID不正",IF(INDEX('07_スキル辞書'!$D$4:$D$109,MATCH(E268,'07_スキル辞書'!$A$4:$A$109,0))="","",INDEX('07_スキル辞書'!$D$4:$D$109,MATCH(E268,'07_スキル辞書'!$A$4:$A$109,0))))</f>
        <v>評価指標の選定と目標値設定</v>
      </c>
      <c r="G268" s="2">
        <v>2</v>
      </c>
      <c r="H268" s="28" t="str">
        <f>IF(COUNTIF('07_スキル辞書'!$A$4:$A$109,E268)&lt;&gt;1,"参照ID不正",IF(INDEX('07_スキル辞書'!$I$4:$I$109,MATCH(E268,'07_スキル辞書'!$A$4:$A$109,0))="","",INDEX('07_スキル辞書'!$I$4:$I$109,MATCH(E268,'07_スキル辞書'!$A$4:$A$109,0))))</f>
        <v>AIモデル要件定義書（要件定義書v1の一部）、受け入れ観点、ユーザーストーリー一覧（優先順位付き）、モデル性能ダッシュボード</v>
      </c>
      <c r="I268" s="2" t="s">
        <v>2900</v>
      </c>
    </row>
    <row r="269" spans="1:9" ht="38" customHeight="1" x14ac:dyDescent="0.2">
      <c r="A269" s="4" t="s">
        <v>1097</v>
      </c>
      <c r="B269" s="28" t="str">
        <f>IF(COUNTIF('02_工程タスク'!$A$4:$A$135,A269)&lt;&gt;1,"参照ID不正",IF(INDEX('02_工程タスク'!$D$4:$D$135,MATCH(A269,'02_工程タスク'!$A$4:$A$135,0))="","",INDEX('02_工程タスク'!$D$4:$D$135,MATCH(A269,'02_工程タスク'!$A$4:$A$135,0))))</f>
        <v>業務・AI性能・重要slice評価</v>
      </c>
      <c r="C269" s="28" t="str">
        <f>IF(COUNTIF('02_工程タスク'!$A$4:$A$135,A269)&lt;&gt;1,"参照ID不正",IF(INDEX('02_工程タスク'!$G$4:$G$135,MATCH(A269,'02_工程タスク'!$A$4:$A$135,0))="","",INDEX('02_工程タスク'!$G$4:$G$135,MATCH(A269,'02_工程タスク'!$A$4:$A$135,0))))</f>
        <v>R11, R04, R08</v>
      </c>
      <c r="D269" s="28" t="str">
        <f>IF(COUNTIF('02_工程タスク'!$A$4:$A$135,A269)&lt;&gt;1,"参照ID不正",IF(INDEX('02_工程タスク'!$H$4:$H$135,MATCH(A269,'02_工程タスク'!$A$4:$A$135,0))="","",INDEX('02_工程タスク'!$H$4:$H$135,MATCH(A269,'02_工程タスク'!$A$4:$A$135,0))))</f>
        <v>R19</v>
      </c>
      <c r="E269" s="4" t="s">
        <v>2533</v>
      </c>
      <c r="F269" s="28" t="str">
        <f>IF(COUNTIF('07_スキル辞書'!$A$4:$A$109,E269)&lt;&gt;1,"参照ID不正",IF(INDEX('07_スキル辞書'!$D$4:$D$109,MATCH(E269,'07_スキル辞書'!$A$4:$A$109,0))="","",INDEX('07_スキル辞書'!$D$4:$D$109,MATCH(E269,'07_スキル辞書'!$A$4:$A$109,0))))</f>
        <v>モデル評価とエラー分析</v>
      </c>
      <c r="G269" s="4">
        <v>2</v>
      </c>
      <c r="H269" s="28" t="str">
        <f>IF(COUNTIF('07_スキル辞書'!$A$4:$A$109,E269)&lt;&gt;1,"参照ID不正",IF(INDEX('07_スキル辞書'!$I$4:$I$109,MATCH(E269,'07_スキル辞書'!$A$4:$A$109,0))="","",INDEX('07_スキル辞書'!$I$4:$I$109,MATCH(E269,'07_スキル辞書'!$A$4:$A$109,0))))</f>
        <v>モデル評価レポート、エラー分析レポート、最終性能評価レポート（信頼区間付き）、AIモデル品質評価レポート</v>
      </c>
      <c r="I269" s="4" t="s">
        <v>2900</v>
      </c>
    </row>
    <row r="270" spans="1:9" ht="38" customHeight="1" x14ac:dyDescent="0.2">
      <c r="A270" s="2" t="s">
        <v>1097</v>
      </c>
      <c r="B270" s="28" t="str">
        <f>IF(COUNTIF('02_工程タスク'!$A$4:$A$135,A270)&lt;&gt;1,"参照ID不正",IF(INDEX('02_工程タスク'!$D$4:$D$135,MATCH(A270,'02_工程タスク'!$A$4:$A$135,0))="","",INDEX('02_工程タスク'!$D$4:$D$135,MATCH(A270,'02_工程タスク'!$A$4:$A$135,0))))</f>
        <v>業務・AI性能・重要slice評価</v>
      </c>
      <c r="C270" s="28" t="str">
        <f>IF(COUNTIF('02_工程タスク'!$A$4:$A$135,A270)&lt;&gt;1,"参照ID不正",IF(INDEX('02_工程タスク'!$G$4:$G$135,MATCH(A270,'02_工程タスク'!$A$4:$A$135,0))="","",INDEX('02_工程タスク'!$G$4:$G$135,MATCH(A270,'02_工程タスク'!$A$4:$A$135,0))))</f>
        <v>R11, R04, R08</v>
      </c>
      <c r="D270" s="28" t="str">
        <f>IF(COUNTIF('02_工程タスク'!$A$4:$A$135,A270)&lt;&gt;1,"参照ID不正",IF(INDEX('02_工程タスク'!$H$4:$H$135,MATCH(A270,'02_工程タスク'!$A$4:$A$135,0))="","",INDEX('02_工程タスク'!$H$4:$H$135,MATCH(A270,'02_工程タスク'!$A$4:$A$135,0))))</f>
        <v>R19</v>
      </c>
      <c r="E270" s="2" t="s">
        <v>2542</v>
      </c>
      <c r="F270" s="28" t="str">
        <f>IF(COUNTIF('07_スキル辞書'!$A$4:$A$109,E270)&lt;&gt;1,"参照ID不正",IF(INDEX('07_スキル辞書'!$D$4:$D$109,MATCH(E270,'07_スキル辞書'!$A$4:$A$109,0))="","",INDEX('07_スキル辞書'!$D$4:$D$109,MATCH(E270,'07_スキル辞書'!$A$4:$A$109,0))))</f>
        <v>キャリブレーションと運用閾値設計</v>
      </c>
      <c r="G270" s="2">
        <v>2</v>
      </c>
      <c r="H270" s="28" t="str">
        <f>IF(COUNTIF('07_スキル辞書'!$A$4:$A$109,E270)&lt;&gt;1,"参照ID不正",IF(INDEX('07_スキル辞書'!$I$4:$I$109,MATCH(E270,'07_スキル辞書'!$A$4:$A$109,0))="","",INDEX('07_スキル辞書'!$I$4:$I$109,MATCH(E270,'07_スキル辞書'!$A$4:$A$109,0))))</f>
        <v>キャリブレーション結果、モデル評価レポート、AIモデル要件定義書（要件定義書v1の一部）、モデル性能ダッシュボード</v>
      </c>
      <c r="I270" s="2" t="s">
        <v>2900</v>
      </c>
    </row>
    <row r="271" spans="1:9" ht="38" customHeight="1" x14ac:dyDescent="0.2">
      <c r="A271" s="4" t="s">
        <v>1105</v>
      </c>
      <c r="B271" s="28" t="str">
        <f>IF(COUNTIF('02_工程タスク'!$A$4:$A$135,A271)&lt;&gt;1,"参照ID不正",IF(INDEX('02_工程タスク'!$D$4:$D$135,MATCH(A271,'02_工程タスク'!$A$4:$A$135,0))="","",INDEX('02_工程タスク'!$D$4:$D$135,MATCH(A271,'02_工程タスク'!$A$4:$A$135,0))))</f>
        <v>RAG検索・引用・鮮度・削除評価</v>
      </c>
      <c r="C271" s="28" t="str">
        <f>IF(COUNTIF('02_工程タスク'!$A$4:$A$135,A271)&lt;&gt;1,"参照ID不正",IF(INDEX('02_工程タスク'!$G$4:$G$135,MATCH(A271,'02_工程タスク'!$A$4:$A$135,0))="","",INDEX('02_工程タスク'!$G$4:$G$135,MATCH(A271,'02_工程タスク'!$A$4:$A$135,0))))</f>
        <v>R11, R09</v>
      </c>
      <c r="D271" s="28" t="str">
        <f>IF(COUNTIF('02_工程タスク'!$A$4:$A$135,A271)&lt;&gt;1,"参照ID不正",IF(INDEX('02_工程タスク'!$H$4:$H$135,MATCH(A271,'02_工程タスク'!$A$4:$A$135,0))="","",INDEX('02_工程タスク'!$H$4:$H$135,MATCH(A271,'02_工程タスク'!$A$4:$A$135,0))))</f>
        <v>R19</v>
      </c>
      <c r="E271" s="4" t="s">
        <v>2471</v>
      </c>
      <c r="F271" s="28" t="str">
        <f>IF(COUNTIF('07_スキル辞書'!$A$4:$A$109,E271)&lt;&gt;1,"参照ID不正",IF(INDEX('07_スキル辞書'!$D$4:$D$109,MATCH(E271,'07_スキル辞書'!$A$4:$A$109,0))="","",INDEX('07_スキル辞書'!$D$4:$D$109,MATCH(E271,'07_スキル辞書'!$A$4:$A$109,0))))</f>
        <v>RAG設計と検索評価</v>
      </c>
      <c r="G271" s="4">
        <v>2</v>
      </c>
      <c r="H271" s="28" t="str">
        <f>IF(COUNTIF('07_スキル辞書'!$A$4:$A$109,E271)&lt;&gt;1,"参照ID不正",IF(INDEX('07_スキル辞書'!$I$4:$I$109,MATCH(E271,'07_スキル辞書'!$A$4:$A$109,0))="","",INDEX('07_スキル辞書'!$I$4:$I$109,MATCH(E271,'07_スキル辞書'!$A$4:$A$109,0))))</f>
        <v>コーパス整備仕様書、検索インデックス、モデル評価レポート、AIモデル品質評価レポート</v>
      </c>
      <c r="I271" s="4" t="s">
        <v>2900</v>
      </c>
    </row>
    <row r="272" spans="1:9" ht="38" customHeight="1" x14ac:dyDescent="0.2">
      <c r="A272" s="2" t="s">
        <v>1105</v>
      </c>
      <c r="B272" s="28" t="str">
        <f>IF(COUNTIF('02_工程タスク'!$A$4:$A$135,A272)&lt;&gt;1,"参照ID不正",IF(INDEX('02_工程タスク'!$D$4:$D$135,MATCH(A272,'02_工程タスク'!$A$4:$A$135,0))="","",INDEX('02_工程タスク'!$D$4:$D$135,MATCH(A272,'02_工程タスク'!$A$4:$A$135,0))))</f>
        <v>RAG検索・引用・鮮度・削除評価</v>
      </c>
      <c r="C272" s="28" t="str">
        <f>IF(COUNTIF('02_工程タスク'!$A$4:$A$135,A272)&lt;&gt;1,"参照ID不正",IF(INDEX('02_工程タスク'!$G$4:$G$135,MATCH(A272,'02_工程タスク'!$A$4:$A$135,0))="","",INDEX('02_工程タスク'!$G$4:$G$135,MATCH(A272,'02_工程タスク'!$A$4:$A$135,0))))</f>
        <v>R11, R09</v>
      </c>
      <c r="D272" s="28" t="str">
        <f>IF(COUNTIF('02_工程タスク'!$A$4:$A$135,A272)&lt;&gt;1,"参照ID不正",IF(INDEX('02_工程タスク'!$H$4:$H$135,MATCH(A272,'02_工程タスク'!$A$4:$A$135,0))="","",INDEX('02_工程タスク'!$H$4:$H$135,MATCH(A272,'02_工程タスク'!$A$4:$A$135,0))))</f>
        <v>R19</v>
      </c>
      <c r="E272" s="2" t="s">
        <v>2551</v>
      </c>
      <c r="F272" s="28" t="str">
        <f>IF(COUNTIF('07_スキル辞書'!$A$4:$A$109,E272)&lt;&gt;1,"参照ID不正",IF(INDEX('07_スキル辞書'!$D$4:$D$109,MATCH(E272,'07_スキル辞書'!$A$4:$A$109,0))="","",INDEX('07_スキル辞書'!$D$4:$D$109,MATCH(E272,'07_スキル辞書'!$A$4:$A$109,0))))</f>
        <v>LLM評価設計</v>
      </c>
      <c r="G272" s="2">
        <v>2</v>
      </c>
      <c r="H272" s="28" t="str">
        <f>IF(COUNTIF('07_スキル辞書'!$A$4:$A$109,E272)&lt;&gt;1,"参照ID不正",IF(INDEX('07_スキル辞書'!$I$4:$I$109,MATCH(E272,'07_スキル辞書'!$A$4:$A$109,0))="","",INDEX('07_スキル辞書'!$I$4:$I$109,MATCH(E272,'07_スキル辞書'!$A$4:$A$109,0))))</f>
        <v>評価ハーネス、AIモデル品質評価レポート、モデル評価レポート、最終性能評価レポート（信頼区間付き）</v>
      </c>
      <c r="I272" s="2" t="s">
        <v>2900</v>
      </c>
    </row>
    <row r="273" spans="1:9" ht="38" customHeight="1" x14ac:dyDescent="0.2">
      <c r="A273" s="4" t="s">
        <v>1105</v>
      </c>
      <c r="B273" s="28" t="str">
        <f>IF(COUNTIF('02_工程タスク'!$A$4:$A$135,A273)&lt;&gt;1,"参照ID不正",IF(INDEX('02_工程タスク'!$D$4:$D$135,MATCH(A273,'02_工程タスク'!$A$4:$A$135,0))="","",INDEX('02_工程タスク'!$D$4:$D$135,MATCH(A273,'02_工程タスク'!$A$4:$A$135,0))))</f>
        <v>RAG検索・引用・鮮度・削除評価</v>
      </c>
      <c r="C273" s="28" t="str">
        <f>IF(COUNTIF('02_工程タスク'!$A$4:$A$135,A273)&lt;&gt;1,"参照ID不正",IF(INDEX('02_工程タスク'!$G$4:$G$135,MATCH(A273,'02_工程タスク'!$A$4:$A$135,0))="","",INDEX('02_工程タスク'!$G$4:$G$135,MATCH(A273,'02_工程タスク'!$A$4:$A$135,0))))</f>
        <v>R11, R09</v>
      </c>
      <c r="D273" s="28" t="str">
        <f>IF(COUNTIF('02_工程タスク'!$A$4:$A$135,A273)&lt;&gt;1,"参照ID不正",IF(INDEX('02_工程タスク'!$H$4:$H$135,MATCH(A273,'02_工程タスク'!$A$4:$A$135,0))="","",INDEX('02_工程タスク'!$H$4:$H$135,MATCH(A273,'02_工程タスク'!$A$4:$A$135,0))))</f>
        <v>R19</v>
      </c>
      <c r="E273" s="4" t="s">
        <v>2569</v>
      </c>
      <c r="F273" s="28" t="str">
        <f>IF(COUNTIF('07_スキル辞書'!$A$4:$A$109,E273)&lt;&gt;1,"参照ID不正",IF(INDEX('07_スキル辞書'!$D$4:$D$109,MATCH(E273,'07_スキル辞書'!$A$4:$A$109,0))="","",INDEX('07_スキル辞書'!$D$4:$D$109,MATCH(E273,'07_スキル辞書'!$A$4:$A$109,0))))</f>
        <v>AI特化テスト設計</v>
      </c>
      <c r="G273" s="4">
        <v>2</v>
      </c>
      <c r="H273" s="28" t="str">
        <f>IF(COUNTIF('07_スキル辞書'!$A$4:$A$109,E273)&lt;&gt;1,"参照ID不正",IF(INDEX('07_スキル辞書'!$I$4:$I$109,MATCH(E273,'07_スキル辞書'!$A$4:$A$109,0))="","",INDEX('07_スキル辞書'!$I$4:$I$109,MATCH(E273,'07_スキル辞書'!$A$4:$A$109,0))))</f>
        <v>AIモデル品質評価レポート、評価ハーネス、ゴールデンデータセット、システム総合テスト報告書</v>
      </c>
      <c r="I273" s="4" t="s">
        <v>2900</v>
      </c>
    </row>
    <row r="274" spans="1:9" ht="38" customHeight="1" x14ac:dyDescent="0.2">
      <c r="A274" s="2" t="s">
        <v>1115</v>
      </c>
      <c r="B274" s="28" t="str">
        <f>IF(COUNTIF('02_工程タスク'!$A$4:$A$135,A274)&lt;&gt;1,"参照ID不正",IF(INDEX('02_工程タスク'!$D$4:$D$135,MATCH(A274,'02_工程タスク'!$A$4:$A$135,0))="","",INDEX('02_工程タスク'!$D$4:$D$135,MATCH(A274,'02_工程タスク'!$A$4:$A$135,0))))</f>
        <v>Agent完了・副作用・停止の評価</v>
      </c>
      <c r="C274" s="28" t="str">
        <f>IF(COUNTIF('02_工程タスク'!$A$4:$A$135,A274)&lt;&gt;1,"参照ID不正",IF(INDEX('02_工程タスク'!$G$4:$G$135,MATCH(A274,'02_工程タスク'!$A$4:$A$135,0))="","",INDEX('02_工程タスク'!$G$4:$G$135,MATCH(A274,'02_工程タスク'!$A$4:$A$135,0))))</f>
        <v>R11, R13, R04</v>
      </c>
      <c r="D274" s="28" t="str">
        <f>IF(COUNTIF('02_工程タスク'!$A$4:$A$135,A274)&lt;&gt;1,"参照ID不正",IF(INDEX('02_工程タスク'!$H$4:$H$135,MATCH(A274,'02_工程タスク'!$A$4:$A$135,0))="","",INDEX('02_工程タスク'!$H$4:$H$135,MATCH(A274,'02_工程タスク'!$A$4:$A$135,0))))</f>
        <v>R19</v>
      </c>
      <c r="E274" s="2" t="s">
        <v>2506</v>
      </c>
      <c r="F274" s="28" t="str">
        <f>IF(COUNTIF('07_スキル辞書'!$A$4:$A$109,E274)&lt;&gt;1,"参照ID不正",IF(INDEX('07_スキル辞書'!$D$4:$D$109,MATCH(E274,'07_スキル辞書'!$A$4:$A$109,0))="","",INDEX('07_スキル辞書'!$D$4:$D$109,MATCH(E274,'07_スキル辞書'!$A$4:$A$109,0))))</f>
        <v>エージェント設計と安全制御</v>
      </c>
      <c r="G274" s="2">
        <v>2</v>
      </c>
      <c r="H274" s="28" t="str">
        <f>IF(COUNTIF('07_スキル辞書'!$A$4:$A$109,E274)&lt;&gt;1,"参照ID不正",IF(INDEX('07_スキル辞書'!$I$4:$I$109,MATCH(E274,'07_スキル辞書'!$A$4:$A$109,0))="","",INDEX('07_スキル辞書'!$I$4:$I$109,MATCH(E274,'07_スキル辞書'!$A$4:$A$109,0))))</f>
        <v>LLMアプリケーション実装、ガードレール設定、脅威モデル、AI機能が統合されたバックエンドのソースコード</v>
      </c>
      <c r="I274" s="2" t="s">
        <v>2900</v>
      </c>
    </row>
    <row r="275" spans="1:9" ht="38" customHeight="1" x14ac:dyDescent="0.2">
      <c r="A275" s="4" t="s">
        <v>1115</v>
      </c>
      <c r="B275" s="28" t="str">
        <f>IF(COUNTIF('02_工程タスク'!$A$4:$A$135,A275)&lt;&gt;1,"参照ID不正",IF(INDEX('02_工程タスク'!$D$4:$D$135,MATCH(A275,'02_工程タスク'!$A$4:$A$135,0))="","",INDEX('02_工程タスク'!$D$4:$D$135,MATCH(A275,'02_工程タスク'!$A$4:$A$135,0))))</f>
        <v>Agent完了・副作用・停止の評価</v>
      </c>
      <c r="C275" s="28" t="str">
        <f>IF(COUNTIF('02_工程タスク'!$A$4:$A$135,A275)&lt;&gt;1,"参照ID不正",IF(INDEX('02_工程タスク'!$G$4:$G$135,MATCH(A275,'02_工程タスク'!$A$4:$A$135,0))="","",INDEX('02_工程タスク'!$G$4:$G$135,MATCH(A275,'02_工程タスク'!$A$4:$A$135,0))))</f>
        <v>R11, R13, R04</v>
      </c>
      <c r="D275" s="28" t="str">
        <f>IF(COUNTIF('02_工程タスク'!$A$4:$A$135,A275)&lt;&gt;1,"参照ID不正",IF(INDEX('02_工程タスク'!$H$4:$H$135,MATCH(A275,'02_工程タスク'!$A$4:$A$135,0))="","",INDEX('02_工程タスク'!$H$4:$H$135,MATCH(A275,'02_工程タスク'!$A$4:$A$135,0))))</f>
        <v>R19</v>
      </c>
      <c r="E275" s="4" t="s">
        <v>2551</v>
      </c>
      <c r="F275" s="28" t="str">
        <f>IF(COUNTIF('07_スキル辞書'!$A$4:$A$109,E275)&lt;&gt;1,"参照ID不正",IF(INDEX('07_スキル辞書'!$D$4:$D$109,MATCH(E275,'07_スキル辞書'!$A$4:$A$109,0))="","",INDEX('07_スキル辞書'!$D$4:$D$109,MATCH(E275,'07_スキル辞書'!$A$4:$A$109,0))))</f>
        <v>LLM評価設計</v>
      </c>
      <c r="G275" s="4">
        <v>2</v>
      </c>
      <c r="H275" s="28" t="str">
        <f>IF(COUNTIF('07_スキル辞書'!$A$4:$A$109,E275)&lt;&gt;1,"参照ID不正",IF(INDEX('07_スキル辞書'!$I$4:$I$109,MATCH(E275,'07_スキル辞書'!$A$4:$A$109,0))="","",INDEX('07_スキル辞書'!$I$4:$I$109,MATCH(E275,'07_スキル辞書'!$A$4:$A$109,0))))</f>
        <v>評価ハーネス、AIモデル品質評価レポート、モデル評価レポート、最終性能評価レポート（信頼区間付き）</v>
      </c>
      <c r="I275" s="4" t="s">
        <v>2900</v>
      </c>
    </row>
    <row r="276" spans="1:9" ht="38" customHeight="1" x14ac:dyDescent="0.2">
      <c r="A276" s="2" t="s">
        <v>1115</v>
      </c>
      <c r="B276" s="28" t="str">
        <f>IF(COUNTIF('02_工程タスク'!$A$4:$A$135,A276)&lt;&gt;1,"参照ID不正",IF(INDEX('02_工程タスク'!$D$4:$D$135,MATCH(A276,'02_工程タスク'!$A$4:$A$135,0))="","",INDEX('02_工程タスク'!$D$4:$D$135,MATCH(A276,'02_工程タスク'!$A$4:$A$135,0))))</f>
        <v>Agent完了・副作用・停止の評価</v>
      </c>
      <c r="C276" s="28" t="str">
        <f>IF(COUNTIF('02_工程タスク'!$A$4:$A$135,A276)&lt;&gt;1,"参照ID不正",IF(INDEX('02_工程タスク'!$G$4:$G$135,MATCH(A276,'02_工程タスク'!$A$4:$A$135,0))="","",INDEX('02_工程タスク'!$G$4:$G$135,MATCH(A276,'02_工程タスク'!$A$4:$A$135,0))))</f>
        <v>R11, R13, R04</v>
      </c>
      <c r="D276" s="28" t="str">
        <f>IF(COUNTIF('02_工程タスク'!$A$4:$A$135,A276)&lt;&gt;1,"参照ID不正",IF(INDEX('02_工程タスク'!$H$4:$H$135,MATCH(A276,'02_工程タスク'!$A$4:$A$135,0))="","",INDEX('02_工程タスク'!$H$4:$H$135,MATCH(A276,'02_工程タスク'!$A$4:$A$135,0))))</f>
        <v>R19</v>
      </c>
      <c r="E276" s="2" t="s">
        <v>2818</v>
      </c>
      <c r="F276" s="28" t="str">
        <f>IF(COUNTIF('07_スキル辞書'!$A$4:$A$109,E276)&lt;&gt;1,"参照ID不正",IF(INDEX('07_スキル辞書'!$D$4:$D$109,MATCH(E276,'07_スキル辞書'!$A$4:$A$109,0))="","",INDEX('07_スキル辞書'!$D$4:$D$109,MATCH(E276,'07_スキル辞書'!$A$4:$A$109,0))))</f>
        <v>Tool/MCP認可・副作用・実行制御</v>
      </c>
      <c r="G276" s="2">
        <v>2</v>
      </c>
      <c r="H276" s="28" t="str">
        <f>IF(COUNTIF('07_スキル辞書'!$A$4:$A$109,E276)&lt;&gt;1,"参照ID不正",IF(INDEX('07_スキル辞書'!$I$4:$I$109,MATCH(E276,'07_スキル辞書'!$A$4:$A$109,0))="","",INDEX('07_スキル辞書'!$I$4:$I$109,MATCH(E276,'07_スキル辞書'!$A$4:$A$109,0))))</f>
        <v>Tool契約・Policy・攻撃試験</v>
      </c>
      <c r="I276" s="2" t="s">
        <v>2900</v>
      </c>
    </row>
    <row r="277" spans="1:9" ht="38" customHeight="1" x14ac:dyDescent="0.2">
      <c r="A277" s="4" t="s">
        <v>1126</v>
      </c>
      <c r="B277" s="28" t="str">
        <f>IF(COUNTIF('02_工程タスク'!$A$4:$A$135,A277)&lt;&gt;1,"参照ID不正",IF(INDEX('02_工程タスク'!$D$4:$D$135,MATCH(A277,'02_工程タスク'!$A$4:$A$135,0))="","",INDEX('02_工程タスク'!$D$4:$D$135,MATCH(A277,'02_工程タスク'!$A$4:$A$135,0))))</f>
        <v>安全・公平性・誤信頼・透明性</v>
      </c>
      <c r="C277" s="28" t="str">
        <f>IF(COUNTIF('02_工程タスク'!$A$4:$A$135,A277)&lt;&gt;1,"参照ID不正",IF(INDEX('02_工程タスク'!$G$4:$G$135,MATCH(A277,'02_工程タスク'!$A$4:$A$135,0))="","",INDEX('02_工程タスク'!$G$4:$G$135,MATCH(A277,'02_工程タスク'!$A$4:$A$135,0))))</f>
        <v>R11, R04, R05</v>
      </c>
      <c r="D277" s="28" t="str">
        <f>IF(COUNTIF('02_工程タスク'!$A$4:$A$135,A277)&lt;&gt;1,"参照ID不正",IF(INDEX('02_工程タスク'!$H$4:$H$135,MATCH(A277,'02_工程タスク'!$A$4:$A$135,0))="","",INDEX('02_工程タスク'!$H$4:$H$135,MATCH(A277,'02_工程タスク'!$A$4:$A$135,0))))</f>
        <v>R19</v>
      </c>
      <c r="E277" s="4" t="s">
        <v>2560</v>
      </c>
      <c r="F277" s="28" t="str">
        <f>IF(COUNTIF('07_スキル辞書'!$A$4:$A$109,E277)&lt;&gt;1,"参照ID不正",IF(INDEX('07_スキル辞書'!$D$4:$D$109,MATCH(E277,'07_スキル辞書'!$A$4:$A$109,0))="","",INDEX('07_スキル辞書'!$D$4:$D$109,MATCH(E277,'07_スキル辞書'!$A$4:$A$109,0))))</f>
        <v>責任あるAI評価（公平性・説明可能性・透明性）</v>
      </c>
      <c r="G277" s="4">
        <v>2</v>
      </c>
      <c r="H277" s="28" t="str">
        <f>IF(COUNTIF('07_スキル辞書'!$A$4:$A$109,E277)&lt;&gt;1,"参照ID不正",IF(INDEX('07_スキル辞書'!$I$4:$I$109,MATCH(E277,'07_スキル辞書'!$A$4:$A$109,0))="","",INDEX('07_スキル辞書'!$I$4:$I$109,MATCH(E277,'07_スキル辞書'!$A$4:$A$109,0))))</f>
        <v>責任あるAI評価レポート（許容基準と残存リスクを含む）、公平性評価レポート（緩和前後の比較）、UI/UXデザインガイドライン</v>
      </c>
      <c r="I277" s="4" t="s">
        <v>2900</v>
      </c>
    </row>
    <row r="278" spans="1:9" ht="38" customHeight="1" x14ac:dyDescent="0.2">
      <c r="A278" s="2" t="s">
        <v>1126</v>
      </c>
      <c r="B278" s="28" t="str">
        <f>IF(COUNTIF('02_工程タスク'!$A$4:$A$135,A278)&lt;&gt;1,"参照ID不正",IF(INDEX('02_工程タスク'!$D$4:$D$135,MATCH(A278,'02_工程タスク'!$A$4:$A$135,0))="","",INDEX('02_工程タスク'!$D$4:$D$135,MATCH(A278,'02_工程タスク'!$A$4:$A$135,0))))</f>
        <v>安全・公平性・誤信頼・透明性</v>
      </c>
      <c r="C278" s="28" t="str">
        <f>IF(COUNTIF('02_工程タスク'!$A$4:$A$135,A278)&lt;&gt;1,"参照ID不正",IF(INDEX('02_工程タスク'!$G$4:$G$135,MATCH(A278,'02_工程タスク'!$A$4:$A$135,0))="","",INDEX('02_工程タスク'!$G$4:$G$135,MATCH(A278,'02_工程タスク'!$A$4:$A$135,0))))</f>
        <v>R11, R04, R05</v>
      </c>
      <c r="D278" s="28" t="str">
        <f>IF(COUNTIF('02_工程タスク'!$A$4:$A$135,A278)&lt;&gt;1,"参照ID不正",IF(INDEX('02_工程タスク'!$H$4:$H$135,MATCH(A278,'02_工程タスク'!$A$4:$A$135,0))="","",INDEX('02_工程タスク'!$H$4:$H$135,MATCH(A278,'02_工程タスク'!$A$4:$A$135,0))))</f>
        <v>R19</v>
      </c>
      <c r="E278" s="2" t="s">
        <v>2569</v>
      </c>
      <c r="F278" s="28" t="str">
        <f>IF(COUNTIF('07_スキル辞書'!$A$4:$A$109,E278)&lt;&gt;1,"参照ID不正",IF(INDEX('07_スキル辞書'!$D$4:$D$109,MATCH(E278,'07_スキル辞書'!$A$4:$A$109,0))="","",INDEX('07_スキル辞書'!$D$4:$D$109,MATCH(E278,'07_スキル辞書'!$A$4:$A$109,0))))</f>
        <v>AI特化テスト設計</v>
      </c>
      <c r="G278" s="2">
        <v>2</v>
      </c>
      <c r="H278" s="28" t="str">
        <f>IF(COUNTIF('07_スキル辞書'!$A$4:$A$109,E278)&lt;&gt;1,"参照ID不正",IF(INDEX('07_スキル辞書'!$I$4:$I$109,MATCH(E278,'07_スキル辞書'!$A$4:$A$109,0))="","",INDEX('07_スキル辞書'!$I$4:$I$109,MATCH(E278,'07_スキル辞書'!$A$4:$A$109,0))))</f>
        <v>AIモデル品質評価レポート、評価ハーネス、ゴールデンデータセット、システム総合テスト報告書</v>
      </c>
      <c r="I278" s="2" t="s">
        <v>2900</v>
      </c>
    </row>
    <row r="279" spans="1:9" ht="38" customHeight="1" x14ac:dyDescent="0.2">
      <c r="A279" s="4" t="s">
        <v>1126</v>
      </c>
      <c r="B279" s="28" t="str">
        <f>IF(COUNTIF('02_工程タスク'!$A$4:$A$135,A279)&lt;&gt;1,"参照ID不正",IF(INDEX('02_工程タスク'!$D$4:$D$135,MATCH(A279,'02_工程タスク'!$A$4:$A$135,0))="","",INDEX('02_工程タスク'!$D$4:$D$135,MATCH(A279,'02_工程タスク'!$A$4:$A$135,0))))</f>
        <v>安全・公平性・誤信頼・透明性</v>
      </c>
      <c r="C279" s="28" t="str">
        <f>IF(COUNTIF('02_工程タスク'!$A$4:$A$135,A279)&lt;&gt;1,"参照ID不正",IF(INDEX('02_工程タスク'!$G$4:$G$135,MATCH(A279,'02_工程タスク'!$A$4:$A$135,0))="","",INDEX('02_工程タスク'!$G$4:$G$135,MATCH(A279,'02_工程タスク'!$A$4:$A$135,0))))</f>
        <v>R11, R04, R05</v>
      </c>
      <c r="D279" s="28" t="str">
        <f>IF(COUNTIF('02_工程タスク'!$A$4:$A$135,A279)&lt;&gt;1,"参照ID不正",IF(INDEX('02_工程タスク'!$H$4:$H$135,MATCH(A279,'02_工程タスク'!$A$4:$A$135,0))="","",INDEX('02_工程タスク'!$H$4:$H$135,MATCH(A279,'02_工程タスク'!$A$4:$A$135,0))))</f>
        <v>R19</v>
      </c>
      <c r="E279" s="4" t="s">
        <v>2780</v>
      </c>
      <c r="F279" s="28" t="str">
        <f>IF(COUNTIF('07_スキル辞書'!$A$4:$A$109,E279)&lt;&gt;1,"参照ID不正",IF(INDEX('07_スキル辞書'!$D$4:$D$109,MATCH(E279,'07_スキル辞書'!$A$4:$A$109,0))="","",INDEX('07_スキル辞書'!$D$4:$D$109,MATCH(E279,'07_スキル辞書'!$A$4:$A$109,0))))</f>
        <v>適切な信頼・説明・介入UX</v>
      </c>
      <c r="G279" s="4">
        <v>2</v>
      </c>
      <c r="H279" s="28" t="str">
        <f>IF(COUNTIF('07_スキル辞書'!$A$4:$A$109,E279)&lt;&gt;1,"参照ID不正",IF(INDEX('07_スキル辞書'!$I$4:$I$109,MATCH(E279,'07_スキル辞書'!$A$4:$A$109,0))="","",INDEX('07_スキル辞書'!$I$4:$I$109,MATCH(E279,'07_スキル辞書'!$A$4:$A$109,0))))</f>
        <v>UX試験・介入評価・救済導線</v>
      </c>
      <c r="I279" s="4" t="s">
        <v>2900</v>
      </c>
    </row>
    <row r="280" spans="1:9" ht="38" customHeight="1" x14ac:dyDescent="0.2">
      <c r="A280" s="2" t="s">
        <v>1137</v>
      </c>
      <c r="B280" s="28" t="str">
        <f>IF(COUNTIF('02_工程タスク'!$A$4:$A$135,A280)&lt;&gt;1,"参照ID不正",IF(INDEX('02_工程タスク'!$D$4:$D$135,MATCH(A280,'02_工程タスク'!$A$4:$A$135,0))="","",INDEX('02_工程タスク'!$D$4:$D$135,MATCH(A280,'02_工程タスク'!$A$4:$A$135,0))))</f>
        <v>二境界の攻撃・漏洩・供給網試験</v>
      </c>
      <c r="C280" s="28" t="str">
        <f>IF(COUNTIF('02_工程タスク'!$A$4:$A$135,A280)&lt;&gt;1,"参照ID不正",IF(INDEX('02_工程タスク'!$G$4:$G$135,MATCH(A280,'02_工程タスク'!$A$4:$A$135,0))="","",INDEX('02_工程タスク'!$G$4:$G$135,MATCH(A280,'02_工程タスク'!$A$4:$A$135,0))))</f>
        <v>R13, R11</v>
      </c>
      <c r="D280" s="28" t="str">
        <f>IF(COUNTIF('02_工程タスク'!$A$4:$A$135,A280)&lt;&gt;1,"参照ID不正",IF(INDEX('02_工程タスク'!$H$4:$H$135,MATCH(A280,'02_工程タスク'!$A$4:$A$135,0))="","",INDEX('02_工程タスク'!$H$4:$H$135,MATCH(A280,'02_工程タスク'!$A$4:$A$135,0))))</f>
        <v>R13</v>
      </c>
      <c r="E280" s="2" t="s">
        <v>2309</v>
      </c>
      <c r="F280" s="28" t="str">
        <f>IF(COUNTIF('07_スキル辞書'!$A$4:$A$109,E280)&lt;&gt;1,"参照ID不正",IF(INDEX('07_スキル辞書'!$D$4:$D$109,MATCH(E280,'07_スキル辞書'!$A$4:$A$109,0))="","",INDEX('07_スキル辞書'!$D$4:$D$109,MATCH(E280,'07_スキル辞書'!$A$4:$A$109,0))))</f>
        <v>脅威モデリングとセキュリティ設計</v>
      </c>
      <c r="G280" s="2">
        <v>2</v>
      </c>
      <c r="H280" s="28" t="str">
        <f>IF(COUNTIF('07_スキル辞書'!$A$4:$A$109,E280)&lt;&gt;1,"参照ID不正",IF(INDEX('07_スキル辞書'!$I$4:$I$109,MATCH(E280,'07_スキル辞書'!$A$4:$A$109,0))="","",INDEX('07_スキル辞書'!$I$4:$I$109,MATCH(E280,'07_スキル辞書'!$A$4:$A$109,0))))</f>
        <v>脅威モデル、脅威モデル v2、セキュリティ設計書、AIサプライチェーン対策方針</v>
      </c>
      <c r="I280" s="2" t="s">
        <v>2900</v>
      </c>
    </row>
    <row r="281" spans="1:9" ht="38" customHeight="1" x14ac:dyDescent="0.2">
      <c r="A281" s="4" t="s">
        <v>1137</v>
      </c>
      <c r="B281" s="28" t="str">
        <f>IF(COUNTIF('02_工程タスク'!$A$4:$A$135,A281)&lt;&gt;1,"参照ID不正",IF(INDEX('02_工程タスク'!$D$4:$D$135,MATCH(A281,'02_工程タスク'!$A$4:$A$135,0))="","",INDEX('02_工程タスク'!$D$4:$D$135,MATCH(A281,'02_工程タスク'!$A$4:$A$135,0))))</f>
        <v>二境界の攻撃・漏洩・供給網試験</v>
      </c>
      <c r="C281" s="28" t="str">
        <f>IF(COUNTIF('02_工程タスク'!$A$4:$A$135,A281)&lt;&gt;1,"参照ID不正",IF(INDEX('02_工程タスク'!$G$4:$G$135,MATCH(A281,'02_工程タスク'!$A$4:$A$135,0))="","",INDEX('02_工程タスク'!$G$4:$G$135,MATCH(A281,'02_工程タスク'!$A$4:$A$135,0))))</f>
        <v>R13, R11</v>
      </c>
      <c r="D281" s="28" t="str">
        <f>IF(COUNTIF('02_工程タスク'!$A$4:$A$135,A281)&lt;&gt;1,"参照ID不正",IF(INDEX('02_工程タスク'!$H$4:$H$135,MATCH(A281,'02_工程タスク'!$A$4:$A$135,0))="","",INDEX('02_工程タスク'!$H$4:$H$135,MATCH(A281,'02_工程タスク'!$A$4:$A$135,0))))</f>
        <v>R13</v>
      </c>
      <c r="E281" s="4" t="s">
        <v>2318</v>
      </c>
      <c r="F281" s="28" t="str">
        <f>IF(COUNTIF('07_スキル辞書'!$A$4:$A$109,E281)&lt;&gt;1,"参照ID不正",IF(INDEX('07_スキル辞書'!$D$4:$D$109,MATCH(E281,'07_スキル辞書'!$A$4:$A$109,0))="","",INDEX('07_スキル辞書'!$D$4:$D$109,MATCH(E281,'07_スキル辞書'!$A$4:$A$109,0))))</f>
        <v>AIセキュリティ評価とレッドチーミング</v>
      </c>
      <c r="G281" s="4">
        <v>2</v>
      </c>
      <c r="H281" s="28" t="str">
        <f>IF(COUNTIF('07_スキル辞書'!$A$4:$A$109,E281)&lt;&gt;1,"参照ID不正",IF(INDEX('07_スキル辞書'!$I$4:$I$109,MATCH(E281,'07_スキル辞書'!$A$4:$A$109,0))="","",INDEX('07_スキル辞書'!$I$4:$I$109,MATCH(E281,'07_スキル辞書'!$A$4:$A$109,0))))</f>
        <v>AIセキュリティ評価レポート（残存リスクと本開発への要件を含む）、セキュリティテスト報告書、対策実装の確認記録</v>
      </c>
      <c r="I281" s="4" t="s">
        <v>2900</v>
      </c>
    </row>
    <row r="282" spans="1:9" ht="38" customHeight="1" x14ac:dyDescent="0.2">
      <c r="A282" s="2" t="s">
        <v>1137</v>
      </c>
      <c r="B282" s="28" t="str">
        <f>IF(COUNTIF('02_工程タスク'!$A$4:$A$135,A282)&lt;&gt;1,"参照ID不正",IF(INDEX('02_工程タスク'!$D$4:$D$135,MATCH(A282,'02_工程タスク'!$A$4:$A$135,0))="","",INDEX('02_工程タスク'!$D$4:$D$135,MATCH(A282,'02_工程タスク'!$A$4:$A$135,0))))</f>
        <v>二境界の攻撃・漏洩・供給網試験</v>
      </c>
      <c r="C282" s="28" t="str">
        <f>IF(COUNTIF('02_工程タスク'!$A$4:$A$135,A282)&lt;&gt;1,"参照ID不正",IF(INDEX('02_工程タスク'!$G$4:$G$135,MATCH(A282,'02_工程タスク'!$A$4:$A$135,0))="","",INDEX('02_工程タスク'!$G$4:$G$135,MATCH(A282,'02_工程タスク'!$A$4:$A$135,0))))</f>
        <v>R13, R11</v>
      </c>
      <c r="D282" s="28" t="str">
        <f>IF(COUNTIF('02_工程タスク'!$A$4:$A$135,A282)&lt;&gt;1,"参照ID不正",IF(INDEX('02_工程タスク'!$H$4:$H$135,MATCH(A282,'02_工程タスク'!$A$4:$A$135,0))="","",INDEX('02_工程タスク'!$H$4:$H$135,MATCH(A282,'02_工程タスク'!$A$4:$A$135,0))))</f>
        <v>R13</v>
      </c>
      <c r="E282" s="2" t="s">
        <v>2623</v>
      </c>
      <c r="F282" s="28" t="str">
        <f>IF(COUNTIF('07_スキル辞書'!$A$4:$A$109,E282)&lt;&gt;1,"参照ID不正",IF(INDEX('07_スキル辞書'!$D$4:$D$109,MATCH(E282,'07_スキル辞書'!$A$4:$A$109,0))="","",INDEX('07_スキル辞書'!$D$4:$D$109,MATCH(E282,'07_スキル辞書'!$A$4:$A$109,0))))</f>
        <v>開発エージェントの権限・通信・供給網統制</v>
      </c>
      <c r="G282" s="2">
        <v>2</v>
      </c>
      <c r="H282" s="28" t="str">
        <f>IF(COUNTIF('07_スキル辞書'!$A$4:$A$109,E282)&lt;&gt;1,"参照ID不正",IF(INDEX('07_スキル辞書'!$I$4:$I$109,MATCH(E282,'07_スキル辞書'!$A$4:$A$109,0))="","",INDEX('07_スキル辞書'!$I$4:$I$109,MATCH(E282,'07_スキル辞書'!$A$4:$A$109,0))))</f>
        <v>ツール許可台帳／sandbox設定／通信・権限試験／秘密検査</v>
      </c>
      <c r="I282" s="2" t="s">
        <v>2900</v>
      </c>
    </row>
    <row r="283" spans="1:9" ht="38" customHeight="1" x14ac:dyDescent="0.2">
      <c r="A283" s="4" t="s">
        <v>1146</v>
      </c>
      <c r="B283" s="28" t="str">
        <f>IF(COUNTIF('02_工程タスク'!$A$4:$A$135,A283)&lt;&gt;1,"参照ID不正",IF(INDEX('02_工程タスク'!$D$4:$D$135,MATCH(A283,'02_工程タスク'!$A$4:$A$135,0))="","",INDEX('02_工程タスク'!$D$4:$D$135,MATCH(A283,'02_工程タスク'!$A$4:$A$135,0))))</f>
        <v>実データフロー・削除・規約整合確認</v>
      </c>
      <c r="C283" s="28" t="str">
        <f>IF(COUNTIF('02_工程タスク'!$A$4:$A$135,A283)&lt;&gt;1,"参照ID不正",IF(INDEX('02_工程タスク'!$G$4:$G$135,MATCH(A283,'02_工程タスク'!$A$4:$A$135,0))="","",INDEX('02_工程タスク'!$G$4:$G$135,MATCH(A283,'02_工程タスク'!$A$4:$A$135,0))))</f>
        <v>R14, R10, R13</v>
      </c>
      <c r="D283" s="28" t="str">
        <f>IF(COUNTIF('02_工程タスク'!$A$4:$A$135,A283)&lt;&gt;1,"参照ID不正",IF(INDEX('02_工程タスク'!$H$4:$H$135,MATCH(A283,'02_工程タスク'!$A$4:$A$135,0))="","",INDEX('02_工程タスク'!$H$4:$H$135,MATCH(A283,'02_工程タスク'!$A$4:$A$135,0))))</f>
        <v>R14</v>
      </c>
      <c r="E283" s="4" t="s">
        <v>1948</v>
      </c>
      <c r="F283" s="28" t="str">
        <f>IF(COUNTIF('07_スキル辞書'!$A$4:$A$109,E283)&lt;&gt;1,"参照ID不正",IF(INDEX('07_スキル辞書'!$D$4:$D$109,MATCH(E283,'07_スキル辞書'!$A$4:$A$109,0))="","",INDEX('07_スキル辞書'!$D$4:$D$109,MATCH(E283,'07_スキル辞書'!$A$4:$A$109,0))))</f>
        <v>個人情報保護法の適用判定とデータガバナンス</v>
      </c>
      <c r="G283" s="4">
        <v>2</v>
      </c>
      <c r="H283" s="28" t="str">
        <f>IF(COUNTIF('07_スキル辞書'!$A$4:$A$109,E283)&lt;&gt;1,"参照ID不正",IF(INDEX('07_スキル辞書'!$I$4:$I$109,MATCH(E283,'07_スキル辞書'!$A$4:$A$109,0))="","",INDEX('07_スキル辞書'!$I$4:$I$109,MATCH(E283,'07_スキル辞書'!$A$4:$A$109,0))))</f>
        <v>個人情報取扱い判定書、データ提供・利用契約、データ要件定義書、データ受領記録、アクセス制御設定</v>
      </c>
      <c r="I283" s="4" t="s">
        <v>2900</v>
      </c>
    </row>
    <row r="284" spans="1:9" ht="38" customHeight="1" x14ac:dyDescent="0.2">
      <c r="A284" s="2" t="s">
        <v>1146</v>
      </c>
      <c r="B284" s="28" t="str">
        <f>IF(COUNTIF('02_工程タスク'!$A$4:$A$135,A284)&lt;&gt;1,"参照ID不正",IF(INDEX('02_工程タスク'!$D$4:$D$135,MATCH(A284,'02_工程タスク'!$A$4:$A$135,0))="","",INDEX('02_工程タスク'!$D$4:$D$135,MATCH(A284,'02_工程タスク'!$A$4:$A$135,0))))</f>
        <v>実データフロー・削除・規約整合確認</v>
      </c>
      <c r="C284" s="28" t="str">
        <f>IF(COUNTIF('02_工程タスク'!$A$4:$A$135,A284)&lt;&gt;1,"参照ID不正",IF(INDEX('02_工程タスク'!$G$4:$G$135,MATCH(A284,'02_工程タスク'!$A$4:$A$135,0))="","",INDEX('02_工程タスク'!$G$4:$G$135,MATCH(A284,'02_工程タスク'!$A$4:$A$135,0))))</f>
        <v>R14, R10, R13</v>
      </c>
      <c r="D284" s="28" t="str">
        <f>IF(COUNTIF('02_工程タスク'!$A$4:$A$135,A284)&lt;&gt;1,"参照ID不正",IF(INDEX('02_工程タスク'!$H$4:$H$135,MATCH(A284,'02_工程タスク'!$A$4:$A$135,0))="","",INDEX('02_工程タスク'!$H$4:$H$135,MATCH(A284,'02_工程タスク'!$A$4:$A$135,0))))</f>
        <v>R14</v>
      </c>
      <c r="E284" s="2" t="s">
        <v>2055</v>
      </c>
      <c r="F284" s="28" t="str">
        <f>IF(COUNTIF('07_スキル辞書'!$A$4:$A$109,E284)&lt;&gt;1,"参照ID不正",IF(INDEX('07_スキル辞書'!$D$4:$D$109,MATCH(E284,'07_スキル辞書'!$A$4:$A$109,0))="","",INDEX('07_スキル辞書'!$D$4:$D$109,MATCH(E284,'07_スキル辞書'!$A$4:$A$109,0))))</f>
        <v>知的財産・ライセンスと生成物の権利処理</v>
      </c>
      <c r="G284" s="2">
        <v>2</v>
      </c>
      <c r="H284" s="28" t="str">
        <f>IF(COUNTIF('07_スキル辞書'!$A$4:$A$109,E284)&lt;&gt;1,"参照ID不正",IF(INDEX('07_スキル辞書'!$I$4:$I$109,MATCH(E284,'07_スキル辞書'!$A$4:$A$109,0))="","",INDEX('07_スキル辞書'!$I$4:$I$109,MATCH(E284,'07_スキル辞書'!$A$4:$A$109,0))))</f>
        <v>IP／ライセンス台帳、出所・利用許諾、製品採用判断。外注／販売時は23の契約と権利受入記録。</v>
      </c>
      <c r="I284" s="2" t="s">
        <v>2900</v>
      </c>
    </row>
    <row r="285" spans="1:9" ht="38" customHeight="1" x14ac:dyDescent="0.2">
      <c r="A285" s="4" t="s">
        <v>1146</v>
      </c>
      <c r="B285" s="28" t="str">
        <f>IF(COUNTIF('02_工程タスク'!$A$4:$A$135,A285)&lt;&gt;1,"参照ID不正",IF(INDEX('02_工程タスク'!$D$4:$D$135,MATCH(A285,'02_工程タスク'!$A$4:$A$135,0))="","",INDEX('02_工程タスク'!$D$4:$D$135,MATCH(A285,'02_工程タスク'!$A$4:$A$135,0))))</f>
        <v>実データフロー・削除・規約整合確認</v>
      </c>
      <c r="C285" s="28" t="str">
        <f>IF(COUNTIF('02_工程タスク'!$A$4:$A$135,A285)&lt;&gt;1,"参照ID不正",IF(INDEX('02_工程タスク'!$G$4:$G$135,MATCH(A285,'02_工程タスク'!$A$4:$A$135,0))="","",INDEX('02_工程タスク'!$G$4:$G$135,MATCH(A285,'02_工程タスク'!$A$4:$A$135,0))))</f>
        <v>R14, R10, R13</v>
      </c>
      <c r="D285" s="28" t="str">
        <f>IF(COUNTIF('02_工程タスク'!$A$4:$A$135,A285)&lt;&gt;1,"参照ID不正",IF(INDEX('02_工程タスク'!$H$4:$H$135,MATCH(A285,'02_工程タスク'!$A$4:$A$135,0))="","",INDEX('02_工程タスク'!$H$4:$H$135,MATCH(A285,'02_工程タスク'!$A$4:$A$135,0))))</f>
        <v>R14</v>
      </c>
      <c r="E285" s="4" t="s">
        <v>2771</v>
      </c>
      <c r="F285" s="28" t="str">
        <f>IF(COUNTIF('07_スキル辞書'!$A$4:$A$109,E285)&lt;&gt;1,"参照ID不正",IF(INDEX('07_スキル辞書'!$D$4:$D$109,MATCH(E285,'07_スキル辞書'!$A$4:$A$109,0))="","",INDEX('07_スキル辞書'!$D$4:$D$109,MATCH(E285,'07_スキル辞書'!$A$4:$A$109,0))))</f>
        <v>モデル・Provider・処理条件・EOL管理</v>
      </c>
      <c r="G285" s="4">
        <v>2</v>
      </c>
      <c r="H285" s="28" t="str">
        <f>IF(COUNTIF('07_スキル辞書'!$A$4:$A$109,E285)&lt;&gt;1,"参照ID不正",IF(INDEX('07_スキル辞書'!$I$4:$I$109,MATCH(E285,'07_スキル辞書'!$A$4:$A$109,0))="","",INDEX('07_スキル辞書'!$I$4:$I$109,MATCH(E285,'07_スキル辞書'!$A$4:$A$109,0))))</f>
        <v>AI依存台帳・規約差分・切替評価</v>
      </c>
      <c r="I285" s="4" t="s">
        <v>2900</v>
      </c>
    </row>
    <row r="286" spans="1:9" ht="38" customHeight="1" x14ac:dyDescent="0.2">
      <c r="A286" s="2" t="s">
        <v>1155</v>
      </c>
      <c r="B286" s="28" t="str">
        <f>IF(COUNTIF('02_工程タスク'!$A$4:$A$135,A286)&lt;&gt;1,"参照ID不正",IF(INDEX('02_工程タスク'!$D$4:$D$135,MATCH(A286,'02_工程タスク'!$A$4:$A$135,0))="","",INDEX('02_工程タスク'!$D$4:$D$135,MATCH(A286,'02_工程タスク'!$A$4:$A$135,0))))</f>
        <v>負荷・障害・再試行・費用評価</v>
      </c>
      <c r="C286" s="28" t="str">
        <f>IF(COUNTIF('02_工程タスク'!$A$4:$A$135,A286)&lt;&gt;1,"参照ID不正",IF(INDEX('02_工程タスク'!$G$4:$G$135,MATCH(A286,'02_工程タスク'!$A$4:$A$135,0))="","",INDEX('02_工程タスク'!$G$4:$G$135,MATCH(A286,'02_工程タスク'!$A$4:$A$135,0))))</f>
        <v>R12, R11, R15</v>
      </c>
      <c r="D286" s="28" t="str">
        <f>IF(COUNTIF('02_工程タスク'!$A$4:$A$135,A286)&lt;&gt;1,"参照ID不正",IF(INDEX('02_工程タスク'!$H$4:$H$135,MATCH(A286,'02_工程タスク'!$A$4:$A$135,0))="","",INDEX('02_工程タスク'!$H$4:$H$135,MATCH(A286,'02_工程タスク'!$A$4:$A$135,0))))</f>
        <v>R18</v>
      </c>
      <c r="E286" s="2" t="s">
        <v>2128</v>
      </c>
      <c r="F286" s="28" t="str">
        <f>IF(COUNTIF('07_スキル辞書'!$A$4:$A$109,E286)&lt;&gt;1,"参照ID不正",IF(INDEX('07_スキル辞書'!$D$4:$D$109,MATCH(E286,'07_スキル辞書'!$A$4:$A$109,0))="","",INDEX('07_スキル辞書'!$D$4:$D$109,MATCH(E286,'07_スキル辞書'!$A$4:$A$109,0))))</f>
        <v>SLO/SLA設計とサービスレベル管理</v>
      </c>
      <c r="G286" s="2">
        <v>2</v>
      </c>
      <c r="H286" s="28" t="str">
        <f>IF(COUNTIF('07_スキル辞書'!$A$4:$A$109,E286)&lt;&gt;1,"参照ID不正",IF(INDEX('07_スキル辞書'!$I$4:$I$109,MATCH(E286,'07_スキル辞書'!$A$4:$A$109,0))="","",INDEX('07_スキル辞書'!$I$4:$I$109,MATCH(E286,'07_スキル辞書'!$A$4:$A$109,0))))</f>
        <v>SLO定義書、SLA（別紙）、運用保守個別契約、監視項目一覧、月次／四半期パフォーマンスレポート</v>
      </c>
      <c r="I286" s="2" t="s">
        <v>2900</v>
      </c>
    </row>
    <row r="287" spans="1:9" ht="38" customHeight="1" x14ac:dyDescent="0.2">
      <c r="A287" s="4" t="s">
        <v>1155</v>
      </c>
      <c r="B287" s="28" t="str">
        <f>IF(COUNTIF('02_工程タスク'!$A$4:$A$135,A287)&lt;&gt;1,"参照ID不正",IF(INDEX('02_工程タスク'!$D$4:$D$135,MATCH(A287,'02_工程タスク'!$A$4:$A$135,0))="","",INDEX('02_工程タスク'!$D$4:$D$135,MATCH(A287,'02_工程タスク'!$A$4:$A$135,0))))</f>
        <v>負荷・障害・再試行・費用評価</v>
      </c>
      <c r="C287" s="28" t="str">
        <f>IF(COUNTIF('02_工程タスク'!$A$4:$A$135,A287)&lt;&gt;1,"参照ID不正",IF(INDEX('02_工程タスク'!$G$4:$G$135,MATCH(A287,'02_工程タスク'!$A$4:$A$135,0))="","",INDEX('02_工程タスク'!$G$4:$G$135,MATCH(A287,'02_工程タスク'!$A$4:$A$135,0))))</f>
        <v>R12, R11, R15</v>
      </c>
      <c r="D287" s="28" t="str">
        <f>IF(COUNTIF('02_工程タスク'!$A$4:$A$135,A287)&lt;&gt;1,"参照ID不正",IF(INDEX('02_工程タスク'!$H$4:$H$135,MATCH(A287,'02_工程タスク'!$A$4:$A$135,0))="","",INDEX('02_工程タスク'!$H$4:$H$135,MATCH(A287,'02_工程タスク'!$A$4:$A$135,0))))</f>
        <v>R18</v>
      </c>
      <c r="E287" s="4" t="s">
        <v>2182</v>
      </c>
      <c r="F287" s="28" t="str">
        <f>IF(COUNTIF('07_スキル辞書'!$A$4:$A$109,E287)&lt;&gt;1,"参照ID不正",IF(INDEX('07_スキル辞書'!$D$4:$D$109,MATCH(E287,'07_スキル辞書'!$A$4:$A$109,0))="","",INDEX('07_スキル辞書'!$D$4:$D$109,MATCH(E287,'07_スキル辞書'!$A$4:$A$109,0))))</f>
        <v>非機能要件の定義と性能設計</v>
      </c>
      <c r="G287" s="4">
        <v>2</v>
      </c>
      <c r="H287" s="28" t="str">
        <f>IF(COUNTIF('07_スキル辞書'!$A$4:$A$109,E287)&lt;&gt;1,"参照ID不正",IF(INDEX('07_スキル辞書'!$I$4:$I$109,MATCH(E287,'07_スキル辞書'!$A$4:$A$109,0))="","",INDEX('07_スキル辞書'!$I$4:$I$109,MATCH(E287,'07_スキル辞書'!$A$4:$A$109,0))))</f>
        <v>非機能要件定義書 v1（要件定義書v1の一部）、性能テスト報告書、システムアーキテクチャ設計書</v>
      </c>
      <c r="I287" s="4" t="s">
        <v>2900</v>
      </c>
    </row>
    <row r="288" spans="1:9" ht="49" customHeight="1" x14ac:dyDescent="0.2">
      <c r="A288" s="2" t="s">
        <v>1155</v>
      </c>
      <c r="B288" s="28" t="str">
        <f>IF(COUNTIF('02_工程タスク'!$A$4:$A$135,A288)&lt;&gt;1,"参照ID不正",IF(INDEX('02_工程タスク'!$D$4:$D$135,MATCH(A288,'02_工程タスク'!$A$4:$A$135,0))="","",INDEX('02_工程タスク'!$D$4:$D$135,MATCH(A288,'02_工程タスク'!$A$4:$A$135,0))))</f>
        <v>負荷・障害・再試行・費用評価</v>
      </c>
      <c r="C288" s="28" t="str">
        <f>IF(COUNTIF('02_工程タスク'!$A$4:$A$135,A288)&lt;&gt;1,"参照ID不正",IF(INDEX('02_工程タスク'!$G$4:$G$135,MATCH(A288,'02_工程タスク'!$A$4:$A$135,0))="","",INDEX('02_工程タスク'!$G$4:$G$135,MATCH(A288,'02_工程タスク'!$A$4:$A$135,0))))</f>
        <v>R12, R11, R15</v>
      </c>
      <c r="D288" s="28" t="str">
        <f>IF(COUNTIF('02_工程タスク'!$A$4:$A$135,A288)&lt;&gt;1,"参照ID不正",IF(INDEX('02_工程タスク'!$H$4:$H$135,MATCH(A288,'02_工程タスク'!$A$4:$A$135,0))="","",INDEX('02_工程タスク'!$H$4:$H$135,MATCH(A288,'02_工程タスク'!$A$4:$A$135,0))))</f>
        <v>R18</v>
      </c>
      <c r="E288" s="2" t="s">
        <v>2327</v>
      </c>
      <c r="F288" s="28" t="str">
        <f>IF(COUNTIF('07_スキル辞書'!$A$4:$A$109,E288)&lt;&gt;1,"参照ID不正",IF(INDEX('07_スキル辞書'!$D$4:$D$109,MATCH(E288,'07_スキル辞書'!$A$4:$A$109,0))="","",INDEX('07_スキル辞書'!$D$4:$D$109,MATCH(E288,'07_スキル辞書'!$A$4:$A$109,0))))</f>
        <v>監視設計と可観測性</v>
      </c>
      <c r="G288" s="2">
        <v>2</v>
      </c>
      <c r="H288" s="28" t="str">
        <f>IF(COUNTIF('07_スキル辞書'!$A$4:$A$109,E288)&lt;&gt;1,"参照ID不正",IF(INDEX('07_スキル辞書'!$I$4:$I$109,MATCH(E288,'07_スキル辞書'!$A$4:$A$109,0))="","",INDEX('07_スキル辞書'!$I$4:$I$109,MATCH(E288,'07_スキル辞書'!$A$4:$A$109,0))))</f>
        <v>監視設計書、監視項目一覧、リソース・APIパフォーマンスダッシュボード、ログ管理システム、アラート設定、モデル性能ダッシュボード</v>
      </c>
      <c r="I288" s="2" t="s">
        <v>2900</v>
      </c>
    </row>
    <row r="289" spans="1:9" ht="38" customHeight="1" x14ac:dyDescent="0.2">
      <c r="A289" s="4" t="s">
        <v>1155</v>
      </c>
      <c r="B289" s="28" t="str">
        <f>IF(COUNTIF('02_工程タスク'!$A$4:$A$135,A289)&lt;&gt;1,"参照ID不正",IF(INDEX('02_工程タスク'!$D$4:$D$135,MATCH(A289,'02_工程タスク'!$A$4:$A$135,0))="","",INDEX('02_工程タスク'!$D$4:$D$135,MATCH(A289,'02_工程タスク'!$A$4:$A$135,0))))</f>
        <v>負荷・障害・再試行・費用評価</v>
      </c>
      <c r="C289" s="28" t="str">
        <f>IF(COUNTIF('02_工程タスク'!$A$4:$A$135,A289)&lt;&gt;1,"参照ID不正",IF(INDEX('02_工程タスク'!$G$4:$G$135,MATCH(A289,'02_工程タスク'!$A$4:$A$135,0))="","",INDEX('02_工程タスク'!$G$4:$G$135,MATCH(A289,'02_工程タスク'!$A$4:$A$135,0))))</f>
        <v>R12, R11, R15</v>
      </c>
      <c r="D289" s="28" t="str">
        <f>IF(COUNTIF('02_工程タスク'!$A$4:$A$135,A289)&lt;&gt;1,"参照ID不正",IF(INDEX('02_工程タスク'!$H$4:$H$135,MATCH(A289,'02_工程タスク'!$A$4:$A$135,0))="","",INDEX('02_工程タスク'!$H$4:$H$135,MATCH(A289,'02_工程タスク'!$A$4:$A$135,0))))</f>
        <v>R18</v>
      </c>
      <c r="E289" s="4" t="s">
        <v>2371</v>
      </c>
      <c r="F289" s="28" t="str">
        <f>IF(COUNTIF('07_スキル辞書'!$A$4:$A$109,E289)&lt;&gt;1,"参照ID不正",IF(INDEX('07_スキル辞書'!$D$4:$D$109,MATCH(E289,'07_スキル辞書'!$A$4:$A$109,0))="","",INDEX('07_スキル辞書'!$D$4:$D$109,MATCH(E289,'07_スキル辞書'!$A$4:$A$109,0))))</f>
        <v>トークンコスト・レイテンシ設計とコスト監視</v>
      </c>
      <c r="G289" s="4">
        <v>2</v>
      </c>
      <c r="H289" s="28" t="str">
        <f>IF(COUNTIF('07_スキル辞書'!$A$4:$A$109,E289)&lt;&gt;1,"参照ID不正",IF(INDEX('07_スキル辞書'!$I$4:$I$109,MATCH(E289,'07_スキル辞書'!$A$4:$A$109,0))="","",INDEX('07_スキル辞書'!$I$4:$I$109,MATCH(E289,'07_スキル辞書'!$A$4:$A$109,0))))</f>
        <v>非機能要件定義書 v1（要件定義書v1の一部）、コストダッシュボード、コスト超過アラート、モデル推論APIのエンドポイント</v>
      </c>
      <c r="I289" s="4" t="s">
        <v>2900</v>
      </c>
    </row>
    <row r="290" spans="1:9" ht="38" customHeight="1" x14ac:dyDescent="0.2">
      <c r="A290" s="2" t="s">
        <v>1165</v>
      </c>
      <c r="B290" s="28" t="str">
        <f>IF(COUNTIF('02_工程タスク'!$A$4:$A$135,A290)&lt;&gt;1,"参照ID不正",IF(INDEX('02_工程タスク'!$D$4:$D$135,MATCH(A290,'02_工程タスク'!$A$4:$A$135,0))="","",INDEX('02_工程タスク'!$D$4:$D$135,MATCH(A290,'02_工程タスク'!$A$4:$A$135,0))))</f>
        <v>利用者タスク・アクセシビリティ評価</v>
      </c>
      <c r="C290" s="28" t="str">
        <f>IF(COUNTIF('02_工程タスク'!$A$4:$A$135,A290)&lt;&gt;1,"参照ID不正",IF(INDEX('02_工程タスク'!$G$4:$G$135,MATCH(A290,'02_工程タスク'!$A$4:$A$135,0))="","",INDEX('02_工程タスク'!$G$4:$G$135,MATCH(A290,'02_工程タスク'!$A$4:$A$135,0))))</f>
        <v>R05, R11, R04</v>
      </c>
      <c r="D290" s="28" t="str">
        <f>IF(COUNTIF('02_工程タスク'!$A$4:$A$135,A290)&lt;&gt;1,"参照ID不正",IF(INDEX('02_工程タスク'!$H$4:$H$135,MATCH(A290,'02_工程タスク'!$A$4:$A$135,0))="","",INDEX('02_工程タスク'!$H$4:$H$135,MATCH(A290,'02_工程タスク'!$A$4:$A$135,0))))</f>
        <v>R02</v>
      </c>
      <c r="E290" s="2" t="s">
        <v>2110</v>
      </c>
      <c r="F290" s="28" t="str">
        <f>IF(COUNTIF('07_スキル辞書'!$A$4:$A$109,E290)&lt;&gt;1,"参照ID不正",IF(INDEX('07_スキル辞書'!$D$4:$D$109,MATCH(E290,'07_スキル辞書'!$A$4:$A$109,0))="","",INDEX('07_スキル辞書'!$D$4:$D$109,MATCH(E290,'07_スキル辞書'!$A$4:$A$109,0))))</f>
        <v>ユーザビリティ・業務適合性評価</v>
      </c>
      <c r="G290" s="2">
        <v>2</v>
      </c>
      <c r="H290" s="28" t="str">
        <f>IF(COUNTIF('07_スキル辞書'!$A$4:$A$109,E290)&lt;&gt;1,"参照ID不正",IF(INDEX('07_スキル辞書'!$I$4:$I$109,MATCH(E290,'07_スキル辞書'!$A$4:$A$109,0))="","",INDEX('07_スキル辞書'!$I$4:$I$109,MATCH(E290,'07_スキル辞書'!$A$4:$A$109,0))))</f>
        <v>ユーザビリティテスト結果報告書、業務適合性評価レポート、UATフィードバックリストと対応計画</v>
      </c>
      <c r="I290" s="2" t="s">
        <v>2900</v>
      </c>
    </row>
    <row r="291" spans="1:9" ht="38" customHeight="1" x14ac:dyDescent="0.2">
      <c r="A291" s="4" t="s">
        <v>1165</v>
      </c>
      <c r="B291" s="28" t="str">
        <f>IF(COUNTIF('02_工程タスク'!$A$4:$A$135,A291)&lt;&gt;1,"参照ID不正",IF(INDEX('02_工程タスク'!$D$4:$D$135,MATCH(A291,'02_工程タスク'!$A$4:$A$135,0))="","",INDEX('02_工程タスク'!$D$4:$D$135,MATCH(A291,'02_工程タスク'!$A$4:$A$135,0))))</f>
        <v>利用者タスク・アクセシビリティ評価</v>
      </c>
      <c r="C291" s="28" t="str">
        <f>IF(COUNTIF('02_工程タスク'!$A$4:$A$135,A291)&lt;&gt;1,"参照ID不正",IF(INDEX('02_工程タスク'!$G$4:$G$135,MATCH(A291,'02_工程タスク'!$A$4:$A$135,0))="","",INDEX('02_工程タスク'!$G$4:$G$135,MATCH(A291,'02_工程タスク'!$A$4:$A$135,0))))</f>
        <v>R05, R11, R04</v>
      </c>
      <c r="D291" s="28" t="str">
        <f>IF(COUNTIF('02_工程タスク'!$A$4:$A$135,A291)&lt;&gt;1,"参照ID不正",IF(INDEX('02_工程タスク'!$H$4:$H$135,MATCH(A291,'02_工程タスク'!$A$4:$A$135,0))="","",INDEX('02_工程タスク'!$H$4:$H$135,MATCH(A291,'02_工程タスク'!$A$4:$A$135,0))))</f>
        <v>R02</v>
      </c>
      <c r="E291" s="4" t="s">
        <v>2780</v>
      </c>
      <c r="F291" s="28" t="str">
        <f>IF(COUNTIF('07_スキル辞書'!$A$4:$A$109,E291)&lt;&gt;1,"参照ID不正",IF(INDEX('07_スキル辞書'!$D$4:$D$109,MATCH(E291,'07_スキル辞書'!$A$4:$A$109,0))="","",INDEX('07_スキル辞書'!$D$4:$D$109,MATCH(E291,'07_スキル辞書'!$A$4:$A$109,0))))</f>
        <v>適切な信頼・説明・介入UX</v>
      </c>
      <c r="G291" s="4">
        <v>2</v>
      </c>
      <c r="H291" s="28" t="str">
        <f>IF(COUNTIF('07_スキル辞書'!$A$4:$A$109,E291)&lt;&gt;1,"参照ID不正",IF(INDEX('07_スキル辞書'!$I$4:$I$109,MATCH(E291,'07_スキル辞書'!$A$4:$A$109,0))="","",INDEX('07_スキル辞書'!$I$4:$I$109,MATCH(E291,'07_スキル辞書'!$A$4:$A$109,0))))</f>
        <v>UX試験・介入評価・救済導線</v>
      </c>
      <c r="I291" s="4" t="s">
        <v>2900</v>
      </c>
    </row>
    <row r="292" spans="1:9" ht="38" customHeight="1" x14ac:dyDescent="0.2">
      <c r="A292" s="2" t="s">
        <v>1165</v>
      </c>
      <c r="B292" s="28" t="str">
        <f>IF(COUNTIF('02_工程タスク'!$A$4:$A$135,A292)&lt;&gt;1,"参照ID不正",IF(INDEX('02_工程タスク'!$D$4:$D$135,MATCH(A292,'02_工程タスク'!$A$4:$A$135,0))="","",INDEX('02_工程タスク'!$D$4:$D$135,MATCH(A292,'02_工程タスク'!$A$4:$A$135,0))))</f>
        <v>利用者タスク・アクセシビリティ評価</v>
      </c>
      <c r="C292" s="28" t="str">
        <f>IF(COUNTIF('02_工程タスク'!$A$4:$A$135,A292)&lt;&gt;1,"参照ID不正",IF(INDEX('02_工程タスク'!$G$4:$G$135,MATCH(A292,'02_工程タスク'!$A$4:$A$135,0))="","",INDEX('02_工程タスク'!$G$4:$G$135,MATCH(A292,'02_工程タスク'!$A$4:$A$135,0))))</f>
        <v>R05, R11, R04</v>
      </c>
      <c r="D292" s="28" t="str">
        <f>IF(COUNTIF('02_工程タスク'!$A$4:$A$135,A292)&lt;&gt;1,"参照ID不正",IF(INDEX('02_工程タスク'!$H$4:$H$135,MATCH(A292,'02_工程タスク'!$A$4:$A$135,0))="","",INDEX('02_工程タスク'!$H$4:$H$135,MATCH(A292,'02_工程タスク'!$A$4:$A$135,0))))</f>
        <v>R02</v>
      </c>
      <c r="E292" s="2" t="s">
        <v>2790</v>
      </c>
      <c r="F292" s="28" t="str">
        <f>IF(COUNTIF('07_スキル辞書'!$A$4:$A$109,E292)&lt;&gt;1,"参照ID不正",IF(INDEX('07_スキル辞書'!$D$4:$D$109,MATCH(E292,'07_スキル辞書'!$A$4:$A$109,0))="","",INDEX('07_スキル辞書'!$D$4:$D$109,MATCH(E292,'07_スキル辞書'!$A$4:$A$109,0))))</f>
        <v>包摂的なAIサービス設計</v>
      </c>
      <c r="G292" s="2">
        <v>2</v>
      </c>
      <c r="H292" s="28" t="str">
        <f>IF(COUNTIF('07_スキル辞書'!$A$4:$A$109,E292)&lt;&gt;1,"参照ID不正",IF(INDEX('07_スキル辞書'!$I$4:$I$109,MATCH(E292,'07_スキル辞書'!$A$4:$A$109,0))="","",INDEX('07_スキル辞書'!$I$4:$I$109,MATCH(E292,'07_スキル辞書'!$A$4:$A$109,0))))</f>
        <v>利用者試験・改善記録</v>
      </c>
      <c r="I292" s="2" t="s">
        <v>2900</v>
      </c>
    </row>
    <row r="293" spans="1:9" ht="38" customHeight="1" x14ac:dyDescent="0.2">
      <c r="A293" s="4" t="s">
        <v>1174</v>
      </c>
      <c r="B293" s="28" t="str">
        <f>IF(COUNTIF('02_工程タスク'!$A$4:$A$135,A293)&lt;&gt;1,"参照ID不正",IF(INDEX('02_工程タスク'!$D$4:$D$135,MATCH(A293,'02_工程タスク'!$A$4:$A$135,0))="","",INDEX('02_工程タスク'!$D$4:$D$135,MATCH(A293,'02_工程タスク'!$A$4:$A$135,0))))</f>
        <v>価格・課金・単位経済性の検証</v>
      </c>
      <c r="C293" s="28" t="str">
        <f>IF(COUNTIF('02_工程タスク'!$A$4:$A$135,A293)&lt;&gt;1,"参照ID不正",IF(INDEX('02_工程タスク'!$G$4:$G$135,MATCH(A293,'02_工程タスク'!$A$4:$A$135,0))="","",INDEX('02_工程タスク'!$G$4:$G$135,MATCH(A293,'02_工程タスク'!$A$4:$A$135,0))))</f>
        <v>R15, R11, R16</v>
      </c>
      <c r="D293" s="28" t="str">
        <f>IF(COUNTIF('02_工程タスク'!$A$4:$A$135,A293)&lt;&gt;1,"参照ID不正",IF(INDEX('02_工程タスク'!$H$4:$H$135,MATCH(A293,'02_工程タスク'!$A$4:$A$135,0))="","",INDEX('02_工程タスク'!$H$4:$H$135,MATCH(A293,'02_工程タスク'!$A$4:$A$135,0))))</f>
        <v>R01</v>
      </c>
      <c r="E293" s="4" t="s">
        <v>2011</v>
      </c>
      <c r="F293" s="28" t="str">
        <f>IF(COUNTIF('07_スキル辞書'!$A$4:$A$109,E293)&lt;&gt;1,"参照ID不正",IF(INDEX('07_スキル辞書'!$D$4:$D$109,MATCH(E293,'07_スキル辞書'!$A$4:$A$109,0))="","",INDEX('07_スキル辞書'!$D$4:$D$109,MATCH(E293,'07_スキル辞書'!$A$4:$A$109,0))))</f>
        <v>ROI・TCO試算と感度分析</v>
      </c>
      <c r="G293" s="4">
        <v>2</v>
      </c>
      <c r="H293" s="28" t="str">
        <f>IF(COUNTIF('07_スキル辞書'!$A$4:$A$109,E293)&lt;&gt;1,"参照ID不正",IF(INDEX('07_スキル辞書'!$I$4:$I$109,MATCH(E293,'07_スキル辞書'!$A$4:$A$109,0))="","",INDEX('07_スキル辞書'!$I$4:$I$109,MATCH(E293,'07_スキル辞書'!$A$4:$A$109,0))))</f>
        <v>ROI試算シート（感度分析付き）、実現可能性評価レポート、コストダッシュボード</v>
      </c>
      <c r="I293" s="4" t="s">
        <v>2900</v>
      </c>
    </row>
    <row r="294" spans="1:9" ht="38" customHeight="1" x14ac:dyDescent="0.2">
      <c r="A294" s="2" t="s">
        <v>1174</v>
      </c>
      <c r="B294" s="28" t="str">
        <f>IF(COUNTIF('02_工程タスク'!$A$4:$A$135,A294)&lt;&gt;1,"参照ID不正",IF(INDEX('02_工程タスク'!$D$4:$D$135,MATCH(A294,'02_工程タスク'!$A$4:$A$135,0))="","",INDEX('02_工程タスク'!$D$4:$D$135,MATCH(A294,'02_工程タスク'!$A$4:$A$135,0))))</f>
        <v>価格・課金・単位経済性の検証</v>
      </c>
      <c r="C294" s="28" t="str">
        <f>IF(COUNTIF('02_工程タスク'!$A$4:$A$135,A294)&lt;&gt;1,"参照ID不正",IF(INDEX('02_工程タスク'!$G$4:$G$135,MATCH(A294,'02_工程タスク'!$A$4:$A$135,0))="","",INDEX('02_工程タスク'!$G$4:$G$135,MATCH(A294,'02_工程タスク'!$A$4:$A$135,0))))</f>
        <v>R15, R11, R16</v>
      </c>
      <c r="D294" s="28" t="str">
        <f>IF(COUNTIF('02_工程タスク'!$A$4:$A$135,A294)&lt;&gt;1,"参照ID不正",IF(INDEX('02_工程タスク'!$H$4:$H$135,MATCH(A294,'02_工程タスク'!$A$4:$A$135,0))="","",INDEX('02_工程タスク'!$H$4:$H$135,MATCH(A294,'02_工程タスク'!$A$4:$A$135,0))))</f>
        <v>R01</v>
      </c>
      <c r="E294" s="2" t="s">
        <v>2672</v>
      </c>
      <c r="F294" s="28" t="str">
        <f>IF(COUNTIF('07_スキル辞書'!$A$4:$A$109,E294)&lt;&gt;1,"参照ID不正",IF(INDEX('07_スキル辞書'!$D$4:$D$109,MATCH(E294,'07_スキル辞書'!$A$4:$A$109,0))="","",INDEX('07_スキル辞書'!$D$4:$D$109,MATCH(E294,'07_スキル辞書'!$A$4:$A$109,0))))</f>
        <v>価格・支払意思・パッケージ</v>
      </c>
      <c r="G294" s="2">
        <v>2</v>
      </c>
      <c r="H294" s="28" t="str">
        <f>IF(COUNTIF('07_スキル辞書'!$A$4:$A$109,E294)&lt;&gt;1,"参照ID不正",IF(INDEX('07_スキル辞書'!$I$4:$I$109,MATCH(E294,'07_スキル辞書'!$A$4:$A$109,0))="","",INDEX('07_スキル辞書'!$I$4:$I$109,MATCH(E294,'07_スキル辞書'!$A$4:$A$109,0))))</f>
        <v>価格実験・提供条件</v>
      </c>
      <c r="I294" s="2" t="s">
        <v>2900</v>
      </c>
    </row>
    <row r="295" spans="1:9" ht="38" customHeight="1" x14ac:dyDescent="0.2">
      <c r="A295" s="4" t="s">
        <v>1174</v>
      </c>
      <c r="B295" s="28" t="str">
        <f>IF(COUNTIF('02_工程タスク'!$A$4:$A$135,A295)&lt;&gt;1,"参照ID不正",IF(INDEX('02_工程タスク'!$D$4:$D$135,MATCH(A295,'02_工程タスク'!$A$4:$A$135,0))="","",INDEX('02_工程タスク'!$D$4:$D$135,MATCH(A295,'02_工程タスク'!$A$4:$A$135,0))))</f>
        <v>価格・課金・単位経済性の検証</v>
      </c>
      <c r="C295" s="28" t="str">
        <f>IF(COUNTIF('02_工程タスク'!$A$4:$A$135,A295)&lt;&gt;1,"参照ID不正",IF(INDEX('02_工程タスク'!$G$4:$G$135,MATCH(A295,'02_工程タスク'!$A$4:$A$135,0))="","",INDEX('02_工程タスク'!$G$4:$G$135,MATCH(A295,'02_工程タスク'!$A$4:$A$135,0))))</f>
        <v>R15, R11, R16</v>
      </c>
      <c r="D295" s="28" t="str">
        <f>IF(COUNTIF('02_工程タスク'!$A$4:$A$135,A295)&lt;&gt;1,"参照ID不正",IF(INDEX('02_工程タスク'!$H$4:$H$135,MATCH(A295,'02_工程タスク'!$A$4:$A$135,0))="","",INDEX('02_工程タスク'!$H$4:$H$135,MATCH(A295,'02_工程タスク'!$A$4:$A$135,0))))</f>
        <v>R01</v>
      </c>
      <c r="E295" s="4" t="s">
        <v>2742</v>
      </c>
      <c r="F295" s="28" t="str">
        <f>IF(COUNTIF('07_スキル辞書'!$A$4:$A$109,E295)&lt;&gt;1,"参照ID不正",IF(INDEX('07_スキル辞書'!$D$4:$D$109,MATCH(E295,'07_スキル辞書'!$A$4:$A$109,0))="","",INDEX('07_スキル辞書'!$D$4:$D$109,MATCH(E295,'07_スキル辞書'!$A$4:$A$109,0))))</f>
        <v>利用量計測・課金・返金</v>
      </c>
      <c r="G295" s="4">
        <v>2</v>
      </c>
      <c r="H295" s="28" t="str">
        <f>IF(COUNTIF('07_スキル辞書'!$A$4:$A$109,E295)&lt;&gt;1,"参照ID不正",IF(INDEX('07_スキル辞書'!$I$4:$I$109,MATCH(E295,'07_スキル辞書'!$A$4:$A$109,0))="","",INDEX('07_スキル辞書'!$I$4:$I$109,MATCH(E295,'07_スキル辞書'!$A$4:$A$109,0))))</f>
        <v>課金仕様・照合テスト・精算</v>
      </c>
      <c r="I295" s="4" t="s">
        <v>2900</v>
      </c>
    </row>
    <row r="296" spans="1:9" ht="38" customHeight="1" x14ac:dyDescent="0.2">
      <c r="A296" s="2" t="s">
        <v>1174</v>
      </c>
      <c r="B296" s="28" t="str">
        <f>IF(COUNTIF('02_工程タスク'!$A$4:$A$135,A296)&lt;&gt;1,"参照ID不正",IF(INDEX('02_工程タスク'!$D$4:$D$135,MATCH(A296,'02_工程タスク'!$A$4:$A$135,0))="","",INDEX('02_工程タスク'!$D$4:$D$135,MATCH(A296,'02_工程タスク'!$A$4:$A$135,0))))</f>
        <v>価格・課金・単位経済性の検証</v>
      </c>
      <c r="C296" s="28" t="str">
        <f>IF(COUNTIF('02_工程タスク'!$A$4:$A$135,A296)&lt;&gt;1,"参照ID不正",IF(INDEX('02_工程タスク'!$G$4:$G$135,MATCH(A296,'02_工程タスク'!$A$4:$A$135,0))="","",INDEX('02_工程タスク'!$G$4:$G$135,MATCH(A296,'02_工程タスク'!$A$4:$A$135,0))))</f>
        <v>R15, R11, R16</v>
      </c>
      <c r="D296" s="28" t="str">
        <f>IF(COUNTIF('02_工程タスク'!$A$4:$A$135,A296)&lt;&gt;1,"参照ID不正",IF(INDEX('02_工程タスク'!$H$4:$H$135,MATCH(A296,'02_工程タスク'!$A$4:$A$135,0))="","",INDEX('02_工程タスク'!$H$4:$H$135,MATCH(A296,'02_工程タスク'!$A$4:$A$135,0))))</f>
        <v>R01</v>
      </c>
      <c r="E296" s="2" t="s">
        <v>2761</v>
      </c>
      <c r="F296" s="28" t="str">
        <f>IF(COUNTIF('07_スキル辞書'!$A$4:$A$109,E296)&lt;&gt;1,"参照ID不正",IF(INDEX('07_スキル辞書'!$D$4:$D$109,MATCH(E296,'07_スキル辞書'!$A$4:$A$109,0))="","",INDEX('07_スキル辞書'!$D$4:$D$109,MATCH(E296,'07_スキル辞書'!$A$4:$A$109,0))))</f>
        <v>成功単位原価・限界利益・費用境界</v>
      </c>
      <c r="G296" s="2">
        <v>2</v>
      </c>
      <c r="H296" s="28" t="str">
        <f>IF(COUNTIF('07_スキル辞書'!$A$4:$A$109,E296)&lt;&gt;1,"参照ID不正",IF(INDEX('07_スキル辞書'!$I$4:$I$109,MATCH(E296,'07_スキル辞書'!$A$4:$A$109,0))="","",INDEX('07_スキル辞書'!$I$4:$I$109,MATCH(E296,'07_スキル辞書'!$A$4:$A$109,0))))</f>
        <v>cost/success・収支・感度分析</v>
      </c>
      <c r="I296" s="2" t="s">
        <v>2900</v>
      </c>
    </row>
    <row r="297" spans="1:9" ht="38" customHeight="1" x14ac:dyDescent="0.2">
      <c r="A297" s="4" t="s">
        <v>1184</v>
      </c>
      <c r="B297" s="28" t="str">
        <f>IF(COUNTIF('02_工程タスク'!$A$4:$A$135,A297)&lt;&gt;1,"参照ID不正",IF(INDEX('02_工程タスク'!$D$4:$D$135,MATCH(A297,'02_工程タスク'!$A$4:$A$135,0))="","",INDEX('02_工程タスク'!$D$4:$D$135,MATCH(A297,'02_工程タスク'!$A$4:$A$135,0))))</f>
        <v>停止・復旧・移管のリハーサル</v>
      </c>
      <c r="C297" s="28" t="str">
        <f>IF(COUNTIF('02_工程タスク'!$A$4:$A$135,A297)&lt;&gt;1,"参照ID不正",IF(INDEX('02_工程タスク'!$G$4:$G$135,MATCH(A297,'02_工程タスク'!$A$4:$A$135,0))="","",INDEX('02_工程タスク'!$G$4:$G$135,MATCH(A297,'02_工程タスク'!$A$4:$A$135,0))))</f>
        <v>R12, R13, R17</v>
      </c>
      <c r="D297" s="28" t="str">
        <f>IF(COUNTIF('02_工程タスク'!$A$4:$A$135,A297)&lt;&gt;1,"参照ID不正",IF(INDEX('02_工程タスク'!$H$4:$H$135,MATCH(A297,'02_工程タスク'!$A$4:$A$135,0))="","",INDEX('02_工程タスク'!$H$4:$H$135,MATCH(A297,'02_工程タスク'!$A$4:$A$135,0))))</f>
        <v>R18</v>
      </c>
      <c r="E297" s="4" t="s">
        <v>2353</v>
      </c>
      <c r="F297" s="28" t="str">
        <f>IF(COUNTIF('07_スキル辞書'!$A$4:$A$109,E297)&lt;&gt;1,"参照ID不正",IF(INDEX('07_スキル辞書'!$D$4:$D$109,MATCH(E297,'07_スキル辞書'!$A$4:$A$109,0))="","",INDEX('07_スキル辞書'!$D$4:$D$109,MATCH(E297,'07_スキル辞書'!$A$4:$A$109,0))))</f>
        <v>リリース・デプロイ戦略とロールバック</v>
      </c>
      <c r="G297" s="4">
        <v>2</v>
      </c>
      <c r="H297" s="28" t="str">
        <f>IF(COUNTIF('07_スキル辞書'!$A$4:$A$109,E297)&lt;&gt;1,"参照ID不正",IF(INDEX('07_スキル辞書'!$I$4:$I$109,MATCH(E297,'07_スキル辞書'!$A$4:$A$109,0))="","",INDEX('07_スキル辞書'!$I$4:$I$109,MATCH(E297,'07_スキル辞書'!$A$4:$A$109,0))))</f>
        <v>リリース計画書、リリースノート、本番稼働中のシステム、デプロイ戦略の実装、切替記録、モデルロールバック手順書</v>
      </c>
      <c r="I297" s="4" t="s">
        <v>2900</v>
      </c>
    </row>
    <row r="298" spans="1:9" ht="38" customHeight="1" x14ac:dyDescent="0.2">
      <c r="A298" s="2" t="s">
        <v>1184</v>
      </c>
      <c r="B298" s="28" t="str">
        <f>IF(COUNTIF('02_工程タスク'!$A$4:$A$135,A298)&lt;&gt;1,"参照ID不正",IF(INDEX('02_工程タスク'!$D$4:$D$135,MATCH(A298,'02_工程タスク'!$A$4:$A$135,0))="","",INDEX('02_工程タスク'!$D$4:$D$135,MATCH(A298,'02_工程タスク'!$A$4:$A$135,0))))</f>
        <v>停止・復旧・移管のリハーサル</v>
      </c>
      <c r="C298" s="28" t="str">
        <f>IF(COUNTIF('02_工程タスク'!$A$4:$A$135,A298)&lt;&gt;1,"参照ID不正",IF(INDEX('02_工程タスク'!$G$4:$G$135,MATCH(A298,'02_工程タスク'!$A$4:$A$135,0))="","",INDEX('02_工程タスク'!$G$4:$G$135,MATCH(A298,'02_工程タスク'!$A$4:$A$135,0))))</f>
        <v>R12, R13, R17</v>
      </c>
      <c r="D298" s="28" t="str">
        <f>IF(COUNTIF('02_工程タスク'!$A$4:$A$135,A298)&lt;&gt;1,"参照ID不正",IF(INDEX('02_工程タスク'!$H$4:$H$135,MATCH(A298,'02_工程タスク'!$A$4:$A$135,0))="","",INDEX('02_工程タスク'!$H$4:$H$135,MATCH(A298,'02_工程タスク'!$A$4:$A$135,0))))</f>
        <v>R18</v>
      </c>
      <c r="E298" s="2" t="s">
        <v>2362</v>
      </c>
      <c r="F298" s="28" t="str">
        <f>IF(COUNTIF('07_スキル辞書'!$A$4:$A$109,E298)&lt;&gt;1,"参照ID不正",IF(INDEX('07_スキル辞書'!$D$4:$D$109,MATCH(E298,'07_スキル辞書'!$A$4:$A$109,0))="","",INDEX('07_スキル辞書'!$D$4:$D$109,MATCH(E298,'07_スキル辞書'!$A$4:$A$109,0))))</f>
        <v>従来型保守・パッチ管理・DR/BCP</v>
      </c>
      <c r="G298" s="2">
        <v>2</v>
      </c>
      <c r="H298" s="28" t="str">
        <f>IF(COUNTIF('07_スキル辞書'!$A$4:$A$109,E298)&lt;&gt;1,"参照ID不正",IF(INDEX('07_スキル辞書'!$I$4:$I$109,MATCH(E298,'07_スキル辞書'!$A$4:$A$109,0))="","",INDEX('07_スキル辞書'!$I$4:$I$109,MATCH(E298,'07_スキル辞書'!$A$4:$A$109,0))))</f>
        <v>保守計画書、パッチ適用記録、DR/BCP手順書、IaCコード（更新版）、システム運用マニュアル</v>
      </c>
      <c r="I298" s="2" t="s">
        <v>2900</v>
      </c>
    </row>
    <row r="299" spans="1:9" ht="38" customHeight="1" x14ac:dyDescent="0.2">
      <c r="A299" s="4" t="s">
        <v>1184</v>
      </c>
      <c r="B299" s="28" t="str">
        <f>IF(COUNTIF('02_工程タスク'!$A$4:$A$135,A299)&lt;&gt;1,"参照ID不正",IF(INDEX('02_工程タスク'!$D$4:$D$135,MATCH(A299,'02_工程タスク'!$A$4:$A$135,0))="","",INDEX('02_工程タスク'!$D$4:$D$135,MATCH(A299,'02_工程タスク'!$A$4:$A$135,0))))</f>
        <v>停止・復旧・移管のリハーサル</v>
      </c>
      <c r="C299" s="28" t="str">
        <f>IF(COUNTIF('02_工程タスク'!$A$4:$A$135,A299)&lt;&gt;1,"参照ID不正",IF(INDEX('02_工程タスク'!$G$4:$G$135,MATCH(A299,'02_工程タスク'!$A$4:$A$135,0))="","",INDEX('02_工程タスク'!$G$4:$G$135,MATCH(A299,'02_工程タスク'!$A$4:$A$135,0))))</f>
        <v>R12, R13, R17</v>
      </c>
      <c r="D299" s="28" t="str">
        <f>IF(COUNTIF('02_工程タスク'!$A$4:$A$135,A299)&lt;&gt;1,"参照ID不正",IF(INDEX('02_工程タスク'!$H$4:$H$135,MATCH(A299,'02_工程タスク'!$A$4:$A$135,0))="","",INDEX('02_工程タスク'!$H$4:$H$135,MATCH(A299,'02_工程タスク'!$A$4:$A$135,0))))</f>
        <v>R18</v>
      </c>
      <c r="E299" s="4" t="s">
        <v>2641</v>
      </c>
      <c r="F299" s="28" t="str">
        <f>IF(COUNTIF('07_スキル辞書'!$A$4:$A$109,E299)&lt;&gt;1,"参照ID不正",IF(INDEX('07_スキル辞書'!$D$4:$D$109,MATCH(E299,'07_スキル辞書'!$A$4:$A$109,0))="","",INDEX('07_スキル辞書'!$D$4:$D$109,MATCH(E299,'07_スキル辞書'!$A$4:$A$109,0))))</f>
        <v>AI構成一式の更新・復旧・終了管理</v>
      </c>
      <c r="G299" s="4">
        <v>2</v>
      </c>
      <c r="H299" s="28" t="str">
        <f>IF(COUNTIF('07_スキル辞書'!$A$4:$A$109,E299)&lt;&gt;1,"参照ID不正",IF(INDEX('07_スキル辞書'!$I$4:$I$109,MATCH(E299,'07_スキル辞書'!$A$4:$A$109,0))="","",INDEX('07_スキル辞書'!$I$4:$I$109,MATCH(E299,'07_スキル辞書'!$A$4:$A$109,0))))</f>
        <v>構成manifest／復旧訓練／終了・削除・失効証跡</v>
      </c>
      <c r="I299" s="4" t="s">
        <v>2900</v>
      </c>
    </row>
    <row r="300" spans="1:9" ht="38" customHeight="1" x14ac:dyDescent="0.2">
      <c r="A300" s="2" t="s">
        <v>1193</v>
      </c>
      <c r="B300" s="28" t="str">
        <f>IF(COUNTIF('02_工程タスク'!$A$4:$A$135,A300)&lt;&gt;1,"参照ID不正",IF(INDEX('02_工程タスク'!$D$4:$D$135,MATCH(A300,'02_工程タスク'!$A$4:$A$135,0))="","",INDEX('02_工程タスク'!$D$4:$D$135,MATCH(A300,'02_工程タスク'!$A$4:$A$135,0))))</f>
        <v>Service Owner・当番・CS・通知確認</v>
      </c>
      <c r="C300" s="28" t="str">
        <f>IF(COUNTIF('02_工程タスク'!$A$4:$A$135,A300)&lt;&gt;1,"参照ID不正",IF(INDEX('02_工程タスク'!$G$4:$G$135,MATCH(A300,'02_工程タスク'!$A$4:$A$135,0))="","",INDEX('02_工程タスク'!$G$4:$G$135,MATCH(A300,'02_工程タスク'!$A$4:$A$135,0))))</f>
        <v>R18, R12, R17</v>
      </c>
      <c r="D300" s="28" t="str">
        <f>IF(COUNTIF('02_工程タスク'!$A$4:$A$135,A300)&lt;&gt;1,"参照ID不正",IF(INDEX('02_工程タスク'!$H$4:$H$135,MATCH(A300,'02_工程タスク'!$A$4:$A$135,0))="","",INDEX('02_工程タスク'!$H$4:$H$135,MATCH(A300,'02_工程タスク'!$A$4:$A$135,0))))</f>
        <v>R18</v>
      </c>
      <c r="E300" s="2" t="s">
        <v>2336</v>
      </c>
      <c r="F300" s="28" t="str">
        <f>IF(COUNTIF('07_スキル辞書'!$A$4:$A$109,E300)&lt;&gt;1,"参照ID不正",IF(INDEX('07_スキル辞書'!$D$4:$D$109,MATCH(E300,'07_スキル辞書'!$A$4:$A$109,0))="","",INDEX('07_スキル辞書'!$D$4:$D$109,MATCH(E300,'07_スキル辞書'!$A$4:$A$109,0))))</f>
        <v>インシデント管理とエスカレーション運営</v>
      </c>
      <c r="G300" s="2">
        <v>2</v>
      </c>
      <c r="H300" s="28" t="str">
        <f>IF(COUNTIF('07_スキル辞書'!$A$4:$A$109,E300)&lt;&gt;1,"参照ID不正",IF(INDEX('07_スキル辞書'!$I$4:$I$109,MATCH(E300,'07_スキル辞書'!$A$4:$A$109,0))="","",INDEX('07_スキル辞書'!$I$4:$I$109,MATCH(E300,'07_スキル辞書'!$A$4:$A$109,0))))</f>
        <v>アラート管理の設定、インシデント優先度定義書、エスカレーション手順書、ポストモーテム報告書</v>
      </c>
      <c r="I300" s="2" t="s">
        <v>2900</v>
      </c>
    </row>
    <row r="301" spans="1:9" ht="38" customHeight="1" x14ac:dyDescent="0.2">
      <c r="A301" s="4" t="s">
        <v>1193</v>
      </c>
      <c r="B301" s="28" t="str">
        <f>IF(COUNTIF('02_工程タスク'!$A$4:$A$135,A301)&lt;&gt;1,"参照ID不正",IF(INDEX('02_工程タスク'!$D$4:$D$135,MATCH(A301,'02_工程タスク'!$A$4:$A$135,0))="","",INDEX('02_工程タスク'!$D$4:$D$135,MATCH(A301,'02_工程タスク'!$A$4:$A$135,0))))</f>
        <v>Service Owner・当番・CS・通知確認</v>
      </c>
      <c r="C301" s="28" t="str">
        <f>IF(COUNTIF('02_工程タスク'!$A$4:$A$135,A301)&lt;&gt;1,"参照ID不正",IF(INDEX('02_工程タスク'!$G$4:$G$135,MATCH(A301,'02_工程タスク'!$A$4:$A$135,0))="","",INDEX('02_工程タスク'!$G$4:$G$135,MATCH(A301,'02_工程タスク'!$A$4:$A$135,0))))</f>
        <v>R18, R12, R17</v>
      </c>
      <c r="D301" s="28" t="str">
        <f>IF(COUNTIF('02_工程タスク'!$A$4:$A$135,A301)&lt;&gt;1,"参照ID不正",IF(INDEX('02_工程タスク'!$H$4:$H$135,MATCH(A301,'02_工程タスク'!$A$4:$A$135,0))="","",INDEX('02_工程タスク'!$H$4:$H$135,MATCH(A301,'02_工程タスク'!$A$4:$A$135,0))))</f>
        <v>R18</v>
      </c>
      <c r="E301" s="4" t="s">
        <v>2380</v>
      </c>
      <c r="F301" s="28" t="str">
        <f>IF(COUNTIF('07_スキル辞書'!$A$4:$A$109,E301)&lt;&gt;1,"参照ID不正",IF(INDEX('07_スキル辞書'!$D$4:$D$109,MATCH(E301,'07_スキル辞書'!$A$4:$A$109,0))="","",INDEX('07_スキル辞書'!$D$4:$D$109,MATCH(E301,'07_スキル辞書'!$A$4:$A$109,0))))</f>
        <v>テクニカルドキュメンテーションと引継ぎ</v>
      </c>
      <c r="G301" s="4">
        <v>2</v>
      </c>
      <c r="H301" s="28" t="str">
        <f>IF(COUNTIF('07_スキル辞書'!$A$4:$A$109,E301)&lt;&gt;1,"参照ID不正",IF(INDEX('07_スキル辞書'!$I$4:$I$109,MATCH(E301,'07_スキル辞書'!$A$4:$A$109,0))="","",INDEX('07_スキル辞書'!$I$4:$I$109,MATCH(E301,'07_スキル辞書'!$A$4:$A$109,0))))</f>
        <v>システム運用マニュアル、障害対応マニュアル、運用引継ぎ完了報告書、最終版プロジェクトドキュメント一式、監視項目一覧</v>
      </c>
      <c r="I301" s="4" t="s">
        <v>2900</v>
      </c>
    </row>
    <row r="302" spans="1:9" ht="38" customHeight="1" x14ac:dyDescent="0.2">
      <c r="A302" s="2" t="s">
        <v>1193</v>
      </c>
      <c r="B302" s="28" t="str">
        <f>IF(COUNTIF('02_工程タスク'!$A$4:$A$135,A302)&lt;&gt;1,"参照ID不正",IF(INDEX('02_工程タスク'!$D$4:$D$135,MATCH(A302,'02_工程タスク'!$A$4:$A$135,0))="","",INDEX('02_工程タスク'!$D$4:$D$135,MATCH(A302,'02_工程タスク'!$A$4:$A$135,0))))</f>
        <v>Service Owner・当番・CS・通知確認</v>
      </c>
      <c r="C302" s="28" t="str">
        <f>IF(COUNTIF('02_工程タスク'!$A$4:$A$135,A302)&lt;&gt;1,"参照ID不正",IF(INDEX('02_工程タスク'!$G$4:$G$135,MATCH(A302,'02_工程タスク'!$A$4:$A$135,0))="","",INDEX('02_工程タスク'!$G$4:$G$135,MATCH(A302,'02_工程タスク'!$A$4:$A$135,0))))</f>
        <v>R18, R12, R17</v>
      </c>
      <c r="D302" s="28" t="str">
        <f>IF(COUNTIF('02_工程タスク'!$A$4:$A$135,A302)&lt;&gt;1,"参照ID不正",IF(INDEX('02_工程タスク'!$H$4:$H$135,MATCH(A302,'02_工程タスク'!$A$4:$A$135,0))="","",INDEX('02_工程タスク'!$H$4:$H$135,MATCH(A302,'02_工程タスク'!$A$4:$A$135,0))))</f>
        <v>R18</v>
      </c>
      <c r="E302" s="2" t="s">
        <v>2723</v>
      </c>
      <c r="F302" s="28" t="str">
        <f>IF(COUNTIF('07_スキル辞書'!$A$4:$A$109,E302)&lt;&gt;1,"参照ID不正",IF(INDEX('07_スキル辞書'!$D$4:$D$109,MATCH(E302,'07_スキル辞書'!$A$4:$A$109,0))="","",INDEX('07_スキル辞書'!$D$4:$D$109,MATCH(E302,'07_スキル辞書'!$A$4:$A$109,0))))</f>
        <v>導入・顧客成功・救済</v>
      </c>
      <c r="G302" s="2">
        <v>2</v>
      </c>
      <c r="H302" s="28" t="str">
        <f>IF(COUNTIF('07_スキル辞書'!$A$4:$A$109,E302)&lt;&gt;1,"参照ID不正",IF(INDEX('07_スキル辞書'!$I$4:$I$109,MATCH(E302,'07_スキル辞書'!$A$4:$A$109,0))="","",INDEX('07_スキル辞書'!$I$4:$I$109,MATCH(E302,'07_スキル辞書'!$A$4:$A$109,0))))</f>
        <v>CS記録・導入指標・救済記録</v>
      </c>
      <c r="I302" s="2" t="s">
        <v>2900</v>
      </c>
    </row>
    <row r="303" spans="1:9" ht="38" customHeight="1" x14ac:dyDescent="0.2">
      <c r="A303" s="4" t="s">
        <v>1193</v>
      </c>
      <c r="B303" s="28" t="str">
        <f>IF(COUNTIF('02_工程タスク'!$A$4:$A$135,A303)&lt;&gt;1,"参照ID不正",IF(INDEX('02_工程タスク'!$D$4:$D$135,MATCH(A303,'02_工程タスク'!$A$4:$A$135,0))="","",INDEX('02_工程タスク'!$D$4:$D$135,MATCH(A303,'02_工程タスク'!$A$4:$A$135,0))))</f>
        <v>Service Owner・当番・CS・通知確認</v>
      </c>
      <c r="C303" s="28" t="str">
        <f>IF(COUNTIF('02_工程タスク'!$A$4:$A$135,A303)&lt;&gt;1,"参照ID不正",IF(INDEX('02_工程タスク'!$G$4:$G$135,MATCH(A303,'02_工程タスク'!$A$4:$A$135,0))="","",INDEX('02_工程タスク'!$G$4:$G$135,MATCH(A303,'02_工程タスク'!$A$4:$A$135,0))))</f>
        <v>R18, R12, R17</v>
      </c>
      <c r="D303" s="28" t="str">
        <f>IF(COUNTIF('02_工程タスク'!$A$4:$A$135,A303)&lt;&gt;1,"参照ID不正",IF(INDEX('02_工程タスク'!$H$4:$H$135,MATCH(A303,'02_工程タスク'!$A$4:$A$135,0))="","",INDEX('02_工程タスク'!$H$4:$H$135,MATCH(A303,'02_工程タスク'!$A$4:$A$135,0))))</f>
        <v>R18</v>
      </c>
      <c r="E303" s="4" t="s">
        <v>2845</v>
      </c>
      <c r="F303" s="28" t="str">
        <f>IF(COUNTIF('07_スキル辞書'!$A$4:$A$109,E303)&lt;&gt;1,"参照ID不正",IF(INDEX('07_スキル辞書'!$D$4:$D$109,MATCH(E303,'07_スキル辞書'!$A$4:$A$109,0))="","",INDEX('07_スキル辞書'!$D$4:$D$109,MATCH(E303,'07_スキル辞書'!$A$4:$A$109,0))))</f>
        <v>顧客通知・重大度・救済の連携</v>
      </c>
      <c r="G303" s="4">
        <v>2</v>
      </c>
      <c r="H303" s="28" t="str">
        <f>IF(COUNTIF('07_スキル辞書'!$A$4:$A$109,E303)&lt;&gt;1,"参照ID不正",IF(INDEX('07_スキル辞書'!$I$4:$I$109,MATCH(E303,'07_スキル辞書'!$A$4:$A$109,0))="","",INDEX('07_スキル辞書'!$I$4:$I$109,MATCH(E303,'07_スキル辞書'!$A$4:$A$109,0))))</f>
        <v>Incident通知・救済・振り返り</v>
      </c>
      <c r="I303" s="4" t="s">
        <v>2900</v>
      </c>
    </row>
    <row r="304" spans="1:9" ht="38" customHeight="1" x14ac:dyDescent="0.2">
      <c r="A304" s="2" t="s">
        <v>1203</v>
      </c>
      <c r="B304" s="28" t="str">
        <f>IF(COUNTIF('02_工程タスク'!$A$4:$A$135,A304)&lt;&gt;1,"参照ID不正",IF(INDEX('02_工程タスク'!$D$4:$D$135,MATCH(A304,'02_工程タスク'!$A$4:$A$135,0))="","",INDEX('02_工程タスク'!$D$4:$D$135,MATCH(A304,'02_工程タスク'!$A$4:$A$135,0))))</f>
        <v>評価報告・残存リスク・公開勧告</v>
      </c>
      <c r="C304" s="28" t="str">
        <f>IF(COUNTIF('02_工程タスク'!$A$4:$A$135,A304)&lt;&gt;1,"参照ID不正",IF(INDEX('02_工程タスク'!$G$4:$G$135,MATCH(A304,'02_工程タスク'!$A$4:$A$135,0))="","",INDEX('02_工程タスク'!$G$4:$G$135,MATCH(A304,'02_工程タスク'!$A$4:$A$135,0))))</f>
        <v>R11, R13, R14</v>
      </c>
      <c r="D304" s="28" t="str">
        <f>IF(COUNTIF('02_工程タスク'!$A$4:$A$135,A304)&lt;&gt;1,"参照ID不正",IF(INDEX('02_工程タスク'!$H$4:$H$135,MATCH(A304,'02_工程タスク'!$A$4:$A$135,0))="","",INDEX('02_工程タスク'!$H$4:$H$135,MATCH(A304,'02_工程タスク'!$A$4:$A$135,0))))</f>
        <v>R19</v>
      </c>
      <c r="E304" s="2" t="s">
        <v>2551</v>
      </c>
      <c r="F304" s="28" t="str">
        <f>IF(COUNTIF('07_スキル辞書'!$A$4:$A$109,E304)&lt;&gt;1,"参照ID不正",IF(INDEX('07_スキル辞書'!$D$4:$D$109,MATCH(E304,'07_スキル辞書'!$A$4:$A$109,0))="","",INDEX('07_スキル辞書'!$D$4:$D$109,MATCH(E304,'07_スキル辞書'!$A$4:$A$109,0))))</f>
        <v>LLM評価設計</v>
      </c>
      <c r="G304" s="2">
        <v>3</v>
      </c>
      <c r="H304" s="28" t="str">
        <f>IF(COUNTIF('07_スキル辞書'!$A$4:$A$109,E304)&lt;&gt;1,"参照ID不正",IF(INDEX('07_スキル辞書'!$I$4:$I$109,MATCH(E304,'07_スキル辞書'!$A$4:$A$109,0))="","",INDEX('07_スキル辞書'!$I$4:$I$109,MATCH(E304,'07_スキル辞書'!$A$4:$A$109,0))))</f>
        <v>評価ハーネス、AIモデル品質評価レポート、モデル評価レポート、最終性能評価レポート（信頼区間付き）</v>
      </c>
      <c r="I304" s="2" t="s">
        <v>2900</v>
      </c>
    </row>
    <row r="305" spans="1:9" ht="38" customHeight="1" x14ac:dyDescent="0.2">
      <c r="A305" s="4" t="s">
        <v>1203</v>
      </c>
      <c r="B305" s="28" t="str">
        <f>IF(COUNTIF('02_工程タスク'!$A$4:$A$135,A305)&lt;&gt;1,"参照ID不正",IF(INDEX('02_工程タスク'!$D$4:$D$135,MATCH(A305,'02_工程タスク'!$A$4:$A$135,0))="","",INDEX('02_工程タスク'!$D$4:$D$135,MATCH(A305,'02_工程タスク'!$A$4:$A$135,0))))</f>
        <v>評価報告・残存リスク・公開勧告</v>
      </c>
      <c r="C305" s="28" t="str">
        <f>IF(COUNTIF('02_工程タスク'!$A$4:$A$135,A305)&lt;&gt;1,"参照ID不正",IF(INDEX('02_工程タスク'!$G$4:$G$135,MATCH(A305,'02_工程タスク'!$A$4:$A$135,0))="","",INDEX('02_工程タスク'!$G$4:$G$135,MATCH(A305,'02_工程タスク'!$A$4:$A$135,0))))</f>
        <v>R11, R13, R14</v>
      </c>
      <c r="D305" s="28" t="str">
        <f>IF(COUNTIF('02_工程タスク'!$A$4:$A$135,A305)&lt;&gt;1,"参照ID不正",IF(INDEX('02_工程タスク'!$H$4:$H$135,MATCH(A305,'02_工程タスク'!$A$4:$A$135,0))="","",INDEX('02_工程タスク'!$H$4:$H$135,MATCH(A305,'02_工程タスク'!$A$4:$A$135,0))))</f>
        <v>R19</v>
      </c>
      <c r="E305" s="4" t="s">
        <v>2614</v>
      </c>
      <c r="F305" s="28" t="str">
        <f>IF(COUNTIF('07_スキル辞書'!$A$4:$A$109,E305)&lt;&gt;1,"参照ID不正",IF(INDEX('07_スキル辞書'!$D$4:$D$109,MATCH(E305,'07_スキル辞書'!$A$4:$A$109,0))="","",INDEX('07_スキル辞書'!$D$4:$D$109,MATCH(E305,'07_スキル辞書'!$A$4:$A$109,0))))</f>
        <v>独立評価・採点較正・品質承認証拠</v>
      </c>
      <c r="G305" s="4">
        <v>3</v>
      </c>
      <c r="H305" s="28" t="str">
        <f>IF(COUNTIF('07_スキル辞書'!$A$4:$A$109,E305)&lt;&gt;1,"参照ID不正",IF(INDEX('07_スキル辞書'!$I$4:$I$109,MATCH(E305,'07_スキル辞書'!$A$4:$A$109,0))="","",INDEX('07_スキル辞書'!$I$4:$I$109,MATCH(E305,'07_スキル辞書'!$A$4:$A$109,0))))</f>
        <v>凍結評価・grader較正・G3品質勧告</v>
      </c>
      <c r="I305" s="4" t="s">
        <v>2900</v>
      </c>
    </row>
    <row r="306" spans="1:9" ht="38" customHeight="1" x14ac:dyDescent="0.2">
      <c r="A306" s="2" t="s">
        <v>1203</v>
      </c>
      <c r="B306" s="28" t="str">
        <f>IF(COUNTIF('02_工程タスク'!$A$4:$A$135,A306)&lt;&gt;1,"参照ID不正",IF(INDEX('02_工程タスク'!$D$4:$D$135,MATCH(A306,'02_工程タスク'!$A$4:$A$135,0))="","",INDEX('02_工程タスク'!$D$4:$D$135,MATCH(A306,'02_工程タスク'!$A$4:$A$135,0))))</f>
        <v>評価報告・残存リスク・公開勧告</v>
      </c>
      <c r="C306" s="28" t="str">
        <f>IF(COUNTIF('02_工程タスク'!$A$4:$A$135,A306)&lt;&gt;1,"参照ID不正",IF(INDEX('02_工程タスク'!$G$4:$G$135,MATCH(A306,'02_工程タスク'!$A$4:$A$135,0))="","",INDEX('02_工程タスク'!$G$4:$G$135,MATCH(A306,'02_工程タスク'!$A$4:$A$135,0))))</f>
        <v>R11, R13, R14</v>
      </c>
      <c r="D306" s="28" t="str">
        <f>IF(COUNTIF('02_工程タスク'!$A$4:$A$135,A306)&lt;&gt;1,"参照ID不正",IF(INDEX('02_工程タスク'!$H$4:$H$135,MATCH(A306,'02_工程タスク'!$A$4:$A$135,0))="","",INDEX('02_工程タスク'!$H$4:$H$135,MATCH(A306,'02_工程タスク'!$A$4:$A$135,0))))</f>
        <v>R19</v>
      </c>
      <c r="E306" s="2" t="s">
        <v>2651</v>
      </c>
      <c r="F306" s="28" t="str">
        <f>IF(COUNTIF('07_スキル辞書'!$A$4:$A$109,E306)&lt;&gt;1,"参照ID不正",IF(INDEX('07_スキル辞書'!$D$4:$D$109,MATCH(E306,'07_スキル辞書'!$A$4:$A$109,0))="","",INDEX('07_スキル辞書'!$D$4:$D$109,MATCH(E306,'07_スキル辞書'!$A$4:$A$109,0))))</f>
        <v>リスク比例の投資・公開・継続・変更判断</v>
      </c>
      <c r="G306" s="2">
        <v>3</v>
      </c>
      <c r="H306" s="28" t="str">
        <f>IF(COUNTIF('07_スキル辞書'!$A$4:$A$109,E306)&lt;&gt;1,"参照ID不正",IF(INDEX('07_スキル辞書'!$I$4:$I$109,MATCH(E306,'07_スキル辞書'!$A$4:$A$109,0))="","",INDEX('07_スキル辞書'!$I$4:$I$109,MATCH(E306,'07_スキル辞書'!$A$4:$A$109,0))))</f>
        <v>投資・Release・例外・継続判断記録</v>
      </c>
      <c r="I306" s="2" t="s">
        <v>2900</v>
      </c>
    </row>
    <row r="307" spans="1:9" ht="38" customHeight="1" x14ac:dyDescent="0.2">
      <c r="A307" s="4" t="s">
        <v>1212</v>
      </c>
      <c r="B307" s="28" t="str">
        <f>IF(COUNTIF('02_工程タスク'!$A$4:$A$135,A307)&lt;&gt;1,"参照ID不正",IF(INDEX('02_工程タスク'!$D$4:$D$135,MATCH(A307,'02_工程タスク'!$A$4:$A$135,0))="","",INDEX('02_工程タスク'!$D$4:$D$135,MATCH(A307,'02_工程タスク'!$A$4:$A$135,0))))</f>
        <v>Release Candidate・本番公開承認</v>
      </c>
      <c r="C307" s="28" t="str">
        <f>IF(COUNTIF('02_工程タスク'!$A$4:$A$135,A307)&lt;&gt;1,"参照ID不正",IF(INDEX('02_工程タスク'!$G$4:$G$135,MATCH(A307,'02_工程タスク'!$A$4:$A$135,0))="","",INDEX('02_工程タスク'!$G$4:$G$135,MATCH(A307,'02_工程タスク'!$A$4:$A$135,0))))</f>
        <v>R03, R18</v>
      </c>
      <c r="D307" s="28" t="str">
        <f>IF(COUNTIF('02_工程タスク'!$A$4:$A$135,A307)&lt;&gt;1,"参照ID不正",IF(INDEX('02_工程タスク'!$H$4:$H$135,MATCH(A307,'02_工程タスク'!$A$4:$A$135,0))="","",INDEX('02_工程タスク'!$H$4:$H$135,MATCH(A307,'02_工程タスク'!$A$4:$A$135,0))))</f>
        <v>R18</v>
      </c>
      <c r="E307" s="4" t="s">
        <v>2353</v>
      </c>
      <c r="F307" s="28" t="str">
        <f>IF(COUNTIF('07_スキル辞書'!$A$4:$A$109,E307)&lt;&gt;1,"参照ID不正",IF(INDEX('07_スキル辞書'!$D$4:$D$109,MATCH(E307,'07_スキル辞書'!$A$4:$A$109,0))="","",INDEX('07_スキル辞書'!$D$4:$D$109,MATCH(E307,'07_スキル辞書'!$A$4:$A$109,0))))</f>
        <v>リリース・デプロイ戦略とロールバック</v>
      </c>
      <c r="G307" s="4">
        <v>3</v>
      </c>
      <c r="H307" s="28" t="str">
        <f>IF(COUNTIF('07_スキル辞書'!$A$4:$A$109,E307)&lt;&gt;1,"参照ID不正",IF(INDEX('07_スキル辞書'!$I$4:$I$109,MATCH(E307,'07_スキル辞書'!$A$4:$A$109,0))="","",INDEX('07_スキル辞書'!$I$4:$I$109,MATCH(E307,'07_スキル辞書'!$A$4:$A$109,0))))</f>
        <v>リリース計画書、リリースノート、本番稼働中のシステム、デプロイ戦略の実装、切替記録、モデルロールバック手順書</v>
      </c>
      <c r="I307" s="4" t="s">
        <v>2900</v>
      </c>
    </row>
    <row r="308" spans="1:9" ht="38" customHeight="1" x14ac:dyDescent="0.2">
      <c r="A308" s="2" t="s">
        <v>1212</v>
      </c>
      <c r="B308" s="28" t="str">
        <f>IF(COUNTIF('02_工程タスク'!$A$4:$A$135,A308)&lt;&gt;1,"参照ID不正",IF(INDEX('02_工程タスク'!$D$4:$D$135,MATCH(A308,'02_工程タスク'!$A$4:$A$135,0))="","",INDEX('02_工程タスク'!$D$4:$D$135,MATCH(A308,'02_工程タスク'!$A$4:$A$135,0))))</f>
        <v>Release Candidate・本番公開承認</v>
      </c>
      <c r="C308" s="28" t="str">
        <f>IF(COUNTIF('02_工程タスク'!$A$4:$A$135,A308)&lt;&gt;1,"参照ID不正",IF(INDEX('02_工程タスク'!$G$4:$G$135,MATCH(A308,'02_工程タスク'!$A$4:$A$135,0))="","",INDEX('02_工程タスク'!$G$4:$G$135,MATCH(A308,'02_工程タスク'!$A$4:$A$135,0))))</f>
        <v>R03, R18</v>
      </c>
      <c r="D308" s="28" t="str">
        <f>IF(COUNTIF('02_工程タスク'!$A$4:$A$135,A308)&lt;&gt;1,"参照ID不正",IF(INDEX('02_工程タスク'!$H$4:$H$135,MATCH(A308,'02_工程タスク'!$A$4:$A$135,0))="","",INDEX('02_工程タスク'!$H$4:$H$135,MATCH(A308,'02_工程タスク'!$A$4:$A$135,0))))</f>
        <v>R18</v>
      </c>
      <c r="E308" s="2" t="s">
        <v>2614</v>
      </c>
      <c r="F308" s="28" t="str">
        <f>IF(COUNTIF('07_スキル辞書'!$A$4:$A$109,E308)&lt;&gt;1,"参照ID不正",IF(INDEX('07_スキル辞書'!$D$4:$D$109,MATCH(E308,'07_スキル辞書'!$A$4:$A$109,0))="","",INDEX('07_スキル辞書'!$D$4:$D$109,MATCH(E308,'07_スキル辞書'!$A$4:$A$109,0))))</f>
        <v>独立評価・採点較正・品質承認証拠</v>
      </c>
      <c r="G308" s="2">
        <v>3</v>
      </c>
      <c r="H308" s="28" t="str">
        <f>IF(COUNTIF('07_スキル辞書'!$A$4:$A$109,E308)&lt;&gt;1,"参照ID不正",IF(INDEX('07_スキル辞書'!$I$4:$I$109,MATCH(E308,'07_スキル辞書'!$A$4:$A$109,0))="","",INDEX('07_スキル辞書'!$I$4:$I$109,MATCH(E308,'07_スキル辞書'!$A$4:$A$109,0))))</f>
        <v>凍結評価・grader較正・G3品質勧告</v>
      </c>
      <c r="I308" s="2" t="s">
        <v>2900</v>
      </c>
    </row>
    <row r="309" spans="1:9" ht="38" customHeight="1" x14ac:dyDescent="0.2">
      <c r="A309" s="4" t="s">
        <v>1212</v>
      </c>
      <c r="B309" s="28" t="str">
        <f>IF(COUNTIF('02_工程タスク'!$A$4:$A$135,A309)&lt;&gt;1,"参照ID不正",IF(INDEX('02_工程タスク'!$D$4:$D$135,MATCH(A309,'02_工程タスク'!$A$4:$A$135,0))="","",INDEX('02_工程タスク'!$D$4:$D$135,MATCH(A309,'02_工程タスク'!$A$4:$A$135,0))))</f>
        <v>Release Candidate・本番公開承認</v>
      </c>
      <c r="C309" s="28" t="str">
        <f>IF(COUNTIF('02_工程タスク'!$A$4:$A$135,A309)&lt;&gt;1,"参照ID不正",IF(INDEX('02_工程タスク'!$G$4:$G$135,MATCH(A309,'02_工程タスク'!$A$4:$A$135,0))="","",INDEX('02_工程タスク'!$G$4:$G$135,MATCH(A309,'02_工程タスク'!$A$4:$A$135,0))))</f>
        <v>R03, R18</v>
      </c>
      <c r="D309" s="28" t="str">
        <f>IF(COUNTIF('02_工程タスク'!$A$4:$A$135,A309)&lt;&gt;1,"参照ID不正",IF(INDEX('02_工程タスク'!$H$4:$H$135,MATCH(A309,'02_工程タスク'!$A$4:$A$135,0))="","",INDEX('02_工程タスク'!$H$4:$H$135,MATCH(A309,'02_工程タスク'!$A$4:$A$135,0))))</f>
        <v>R18</v>
      </c>
      <c r="E309" s="4" t="s">
        <v>2651</v>
      </c>
      <c r="F309" s="28" t="str">
        <f>IF(COUNTIF('07_スキル辞書'!$A$4:$A$109,E309)&lt;&gt;1,"参照ID不正",IF(INDEX('07_スキル辞書'!$D$4:$D$109,MATCH(E309,'07_スキル辞書'!$A$4:$A$109,0))="","",INDEX('07_スキル辞書'!$D$4:$D$109,MATCH(E309,'07_スキル辞書'!$A$4:$A$109,0))))</f>
        <v>リスク比例の投資・公開・継続・変更判断</v>
      </c>
      <c r="G309" s="4">
        <v>3</v>
      </c>
      <c r="H309" s="28" t="str">
        <f>IF(COUNTIF('07_スキル辞書'!$A$4:$A$109,E309)&lt;&gt;1,"参照ID不正",IF(INDEX('07_スキル辞書'!$I$4:$I$109,MATCH(E309,'07_スキル辞書'!$A$4:$A$109,0))="","",INDEX('07_スキル辞書'!$I$4:$I$109,MATCH(E309,'07_スキル辞書'!$A$4:$A$109,0))))</f>
        <v>投資・Release・例外・継続判断記録</v>
      </c>
      <c r="I309" s="4" t="s">
        <v>2900</v>
      </c>
    </row>
    <row r="310" spans="1:9" ht="38" customHeight="1" x14ac:dyDescent="0.2">
      <c r="A310" s="2" t="s">
        <v>1221</v>
      </c>
      <c r="B310" s="28" t="str">
        <f>IF(COUNTIF('02_工程タスク'!$A$4:$A$135,A310)&lt;&gt;1,"参照ID不正",IF(INDEX('02_工程タスク'!$D$4:$D$135,MATCH(A310,'02_工程タスク'!$A$4:$A$135,0))="","",INDEX('02_工程タスク'!$D$4:$D$135,MATCH(A310,'02_工程タスク'!$A$4:$A$135,0))))</f>
        <v>限定公開・canary・実利用確認</v>
      </c>
      <c r="C310" s="28" t="str">
        <f>IF(COUNTIF('02_工程タスク'!$A$4:$A$135,A310)&lt;&gt;1,"参照ID不正",IF(INDEX('02_工程タスク'!$G$4:$G$135,MATCH(A310,'02_工程タスク'!$A$4:$A$135,0))="","",INDEX('02_工程タスク'!$G$4:$G$135,MATCH(A310,'02_工程タスク'!$A$4:$A$135,0))))</f>
        <v>R12, R02, R11</v>
      </c>
      <c r="D310" s="28" t="str">
        <f>IF(COUNTIF('02_工程タスク'!$A$4:$A$135,A310)&lt;&gt;1,"参照ID不正",IF(INDEX('02_工程タスク'!$H$4:$H$135,MATCH(A310,'02_工程タスク'!$A$4:$A$135,0))="","",INDEX('02_工程タスク'!$H$4:$H$135,MATCH(A310,'02_工程タスク'!$A$4:$A$135,0))))</f>
        <v>R18</v>
      </c>
      <c r="E310" s="2" t="s">
        <v>2353</v>
      </c>
      <c r="F310" s="28" t="str">
        <f>IF(COUNTIF('07_スキル辞書'!$A$4:$A$109,E310)&lt;&gt;1,"参照ID不正",IF(INDEX('07_スキル辞書'!$D$4:$D$109,MATCH(E310,'07_スキル辞書'!$A$4:$A$109,0))="","",INDEX('07_スキル辞書'!$D$4:$D$109,MATCH(E310,'07_スキル辞書'!$A$4:$A$109,0))))</f>
        <v>リリース・デプロイ戦略とロールバック</v>
      </c>
      <c r="G310" s="2">
        <v>2</v>
      </c>
      <c r="H310" s="28" t="str">
        <f>IF(COUNTIF('07_スキル辞書'!$A$4:$A$109,E310)&lt;&gt;1,"参照ID不正",IF(INDEX('07_スキル辞書'!$I$4:$I$109,MATCH(E310,'07_スキル辞書'!$A$4:$A$109,0))="","",INDEX('07_スキル辞書'!$I$4:$I$109,MATCH(E310,'07_スキル辞書'!$A$4:$A$109,0))))</f>
        <v>リリース計画書、リリースノート、本番稼働中のシステム、デプロイ戦略の実装、切替記録、モデルロールバック手順書</v>
      </c>
      <c r="I310" s="2" t="s">
        <v>2900</v>
      </c>
    </row>
    <row r="311" spans="1:9" ht="38" customHeight="1" x14ac:dyDescent="0.2">
      <c r="A311" s="4" t="s">
        <v>1221</v>
      </c>
      <c r="B311" s="28" t="str">
        <f>IF(COUNTIF('02_工程タスク'!$A$4:$A$135,A311)&lt;&gt;1,"参照ID不正",IF(INDEX('02_工程タスク'!$D$4:$D$135,MATCH(A311,'02_工程タスク'!$A$4:$A$135,0))="","",INDEX('02_工程タスク'!$D$4:$D$135,MATCH(A311,'02_工程タスク'!$A$4:$A$135,0))))</f>
        <v>限定公開・canary・実利用確認</v>
      </c>
      <c r="C311" s="28" t="str">
        <f>IF(COUNTIF('02_工程タスク'!$A$4:$A$135,A311)&lt;&gt;1,"参照ID不正",IF(INDEX('02_工程タスク'!$G$4:$G$135,MATCH(A311,'02_工程タスク'!$A$4:$A$135,0))="","",INDEX('02_工程タスク'!$G$4:$G$135,MATCH(A311,'02_工程タスク'!$A$4:$A$135,0))))</f>
        <v>R12, R02, R11</v>
      </c>
      <c r="D311" s="28" t="str">
        <f>IF(COUNTIF('02_工程タスク'!$A$4:$A$135,A311)&lt;&gt;1,"参照ID不正",IF(INDEX('02_工程タスク'!$H$4:$H$135,MATCH(A311,'02_工程タスク'!$A$4:$A$135,0))="","",INDEX('02_工程タスク'!$H$4:$H$135,MATCH(A311,'02_工程タスク'!$A$4:$A$135,0))))</f>
        <v>R18</v>
      </c>
      <c r="E311" s="4" t="s">
        <v>2587</v>
      </c>
      <c r="F311" s="28" t="str">
        <f>IF(COUNTIF('07_スキル辞書'!$A$4:$A$109,E311)&lt;&gt;1,"参照ID不正",IF(INDEX('07_スキル辞書'!$D$4:$D$109,MATCH(E311,'07_スキル辞書'!$A$4:$A$109,0))="","",INDEX('07_スキル辞書'!$D$4:$D$109,MATCH(E311,'07_スキル辞書'!$A$4:$A$109,0))))</f>
        <v>チャンピオン・チャレンジャー評価設計</v>
      </c>
      <c r="G311" s="4">
        <v>2</v>
      </c>
      <c r="H311" s="28" t="str">
        <f>IF(COUNTIF('07_スキル辞書'!$A$4:$A$109,E311)&lt;&gt;1,"参照ID不正",IF(INDEX('07_スキル辞書'!$I$4:$I$109,MATCH(E311,'07_スキル辞書'!$A$4:$A$109,0))="","",INDEX('07_スキル辞書'!$I$4:$I$109,MATCH(E311,'07_スキル辞書'!$A$4:$A$109,0))))</f>
        <v>モデル比較レポート、承認記録、自動化された学習・評価パイプライン、切替記録</v>
      </c>
      <c r="I311" s="4" t="s">
        <v>2900</v>
      </c>
    </row>
    <row r="312" spans="1:9" ht="38" customHeight="1" x14ac:dyDescent="0.2">
      <c r="A312" s="2" t="s">
        <v>1221</v>
      </c>
      <c r="B312" s="28" t="str">
        <f>IF(COUNTIF('02_工程タスク'!$A$4:$A$135,A312)&lt;&gt;1,"参照ID不正",IF(INDEX('02_工程タスク'!$D$4:$D$135,MATCH(A312,'02_工程タスク'!$A$4:$A$135,0))="","",INDEX('02_工程タスク'!$D$4:$D$135,MATCH(A312,'02_工程タスク'!$A$4:$A$135,0))))</f>
        <v>限定公開・canary・実利用確認</v>
      </c>
      <c r="C312" s="28" t="str">
        <f>IF(COUNTIF('02_工程タスク'!$A$4:$A$135,A312)&lt;&gt;1,"参照ID不正",IF(INDEX('02_工程タスク'!$G$4:$G$135,MATCH(A312,'02_工程タスク'!$A$4:$A$135,0))="","",INDEX('02_工程タスク'!$G$4:$G$135,MATCH(A312,'02_工程タスク'!$A$4:$A$135,0))))</f>
        <v>R12, R02, R11</v>
      </c>
      <c r="D312" s="28" t="str">
        <f>IF(COUNTIF('02_工程タスク'!$A$4:$A$135,A312)&lt;&gt;1,"参照ID不正",IF(INDEX('02_工程タスク'!$H$4:$H$135,MATCH(A312,'02_工程タスク'!$A$4:$A$135,0))="","",INDEX('02_工程タスク'!$H$4:$H$135,MATCH(A312,'02_工程タスク'!$A$4:$A$135,0))))</f>
        <v>R18</v>
      </c>
      <c r="E312" s="2" t="s">
        <v>2705</v>
      </c>
      <c r="F312" s="28" t="str">
        <f>IF(COUNTIF('07_スキル辞書'!$A$4:$A$109,E312)&lt;&gt;1,"参照ID不正",IF(INDEX('07_スキル辞書'!$D$4:$D$109,MATCH(E312,'07_スキル辞書'!$A$4:$A$109,0))="","",INDEX('07_スキル辞書'!$D$4:$D$109,MATCH(E312,'07_スキル辞書'!$A$4:$A$109,0))))</f>
        <v>仮説・実験・反証・意思決定</v>
      </c>
      <c r="G312" s="2">
        <v>2</v>
      </c>
      <c r="H312" s="28" t="str">
        <f>IF(COUNTIF('07_スキル辞書'!$A$4:$A$109,E312)&lt;&gt;1,"参照ID不正",IF(INDEX('07_スキル辞書'!$I$4:$I$109,MATCH(E312,'07_スキル辞書'!$A$4:$A$109,0))="","",INDEX('07_スキル辞書'!$I$4:$I$109,MATCH(E312,'07_スキル辞書'!$A$4:$A$109,0))))</f>
        <v>実験台帳・判断・学習ログ</v>
      </c>
      <c r="I312" s="2" t="s">
        <v>2900</v>
      </c>
    </row>
    <row r="313" spans="1:9" ht="38" customHeight="1" x14ac:dyDescent="0.2">
      <c r="A313" s="4" t="s">
        <v>1230</v>
      </c>
      <c r="B313" s="28" t="str">
        <f>IF(COUNTIF('02_工程タスク'!$A$4:$A$135,A313)&lt;&gt;1,"参照ID不正",IF(INDEX('02_工程タスク'!$D$4:$D$135,MATCH(A313,'02_工程タスク'!$A$4:$A$135,0))="","",INDEX('02_工程タスク'!$D$4:$D$135,MATCH(A313,'02_工程タスク'!$A$4:$A$135,0))))</f>
        <v>ローンチ・価格・営業・導入開始</v>
      </c>
      <c r="C313" s="28" t="str">
        <f>IF(COUNTIF('02_工程タスク'!$A$4:$A$135,A313)&lt;&gt;1,"参照ID不正",IF(INDEX('02_工程タスク'!$G$4:$G$135,MATCH(A313,'02_工程タスク'!$A$4:$A$135,0))="","",INDEX('02_工程タスク'!$G$4:$G$135,MATCH(A313,'02_工程タスク'!$A$4:$A$135,0))))</f>
        <v>R16, R17, R02</v>
      </c>
      <c r="D313" s="28" t="str">
        <f>IF(COUNTIF('02_工程タスク'!$A$4:$A$135,A313)&lt;&gt;1,"参照ID不正",IF(INDEX('02_工程タスク'!$H$4:$H$135,MATCH(A313,'02_工程タスク'!$A$4:$A$135,0))="","",INDEX('02_工程タスク'!$H$4:$H$135,MATCH(A313,'02_工程タスク'!$A$4:$A$135,0))))</f>
        <v>R01</v>
      </c>
      <c r="E313" s="4" t="s">
        <v>2672</v>
      </c>
      <c r="F313" s="28" t="str">
        <f>IF(COUNTIF('07_スキル辞書'!$A$4:$A$109,E313)&lt;&gt;1,"参照ID不正",IF(INDEX('07_スキル辞書'!$D$4:$D$109,MATCH(E313,'07_スキル辞書'!$A$4:$A$109,0))="","",INDEX('07_スキル辞書'!$D$4:$D$109,MATCH(E313,'07_スキル辞書'!$A$4:$A$109,0))))</f>
        <v>価格・支払意思・パッケージ</v>
      </c>
      <c r="G313" s="4">
        <v>2</v>
      </c>
      <c r="H313" s="28" t="str">
        <f>IF(COUNTIF('07_スキル辞書'!$A$4:$A$109,E313)&lt;&gt;1,"参照ID不正",IF(INDEX('07_スキル辞書'!$I$4:$I$109,MATCH(E313,'07_スキル辞書'!$A$4:$A$109,0))="","",INDEX('07_スキル辞書'!$I$4:$I$109,MATCH(E313,'07_スキル辞書'!$A$4:$A$109,0))))</f>
        <v>価格実験・提供条件</v>
      </c>
      <c r="I313" s="4" t="s">
        <v>2900</v>
      </c>
    </row>
    <row r="314" spans="1:9" ht="38" customHeight="1" x14ac:dyDescent="0.2">
      <c r="A314" s="2" t="s">
        <v>1230</v>
      </c>
      <c r="B314" s="28" t="str">
        <f>IF(COUNTIF('02_工程タスク'!$A$4:$A$135,A314)&lt;&gt;1,"参照ID不正",IF(INDEX('02_工程タスク'!$D$4:$D$135,MATCH(A314,'02_工程タスク'!$A$4:$A$135,0))="","",INDEX('02_工程タスク'!$D$4:$D$135,MATCH(A314,'02_工程タスク'!$A$4:$A$135,0))))</f>
        <v>ローンチ・価格・営業・導入開始</v>
      </c>
      <c r="C314" s="28" t="str">
        <f>IF(COUNTIF('02_工程タスク'!$A$4:$A$135,A314)&lt;&gt;1,"参照ID不正",IF(INDEX('02_工程タスク'!$G$4:$G$135,MATCH(A314,'02_工程タスク'!$A$4:$A$135,0))="","",INDEX('02_工程タスク'!$G$4:$G$135,MATCH(A314,'02_工程タスク'!$A$4:$A$135,0))))</f>
        <v>R16, R17, R02</v>
      </c>
      <c r="D314" s="28" t="str">
        <f>IF(COUNTIF('02_工程タスク'!$A$4:$A$135,A314)&lt;&gt;1,"参照ID不正",IF(INDEX('02_工程タスク'!$H$4:$H$135,MATCH(A314,'02_工程タスク'!$A$4:$A$135,0))="","",INDEX('02_工程タスク'!$H$4:$H$135,MATCH(A314,'02_工程タスク'!$A$4:$A$135,0))))</f>
        <v>R01</v>
      </c>
      <c r="E314" s="2" t="s">
        <v>2688</v>
      </c>
      <c r="F314" s="28" t="str">
        <f>IF(COUNTIF('07_スキル辞書'!$A$4:$A$109,E314)&lt;&gt;1,"参照ID不正",IF(INDEX('07_スキル辞書'!$D$4:$D$109,MATCH(E314,'07_スキル辞書'!$A$4:$A$109,0))="","",INDEX('07_スキル辞書'!$D$4:$D$109,MATCH(E314,'07_スキル辞書'!$A$4:$A$109,0))))</f>
        <v>市場投入・販売・導入設計</v>
      </c>
      <c r="G314" s="2">
        <v>2</v>
      </c>
      <c r="H314" s="28" t="str">
        <f>IF(COUNTIF('07_スキル辞書'!$A$4:$A$109,E314)&lt;&gt;1,"参照ID不正",IF(INDEX('07_スキル辞書'!$I$4:$I$109,MATCH(E314,'07_スキル辞書'!$A$4:$A$109,0))="","",INDEX('07_スキル辞書'!$I$4:$I$109,MATCH(E314,'07_スキル辞書'!$A$4:$A$109,0))))</f>
        <v>Launch計画・販売資料・導入実績</v>
      </c>
      <c r="I314" s="2" t="s">
        <v>2900</v>
      </c>
    </row>
    <row r="315" spans="1:9" ht="38" customHeight="1" x14ac:dyDescent="0.2">
      <c r="A315" s="4" t="s">
        <v>1230</v>
      </c>
      <c r="B315" s="28" t="str">
        <f>IF(COUNTIF('02_工程タスク'!$A$4:$A$135,A315)&lt;&gt;1,"参照ID不正",IF(INDEX('02_工程タスク'!$D$4:$D$135,MATCH(A315,'02_工程タスク'!$A$4:$A$135,0))="","",INDEX('02_工程タスク'!$D$4:$D$135,MATCH(A315,'02_工程タスク'!$A$4:$A$135,0))))</f>
        <v>ローンチ・価格・営業・導入開始</v>
      </c>
      <c r="C315" s="28" t="str">
        <f>IF(COUNTIF('02_工程タスク'!$A$4:$A$135,A315)&lt;&gt;1,"参照ID不正",IF(INDEX('02_工程タスク'!$G$4:$G$135,MATCH(A315,'02_工程タスク'!$A$4:$A$135,0))="","",INDEX('02_工程タスク'!$G$4:$G$135,MATCH(A315,'02_工程タスク'!$A$4:$A$135,0))))</f>
        <v>R16, R17, R02</v>
      </c>
      <c r="D315" s="28" t="str">
        <f>IF(COUNTIF('02_工程タスク'!$A$4:$A$135,A315)&lt;&gt;1,"参照ID不正",IF(INDEX('02_工程タスク'!$H$4:$H$135,MATCH(A315,'02_工程タスク'!$A$4:$A$135,0))="","",INDEX('02_工程タスク'!$H$4:$H$135,MATCH(A315,'02_工程タスク'!$A$4:$A$135,0))))</f>
        <v>R01</v>
      </c>
      <c r="E315" s="4" t="s">
        <v>2723</v>
      </c>
      <c r="F315" s="28" t="str">
        <f>IF(COUNTIF('07_スキル辞書'!$A$4:$A$109,E315)&lt;&gt;1,"参照ID不正",IF(INDEX('07_スキル辞書'!$D$4:$D$109,MATCH(E315,'07_スキル辞書'!$A$4:$A$109,0))="","",INDEX('07_スキル辞書'!$D$4:$D$109,MATCH(E315,'07_スキル辞書'!$A$4:$A$109,0))))</f>
        <v>導入・顧客成功・救済</v>
      </c>
      <c r="G315" s="4">
        <v>2</v>
      </c>
      <c r="H315" s="28" t="str">
        <f>IF(COUNTIF('07_スキル辞書'!$A$4:$A$109,E315)&lt;&gt;1,"参照ID不正",IF(INDEX('07_スキル辞書'!$I$4:$I$109,MATCH(E315,'07_スキル辞書'!$A$4:$A$109,0))="","",INDEX('07_スキル辞書'!$I$4:$I$109,MATCH(E315,'07_スキル辞書'!$A$4:$A$109,0))))</f>
        <v>CS記録・導入指標・救済記録</v>
      </c>
      <c r="I315" s="4" t="s">
        <v>2900</v>
      </c>
    </row>
    <row r="316" spans="1:9" ht="38" customHeight="1" x14ac:dyDescent="0.2">
      <c r="A316" s="2" t="s">
        <v>1230</v>
      </c>
      <c r="B316" s="28" t="str">
        <f>IF(COUNTIF('02_工程タスク'!$A$4:$A$135,A316)&lt;&gt;1,"参照ID不正",IF(INDEX('02_工程タスク'!$D$4:$D$135,MATCH(A316,'02_工程タスク'!$A$4:$A$135,0))="","",INDEX('02_工程タスク'!$D$4:$D$135,MATCH(A316,'02_工程タスク'!$A$4:$A$135,0))))</f>
        <v>ローンチ・価格・営業・導入開始</v>
      </c>
      <c r="C316" s="28" t="str">
        <f>IF(COUNTIF('02_工程タスク'!$A$4:$A$135,A316)&lt;&gt;1,"参照ID不正",IF(INDEX('02_工程タスク'!$G$4:$G$135,MATCH(A316,'02_工程タスク'!$A$4:$A$135,0))="","",INDEX('02_工程タスク'!$G$4:$G$135,MATCH(A316,'02_工程タスク'!$A$4:$A$135,0))))</f>
        <v>R16, R17, R02</v>
      </c>
      <c r="D316" s="28" t="str">
        <f>IF(COUNTIF('02_工程タスク'!$A$4:$A$135,A316)&lt;&gt;1,"参照ID不正",IF(INDEX('02_工程タスク'!$H$4:$H$135,MATCH(A316,'02_工程タスク'!$A$4:$A$135,0))="","",INDEX('02_工程タスク'!$H$4:$H$135,MATCH(A316,'02_工程タスク'!$A$4:$A$135,0))))</f>
        <v>R01</v>
      </c>
      <c r="E316" s="2" t="s">
        <v>2038</v>
      </c>
      <c r="F316" s="28" t="str">
        <f>IF(COUNTIF('07_スキル辞書'!$A$4:$A$109,E316)&lt;&gt;1,"参照ID不正",IF(INDEX('07_スキル辞書'!$D$4:$D$109,MATCH(E316,'07_スキル辞書'!$A$4:$A$109,0))="","",INDEX('07_スキル辞書'!$D$4:$D$109,MATCH(E316,'07_スキル辞書'!$A$4:$A$109,0))))</f>
        <v>事業提案・投資ストーリーの構成</v>
      </c>
      <c r="G316" s="2">
        <v>2</v>
      </c>
      <c r="H316" s="28" t="str">
        <f>IF(COUNTIF('07_スキル辞書'!$A$4:$A$109,E316)&lt;&gt;1,"参照ID不正",IF(INDEX('07_スキル辞書'!$I$4:$I$109,MATCH(E316,'07_スキル辞書'!$A$4:$A$109,0))="","",INDEX('07_スキル辞書'!$I$4:$I$109,MATCH(E316,'07_スキル辞書'!$A$4:$A$109,0))))</f>
        <v>Opportunity Brief・Business Case・投資審査</v>
      </c>
      <c r="I316" s="2" t="s">
        <v>2900</v>
      </c>
    </row>
    <row r="317" spans="1:9" ht="38" customHeight="1" x14ac:dyDescent="0.2">
      <c r="A317" s="4" t="s">
        <v>1238</v>
      </c>
      <c r="B317" s="28" t="str">
        <f>IF(COUNTIF('02_工程タスク'!$A$4:$A$135,A317)&lt;&gt;1,"参照ID不正",IF(INDEX('02_工程タスク'!$D$4:$D$135,MATCH(A317,'02_工程タスク'!$A$4:$A$135,0))="","",INDEX('02_工程タスク'!$D$4:$D$135,MATCH(A317,'02_工程タスク'!$A$4:$A$135,0))))</f>
        <v>初期実績・運用移管・残件の引継ぎ</v>
      </c>
      <c r="C317" s="28" t="str">
        <f>IF(COUNTIF('02_工程タスク'!$A$4:$A$135,A317)&lt;&gt;1,"参照ID不正",IF(INDEX('02_工程タスク'!$G$4:$G$135,MATCH(A317,'02_工程タスク'!$A$4:$A$135,0))="","",INDEX('02_工程タスク'!$G$4:$G$135,MATCH(A317,'02_工程タスク'!$A$4:$A$135,0))))</f>
        <v>R18, R02, R03</v>
      </c>
      <c r="D317" s="28" t="str">
        <f>IF(COUNTIF('02_工程タスク'!$A$4:$A$135,A317)&lt;&gt;1,"参照ID不正",IF(INDEX('02_工程タスク'!$H$4:$H$135,MATCH(A317,'02_工程タスク'!$A$4:$A$135,0))="","",INDEX('02_工程タスク'!$H$4:$H$135,MATCH(A317,'02_工程タスク'!$A$4:$A$135,0))))</f>
        <v>R18</v>
      </c>
      <c r="E317" s="4" t="s">
        <v>2020</v>
      </c>
      <c r="F317" s="28" t="str">
        <f>IF(COUNTIF('07_スキル辞書'!$A$4:$A$109,E317)&lt;&gt;1,"参照ID不正",IF(INDEX('07_スキル辞書'!$D$4:$D$109,MATCH(E317,'07_スキル辞書'!$A$4:$A$109,0))="","",INDEX('07_スキル辞書'!$D$4:$D$109,MATCH(E317,'07_スキル辞書'!$A$4:$A$109,0))))</f>
        <v>ビジネス価値の可視化と定例レポーティング・QBR運営</v>
      </c>
      <c r="G317" s="4">
        <v>2</v>
      </c>
      <c r="H317" s="28" t="str">
        <f>IF(COUNTIF('07_スキル辞書'!$A$4:$A$109,E317)&lt;&gt;1,"参照ID不正",IF(INDEX('07_スキル辞書'!$I$4:$I$109,MATCH(E317,'07_スキル辞書'!$A$4:$A$109,0))="","",INDEX('07_スキル辞書'!$I$4:$I$109,MATCH(E317,'07_スキル辞書'!$A$4:$A$109,0))))</f>
        <v>効果測定レポート、月次／四半期パフォーマンスレポート、ビジネス価値貢献レポート、QBR資料、次期提案</v>
      </c>
      <c r="I317" s="4" t="s">
        <v>2900</v>
      </c>
    </row>
    <row r="318" spans="1:9" ht="38" customHeight="1" x14ac:dyDescent="0.2">
      <c r="A318" s="2" t="s">
        <v>1238</v>
      </c>
      <c r="B318" s="28" t="str">
        <f>IF(COUNTIF('02_工程タスク'!$A$4:$A$135,A318)&lt;&gt;1,"参照ID不正",IF(INDEX('02_工程タスク'!$D$4:$D$135,MATCH(A318,'02_工程タスク'!$A$4:$A$135,0))="","",INDEX('02_工程タスク'!$D$4:$D$135,MATCH(A318,'02_工程タスク'!$A$4:$A$135,0))))</f>
        <v>初期実績・運用移管・残件の引継ぎ</v>
      </c>
      <c r="C318" s="28" t="str">
        <f>IF(COUNTIF('02_工程タスク'!$A$4:$A$135,A318)&lt;&gt;1,"参照ID不正",IF(INDEX('02_工程タスク'!$G$4:$G$135,MATCH(A318,'02_工程タスク'!$A$4:$A$135,0))="","",INDEX('02_工程タスク'!$G$4:$G$135,MATCH(A318,'02_工程タスク'!$A$4:$A$135,0))))</f>
        <v>R18, R02, R03</v>
      </c>
      <c r="D318" s="28" t="str">
        <f>IF(COUNTIF('02_工程タスク'!$A$4:$A$135,A318)&lt;&gt;1,"参照ID不正",IF(INDEX('02_工程タスク'!$H$4:$H$135,MATCH(A318,'02_工程タスク'!$A$4:$A$135,0))="","",INDEX('02_工程タスク'!$H$4:$H$135,MATCH(A318,'02_工程タスク'!$A$4:$A$135,0))))</f>
        <v>R18</v>
      </c>
      <c r="E318" s="2" t="s">
        <v>2336</v>
      </c>
      <c r="F318" s="28" t="str">
        <f>IF(COUNTIF('07_スキル辞書'!$A$4:$A$109,E318)&lt;&gt;1,"参照ID不正",IF(INDEX('07_スキル辞書'!$D$4:$D$109,MATCH(E318,'07_スキル辞書'!$A$4:$A$109,0))="","",INDEX('07_スキル辞書'!$D$4:$D$109,MATCH(E318,'07_スキル辞書'!$A$4:$A$109,0))))</f>
        <v>インシデント管理とエスカレーション運営</v>
      </c>
      <c r="G318" s="2">
        <v>2</v>
      </c>
      <c r="H318" s="28" t="str">
        <f>IF(COUNTIF('07_スキル辞書'!$A$4:$A$109,E318)&lt;&gt;1,"参照ID不正",IF(INDEX('07_スキル辞書'!$I$4:$I$109,MATCH(E318,'07_スキル辞書'!$A$4:$A$109,0))="","",INDEX('07_スキル辞書'!$I$4:$I$109,MATCH(E318,'07_スキル辞書'!$A$4:$A$109,0))))</f>
        <v>アラート管理の設定、インシデント優先度定義書、エスカレーション手順書、ポストモーテム報告書</v>
      </c>
      <c r="I318" s="2" t="s">
        <v>2900</v>
      </c>
    </row>
    <row r="319" spans="1:9" ht="38" customHeight="1" x14ac:dyDescent="0.2">
      <c r="A319" s="4" t="s">
        <v>1238</v>
      </c>
      <c r="B319" s="28" t="str">
        <f>IF(COUNTIF('02_工程タスク'!$A$4:$A$135,A319)&lt;&gt;1,"参照ID不正",IF(INDEX('02_工程タスク'!$D$4:$D$135,MATCH(A319,'02_工程タスク'!$A$4:$A$135,0))="","",INDEX('02_工程タスク'!$D$4:$D$135,MATCH(A319,'02_工程タスク'!$A$4:$A$135,0))))</f>
        <v>初期実績・運用移管・残件の引継ぎ</v>
      </c>
      <c r="C319" s="28" t="str">
        <f>IF(COUNTIF('02_工程タスク'!$A$4:$A$135,A319)&lt;&gt;1,"参照ID不正",IF(INDEX('02_工程タスク'!$G$4:$G$135,MATCH(A319,'02_工程タスク'!$A$4:$A$135,0))="","",INDEX('02_工程タスク'!$G$4:$G$135,MATCH(A319,'02_工程タスク'!$A$4:$A$135,0))))</f>
        <v>R18, R02, R03</v>
      </c>
      <c r="D319" s="28" t="str">
        <f>IF(COUNTIF('02_工程タスク'!$A$4:$A$135,A319)&lt;&gt;1,"参照ID不正",IF(INDEX('02_工程タスク'!$H$4:$H$135,MATCH(A319,'02_工程タスク'!$A$4:$A$135,0))="","",INDEX('02_工程タスク'!$H$4:$H$135,MATCH(A319,'02_工程タスク'!$A$4:$A$135,0))))</f>
        <v>R18</v>
      </c>
      <c r="E319" s="4" t="s">
        <v>2723</v>
      </c>
      <c r="F319" s="28" t="str">
        <f>IF(COUNTIF('07_スキル辞書'!$A$4:$A$109,E319)&lt;&gt;1,"参照ID不正",IF(INDEX('07_スキル辞書'!$D$4:$D$109,MATCH(E319,'07_スキル辞書'!$A$4:$A$109,0))="","",INDEX('07_スキル辞書'!$D$4:$D$109,MATCH(E319,'07_スキル辞書'!$A$4:$A$109,0))))</f>
        <v>導入・顧客成功・救済</v>
      </c>
      <c r="G319" s="4">
        <v>2</v>
      </c>
      <c r="H319" s="28" t="str">
        <f>IF(COUNTIF('07_スキル辞書'!$A$4:$A$109,E319)&lt;&gt;1,"参照ID不正",IF(INDEX('07_スキル辞書'!$I$4:$I$109,MATCH(E319,'07_スキル辞書'!$A$4:$A$109,0))="","",INDEX('07_スキル辞書'!$I$4:$I$109,MATCH(E319,'07_スキル辞書'!$A$4:$A$109,0))))</f>
        <v>CS記録・導入指標・救済記録</v>
      </c>
      <c r="I319" s="4" t="s">
        <v>2900</v>
      </c>
    </row>
    <row r="320" spans="1:9" ht="38" customHeight="1" x14ac:dyDescent="0.2">
      <c r="A320" s="2" t="s">
        <v>1248</v>
      </c>
      <c r="B320" s="28" t="str">
        <f>IF(COUNTIF('02_工程タスク'!$A$4:$A$135,A320)&lt;&gt;1,"参照ID不正",IF(INDEX('02_工程タスク'!$D$4:$D$135,MATCH(A320,'02_工程タスク'!$A$4:$A$135,0))="","",INDEX('02_工程タスク'!$D$4:$D$135,MATCH(A320,'02_工程タスク'!$A$4:$A$135,0))))</f>
        <v>サービス責任・予算・運用体制維持</v>
      </c>
      <c r="C320" s="28" t="str">
        <f>IF(COUNTIF('02_工程タスク'!$A$4:$A$135,A320)&lt;&gt;1,"参照ID不正",IF(INDEX('02_工程タスク'!$G$4:$G$135,MATCH(A320,'02_工程タスク'!$A$4:$A$135,0))="","",INDEX('02_工程タスク'!$G$4:$G$135,MATCH(A320,'02_工程タスク'!$A$4:$A$135,0))))</f>
        <v>R18, R03</v>
      </c>
      <c r="D320" s="28" t="str">
        <f>IF(COUNTIF('02_工程タスク'!$A$4:$A$135,A320)&lt;&gt;1,"参照ID不正",IF(INDEX('02_工程タスク'!$H$4:$H$135,MATCH(A320,'02_工程タスク'!$A$4:$A$135,0))="","",INDEX('02_工程タスク'!$H$4:$H$135,MATCH(A320,'02_工程タスク'!$A$4:$A$135,0))))</f>
        <v>R18</v>
      </c>
      <c r="E320" s="2" t="s">
        <v>1975</v>
      </c>
      <c r="F320" s="28" t="str">
        <f>IF(COUNTIF('07_スキル辞書'!$A$4:$A$109,E320)&lt;&gt;1,"参照ID不正",IF(INDEX('07_スキル辞書'!$D$4:$D$109,MATCH(E320,'07_スキル辞書'!$A$4:$A$109,0))="","",INDEX('07_スキル辞書'!$D$4:$D$109,MATCH(E320,'07_スキル辞書'!$A$4:$A$109,0))))</f>
        <v>ステークホルダー分析とRACI運用</v>
      </c>
      <c r="G320" s="2">
        <v>2</v>
      </c>
      <c r="H320" s="28" t="str">
        <f>IF(COUNTIF('07_スキル辞書'!$A$4:$A$109,E320)&lt;&gt;1,"参照ID不正",IF(INDEX('07_スキル辞書'!$I$4:$I$109,MATCH(E320,'07_スキル辞書'!$A$4:$A$109,0))="","",INDEX('07_スキル辞書'!$I$4:$I$109,MATCH(E320,'07_スキル辞書'!$A$4:$A$109,0))))</f>
        <v>ステークホルダーマップ、RACIチャート v1、RACIチャート v2、利用部門の責任・権限一覧、運用体制図</v>
      </c>
      <c r="I320" s="2" t="s">
        <v>2900</v>
      </c>
    </row>
    <row r="321" spans="1:9" ht="38" customHeight="1" x14ac:dyDescent="0.2">
      <c r="A321" s="4" t="s">
        <v>1248</v>
      </c>
      <c r="B321" s="28" t="str">
        <f>IF(COUNTIF('02_工程タスク'!$A$4:$A$135,A321)&lt;&gt;1,"参照ID不正",IF(INDEX('02_工程タスク'!$D$4:$D$135,MATCH(A321,'02_工程タスク'!$A$4:$A$135,0))="","",INDEX('02_工程タスク'!$D$4:$D$135,MATCH(A321,'02_工程タスク'!$A$4:$A$135,0))))</f>
        <v>サービス責任・予算・運用体制維持</v>
      </c>
      <c r="C321" s="28" t="str">
        <f>IF(COUNTIF('02_工程タスク'!$A$4:$A$135,A321)&lt;&gt;1,"参照ID不正",IF(INDEX('02_工程タスク'!$G$4:$G$135,MATCH(A321,'02_工程タスク'!$A$4:$A$135,0))="","",INDEX('02_工程タスク'!$G$4:$G$135,MATCH(A321,'02_工程タスク'!$A$4:$A$135,0))))</f>
        <v>R18, R03</v>
      </c>
      <c r="D321" s="28" t="str">
        <f>IF(COUNTIF('02_工程タスク'!$A$4:$A$135,A321)&lt;&gt;1,"参照ID不正",IF(INDEX('02_工程タスク'!$H$4:$H$135,MATCH(A321,'02_工程タスク'!$A$4:$A$135,0))="","",INDEX('02_工程タスク'!$H$4:$H$135,MATCH(A321,'02_工程タスク'!$A$4:$A$135,0))))</f>
        <v>R18</v>
      </c>
      <c r="E321" s="4" t="s">
        <v>2128</v>
      </c>
      <c r="F321" s="28" t="str">
        <f>IF(COUNTIF('07_スキル辞書'!$A$4:$A$109,E321)&lt;&gt;1,"参照ID不正",IF(INDEX('07_スキル辞書'!$D$4:$D$109,MATCH(E321,'07_スキル辞書'!$A$4:$A$109,0))="","",INDEX('07_スキル辞書'!$D$4:$D$109,MATCH(E321,'07_スキル辞書'!$A$4:$A$109,0))))</f>
        <v>SLO/SLA設計とサービスレベル管理</v>
      </c>
      <c r="G321" s="4">
        <v>2</v>
      </c>
      <c r="H321" s="28" t="str">
        <f>IF(COUNTIF('07_スキル辞書'!$A$4:$A$109,E321)&lt;&gt;1,"参照ID不正",IF(INDEX('07_スキル辞書'!$I$4:$I$109,MATCH(E321,'07_スキル辞書'!$A$4:$A$109,0))="","",INDEX('07_スキル辞書'!$I$4:$I$109,MATCH(E321,'07_スキル辞書'!$A$4:$A$109,0))))</f>
        <v>SLO定義書、SLA（別紙）、運用保守個別契約、監視項目一覧、月次／四半期パフォーマンスレポート</v>
      </c>
      <c r="I321" s="4" t="s">
        <v>2900</v>
      </c>
    </row>
    <row r="322" spans="1:9" ht="38" customHeight="1" x14ac:dyDescent="0.2">
      <c r="A322" s="2" t="s">
        <v>1248</v>
      </c>
      <c r="B322" s="28" t="str">
        <f>IF(COUNTIF('02_工程タスク'!$A$4:$A$135,A322)&lt;&gt;1,"参照ID不正",IF(INDEX('02_工程タスク'!$D$4:$D$135,MATCH(A322,'02_工程タスク'!$A$4:$A$135,0))="","",INDEX('02_工程タスク'!$D$4:$D$135,MATCH(A322,'02_工程タスク'!$A$4:$A$135,0))))</f>
        <v>サービス責任・予算・運用体制維持</v>
      </c>
      <c r="C322" s="28" t="str">
        <f>IF(COUNTIF('02_工程タスク'!$A$4:$A$135,A322)&lt;&gt;1,"参照ID不正",IF(INDEX('02_工程タスク'!$G$4:$G$135,MATCH(A322,'02_工程タスク'!$A$4:$A$135,0))="","",INDEX('02_工程タスク'!$G$4:$G$135,MATCH(A322,'02_工程タスク'!$A$4:$A$135,0))))</f>
        <v>R18, R03</v>
      </c>
      <c r="D322" s="28" t="str">
        <f>IF(COUNTIF('02_工程タスク'!$A$4:$A$135,A322)&lt;&gt;1,"参照ID不正",IF(INDEX('02_工程タスク'!$H$4:$H$135,MATCH(A322,'02_工程タスク'!$A$4:$A$135,0))="","",INDEX('02_工程タスク'!$H$4:$H$135,MATCH(A322,'02_工程タスク'!$A$4:$A$135,0))))</f>
        <v>R18</v>
      </c>
      <c r="E322" s="2" t="s">
        <v>2336</v>
      </c>
      <c r="F322" s="28" t="str">
        <f>IF(COUNTIF('07_スキル辞書'!$A$4:$A$109,E322)&lt;&gt;1,"参照ID不正",IF(INDEX('07_スキル辞書'!$D$4:$D$109,MATCH(E322,'07_スキル辞書'!$A$4:$A$109,0))="","",INDEX('07_スキル辞書'!$D$4:$D$109,MATCH(E322,'07_スキル辞書'!$A$4:$A$109,0))))</f>
        <v>インシデント管理とエスカレーション運営</v>
      </c>
      <c r="G322" s="2">
        <v>2</v>
      </c>
      <c r="H322" s="28" t="str">
        <f>IF(COUNTIF('07_スキル辞書'!$A$4:$A$109,E322)&lt;&gt;1,"参照ID不正",IF(INDEX('07_スキル辞書'!$I$4:$I$109,MATCH(E322,'07_スキル辞書'!$A$4:$A$109,0))="","",INDEX('07_スキル辞書'!$I$4:$I$109,MATCH(E322,'07_スキル辞書'!$A$4:$A$109,0))))</f>
        <v>アラート管理の設定、インシデント優先度定義書、エスカレーション手順書、ポストモーテム報告書</v>
      </c>
      <c r="I322" s="2" t="s">
        <v>2900</v>
      </c>
    </row>
    <row r="323" spans="1:9" ht="38" customHeight="1" x14ac:dyDescent="0.2">
      <c r="A323" s="4" t="s">
        <v>1258</v>
      </c>
      <c r="B323" s="28" t="str">
        <f>IF(COUNTIF('02_工程タスク'!$A$4:$A$135,A323)&lt;&gt;1,"参照ID不正",IF(INDEX('02_工程タスク'!$D$4:$D$135,MATCH(A323,'02_工程タスク'!$A$4:$A$135,0))="","",INDEX('02_工程タスク'!$D$4:$D$135,MATCH(A323,'02_工程タスク'!$A$4:$A$135,0))))</f>
        <v>業務成果・ファネル・継続率</v>
      </c>
      <c r="C323" s="28" t="str">
        <f>IF(COUNTIF('02_工程タスク'!$A$4:$A$135,A323)&lt;&gt;1,"参照ID不正",IF(INDEX('02_工程タスク'!$G$4:$G$135,MATCH(A323,'02_工程タスク'!$A$4:$A$135,0))="","",INDEX('02_工程タスク'!$G$4:$G$135,MATCH(A323,'02_工程タスク'!$A$4:$A$135,0))))</f>
        <v>R15, R02</v>
      </c>
      <c r="D323" s="28" t="str">
        <f>IF(COUNTIF('02_工程タスク'!$A$4:$A$135,A323)&lt;&gt;1,"参照ID不正",IF(INDEX('02_工程タスク'!$H$4:$H$135,MATCH(A323,'02_工程タスク'!$A$4:$A$135,0))="","",INDEX('02_工程タスク'!$H$4:$H$135,MATCH(A323,'02_工程タスク'!$A$4:$A$135,0))))</f>
        <v>R01</v>
      </c>
      <c r="E323" s="4" t="s">
        <v>2002</v>
      </c>
      <c r="F323" s="28" t="str">
        <f>IF(COUNTIF('07_スキル辞書'!$A$4:$A$109,E323)&lt;&gt;1,"参照ID不正",IF(INDEX('07_スキル辞書'!$D$4:$D$109,MATCH(E323,'07_スキル辞書'!$A$4:$A$109,0))="","",INDEX('07_スキル辞書'!$D$4:$D$109,MATCH(E323,'07_スキル辞書'!$A$4:$A$109,0))))</f>
        <v>価値仮説の定義とKPI設計</v>
      </c>
      <c r="G323" s="4">
        <v>2</v>
      </c>
      <c r="H323" s="28" t="str">
        <f>IF(COUNTIF('07_スキル辞書'!$A$4:$A$109,E323)&lt;&gt;1,"参照ID不正",IF(INDEX('07_スキル辞書'!$I$4:$I$109,MATCH(E323,'07_スキル辞書'!$A$4:$A$109,0))="","",INDEX('07_スキル辞書'!$I$4:$I$109,MATCH(E323,'07_スキル辞書'!$A$4:$A$109,0))))</f>
        <v>価値仮説ステートメント、課題定義書、SMART目標、スコープ定義書、PoC計画書（実験計画・承認の別紙）</v>
      </c>
      <c r="I323" s="4" t="s">
        <v>2900</v>
      </c>
    </row>
    <row r="324" spans="1:9" ht="38" customHeight="1" x14ac:dyDescent="0.2">
      <c r="A324" s="2" t="s">
        <v>1258</v>
      </c>
      <c r="B324" s="28" t="str">
        <f>IF(COUNTIF('02_工程タスク'!$A$4:$A$135,A324)&lt;&gt;1,"参照ID不正",IF(INDEX('02_工程タスク'!$D$4:$D$135,MATCH(A324,'02_工程タスク'!$A$4:$A$135,0))="","",INDEX('02_工程タスク'!$D$4:$D$135,MATCH(A324,'02_工程タスク'!$A$4:$A$135,0))))</f>
        <v>業務成果・ファネル・継続率</v>
      </c>
      <c r="C324" s="28" t="str">
        <f>IF(COUNTIF('02_工程タスク'!$A$4:$A$135,A324)&lt;&gt;1,"参照ID不正",IF(INDEX('02_工程タスク'!$G$4:$G$135,MATCH(A324,'02_工程タスク'!$A$4:$A$135,0))="","",INDEX('02_工程タスク'!$G$4:$G$135,MATCH(A324,'02_工程タスク'!$A$4:$A$135,0))))</f>
        <v>R15, R02</v>
      </c>
      <c r="D324" s="28" t="str">
        <f>IF(COUNTIF('02_工程タスク'!$A$4:$A$135,A324)&lt;&gt;1,"参照ID不正",IF(INDEX('02_工程タスク'!$H$4:$H$135,MATCH(A324,'02_工程タスク'!$A$4:$A$135,0))="","",INDEX('02_工程タスク'!$H$4:$H$135,MATCH(A324,'02_工程タスク'!$A$4:$A$135,0))))</f>
        <v>R01</v>
      </c>
      <c r="E324" s="2" t="s">
        <v>2697</v>
      </c>
      <c r="F324" s="28" t="str">
        <f>IF(COUNTIF('07_スキル辞書'!$A$4:$A$109,E324)&lt;&gt;1,"参照ID不正",IF(INDEX('07_スキル辞書'!$D$4:$D$109,MATCH(E324,'07_スキル辞書'!$A$4:$A$109,0))="","",INDEX('07_スキル辞書'!$D$4:$D$109,MATCH(E324,'07_スキル辞書'!$A$4:$A$109,0))))</f>
        <v>ファネル・コホート・継続改善</v>
      </c>
      <c r="G324" s="2">
        <v>2</v>
      </c>
      <c r="H324" s="28" t="str">
        <f>IF(COUNTIF('07_スキル辞書'!$A$4:$A$109,E324)&lt;&gt;1,"参照ID不正",IF(INDEX('07_スキル辞書'!$I$4:$I$109,MATCH(E324,'07_スキル辞書'!$A$4:$A$109,0))="","",INDEX('07_スキル辞書'!$I$4:$I$109,MATCH(E324,'07_スキル辞書'!$A$4:$A$109,0))))</f>
        <v>ファネル・継続分析・実験</v>
      </c>
      <c r="I324" s="2" t="s">
        <v>2900</v>
      </c>
    </row>
    <row r="325" spans="1:9" ht="38" customHeight="1" x14ac:dyDescent="0.2">
      <c r="A325" s="4" t="s">
        <v>1258</v>
      </c>
      <c r="B325" s="28" t="str">
        <f>IF(COUNTIF('02_工程タスク'!$A$4:$A$135,A325)&lt;&gt;1,"参照ID不正",IF(INDEX('02_工程タスク'!$D$4:$D$135,MATCH(A325,'02_工程タスク'!$A$4:$A$135,0))="","",INDEX('02_工程タスク'!$D$4:$D$135,MATCH(A325,'02_工程タスク'!$A$4:$A$135,0))))</f>
        <v>業務成果・ファネル・継続率</v>
      </c>
      <c r="C325" s="28" t="str">
        <f>IF(COUNTIF('02_工程タスク'!$A$4:$A$135,A325)&lt;&gt;1,"参照ID不正",IF(INDEX('02_工程タスク'!$G$4:$G$135,MATCH(A325,'02_工程タスク'!$A$4:$A$135,0))="","",INDEX('02_工程タスク'!$G$4:$G$135,MATCH(A325,'02_工程タスク'!$A$4:$A$135,0))))</f>
        <v>R15, R02</v>
      </c>
      <c r="D325" s="28" t="str">
        <f>IF(COUNTIF('02_工程タスク'!$A$4:$A$135,A325)&lt;&gt;1,"参照ID不正",IF(INDEX('02_工程タスク'!$H$4:$H$135,MATCH(A325,'02_工程タスク'!$A$4:$A$135,0))="","",INDEX('02_工程タスク'!$H$4:$H$135,MATCH(A325,'02_工程タスク'!$A$4:$A$135,0))))</f>
        <v>R01</v>
      </c>
      <c r="E325" s="4" t="s">
        <v>2732</v>
      </c>
      <c r="F325" s="28" t="str">
        <f>IF(COUNTIF('07_スキル辞書'!$A$4:$A$109,E325)&lt;&gt;1,"参照ID不正",IF(INDEX('07_スキル辞書'!$D$4:$D$109,MATCH(E325,'07_スキル辞書'!$A$4:$A$109,0))="","",INDEX('07_スキル辞書'!$D$4:$D$109,MATCH(E325,'07_スキル辞書'!$A$4:$A$109,0))))</f>
        <v>価値指標・計測・意思決定分析</v>
      </c>
      <c r="G325" s="4">
        <v>2</v>
      </c>
      <c r="H325" s="28" t="str">
        <f>IF(COUNTIF('07_スキル辞書'!$A$4:$A$109,E325)&lt;&gt;1,"参照ID不正",IF(INDEX('07_スキル辞書'!$I$4:$I$109,MATCH(E325,'07_スキル辞書'!$A$4:$A$109,0))="","",INDEX('07_スキル辞書'!$I$4:$I$109,MATCH(E325,'07_スキル辞書'!$A$4:$A$109,0))))</f>
        <v>KPI定義・計測試験・意思決定</v>
      </c>
      <c r="I325" s="4" t="s">
        <v>2900</v>
      </c>
    </row>
    <row r="326" spans="1:9" ht="38" customHeight="1" x14ac:dyDescent="0.2">
      <c r="A326" s="2" t="s">
        <v>1267</v>
      </c>
      <c r="B326" s="28" t="str">
        <f>IF(COUNTIF('02_工程タスク'!$A$4:$A$135,A326)&lt;&gt;1,"参照ID不正",IF(INDEX('02_工程タスク'!$D$4:$D$135,MATCH(A326,'02_工程タスク'!$A$4:$A$135,0))="","",INDEX('02_工程タスク'!$D$4:$D$135,MATCH(A326,'02_工程タスク'!$A$4:$A$135,0))))</f>
        <v>SLO・error budget・負荷監視</v>
      </c>
      <c r="C326" s="28" t="str">
        <f>IF(COUNTIF('02_工程タスク'!$A$4:$A$135,A326)&lt;&gt;1,"参照ID不正",IF(INDEX('02_工程タスク'!$G$4:$G$135,MATCH(A326,'02_工程タスク'!$A$4:$A$135,0))="","",INDEX('02_工程タスク'!$G$4:$G$135,MATCH(A326,'02_工程タスク'!$A$4:$A$135,0))))</f>
        <v>R12</v>
      </c>
      <c r="D326" s="28" t="str">
        <f>IF(COUNTIF('02_工程タスク'!$A$4:$A$135,A326)&lt;&gt;1,"参照ID不正",IF(INDEX('02_工程タスク'!$H$4:$H$135,MATCH(A326,'02_工程タスク'!$A$4:$A$135,0))="","",INDEX('02_工程タスク'!$H$4:$H$135,MATCH(A326,'02_工程タスク'!$A$4:$A$135,0))))</f>
        <v>R18</v>
      </c>
      <c r="E326" s="2" t="s">
        <v>2128</v>
      </c>
      <c r="F326" s="28" t="str">
        <f>IF(COUNTIF('07_スキル辞書'!$A$4:$A$109,E326)&lt;&gt;1,"参照ID不正",IF(INDEX('07_スキル辞書'!$D$4:$D$109,MATCH(E326,'07_スキル辞書'!$A$4:$A$109,0))="","",INDEX('07_スキル辞書'!$D$4:$D$109,MATCH(E326,'07_スキル辞書'!$A$4:$A$109,0))))</f>
        <v>SLO/SLA設計とサービスレベル管理</v>
      </c>
      <c r="G326" s="2">
        <v>2</v>
      </c>
      <c r="H326" s="28" t="str">
        <f>IF(COUNTIF('07_スキル辞書'!$A$4:$A$109,E326)&lt;&gt;1,"参照ID不正",IF(INDEX('07_スキル辞書'!$I$4:$I$109,MATCH(E326,'07_スキル辞書'!$A$4:$A$109,0))="","",INDEX('07_スキル辞書'!$I$4:$I$109,MATCH(E326,'07_スキル辞書'!$A$4:$A$109,0))))</f>
        <v>SLO定義書、SLA（別紙）、運用保守個別契約、監視項目一覧、月次／四半期パフォーマンスレポート</v>
      </c>
      <c r="I326" s="2" t="s">
        <v>2900</v>
      </c>
    </row>
    <row r="327" spans="1:9" ht="49" customHeight="1" x14ac:dyDescent="0.2">
      <c r="A327" s="4" t="s">
        <v>1267</v>
      </c>
      <c r="B327" s="28" t="str">
        <f>IF(COUNTIF('02_工程タスク'!$A$4:$A$135,A327)&lt;&gt;1,"参照ID不正",IF(INDEX('02_工程タスク'!$D$4:$D$135,MATCH(A327,'02_工程タスク'!$A$4:$A$135,0))="","",INDEX('02_工程タスク'!$D$4:$D$135,MATCH(A327,'02_工程タスク'!$A$4:$A$135,0))))</f>
        <v>SLO・error budget・負荷監視</v>
      </c>
      <c r="C327" s="28" t="str">
        <f>IF(COUNTIF('02_工程タスク'!$A$4:$A$135,A327)&lt;&gt;1,"参照ID不正",IF(INDEX('02_工程タスク'!$G$4:$G$135,MATCH(A327,'02_工程タスク'!$A$4:$A$135,0))="","",INDEX('02_工程タスク'!$G$4:$G$135,MATCH(A327,'02_工程タスク'!$A$4:$A$135,0))))</f>
        <v>R12</v>
      </c>
      <c r="D327" s="28" t="str">
        <f>IF(COUNTIF('02_工程タスク'!$A$4:$A$135,A327)&lt;&gt;1,"参照ID不正",IF(INDEX('02_工程タスク'!$H$4:$H$135,MATCH(A327,'02_工程タスク'!$A$4:$A$135,0))="","",INDEX('02_工程タスク'!$H$4:$H$135,MATCH(A327,'02_工程タスク'!$A$4:$A$135,0))))</f>
        <v>R18</v>
      </c>
      <c r="E327" s="4" t="s">
        <v>2327</v>
      </c>
      <c r="F327" s="28" t="str">
        <f>IF(COUNTIF('07_スキル辞書'!$A$4:$A$109,E327)&lt;&gt;1,"参照ID不正",IF(INDEX('07_スキル辞書'!$D$4:$D$109,MATCH(E327,'07_スキル辞書'!$A$4:$A$109,0))="","",INDEX('07_スキル辞書'!$D$4:$D$109,MATCH(E327,'07_スキル辞書'!$A$4:$A$109,0))))</f>
        <v>監視設計と可観測性</v>
      </c>
      <c r="G327" s="4">
        <v>2</v>
      </c>
      <c r="H327" s="28" t="str">
        <f>IF(COUNTIF('07_スキル辞書'!$A$4:$A$109,E327)&lt;&gt;1,"参照ID不正",IF(INDEX('07_スキル辞書'!$I$4:$I$109,MATCH(E327,'07_スキル辞書'!$A$4:$A$109,0))="","",INDEX('07_スキル辞書'!$I$4:$I$109,MATCH(E327,'07_スキル辞書'!$A$4:$A$109,0))))</f>
        <v>監視設計書、監視項目一覧、リソース・APIパフォーマンスダッシュボード、ログ管理システム、アラート設定、モデル性能ダッシュボード</v>
      </c>
      <c r="I327" s="4" t="s">
        <v>2900</v>
      </c>
    </row>
    <row r="328" spans="1:9" ht="38" customHeight="1" x14ac:dyDescent="0.2">
      <c r="A328" s="2" t="s">
        <v>1267</v>
      </c>
      <c r="B328" s="28" t="str">
        <f>IF(COUNTIF('02_工程タスク'!$A$4:$A$135,A328)&lt;&gt;1,"参照ID不正",IF(INDEX('02_工程タスク'!$D$4:$D$135,MATCH(A328,'02_工程タスク'!$A$4:$A$135,0))="","",INDEX('02_工程タスク'!$D$4:$D$135,MATCH(A328,'02_工程タスク'!$A$4:$A$135,0))))</f>
        <v>SLO・error budget・負荷監視</v>
      </c>
      <c r="C328" s="28" t="str">
        <f>IF(COUNTIF('02_工程タスク'!$A$4:$A$135,A328)&lt;&gt;1,"参照ID不正",IF(INDEX('02_工程タスク'!$G$4:$G$135,MATCH(A328,'02_工程タスク'!$A$4:$A$135,0))="","",INDEX('02_工程タスク'!$G$4:$G$135,MATCH(A328,'02_工程タスク'!$A$4:$A$135,0))))</f>
        <v>R12</v>
      </c>
      <c r="D328" s="28" t="str">
        <f>IF(COUNTIF('02_工程タスク'!$A$4:$A$135,A328)&lt;&gt;1,"参照ID不正",IF(INDEX('02_工程タスク'!$H$4:$H$135,MATCH(A328,'02_工程タスク'!$A$4:$A$135,0))="","",INDEX('02_工程タスク'!$H$4:$H$135,MATCH(A328,'02_工程タスク'!$A$4:$A$135,0))))</f>
        <v>R18</v>
      </c>
      <c r="E328" s="2" t="s">
        <v>2362</v>
      </c>
      <c r="F328" s="28" t="str">
        <f>IF(COUNTIF('07_スキル辞書'!$A$4:$A$109,E328)&lt;&gt;1,"参照ID不正",IF(INDEX('07_スキル辞書'!$D$4:$D$109,MATCH(E328,'07_スキル辞書'!$A$4:$A$109,0))="","",INDEX('07_スキル辞書'!$D$4:$D$109,MATCH(E328,'07_スキル辞書'!$A$4:$A$109,0))))</f>
        <v>従来型保守・パッチ管理・DR/BCP</v>
      </c>
      <c r="G328" s="2">
        <v>2</v>
      </c>
      <c r="H328" s="28" t="str">
        <f>IF(COUNTIF('07_スキル辞書'!$A$4:$A$109,E328)&lt;&gt;1,"参照ID不正",IF(INDEX('07_スキル辞書'!$I$4:$I$109,MATCH(E328,'07_スキル辞書'!$A$4:$A$109,0))="","",INDEX('07_スキル辞書'!$I$4:$I$109,MATCH(E328,'07_スキル辞書'!$A$4:$A$109,0))))</f>
        <v>保守計画書、パッチ適用記録、DR/BCP手順書、IaCコード（更新版）、システム運用マニュアル</v>
      </c>
      <c r="I328" s="2" t="s">
        <v>2900</v>
      </c>
    </row>
    <row r="329" spans="1:9" ht="38" customHeight="1" x14ac:dyDescent="0.2">
      <c r="A329" s="4" t="s">
        <v>1275</v>
      </c>
      <c r="B329" s="28" t="str">
        <f>IF(COUNTIF('02_工程タスク'!$A$4:$A$135,A329)&lt;&gt;1,"参照ID不正",IF(INDEX('02_工程タスク'!$D$4:$D$135,MATCH(A329,'02_工程タスク'!$A$4:$A$135,0))="","",INDEX('02_工程タスク'!$D$4:$D$135,MATCH(A329,'02_工程タスク'!$A$4:$A$135,0))))</f>
        <v>実利用AI性能・危害・介入率</v>
      </c>
      <c r="C329" s="28" t="str">
        <f>IF(COUNTIF('02_工程タスク'!$A$4:$A$135,A329)&lt;&gt;1,"参照ID不正",IF(INDEX('02_工程タスク'!$G$4:$G$135,MATCH(A329,'02_工程タスク'!$A$4:$A$135,0))="","",INDEX('02_工程タスク'!$G$4:$G$135,MATCH(A329,'02_工程タスク'!$A$4:$A$135,0))))</f>
        <v>R11, R08, R17</v>
      </c>
      <c r="D329" s="28" t="str">
        <f>IF(COUNTIF('02_工程タスク'!$A$4:$A$135,A329)&lt;&gt;1,"参照ID不正",IF(INDEX('02_工程タスク'!$H$4:$H$135,MATCH(A329,'02_工程タスク'!$A$4:$A$135,0))="","",INDEX('02_工程タスク'!$H$4:$H$135,MATCH(A329,'02_工程タスク'!$A$4:$A$135,0))))</f>
        <v>R19</v>
      </c>
      <c r="E329" s="4" t="s">
        <v>2533</v>
      </c>
      <c r="F329" s="28" t="str">
        <f>IF(COUNTIF('07_スキル辞書'!$A$4:$A$109,E329)&lt;&gt;1,"参照ID不正",IF(INDEX('07_スキル辞書'!$D$4:$D$109,MATCH(E329,'07_スキル辞書'!$A$4:$A$109,0))="","",INDEX('07_スキル辞書'!$D$4:$D$109,MATCH(E329,'07_スキル辞書'!$A$4:$A$109,0))))</f>
        <v>モデル評価とエラー分析</v>
      </c>
      <c r="G329" s="4">
        <v>2</v>
      </c>
      <c r="H329" s="28" t="str">
        <f>IF(COUNTIF('07_スキル辞書'!$A$4:$A$109,E329)&lt;&gt;1,"参照ID不正",IF(INDEX('07_スキル辞書'!$I$4:$I$109,MATCH(E329,'07_スキル辞書'!$A$4:$A$109,0))="","",INDEX('07_スキル辞書'!$I$4:$I$109,MATCH(E329,'07_スキル辞書'!$A$4:$A$109,0))))</f>
        <v>モデル評価レポート、エラー分析レポート、最終性能評価レポート（信頼区間付き）、AIモデル品質評価レポート</v>
      </c>
      <c r="I329" s="4" t="s">
        <v>2900</v>
      </c>
    </row>
    <row r="330" spans="1:9" ht="38" customHeight="1" x14ac:dyDescent="0.2">
      <c r="A330" s="2" t="s">
        <v>1275</v>
      </c>
      <c r="B330" s="28" t="str">
        <f>IF(COUNTIF('02_工程タスク'!$A$4:$A$135,A330)&lt;&gt;1,"参照ID不正",IF(INDEX('02_工程タスク'!$D$4:$D$135,MATCH(A330,'02_工程タスク'!$A$4:$A$135,0))="","",INDEX('02_工程タスク'!$D$4:$D$135,MATCH(A330,'02_工程タスク'!$A$4:$A$135,0))))</f>
        <v>実利用AI性能・危害・介入率</v>
      </c>
      <c r="C330" s="28" t="str">
        <f>IF(COUNTIF('02_工程タスク'!$A$4:$A$135,A330)&lt;&gt;1,"参照ID不正",IF(INDEX('02_工程タスク'!$G$4:$G$135,MATCH(A330,'02_工程タスク'!$A$4:$A$135,0))="","",INDEX('02_工程タスク'!$G$4:$G$135,MATCH(A330,'02_工程タスク'!$A$4:$A$135,0))))</f>
        <v>R11, R08, R17</v>
      </c>
      <c r="D330" s="28" t="str">
        <f>IF(COUNTIF('02_工程タスク'!$A$4:$A$135,A330)&lt;&gt;1,"参照ID不正",IF(INDEX('02_工程タスク'!$H$4:$H$135,MATCH(A330,'02_工程タスク'!$A$4:$A$135,0))="","",INDEX('02_工程タスク'!$H$4:$H$135,MATCH(A330,'02_工程タスク'!$A$4:$A$135,0))))</f>
        <v>R19</v>
      </c>
      <c r="E330" s="2" t="s">
        <v>2551</v>
      </c>
      <c r="F330" s="28" t="str">
        <f>IF(COUNTIF('07_スキル辞書'!$A$4:$A$109,E330)&lt;&gt;1,"参照ID不正",IF(INDEX('07_スキル辞書'!$D$4:$D$109,MATCH(E330,'07_スキル辞書'!$A$4:$A$109,0))="","",INDEX('07_スキル辞書'!$D$4:$D$109,MATCH(E330,'07_スキル辞書'!$A$4:$A$109,0))))</f>
        <v>LLM評価設計</v>
      </c>
      <c r="G330" s="2">
        <v>2</v>
      </c>
      <c r="H330" s="28" t="str">
        <f>IF(COUNTIF('07_スキル辞書'!$A$4:$A$109,E330)&lt;&gt;1,"参照ID不正",IF(INDEX('07_スキル辞書'!$I$4:$I$109,MATCH(E330,'07_スキル辞書'!$A$4:$A$109,0))="","",INDEX('07_スキル辞書'!$I$4:$I$109,MATCH(E330,'07_スキル辞書'!$A$4:$A$109,0))))</f>
        <v>評価ハーネス、AIモデル品質評価レポート、モデル評価レポート、最終性能評価レポート（信頼区間付き）</v>
      </c>
      <c r="I330" s="2" t="s">
        <v>2900</v>
      </c>
    </row>
    <row r="331" spans="1:9" ht="38" customHeight="1" x14ac:dyDescent="0.2">
      <c r="A331" s="4" t="s">
        <v>1275</v>
      </c>
      <c r="B331" s="28" t="str">
        <f>IF(COUNTIF('02_工程タスク'!$A$4:$A$135,A331)&lt;&gt;1,"参照ID不正",IF(INDEX('02_工程タスク'!$D$4:$D$135,MATCH(A331,'02_工程タスク'!$A$4:$A$135,0))="","",INDEX('02_工程タスク'!$D$4:$D$135,MATCH(A331,'02_工程タスク'!$A$4:$A$135,0))))</f>
        <v>実利用AI性能・危害・介入率</v>
      </c>
      <c r="C331" s="28" t="str">
        <f>IF(COUNTIF('02_工程タスク'!$A$4:$A$135,A331)&lt;&gt;1,"参照ID不正",IF(INDEX('02_工程タスク'!$G$4:$G$135,MATCH(A331,'02_工程タスク'!$A$4:$A$135,0))="","",INDEX('02_工程タスク'!$G$4:$G$135,MATCH(A331,'02_工程タスク'!$A$4:$A$135,0))))</f>
        <v>R11, R08, R17</v>
      </c>
      <c r="D331" s="28" t="str">
        <f>IF(COUNTIF('02_工程タスク'!$A$4:$A$135,A331)&lt;&gt;1,"参照ID不正",IF(INDEX('02_工程タスク'!$H$4:$H$135,MATCH(A331,'02_工程タスク'!$A$4:$A$135,0))="","",INDEX('02_工程タスク'!$H$4:$H$135,MATCH(A331,'02_工程タスク'!$A$4:$A$135,0))))</f>
        <v>R19</v>
      </c>
      <c r="E331" s="4" t="s">
        <v>2578</v>
      </c>
      <c r="F331" s="28" t="str">
        <f>IF(COUNTIF('07_スキル辞書'!$A$4:$A$109,E331)&lt;&gt;1,"参照ID不正",IF(INDEX('07_スキル辞書'!$D$4:$D$109,MATCH(E331,'07_スキル辞書'!$A$4:$A$109,0))="","",INDEX('07_スキル辞書'!$D$4:$D$109,MATCH(E331,'07_スキル辞書'!$A$4:$A$109,0))))</f>
        <v>ドリフト検知と更新トリガー設計</v>
      </c>
      <c r="G331" s="4">
        <v>2</v>
      </c>
      <c r="H331" s="28" t="str">
        <f>IF(COUNTIF('07_スキル辞書'!$A$4:$A$109,E331)&lt;&gt;1,"参照ID不正",IF(INDEX('07_スキル辞書'!$I$4:$I$109,MATCH(E331,'07_スキル辞書'!$A$4:$A$109,0))="","",INDEX('07_スキル辞書'!$I$4:$I$109,MATCH(E331,'07_スキル辞書'!$A$4:$A$109,0))))</f>
        <v>ドリフト検知レポート、再学習トリガー定義書 / モデル・プロンプト更新方針、モデル性能ダッシュボード、データ品質レポート</v>
      </c>
      <c r="I331" s="4" t="s">
        <v>2900</v>
      </c>
    </row>
    <row r="332" spans="1:9" ht="38" customHeight="1" x14ac:dyDescent="0.2">
      <c r="A332" s="2" t="s">
        <v>1284</v>
      </c>
      <c r="B332" s="28" t="str">
        <f>IF(COUNTIF('02_工程タスク'!$A$4:$A$135,A332)&lt;&gt;1,"参照ID不正",IF(INDEX('02_工程タスク'!$D$4:$D$135,MATCH(A332,'02_工程タスク'!$A$4:$A$135,0))="","",INDEX('02_工程タスク'!$D$4:$D$135,MATCH(A332,'02_工程タスク'!$A$4:$A$135,0))))</f>
        <v>鮮度・lineage・品質・削除伝播</v>
      </c>
      <c r="C332" s="28" t="str">
        <f>IF(COUNTIF('02_工程タスク'!$A$4:$A$135,A332)&lt;&gt;1,"参照ID不正",IF(INDEX('02_工程タスク'!$G$4:$G$135,MATCH(A332,'02_工程タスク'!$A$4:$A$135,0))="","",INDEX('02_工程タスク'!$G$4:$G$135,MATCH(A332,'02_工程タスク'!$A$4:$A$135,0))))</f>
        <v>R09, R10</v>
      </c>
      <c r="D332" s="28" t="str">
        <f>IF(COUNTIF('02_工程タスク'!$A$4:$A$135,A332)&lt;&gt;1,"参照ID不正",IF(INDEX('02_工程タスク'!$H$4:$H$135,MATCH(A332,'02_工程タスク'!$A$4:$A$135,0))="","",INDEX('02_工程タスク'!$H$4:$H$135,MATCH(A332,'02_工程タスク'!$A$4:$A$135,0))))</f>
        <v>R10</v>
      </c>
      <c r="E332" s="2" t="s">
        <v>2426</v>
      </c>
      <c r="F332" s="28" t="str">
        <f>IF(COUNTIF('07_スキル辞書'!$A$4:$A$109,E332)&lt;&gt;1,"参照ID不正",IF(INDEX('07_スキル辞書'!$D$4:$D$109,MATCH(E332,'07_スキル辞書'!$A$4:$A$109,0))="","",INDEX('07_スキル辞書'!$D$4:$D$109,MATCH(E332,'07_スキル辞書'!$A$4:$A$109,0))))</f>
        <v>データ品質管理とクレンジング設計</v>
      </c>
      <c r="G332" s="2">
        <v>2</v>
      </c>
      <c r="H332" s="28" t="str">
        <f>IF(COUNTIF('07_スキル辞書'!$A$4:$A$109,E332)&lt;&gt;1,"参照ID不正",IF(INDEX('07_スキル辞書'!$I$4:$I$109,MATCH(E332,'07_スキル辞書'!$A$4:$A$109,0))="","",INDEX('07_スキル辞書'!$I$4:$I$109,MATCH(E332,'07_スキル辞書'!$A$4:$A$109,0))))</f>
        <v>データ品質基準定義書、クレンジングスクリプト、クレンジング済みデータ、データ品質レポート、品質レビュー済みデータセット</v>
      </c>
      <c r="I332" s="2" t="s">
        <v>2900</v>
      </c>
    </row>
    <row r="333" spans="1:9" ht="38" customHeight="1" x14ac:dyDescent="0.2">
      <c r="A333" s="4" t="s">
        <v>1284</v>
      </c>
      <c r="B333" s="28" t="str">
        <f>IF(COUNTIF('02_工程タスク'!$A$4:$A$135,A333)&lt;&gt;1,"参照ID不正",IF(INDEX('02_工程タスク'!$D$4:$D$135,MATCH(A333,'02_工程タスク'!$A$4:$A$135,0))="","",INDEX('02_工程タスク'!$D$4:$D$135,MATCH(A333,'02_工程タスク'!$A$4:$A$135,0))))</f>
        <v>鮮度・lineage・品質・削除伝播</v>
      </c>
      <c r="C333" s="28" t="str">
        <f>IF(COUNTIF('02_工程タスク'!$A$4:$A$135,A333)&lt;&gt;1,"参照ID不正",IF(INDEX('02_工程タスク'!$G$4:$G$135,MATCH(A333,'02_工程タスク'!$A$4:$A$135,0))="","",INDEX('02_工程タスク'!$G$4:$G$135,MATCH(A333,'02_工程タスク'!$A$4:$A$135,0))))</f>
        <v>R09, R10</v>
      </c>
      <c r="D333" s="28" t="str">
        <f>IF(COUNTIF('02_工程タスク'!$A$4:$A$135,A333)&lt;&gt;1,"参照ID不正",IF(INDEX('02_工程タスク'!$H$4:$H$135,MATCH(A333,'02_工程タスク'!$A$4:$A$135,0))="","",INDEX('02_工程タスク'!$H$4:$H$135,MATCH(A333,'02_工程タスク'!$A$4:$A$135,0))))</f>
        <v>R10</v>
      </c>
      <c r="E333" s="4" t="s">
        <v>2578</v>
      </c>
      <c r="F333" s="28" t="str">
        <f>IF(COUNTIF('07_スキル辞書'!$A$4:$A$109,E333)&lt;&gt;1,"参照ID不正",IF(INDEX('07_スキル辞書'!$D$4:$D$109,MATCH(E333,'07_スキル辞書'!$A$4:$A$109,0))="","",INDEX('07_スキル辞書'!$D$4:$D$109,MATCH(E333,'07_スキル辞書'!$A$4:$A$109,0))))</f>
        <v>ドリフト検知と更新トリガー設計</v>
      </c>
      <c r="G333" s="4">
        <v>2</v>
      </c>
      <c r="H333" s="28" t="str">
        <f>IF(COUNTIF('07_スキル辞書'!$A$4:$A$109,E333)&lt;&gt;1,"参照ID不正",IF(INDEX('07_スキル辞書'!$I$4:$I$109,MATCH(E333,'07_スキル辞書'!$A$4:$A$109,0))="","",INDEX('07_スキル辞書'!$I$4:$I$109,MATCH(E333,'07_スキル辞書'!$A$4:$A$109,0))))</f>
        <v>ドリフト検知レポート、再学習トリガー定義書 / モデル・プロンプト更新方針、モデル性能ダッシュボード、データ品質レポート</v>
      </c>
      <c r="I333" s="4" t="s">
        <v>2900</v>
      </c>
    </row>
    <row r="334" spans="1:9" ht="38" customHeight="1" x14ac:dyDescent="0.2">
      <c r="A334" s="2" t="s">
        <v>1284</v>
      </c>
      <c r="B334" s="28" t="str">
        <f>IF(COUNTIF('02_工程タスク'!$A$4:$A$135,A334)&lt;&gt;1,"参照ID不正",IF(INDEX('02_工程タスク'!$D$4:$D$135,MATCH(A334,'02_工程タスク'!$A$4:$A$135,0))="","",INDEX('02_工程タスク'!$D$4:$D$135,MATCH(A334,'02_工程タスク'!$A$4:$A$135,0))))</f>
        <v>鮮度・lineage・品質・削除伝播</v>
      </c>
      <c r="C334" s="28" t="str">
        <f>IF(COUNTIF('02_工程タスク'!$A$4:$A$135,A334)&lt;&gt;1,"参照ID不正",IF(INDEX('02_工程タスク'!$G$4:$G$135,MATCH(A334,'02_工程タスク'!$A$4:$A$135,0))="","",INDEX('02_工程タスク'!$G$4:$G$135,MATCH(A334,'02_工程タスク'!$A$4:$A$135,0))))</f>
        <v>R09, R10</v>
      </c>
      <c r="D334" s="28" t="str">
        <f>IF(COUNTIF('02_工程タスク'!$A$4:$A$135,A334)&lt;&gt;1,"参照ID不正",IF(INDEX('02_工程タスク'!$H$4:$H$135,MATCH(A334,'02_工程タスク'!$A$4:$A$135,0))="","",INDEX('02_工程タスク'!$H$4:$H$135,MATCH(A334,'02_工程タスク'!$A$4:$A$135,0))))</f>
        <v>R10</v>
      </c>
      <c r="E334" s="2" t="s">
        <v>2641</v>
      </c>
      <c r="F334" s="28" t="str">
        <f>IF(COUNTIF('07_スキル辞書'!$A$4:$A$109,E334)&lt;&gt;1,"参照ID不正",IF(INDEX('07_スキル辞書'!$D$4:$D$109,MATCH(E334,'07_スキル辞書'!$A$4:$A$109,0))="","",INDEX('07_スキル辞書'!$D$4:$D$109,MATCH(E334,'07_スキル辞書'!$A$4:$A$109,0))))</f>
        <v>AI構成一式の更新・復旧・終了管理</v>
      </c>
      <c r="G334" s="2">
        <v>2</v>
      </c>
      <c r="H334" s="28" t="str">
        <f>IF(COUNTIF('07_スキル辞書'!$A$4:$A$109,E334)&lt;&gt;1,"参照ID不正",IF(INDEX('07_スキル辞書'!$I$4:$I$109,MATCH(E334,'07_スキル辞書'!$A$4:$A$109,0))="","",INDEX('07_スキル辞書'!$I$4:$I$109,MATCH(E334,'07_スキル辞書'!$A$4:$A$109,0))))</f>
        <v>構成manifest／復旧訓練／終了・削除・失効証跡</v>
      </c>
      <c r="I334" s="2" t="s">
        <v>2900</v>
      </c>
    </row>
    <row r="335" spans="1:9" ht="38" customHeight="1" x14ac:dyDescent="0.2">
      <c r="A335" s="4" t="s">
        <v>1292</v>
      </c>
      <c r="B335" s="28" t="str">
        <f>IF(COUNTIF('02_工程タスク'!$A$4:$A$135,A335)&lt;&gt;1,"参照ID不正",IF(INDEX('02_工程タスク'!$D$4:$D$135,MATCH(A335,'02_工程タスク'!$A$4:$A$135,0))="","",INDEX('02_工程タスク'!$D$4:$D$135,MATCH(A335,'02_工程タスク'!$A$4:$A$135,0))))</f>
        <v>原価・課金・粗利・異常利用監視</v>
      </c>
      <c r="C335" s="28" t="str">
        <f>IF(COUNTIF('02_工程タスク'!$A$4:$A$135,A335)&lt;&gt;1,"参照ID不正",IF(INDEX('02_工程タスク'!$G$4:$G$135,MATCH(A335,'02_工程タスク'!$A$4:$A$135,0))="","",INDEX('02_工程タスク'!$G$4:$G$135,MATCH(A335,'02_工程タスク'!$A$4:$A$135,0))))</f>
        <v>R15, R12</v>
      </c>
      <c r="D335" s="28" t="str">
        <f>IF(COUNTIF('02_工程タスク'!$A$4:$A$135,A335)&lt;&gt;1,"参照ID不正",IF(INDEX('02_工程タスク'!$H$4:$H$135,MATCH(A335,'02_工程タスク'!$A$4:$A$135,0))="","",INDEX('02_工程タスク'!$H$4:$H$135,MATCH(A335,'02_工程タスク'!$A$4:$A$135,0))))</f>
        <v>R01</v>
      </c>
      <c r="E335" s="4" t="s">
        <v>2371</v>
      </c>
      <c r="F335" s="28" t="str">
        <f>IF(COUNTIF('07_スキル辞書'!$A$4:$A$109,E335)&lt;&gt;1,"参照ID不正",IF(INDEX('07_スキル辞書'!$D$4:$D$109,MATCH(E335,'07_スキル辞書'!$A$4:$A$109,0))="","",INDEX('07_スキル辞書'!$D$4:$D$109,MATCH(E335,'07_スキル辞書'!$A$4:$A$109,0))))</f>
        <v>トークンコスト・レイテンシ設計とコスト監視</v>
      </c>
      <c r="G335" s="4">
        <v>2</v>
      </c>
      <c r="H335" s="28" t="str">
        <f>IF(COUNTIF('07_スキル辞書'!$A$4:$A$109,E335)&lt;&gt;1,"参照ID不正",IF(INDEX('07_スキル辞書'!$I$4:$I$109,MATCH(E335,'07_スキル辞書'!$A$4:$A$109,0))="","",INDEX('07_スキル辞書'!$I$4:$I$109,MATCH(E335,'07_スキル辞書'!$A$4:$A$109,0))))</f>
        <v>非機能要件定義書 v1（要件定義書v1の一部）、コストダッシュボード、コスト超過アラート、モデル推論APIのエンドポイント</v>
      </c>
      <c r="I335" s="4" t="s">
        <v>2900</v>
      </c>
    </row>
    <row r="336" spans="1:9" ht="38" customHeight="1" x14ac:dyDescent="0.2">
      <c r="A336" s="2" t="s">
        <v>1292</v>
      </c>
      <c r="B336" s="28" t="str">
        <f>IF(COUNTIF('02_工程タスク'!$A$4:$A$135,A336)&lt;&gt;1,"参照ID不正",IF(INDEX('02_工程タスク'!$D$4:$D$135,MATCH(A336,'02_工程タスク'!$A$4:$A$135,0))="","",INDEX('02_工程タスク'!$D$4:$D$135,MATCH(A336,'02_工程タスク'!$A$4:$A$135,0))))</f>
        <v>原価・課金・粗利・異常利用監視</v>
      </c>
      <c r="C336" s="28" t="str">
        <f>IF(COUNTIF('02_工程タスク'!$A$4:$A$135,A336)&lt;&gt;1,"参照ID不正",IF(INDEX('02_工程タスク'!$G$4:$G$135,MATCH(A336,'02_工程タスク'!$A$4:$A$135,0))="","",INDEX('02_工程タスク'!$G$4:$G$135,MATCH(A336,'02_工程タスク'!$A$4:$A$135,0))))</f>
        <v>R15, R12</v>
      </c>
      <c r="D336" s="28" t="str">
        <f>IF(COUNTIF('02_工程タスク'!$A$4:$A$135,A336)&lt;&gt;1,"参照ID不正",IF(INDEX('02_工程タスク'!$H$4:$H$135,MATCH(A336,'02_工程タスク'!$A$4:$A$135,0))="","",INDEX('02_工程タスク'!$H$4:$H$135,MATCH(A336,'02_工程タスク'!$A$4:$A$135,0))))</f>
        <v>R01</v>
      </c>
      <c r="E336" s="2" t="s">
        <v>2742</v>
      </c>
      <c r="F336" s="28" t="str">
        <f>IF(COUNTIF('07_スキル辞書'!$A$4:$A$109,E336)&lt;&gt;1,"参照ID不正",IF(INDEX('07_スキル辞書'!$D$4:$D$109,MATCH(E336,'07_スキル辞書'!$A$4:$A$109,0))="","",INDEX('07_スキル辞書'!$D$4:$D$109,MATCH(E336,'07_スキル辞書'!$A$4:$A$109,0))))</f>
        <v>利用量計測・課金・返金</v>
      </c>
      <c r="G336" s="2">
        <v>2</v>
      </c>
      <c r="H336" s="28" t="str">
        <f>IF(COUNTIF('07_スキル辞書'!$A$4:$A$109,E336)&lt;&gt;1,"参照ID不正",IF(INDEX('07_スキル辞書'!$I$4:$I$109,MATCH(E336,'07_スキル辞書'!$A$4:$A$109,0))="","",INDEX('07_スキル辞書'!$I$4:$I$109,MATCH(E336,'07_スキル辞書'!$A$4:$A$109,0))))</f>
        <v>課金仕様・照合テスト・精算</v>
      </c>
      <c r="I336" s="2" t="s">
        <v>2900</v>
      </c>
    </row>
    <row r="337" spans="1:9" ht="38" customHeight="1" x14ac:dyDescent="0.2">
      <c r="A337" s="4" t="s">
        <v>1292</v>
      </c>
      <c r="B337" s="28" t="str">
        <f>IF(COUNTIF('02_工程タスク'!$A$4:$A$135,A337)&lt;&gt;1,"参照ID不正",IF(INDEX('02_工程タスク'!$D$4:$D$135,MATCH(A337,'02_工程タスク'!$A$4:$A$135,0))="","",INDEX('02_工程タスク'!$D$4:$D$135,MATCH(A337,'02_工程タスク'!$A$4:$A$135,0))))</f>
        <v>原価・課金・粗利・異常利用監視</v>
      </c>
      <c r="C337" s="28" t="str">
        <f>IF(COUNTIF('02_工程タスク'!$A$4:$A$135,A337)&lt;&gt;1,"参照ID不正",IF(INDEX('02_工程タスク'!$G$4:$G$135,MATCH(A337,'02_工程タスク'!$A$4:$A$135,0))="","",INDEX('02_工程タスク'!$G$4:$G$135,MATCH(A337,'02_工程タスク'!$A$4:$A$135,0))))</f>
        <v>R15, R12</v>
      </c>
      <c r="D337" s="28" t="str">
        <f>IF(COUNTIF('02_工程タスク'!$A$4:$A$135,A337)&lt;&gt;1,"参照ID不正",IF(INDEX('02_工程タスク'!$H$4:$H$135,MATCH(A337,'02_工程タスク'!$A$4:$A$135,0))="","",INDEX('02_工程タスク'!$H$4:$H$135,MATCH(A337,'02_工程タスク'!$A$4:$A$135,0))))</f>
        <v>R01</v>
      </c>
      <c r="E337" s="4" t="s">
        <v>2761</v>
      </c>
      <c r="F337" s="28" t="str">
        <f>IF(COUNTIF('07_スキル辞書'!$A$4:$A$109,E337)&lt;&gt;1,"参照ID不正",IF(INDEX('07_スキル辞書'!$D$4:$D$109,MATCH(E337,'07_スキル辞書'!$A$4:$A$109,0))="","",INDEX('07_スキル辞書'!$D$4:$D$109,MATCH(E337,'07_スキル辞書'!$A$4:$A$109,0))))</f>
        <v>成功単位原価・限界利益・費用境界</v>
      </c>
      <c r="G337" s="4">
        <v>2</v>
      </c>
      <c r="H337" s="28" t="str">
        <f>IF(COUNTIF('07_スキル辞書'!$A$4:$A$109,E337)&lt;&gt;1,"参照ID不正",IF(INDEX('07_スキル辞書'!$I$4:$I$109,MATCH(E337,'07_スキル辞書'!$A$4:$A$109,0))="","",INDEX('07_スキル辞書'!$I$4:$I$109,MATCH(E337,'07_スキル辞書'!$A$4:$A$109,0))))</f>
        <v>cost/success・収支・感度分析</v>
      </c>
      <c r="I337" s="4" t="s">
        <v>2900</v>
      </c>
    </row>
    <row r="338" spans="1:9" ht="38" customHeight="1" x14ac:dyDescent="0.2">
      <c r="A338" s="2" t="s">
        <v>1299</v>
      </c>
      <c r="B338" s="28" t="str">
        <f>IF(COUNTIF('02_工程タスク'!$A$4:$A$135,A338)&lt;&gt;1,"参照ID不正",IF(INDEX('02_工程タスク'!$D$4:$D$135,MATCH(A338,'02_工程タスク'!$A$4:$A$135,0))="","",INDEX('02_工程タスク'!$D$4:$D$135,MATCH(A338,'02_工程タスク'!$A$4:$A$135,0))))</f>
        <v>サポート・苦情・救済・導入改善</v>
      </c>
      <c r="C338" s="28" t="str">
        <f>IF(COUNTIF('02_工程タスク'!$A$4:$A$135,A338)&lt;&gt;1,"参照ID不正",IF(INDEX('02_工程タスク'!$G$4:$G$135,MATCH(A338,'02_工程タスク'!$A$4:$A$135,0))="","",INDEX('02_工程タスク'!$G$4:$G$135,MATCH(A338,'02_工程タスク'!$A$4:$A$135,0))))</f>
        <v>R17, R02</v>
      </c>
      <c r="D338" s="28" t="str">
        <f>IF(COUNTIF('02_工程タスク'!$A$4:$A$135,A338)&lt;&gt;1,"参照ID不正",IF(INDEX('02_工程タスク'!$H$4:$H$135,MATCH(A338,'02_工程タスク'!$A$4:$A$135,0))="","",INDEX('02_工程タスク'!$H$4:$H$135,MATCH(A338,'02_工程タスク'!$A$4:$A$135,0))))</f>
        <v>R18</v>
      </c>
      <c r="E338" s="2" t="s">
        <v>2723</v>
      </c>
      <c r="F338" s="28" t="str">
        <f>IF(COUNTIF('07_スキル辞書'!$A$4:$A$109,E338)&lt;&gt;1,"参照ID不正",IF(INDEX('07_スキル辞書'!$D$4:$D$109,MATCH(E338,'07_スキル辞書'!$A$4:$A$109,0))="","",INDEX('07_スキル辞書'!$D$4:$D$109,MATCH(E338,'07_スキル辞書'!$A$4:$A$109,0))))</f>
        <v>導入・顧客成功・救済</v>
      </c>
      <c r="G338" s="2">
        <v>2</v>
      </c>
      <c r="H338" s="28" t="str">
        <f>IF(COUNTIF('07_スキル辞書'!$A$4:$A$109,E338)&lt;&gt;1,"参照ID不正",IF(INDEX('07_スキル辞書'!$I$4:$I$109,MATCH(E338,'07_スキル辞書'!$A$4:$A$109,0))="","",INDEX('07_スキル辞書'!$I$4:$I$109,MATCH(E338,'07_スキル辞書'!$A$4:$A$109,0))))</f>
        <v>CS記録・導入指標・救済記録</v>
      </c>
      <c r="I338" s="2" t="s">
        <v>2900</v>
      </c>
    </row>
    <row r="339" spans="1:9" ht="38" customHeight="1" x14ac:dyDescent="0.2">
      <c r="A339" s="4" t="s">
        <v>1299</v>
      </c>
      <c r="B339" s="28" t="str">
        <f>IF(COUNTIF('02_工程タスク'!$A$4:$A$135,A339)&lt;&gt;1,"参照ID不正",IF(INDEX('02_工程タスク'!$D$4:$D$135,MATCH(A339,'02_工程タスク'!$A$4:$A$135,0))="","",INDEX('02_工程タスク'!$D$4:$D$135,MATCH(A339,'02_工程タスク'!$A$4:$A$135,0))))</f>
        <v>サポート・苦情・救済・導入改善</v>
      </c>
      <c r="C339" s="28" t="str">
        <f>IF(COUNTIF('02_工程タスク'!$A$4:$A$135,A339)&lt;&gt;1,"参照ID不正",IF(INDEX('02_工程タスク'!$G$4:$G$135,MATCH(A339,'02_工程タスク'!$A$4:$A$135,0))="","",INDEX('02_工程タスク'!$G$4:$G$135,MATCH(A339,'02_工程タスク'!$A$4:$A$135,0))))</f>
        <v>R17, R02</v>
      </c>
      <c r="D339" s="28" t="str">
        <f>IF(COUNTIF('02_工程タスク'!$A$4:$A$135,A339)&lt;&gt;1,"参照ID不正",IF(INDEX('02_工程タスク'!$H$4:$H$135,MATCH(A339,'02_工程タスク'!$A$4:$A$135,0))="","",INDEX('02_工程タスク'!$H$4:$H$135,MATCH(A339,'02_工程タスク'!$A$4:$A$135,0))))</f>
        <v>R18</v>
      </c>
      <c r="E339" s="4" t="s">
        <v>2845</v>
      </c>
      <c r="F339" s="28" t="str">
        <f>IF(COUNTIF('07_スキル辞書'!$A$4:$A$109,E339)&lt;&gt;1,"参照ID不正",IF(INDEX('07_スキル辞書'!$D$4:$D$109,MATCH(E339,'07_スキル辞書'!$A$4:$A$109,0))="","",INDEX('07_スキル辞書'!$D$4:$D$109,MATCH(E339,'07_スキル辞書'!$A$4:$A$109,0))))</f>
        <v>顧客通知・重大度・救済の連携</v>
      </c>
      <c r="G339" s="4">
        <v>2</v>
      </c>
      <c r="H339" s="28" t="str">
        <f>IF(COUNTIF('07_スキル辞書'!$A$4:$A$109,E339)&lt;&gt;1,"参照ID不正",IF(INDEX('07_スキル辞書'!$I$4:$I$109,MATCH(E339,'07_スキル辞書'!$A$4:$A$109,0))="","",INDEX('07_スキル辞書'!$I$4:$I$109,MATCH(E339,'07_スキル辞書'!$A$4:$A$109,0))))</f>
        <v>Incident通知・救済・振り返り</v>
      </c>
      <c r="I339" s="4" t="s">
        <v>2900</v>
      </c>
    </row>
    <row r="340" spans="1:9" ht="38" customHeight="1" x14ac:dyDescent="0.2">
      <c r="A340" s="2" t="s">
        <v>1299</v>
      </c>
      <c r="B340" s="28" t="str">
        <f>IF(COUNTIF('02_工程タスク'!$A$4:$A$135,A340)&lt;&gt;1,"参照ID不正",IF(INDEX('02_工程タスク'!$D$4:$D$135,MATCH(A340,'02_工程タスク'!$A$4:$A$135,0))="","",INDEX('02_工程タスク'!$D$4:$D$135,MATCH(A340,'02_工程タスク'!$A$4:$A$135,0))))</f>
        <v>サポート・苦情・救済・導入改善</v>
      </c>
      <c r="C340" s="28" t="str">
        <f>IF(COUNTIF('02_工程タスク'!$A$4:$A$135,A340)&lt;&gt;1,"参照ID不正",IF(INDEX('02_工程タスク'!$G$4:$G$135,MATCH(A340,'02_工程タスク'!$A$4:$A$135,0))="","",INDEX('02_工程タスク'!$G$4:$G$135,MATCH(A340,'02_工程タスク'!$A$4:$A$135,0))))</f>
        <v>R17, R02</v>
      </c>
      <c r="D340" s="28" t="str">
        <f>IF(COUNTIF('02_工程タスク'!$A$4:$A$135,A340)&lt;&gt;1,"参照ID不正",IF(INDEX('02_工程タスク'!$H$4:$H$135,MATCH(A340,'02_工程タスク'!$A$4:$A$135,0))="","",INDEX('02_工程タスク'!$H$4:$H$135,MATCH(A340,'02_工程タスク'!$A$4:$A$135,0))))</f>
        <v>R18</v>
      </c>
      <c r="E340" s="2" t="s">
        <v>2780</v>
      </c>
      <c r="F340" s="28" t="str">
        <f>IF(COUNTIF('07_スキル辞書'!$A$4:$A$109,E340)&lt;&gt;1,"参照ID不正",IF(INDEX('07_スキル辞書'!$D$4:$D$109,MATCH(E340,'07_スキル辞書'!$A$4:$A$109,0))="","",INDEX('07_スキル辞書'!$D$4:$D$109,MATCH(E340,'07_スキル辞書'!$A$4:$A$109,0))))</f>
        <v>適切な信頼・説明・介入UX</v>
      </c>
      <c r="G340" s="2">
        <v>2</v>
      </c>
      <c r="H340" s="28" t="str">
        <f>IF(COUNTIF('07_スキル辞書'!$A$4:$A$109,E340)&lt;&gt;1,"参照ID不正",IF(INDEX('07_スキル辞書'!$I$4:$I$109,MATCH(E340,'07_スキル辞書'!$A$4:$A$109,0))="","",INDEX('07_スキル辞書'!$I$4:$I$109,MATCH(E340,'07_スキル辞書'!$A$4:$A$109,0))))</f>
        <v>UX試験・介入評価・救済導線</v>
      </c>
      <c r="I340" s="2" t="s">
        <v>2900</v>
      </c>
    </row>
    <row r="341" spans="1:9" ht="38" customHeight="1" x14ac:dyDescent="0.2">
      <c r="A341" s="4" t="s">
        <v>1307</v>
      </c>
      <c r="B341" s="28" t="str">
        <f>IF(COUNTIF('02_工程タスク'!$A$4:$A$135,A341)&lt;&gt;1,"参照ID不正",IF(INDEX('02_工程タスク'!$D$4:$D$135,MATCH(A341,'02_工程タスク'!$A$4:$A$135,0))="","",INDEX('02_工程タスク'!$D$4:$D$135,MATCH(A341,'02_工程タスク'!$A$4:$A$135,0))))</f>
        <v>検知・封じ込め・安全停止</v>
      </c>
      <c r="C341" s="28" t="str">
        <f>IF(COUNTIF('02_工程タスク'!$A$4:$A$135,A341)&lt;&gt;1,"参照ID不正",IF(INDEX('02_工程タスク'!$G$4:$G$135,MATCH(A341,'02_工程タスク'!$A$4:$A$135,0))="","",INDEX('02_工程タスク'!$G$4:$G$135,MATCH(A341,'02_工程タスク'!$A$4:$A$135,0))))</f>
        <v>R12, R13, R17</v>
      </c>
      <c r="D341" s="28" t="str">
        <f>IF(COUNTIF('02_工程タスク'!$A$4:$A$135,A341)&lt;&gt;1,"参照ID不正",IF(INDEX('02_工程タスク'!$H$4:$H$135,MATCH(A341,'02_工程タスク'!$A$4:$A$135,0))="","",INDEX('02_工程タスク'!$H$4:$H$135,MATCH(A341,'02_工程タスク'!$A$4:$A$135,0))))</f>
        <v>R18</v>
      </c>
      <c r="E341" s="4" t="s">
        <v>2336</v>
      </c>
      <c r="F341" s="28" t="str">
        <f>IF(COUNTIF('07_スキル辞書'!$A$4:$A$109,E341)&lt;&gt;1,"参照ID不正",IF(INDEX('07_スキル辞書'!$D$4:$D$109,MATCH(E341,'07_スキル辞書'!$A$4:$A$109,0))="","",INDEX('07_スキル辞書'!$D$4:$D$109,MATCH(E341,'07_スキル辞書'!$A$4:$A$109,0))))</f>
        <v>インシデント管理とエスカレーション運営</v>
      </c>
      <c r="G341" s="4">
        <v>2</v>
      </c>
      <c r="H341" s="28" t="str">
        <f>IF(COUNTIF('07_スキル辞書'!$A$4:$A$109,E341)&lt;&gt;1,"参照ID不正",IF(INDEX('07_スキル辞書'!$I$4:$I$109,MATCH(E341,'07_スキル辞書'!$A$4:$A$109,0))="","",INDEX('07_スキル辞書'!$I$4:$I$109,MATCH(E341,'07_スキル辞書'!$A$4:$A$109,0))))</f>
        <v>アラート管理の設定、インシデント優先度定義書、エスカレーション手順書、ポストモーテム報告書</v>
      </c>
      <c r="I341" s="4" t="s">
        <v>2900</v>
      </c>
    </row>
    <row r="342" spans="1:9" ht="38" customHeight="1" x14ac:dyDescent="0.2">
      <c r="A342" s="2" t="s">
        <v>1307</v>
      </c>
      <c r="B342" s="28" t="str">
        <f>IF(COUNTIF('02_工程タスク'!$A$4:$A$135,A342)&lt;&gt;1,"参照ID不正",IF(INDEX('02_工程タスク'!$D$4:$D$135,MATCH(A342,'02_工程タスク'!$A$4:$A$135,0))="","",INDEX('02_工程タスク'!$D$4:$D$135,MATCH(A342,'02_工程タスク'!$A$4:$A$135,0))))</f>
        <v>検知・封じ込め・安全停止</v>
      </c>
      <c r="C342" s="28" t="str">
        <f>IF(COUNTIF('02_工程タスク'!$A$4:$A$135,A342)&lt;&gt;1,"参照ID不正",IF(INDEX('02_工程タスク'!$G$4:$G$135,MATCH(A342,'02_工程タスク'!$A$4:$A$135,0))="","",INDEX('02_工程タスク'!$G$4:$G$135,MATCH(A342,'02_工程タスク'!$A$4:$A$135,0))))</f>
        <v>R12, R13, R17</v>
      </c>
      <c r="D342" s="28" t="str">
        <f>IF(COUNTIF('02_工程タスク'!$A$4:$A$135,A342)&lt;&gt;1,"参照ID不正",IF(INDEX('02_工程タスク'!$H$4:$H$135,MATCH(A342,'02_工程タスク'!$A$4:$A$135,0))="","",INDEX('02_工程タスク'!$H$4:$H$135,MATCH(A342,'02_工程タスク'!$A$4:$A$135,0))))</f>
        <v>R18</v>
      </c>
      <c r="E342" s="2" t="s">
        <v>2353</v>
      </c>
      <c r="F342" s="28" t="str">
        <f>IF(COUNTIF('07_スキル辞書'!$A$4:$A$109,E342)&lt;&gt;1,"参照ID不正",IF(INDEX('07_スキル辞書'!$D$4:$D$109,MATCH(E342,'07_スキル辞書'!$A$4:$A$109,0))="","",INDEX('07_スキル辞書'!$D$4:$D$109,MATCH(E342,'07_スキル辞書'!$A$4:$A$109,0))))</f>
        <v>リリース・デプロイ戦略とロールバック</v>
      </c>
      <c r="G342" s="2">
        <v>2</v>
      </c>
      <c r="H342" s="28" t="str">
        <f>IF(COUNTIF('07_スキル辞書'!$A$4:$A$109,E342)&lt;&gt;1,"参照ID不正",IF(INDEX('07_スキル辞書'!$I$4:$I$109,MATCH(E342,'07_スキル辞書'!$A$4:$A$109,0))="","",INDEX('07_スキル辞書'!$I$4:$I$109,MATCH(E342,'07_スキル辞書'!$A$4:$A$109,0))))</f>
        <v>リリース計画書、リリースノート、本番稼働中のシステム、デプロイ戦略の実装、切替記録、モデルロールバック手順書</v>
      </c>
      <c r="I342" s="2" t="s">
        <v>2900</v>
      </c>
    </row>
    <row r="343" spans="1:9" ht="38" customHeight="1" x14ac:dyDescent="0.2">
      <c r="A343" s="4" t="s">
        <v>1307</v>
      </c>
      <c r="B343" s="28" t="str">
        <f>IF(COUNTIF('02_工程タスク'!$A$4:$A$135,A343)&lt;&gt;1,"参照ID不正",IF(INDEX('02_工程タスク'!$D$4:$D$135,MATCH(A343,'02_工程タスク'!$A$4:$A$135,0))="","",INDEX('02_工程タスク'!$D$4:$D$135,MATCH(A343,'02_工程タスク'!$A$4:$A$135,0))))</f>
        <v>検知・封じ込め・安全停止</v>
      </c>
      <c r="C343" s="28" t="str">
        <f>IF(COUNTIF('02_工程タスク'!$A$4:$A$135,A343)&lt;&gt;1,"参照ID不正",IF(INDEX('02_工程タスク'!$G$4:$G$135,MATCH(A343,'02_工程タスク'!$A$4:$A$135,0))="","",INDEX('02_工程タスク'!$G$4:$G$135,MATCH(A343,'02_工程タスク'!$A$4:$A$135,0))))</f>
        <v>R12, R13, R17</v>
      </c>
      <c r="D343" s="28" t="str">
        <f>IF(COUNTIF('02_工程タスク'!$A$4:$A$135,A343)&lt;&gt;1,"参照ID不正",IF(INDEX('02_工程タスク'!$H$4:$H$135,MATCH(A343,'02_工程タスク'!$A$4:$A$135,0))="","",INDEX('02_工程タスク'!$H$4:$H$135,MATCH(A343,'02_工程タスク'!$A$4:$A$135,0))))</f>
        <v>R18</v>
      </c>
      <c r="E343" s="4" t="s">
        <v>2623</v>
      </c>
      <c r="F343" s="28" t="str">
        <f>IF(COUNTIF('07_スキル辞書'!$A$4:$A$109,E343)&lt;&gt;1,"参照ID不正",IF(INDEX('07_スキル辞書'!$D$4:$D$109,MATCH(E343,'07_スキル辞書'!$A$4:$A$109,0))="","",INDEX('07_スキル辞書'!$D$4:$D$109,MATCH(E343,'07_スキル辞書'!$A$4:$A$109,0))))</f>
        <v>開発エージェントの権限・通信・供給網統制</v>
      </c>
      <c r="G343" s="4">
        <v>2</v>
      </c>
      <c r="H343" s="28" t="str">
        <f>IF(COUNTIF('07_スキル辞書'!$A$4:$A$109,E343)&lt;&gt;1,"参照ID不正",IF(INDEX('07_スキル辞書'!$I$4:$I$109,MATCH(E343,'07_スキル辞書'!$A$4:$A$109,0))="","",INDEX('07_スキル辞書'!$I$4:$I$109,MATCH(E343,'07_スキル辞書'!$A$4:$A$109,0))))</f>
        <v>ツール許可台帳／sandbox設定／通信・権限試験／秘密検査</v>
      </c>
      <c r="I343" s="4" t="s">
        <v>2900</v>
      </c>
    </row>
    <row r="344" spans="1:9" ht="38" customHeight="1" x14ac:dyDescent="0.2">
      <c r="A344" s="2" t="s">
        <v>1307</v>
      </c>
      <c r="B344" s="28" t="str">
        <f>IF(COUNTIF('02_工程タスク'!$A$4:$A$135,A344)&lt;&gt;1,"参照ID不正",IF(INDEX('02_工程タスク'!$D$4:$D$135,MATCH(A344,'02_工程タスク'!$A$4:$A$135,0))="","",INDEX('02_工程タスク'!$D$4:$D$135,MATCH(A344,'02_工程タスク'!$A$4:$A$135,0))))</f>
        <v>検知・封じ込め・安全停止</v>
      </c>
      <c r="C344" s="28" t="str">
        <f>IF(COUNTIF('02_工程タスク'!$A$4:$A$135,A344)&lt;&gt;1,"参照ID不正",IF(INDEX('02_工程タスク'!$G$4:$G$135,MATCH(A344,'02_工程タスク'!$A$4:$A$135,0))="","",INDEX('02_工程タスク'!$G$4:$G$135,MATCH(A344,'02_工程タスク'!$A$4:$A$135,0))))</f>
        <v>R12, R13, R17</v>
      </c>
      <c r="D344" s="28" t="str">
        <f>IF(COUNTIF('02_工程タスク'!$A$4:$A$135,A344)&lt;&gt;1,"参照ID不正",IF(INDEX('02_工程タスク'!$H$4:$H$135,MATCH(A344,'02_工程タスク'!$A$4:$A$135,0))="","",INDEX('02_工程タスク'!$H$4:$H$135,MATCH(A344,'02_工程タスク'!$A$4:$A$135,0))))</f>
        <v>R18</v>
      </c>
      <c r="E344" s="2" t="s">
        <v>2845</v>
      </c>
      <c r="F344" s="28" t="str">
        <f>IF(COUNTIF('07_スキル辞書'!$A$4:$A$109,E344)&lt;&gt;1,"参照ID不正",IF(INDEX('07_スキル辞書'!$D$4:$D$109,MATCH(E344,'07_スキル辞書'!$A$4:$A$109,0))="","",INDEX('07_スキル辞書'!$D$4:$D$109,MATCH(E344,'07_スキル辞書'!$A$4:$A$109,0))))</f>
        <v>顧客通知・重大度・救済の連携</v>
      </c>
      <c r="G344" s="2">
        <v>2</v>
      </c>
      <c r="H344" s="28" t="str">
        <f>IF(COUNTIF('07_スキル辞書'!$A$4:$A$109,E344)&lt;&gt;1,"参照ID不正",IF(INDEX('07_スキル辞書'!$I$4:$I$109,MATCH(E344,'07_スキル辞書'!$A$4:$A$109,0))="","",INDEX('07_スキル辞書'!$I$4:$I$109,MATCH(E344,'07_スキル辞書'!$A$4:$A$109,0))))</f>
        <v>Incident通知・救済・振り返り</v>
      </c>
      <c r="I344" s="2" t="s">
        <v>2900</v>
      </c>
    </row>
    <row r="345" spans="1:9" ht="38" customHeight="1" x14ac:dyDescent="0.2">
      <c r="A345" s="4" t="s">
        <v>1315</v>
      </c>
      <c r="B345" s="28" t="str">
        <f>IF(COUNTIF('02_工程タスク'!$A$4:$A$135,A345)&lt;&gt;1,"参照ID不正",IF(INDEX('02_工程タスク'!$D$4:$D$135,MATCH(A345,'02_工程タスク'!$A$4:$A$135,0))="","",INDEX('02_工程タスク'!$D$4:$D$135,MATCH(A345,'02_工程タスク'!$A$4:$A$135,0))))</f>
        <v>RCA・再発防止・評価還流</v>
      </c>
      <c r="C345" s="28" t="str">
        <f>IF(COUNTIF('02_工程タスク'!$A$4:$A$135,A345)&lt;&gt;1,"参照ID不正",IF(INDEX('02_工程タスク'!$G$4:$G$135,MATCH(A345,'02_工程タスク'!$A$4:$A$135,0))="","",INDEX('02_工程タスク'!$G$4:$G$135,MATCH(A345,'02_工程タスク'!$A$4:$A$135,0))))</f>
        <v>R12, R11, R08</v>
      </c>
      <c r="D345" s="28" t="str">
        <f>IF(COUNTIF('02_工程タスク'!$A$4:$A$135,A345)&lt;&gt;1,"参照ID不正",IF(INDEX('02_工程タスク'!$H$4:$H$135,MATCH(A345,'02_工程タスク'!$A$4:$A$135,0))="","",INDEX('02_工程タスク'!$H$4:$H$135,MATCH(A345,'02_工程タスク'!$A$4:$A$135,0))))</f>
        <v>R18</v>
      </c>
      <c r="E345" s="4" t="s">
        <v>2345</v>
      </c>
      <c r="F345" s="28" t="str">
        <f>IF(COUNTIF('07_スキル辞書'!$A$4:$A$109,E345)&lt;&gt;1,"参照ID不正",IF(INDEX('07_スキル辞書'!$D$4:$D$109,MATCH(E345,'07_スキル辞書'!$A$4:$A$109,0))="","",INDEX('07_スキル辞書'!$D$4:$D$109,MATCH(E345,'07_スキル辞書'!$A$4:$A$109,0))))</f>
        <v>根本原因分析とトラブルシューティング</v>
      </c>
      <c r="G345" s="4">
        <v>2</v>
      </c>
      <c r="H345" s="28" t="str">
        <f>IF(COUNTIF('07_スキル辞書'!$A$4:$A$109,E345)&lt;&gt;1,"参照ID不正",IF(INDEX('07_スキル辞書'!$I$4:$I$109,MATCH(E345,'07_スキル辞書'!$A$4:$A$109,0))="","",INDEX('07_スキル辞書'!$I$4:$I$109,MATCH(E345,'07_スキル辞書'!$A$4:$A$109,0))))</f>
        <v>相関ダッシュボード、根本原因分析レポート、ポストモーテム報告書、改善アクションリスト</v>
      </c>
      <c r="I345" s="4" t="s">
        <v>2900</v>
      </c>
    </row>
    <row r="346" spans="1:9" ht="38" customHeight="1" x14ac:dyDescent="0.2">
      <c r="A346" s="2" t="s">
        <v>1315</v>
      </c>
      <c r="B346" s="28" t="str">
        <f>IF(COUNTIF('02_工程タスク'!$A$4:$A$135,A346)&lt;&gt;1,"参照ID不正",IF(INDEX('02_工程タスク'!$D$4:$D$135,MATCH(A346,'02_工程タスク'!$A$4:$A$135,0))="","",INDEX('02_工程タスク'!$D$4:$D$135,MATCH(A346,'02_工程タスク'!$A$4:$A$135,0))))</f>
        <v>RCA・再発防止・評価還流</v>
      </c>
      <c r="C346" s="28" t="str">
        <f>IF(COUNTIF('02_工程タスク'!$A$4:$A$135,A346)&lt;&gt;1,"参照ID不正",IF(INDEX('02_工程タスク'!$G$4:$G$135,MATCH(A346,'02_工程タスク'!$A$4:$A$135,0))="","",INDEX('02_工程タスク'!$G$4:$G$135,MATCH(A346,'02_工程タスク'!$A$4:$A$135,0))))</f>
        <v>R12, R11, R08</v>
      </c>
      <c r="D346" s="28" t="str">
        <f>IF(COUNTIF('02_工程タスク'!$A$4:$A$135,A346)&lt;&gt;1,"参照ID不正",IF(INDEX('02_工程タスク'!$H$4:$H$135,MATCH(A346,'02_工程タスク'!$A$4:$A$135,0))="","",INDEX('02_工程タスク'!$H$4:$H$135,MATCH(A346,'02_工程タスク'!$A$4:$A$135,0))))</f>
        <v>R18</v>
      </c>
      <c r="E346" s="2" t="s">
        <v>2380</v>
      </c>
      <c r="F346" s="28" t="str">
        <f>IF(COUNTIF('07_スキル辞書'!$A$4:$A$109,E346)&lt;&gt;1,"参照ID不正",IF(INDEX('07_スキル辞書'!$D$4:$D$109,MATCH(E346,'07_スキル辞書'!$A$4:$A$109,0))="","",INDEX('07_スキル辞書'!$D$4:$D$109,MATCH(E346,'07_スキル辞書'!$A$4:$A$109,0))))</f>
        <v>テクニカルドキュメンテーションと引継ぎ</v>
      </c>
      <c r="G346" s="2">
        <v>2</v>
      </c>
      <c r="H346" s="28" t="str">
        <f>IF(COUNTIF('07_スキル辞書'!$A$4:$A$109,E346)&lt;&gt;1,"参照ID不正",IF(INDEX('07_スキル辞書'!$I$4:$I$109,MATCH(E346,'07_スキル辞書'!$A$4:$A$109,0))="","",INDEX('07_スキル辞書'!$I$4:$I$109,MATCH(E346,'07_スキル辞書'!$A$4:$A$109,0))))</f>
        <v>システム運用マニュアル、障害対応マニュアル、運用引継ぎ完了報告書、最終版プロジェクトドキュメント一式、監視項目一覧</v>
      </c>
      <c r="I346" s="2" t="s">
        <v>2900</v>
      </c>
    </row>
    <row r="347" spans="1:9" ht="38" customHeight="1" x14ac:dyDescent="0.2">
      <c r="A347" s="4" t="s">
        <v>1315</v>
      </c>
      <c r="B347" s="28" t="str">
        <f>IF(COUNTIF('02_工程タスク'!$A$4:$A$135,A347)&lt;&gt;1,"参照ID不正",IF(INDEX('02_工程タスク'!$D$4:$D$135,MATCH(A347,'02_工程タスク'!$A$4:$A$135,0))="","",INDEX('02_工程タスク'!$D$4:$D$135,MATCH(A347,'02_工程タスク'!$A$4:$A$135,0))))</f>
        <v>RCA・再発防止・評価還流</v>
      </c>
      <c r="C347" s="28" t="str">
        <f>IF(COUNTIF('02_工程タスク'!$A$4:$A$135,A347)&lt;&gt;1,"参照ID不正",IF(INDEX('02_工程タスク'!$G$4:$G$135,MATCH(A347,'02_工程タスク'!$A$4:$A$135,0))="","",INDEX('02_工程タスク'!$G$4:$G$135,MATCH(A347,'02_工程タスク'!$A$4:$A$135,0))))</f>
        <v>R12, R11, R08</v>
      </c>
      <c r="D347" s="28" t="str">
        <f>IF(COUNTIF('02_工程タスク'!$A$4:$A$135,A347)&lt;&gt;1,"参照ID不正",IF(INDEX('02_工程タスク'!$H$4:$H$135,MATCH(A347,'02_工程タスク'!$A$4:$A$135,0))="","",INDEX('02_工程タスク'!$H$4:$H$135,MATCH(A347,'02_工程タスク'!$A$4:$A$135,0))))</f>
        <v>R18</v>
      </c>
      <c r="E347" s="4" t="s">
        <v>2569</v>
      </c>
      <c r="F347" s="28" t="str">
        <f>IF(COUNTIF('07_スキル辞書'!$A$4:$A$109,E347)&lt;&gt;1,"参照ID不正",IF(INDEX('07_スキル辞書'!$D$4:$D$109,MATCH(E347,'07_スキル辞書'!$A$4:$A$109,0))="","",INDEX('07_スキル辞書'!$D$4:$D$109,MATCH(E347,'07_スキル辞書'!$A$4:$A$109,0))))</f>
        <v>AI特化テスト設計</v>
      </c>
      <c r="G347" s="4">
        <v>2</v>
      </c>
      <c r="H347" s="28" t="str">
        <f>IF(COUNTIF('07_スキル辞書'!$A$4:$A$109,E347)&lt;&gt;1,"参照ID不正",IF(INDEX('07_スキル辞書'!$I$4:$I$109,MATCH(E347,'07_スキル辞書'!$A$4:$A$109,0))="","",INDEX('07_スキル辞書'!$I$4:$I$109,MATCH(E347,'07_スキル辞書'!$A$4:$A$109,0))))</f>
        <v>AIモデル品質評価レポート、評価ハーネス、ゴールデンデータセット、システム総合テスト報告書</v>
      </c>
      <c r="I347" s="4" t="s">
        <v>2900</v>
      </c>
    </row>
    <row r="348" spans="1:9" ht="38" customHeight="1" x14ac:dyDescent="0.2">
      <c r="A348" s="2" t="s">
        <v>1315</v>
      </c>
      <c r="B348" s="28" t="str">
        <f>IF(COUNTIF('02_工程タスク'!$A$4:$A$135,A348)&lt;&gt;1,"参照ID不正",IF(INDEX('02_工程タスク'!$D$4:$D$135,MATCH(A348,'02_工程タスク'!$A$4:$A$135,0))="","",INDEX('02_工程タスク'!$D$4:$D$135,MATCH(A348,'02_工程タスク'!$A$4:$A$135,0))))</f>
        <v>RCA・再発防止・評価還流</v>
      </c>
      <c r="C348" s="28" t="str">
        <f>IF(COUNTIF('02_工程タスク'!$A$4:$A$135,A348)&lt;&gt;1,"参照ID不正",IF(INDEX('02_工程タスク'!$G$4:$G$135,MATCH(A348,'02_工程タスク'!$A$4:$A$135,0))="","",INDEX('02_工程タスク'!$G$4:$G$135,MATCH(A348,'02_工程タスク'!$A$4:$A$135,0))))</f>
        <v>R12, R11, R08</v>
      </c>
      <c r="D348" s="28" t="str">
        <f>IF(COUNTIF('02_工程タスク'!$A$4:$A$135,A348)&lt;&gt;1,"参照ID不正",IF(INDEX('02_工程タスク'!$H$4:$H$135,MATCH(A348,'02_工程タスク'!$A$4:$A$135,0))="","",INDEX('02_工程タスク'!$H$4:$H$135,MATCH(A348,'02_工程タスク'!$A$4:$A$135,0))))</f>
        <v>R18</v>
      </c>
      <c r="E348" s="2" t="s">
        <v>2799</v>
      </c>
      <c r="F348" s="28" t="str">
        <f>IF(COUNTIF('07_スキル辞書'!$A$4:$A$109,E348)&lt;&gt;1,"参照ID不正",IF(INDEX('07_スキル辞書'!$D$4:$D$109,MATCH(E348,'07_スキル辞書'!$A$4:$A$109,0))="","",INDEX('07_スキル辞書'!$D$4:$D$109,MATCH(E348,'07_スキル辞書'!$A$4:$A$109,0))))</f>
        <v>Agent Skillの設計・審査・ライフサイクル</v>
      </c>
      <c r="G348" s="2">
        <v>2</v>
      </c>
      <c r="H348" s="28" t="str">
        <f>IF(COUNTIF('07_スキル辞書'!$A$4:$A$109,E348)&lt;&gt;1,"参照ID不正",IF(INDEX('07_スキル辞書'!$I$4:$I$109,MATCH(E348,'07_スキル辞書'!$A$4:$A$109,0))="","",INDEX('07_スキル辞書'!$I$4:$I$109,MATCH(E348,'07_スキル辞書'!$A$4:$A$109,0))))</f>
        <v>Skill package・回帰・署名/版・廃止</v>
      </c>
      <c r="I348" s="2" t="s">
        <v>2900</v>
      </c>
    </row>
    <row r="349" spans="1:9" ht="38" customHeight="1" x14ac:dyDescent="0.2">
      <c r="A349" s="4" t="s">
        <v>1324</v>
      </c>
      <c r="B349" s="28" t="str">
        <f>IF(COUNTIF('02_工程タスク'!$A$4:$A$135,A349)&lt;&gt;1,"参照ID不正",IF(INDEX('02_工程タスク'!$D$4:$D$135,MATCH(A349,'02_工程タスク'!$A$4:$A$135,0))="","",INDEX('02_工程タスク'!$D$4:$D$135,MATCH(A349,'02_工程タスク'!$A$4:$A$135,0))))</f>
        <v>モデルEOL・規約・料金・地域の監視</v>
      </c>
      <c r="C349" s="28" t="str">
        <f>IF(COUNTIF('02_工程タスク'!$A$4:$A$135,A349)&lt;&gt;1,"参照ID不正",IF(INDEX('02_工程タスク'!$G$4:$G$135,MATCH(A349,'02_工程タスク'!$A$4:$A$135,0))="","",INDEX('02_工程タスク'!$G$4:$G$135,MATCH(A349,'02_工程タスク'!$A$4:$A$135,0))))</f>
        <v>R20, R08, R14</v>
      </c>
      <c r="D349" s="28" t="str">
        <f>IF(COUNTIF('02_工程タスク'!$A$4:$A$135,A349)&lt;&gt;1,"参照ID不正",IF(INDEX('02_工程タスク'!$H$4:$H$135,MATCH(A349,'02_工程タスク'!$A$4:$A$135,0))="","",INDEX('02_工程タスク'!$H$4:$H$135,MATCH(A349,'02_工程タスク'!$A$4:$A$135,0))))</f>
        <v>R18</v>
      </c>
      <c r="E349" s="4" t="s">
        <v>2046</v>
      </c>
      <c r="F349" s="28" t="str">
        <f>IF(COUNTIF('07_スキル辞書'!$A$4:$A$109,E349)&lt;&gt;1,"参照ID不正",IF(INDEX('07_スキル辞書'!$D$4:$D$109,MATCH(E349,'07_スキル辞書'!$A$4:$A$109,0))="","",INDEX('07_スキル辞書'!$D$4:$D$109,MATCH(E349,'07_スキル辞書'!$A$4:$A$109,0))))</f>
        <v>外部契約・調達・ベンダー受入</v>
      </c>
      <c r="G349" s="4">
        <v>2</v>
      </c>
      <c r="H349" s="28" t="str">
        <f>IF(COUNTIF('07_スキル辞書'!$A$4:$A$109,E349)&lt;&gt;1,"参照ID不正",IF(INDEX('07_スキル辞書'!$I$4:$I$109,MATCH(E349,'07_スキル辞書'!$A$4:$A$109,0))="","",INDEX('07_スキル辞書'!$I$4:$I$109,MATCH(E349,'07_スキル辞書'!$A$4:$A$109,0))))</f>
        <v>外部契約台帳・Supplier Acceptance・退出計画</v>
      </c>
      <c r="I349" s="4" t="s">
        <v>2900</v>
      </c>
    </row>
    <row r="350" spans="1:9" ht="38" customHeight="1" x14ac:dyDescent="0.2">
      <c r="A350" s="2" t="s">
        <v>1324</v>
      </c>
      <c r="B350" s="28" t="str">
        <f>IF(COUNTIF('02_工程タスク'!$A$4:$A$135,A350)&lt;&gt;1,"参照ID不正",IF(INDEX('02_工程タスク'!$D$4:$D$135,MATCH(A350,'02_工程タスク'!$A$4:$A$135,0))="","",INDEX('02_工程タスク'!$D$4:$D$135,MATCH(A350,'02_工程タスク'!$A$4:$A$135,0))))</f>
        <v>モデルEOL・規約・料金・地域の監視</v>
      </c>
      <c r="C350" s="28" t="str">
        <f>IF(COUNTIF('02_工程タスク'!$A$4:$A$135,A350)&lt;&gt;1,"参照ID不正",IF(INDEX('02_工程タスク'!$G$4:$G$135,MATCH(A350,'02_工程タスク'!$A$4:$A$135,0))="","",INDEX('02_工程タスク'!$G$4:$G$135,MATCH(A350,'02_工程タスク'!$A$4:$A$135,0))))</f>
        <v>R20, R08, R14</v>
      </c>
      <c r="D350" s="28" t="str">
        <f>IF(COUNTIF('02_工程タスク'!$A$4:$A$135,A350)&lt;&gt;1,"参照ID不正",IF(INDEX('02_工程タスク'!$H$4:$H$135,MATCH(A350,'02_工程タスク'!$A$4:$A$135,0))="","",INDEX('02_工程タスク'!$H$4:$H$135,MATCH(A350,'02_工程タスク'!$A$4:$A$135,0))))</f>
        <v>R18</v>
      </c>
      <c r="E350" s="2" t="s">
        <v>2771</v>
      </c>
      <c r="F350" s="28" t="str">
        <f>IF(COUNTIF('07_スキル辞書'!$A$4:$A$109,E350)&lt;&gt;1,"参照ID不正",IF(INDEX('07_スキル辞書'!$D$4:$D$109,MATCH(E350,'07_スキル辞書'!$A$4:$A$109,0))="","",INDEX('07_スキル辞書'!$D$4:$D$109,MATCH(E350,'07_スキル辞書'!$A$4:$A$109,0))))</f>
        <v>モデル・Provider・処理条件・EOL管理</v>
      </c>
      <c r="G350" s="2">
        <v>2</v>
      </c>
      <c r="H350" s="28" t="str">
        <f>IF(COUNTIF('07_スキル辞書'!$A$4:$A$109,E350)&lt;&gt;1,"参照ID不正",IF(INDEX('07_スキル辞書'!$I$4:$I$109,MATCH(E350,'07_スキル辞書'!$A$4:$A$109,0))="","",INDEX('07_スキル辞書'!$I$4:$I$109,MATCH(E350,'07_スキル辞書'!$A$4:$A$109,0))))</f>
        <v>AI依存台帳・規約差分・切替評価</v>
      </c>
      <c r="I350" s="2" t="s">
        <v>2900</v>
      </c>
    </row>
    <row r="351" spans="1:9" ht="38" customHeight="1" x14ac:dyDescent="0.2">
      <c r="A351" s="4" t="s">
        <v>1324</v>
      </c>
      <c r="B351" s="28" t="str">
        <f>IF(COUNTIF('02_工程タスク'!$A$4:$A$135,A351)&lt;&gt;1,"参照ID不正",IF(INDEX('02_工程タスク'!$D$4:$D$135,MATCH(A351,'02_工程タスク'!$A$4:$A$135,0))="","",INDEX('02_工程タスク'!$D$4:$D$135,MATCH(A351,'02_工程タスク'!$A$4:$A$135,0))))</f>
        <v>モデルEOL・規約・料金・地域の監視</v>
      </c>
      <c r="C351" s="28" t="str">
        <f>IF(COUNTIF('02_工程タスク'!$A$4:$A$135,A351)&lt;&gt;1,"参照ID不正",IF(INDEX('02_工程タスク'!$G$4:$G$135,MATCH(A351,'02_工程タスク'!$A$4:$A$135,0))="","",INDEX('02_工程タスク'!$G$4:$G$135,MATCH(A351,'02_工程タスク'!$A$4:$A$135,0))))</f>
        <v>R20, R08, R14</v>
      </c>
      <c r="D351" s="28" t="str">
        <f>IF(COUNTIF('02_工程タスク'!$A$4:$A$135,A351)&lt;&gt;1,"参照ID不正",IF(INDEX('02_工程タスク'!$H$4:$H$135,MATCH(A351,'02_工程タスク'!$A$4:$A$135,0))="","",INDEX('02_工程タスク'!$H$4:$H$135,MATCH(A351,'02_工程タスク'!$A$4:$A$135,0))))</f>
        <v>R18</v>
      </c>
      <c r="E351" s="4" t="s">
        <v>2651</v>
      </c>
      <c r="F351" s="28" t="str">
        <f>IF(COUNTIF('07_スキル辞書'!$A$4:$A$109,E351)&lt;&gt;1,"参照ID不正",IF(INDEX('07_スキル辞書'!$D$4:$D$109,MATCH(E351,'07_スキル辞書'!$A$4:$A$109,0))="","",INDEX('07_スキル辞書'!$D$4:$D$109,MATCH(E351,'07_スキル辞書'!$A$4:$A$109,0))))</f>
        <v>リスク比例の投資・公開・継続・変更判断</v>
      </c>
      <c r="G351" s="4">
        <v>3</v>
      </c>
      <c r="H351" s="28" t="str">
        <f>IF(COUNTIF('07_スキル辞書'!$A$4:$A$109,E351)&lt;&gt;1,"参照ID不正",IF(INDEX('07_スキル辞書'!$I$4:$I$109,MATCH(E351,'07_スキル辞書'!$A$4:$A$109,0))="","",INDEX('07_スキル辞書'!$I$4:$I$109,MATCH(E351,'07_スキル辞書'!$A$4:$A$109,0))))</f>
        <v>投資・Release・例外・継続判断記録</v>
      </c>
      <c r="I351" s="4" t="s">
        <v>2900</v>
      </c>
    </row>
    <row r="352" spans="1:9" ht="38" customHeight="1" x14ac:dyDescent="0.2">
      <c r="A352" s="2" t="s">
        <v>1333</v>
      </c>
      <c r="B352" s="28" t="str">
        <f>IF(COUNTIF('02_工程タスク'!$A$4:$A$135,A352)&lt;&gt;1,"参照ID不正",IF(INDEX('02_工程タスク'!$D$4:$D$135,MATCH(A352,'02_工程タスク'!$A$4:$A$135,0))="","",INDEX('02_工程タスク'!$D$4:$D$135,MATCH(A352,'02_工程タスク'!$A$4:$A$135,0))))</f>
        <v>脆弱性・パッチ・容量・復旧維持</v>
      </c>
      <c r="C352" s="28" t="str">
        <f>IF(COUNTIF('02_工程タスク'!$A$4:$A$135,A352)&lt;&gt;1,"参照ID不正",IF(INDEX('02_工程タスク'!$G$4:$G$135,MATCH(A352,'02_工程タスク'!$A$4:$A$135,0))="","",INDEX('02_工程タスク'!$G$4:$G$135,MATCH(A352,'02_工程タスク'!$A$4:$A$135,0))))</f>
        <v>R12, R13, R07</v>
      </c>
      <c r="D352" s="28" t="str">
        <f>IF(COUNTIF('02_工程タスク'!$A$4:$A$135,A352)&lt;&gt;1,"参照ID不正",IF(INDEX('02_工程タスク'!$H$4:$H$135,MATCH(A352,'02_工程タスク'!$A$4:$A$135,0))="","",INDEX('02_工程タスク'!$H$4:$H$135,MATCH(A352,'02_工程タスク'!$A$4:$A$135,0))))</f>
        <v>R18</v>
      </c>
      <c r="E352" s="2" t="s">
        <v>2362</v>
      </c>
      <c r="F352" s="28" t="str">
        <f>IF(COUNTIF('07_スキル辞書'!$A$4:$A$109,E352)&lt;&gt;1,"参照ID不正",IF(INDEX('07_スキル辞書'!$D$4:$D$109,MATCH(E352,'07_スキル辞書'!$A$4:$A$109,0))="","",INDEX('07_スキル辞書'!$D$4:$D$109,MATCH(E352,'07_スキル辞書'!$A$4:$A$109,0))))</f>
        <v>従来型保守・パッチ管理・DR/BCP</v>
      </c>
      <c r="G352" s="2">
        <v>2</v>
      </c>
      <c r="H352" s="28" t="str">
        <f>IF(COUNTIF('07_スキル辞書'!$A$4:$A$109,E352)&lt;&gt;1,"参照ID不正",IF(INDEX('07_スキル辞書'!$I$4:$I$109,MATCH(E352,'07_スキル辞書'!$A$4:$A$109,0))="","",INDEX('07_スキル辞書'!$I$4:$I$109,MATCH(E352,'07_スキル辞書'!$A$4:$A$109,0))))</f>
        <v>保守計画書、パッチ適用記録、DR/BCP手順書、IaCコード（更新版）、システム運用マニュアル</v>
      </c>
      <c r="I352" s="2" t="s">
        <v>2900</v>
      </c>
    </row>
    <row r="353" spans="1:9" ht="38" customHeight="1" x14ac:dyDescent="0.2">
      <c r="A353" s="4" t="s">
        <v>1333</v>
      </c>
      <c r="B353" s="28" t="str">
        <f>IF(COUNTIF('02_工程タスク'!$A$4:$A$135,A353)&lt;&gt;1,"参照ID不正",IF(INDEX('02_工程タスク'!$D$4:$D$135,MATCH(A353,'02_工程タスク'!$A$4:$A$135,0))="","",INDEX('02_工程タスク'!$D$4:$D$135,MATCH(A353,'02_工程タスク'!$A$4:$A$135,0))))</f>
        <v>脆弱性・パッチ・容量・復旧維持</v>
      </c>
      <c r="C353" s="28" t="str">
        <f>IF(COUNTIF('02_工程タスク'!$A$4:$A$135,A353)&lt;&gt;1,"参照ID不正",IF(INDEX('02_工程タスク'!$G$4:$G$135,MATCH(A353,'02_工程タスク'!$A$4:$A$135,0))="","",INDEX('02_工程タスク'!$G$4:$G$135,MATCH(A353,'02_工程タスク'!$A$4:$A$135,0))))</f>
        <v>R12, R13, R07</v>
      </c>
      <c r="D353" s="28" t="str">
        <f>IF(COUNTIF('02_工程タスク'!$A$4:$A$135,A353)&lt;&gt;1,"参照ID不正",IF(INDEX('02_工程タスク'!$H$4:$H$135,MATCH(A353,'02_工程タスク'!$A$4:$A$135,0))="","",INDEX('02_工程タスク'!$H$4:$H$135,MATCH(A353,'02_工程タスク'!$A$4:$A$135,0))))</f>
        <v>R18</v>
      </c>
      <c r="E353" s="4" t="s">
        <v>2219</v>
      </c>
      <c r="F353" s="28" t="str">
        <f>IF(COUNTIF('07_スキル辞書'!$A$4:$A$109,E353)&lt;&gt;1,"参照ID不正",IF(INDEX('07_スキル辞書'!$D$4:$D$109,MATCH(E353,'07_スキル辞書'!$A$4:$A$109,0))="","",INDEX('07_スキル辞書'!$D$4:$D$109,MATCH(E353,'07_スキル辞書'!$A$4:$A$109,0))))</f>
        <v>検証環境構築とIaC</v>
      </c>
      <c r="G353" s="4">
        <v>2</v>
      </c>
      <c r="H353" s="28" t="str">
        <f>IF(COUNTIF('07_スキル辞書'!$A$4:$A$109,E353)&lt;&gt;1,"参照ID不正",IF(INDEX('07_スキル辞書'!$I$4:$I$109,MATCH(E353,'07_スキル辞書'!$A$4:$A$109,0))="","",INDEX('07_スキル辞書'!$I$4:$I$109,MATCH(E353,'07_スキル辞書'!$A$4:$A$109,0))))</f>
        <v>検証環境、環境構築手順書、依存関係定義ファイル、IaCコード、インフラ構成図</v>
      </c>
      <c r="I353" s="4" t="s">
        <v>2900</v>
      </c>
    </row>
    <row r="354" spans="1:9" ht="38" customHeight="1" x14ac:dyDescent="0.2">
      <c r="A354" s="2" t="s">
        <v>1333</v>
      </c>
      <c r="B354" s="28" t="str">
        <f>IF(COUNTIF('02_工程タスク'!$A$4:$A$135,A354)&lt;&gt;1,"参照ID不正",IF(INDEX('02_工程タスク'!$D$4:$D$135,MATCH(A354,'02_工程タスク'!$A$4:$A$135,0))="","",INDEX('02_工程タスク'!$D$4:$D$135,MATCH(A354,'02_工程タスク'!$A$4:$A$135,0))))</f>
        <v>脆弱性・パッチ・容量・復旧維持</v>
      </c>
      <c r="C354" s="28" t="str">
        <f>IF(COUNTIF('02_工程タスク'!$A$4:$A$135,A354)&lt;&gt;1,"参照ID不正",IF(INDEX('02_工程タスク'!$G$4:$G$135,MATCH(A354,'02_工程タスク'!$A$4:$A$135,0))="","",INDEX('02_工程タスク'!$G$4:$G$135,MATCH(A354,'02_工程タスク'!$A$4:$A$135,0))))</f>
        <v>R12, R13, R07</v>
      </c>
      <c r="D354" s="28" t="str">
        <f>IF(COUNTIF('02_工程タスク'!$A$4:$A$135,A354)&lt;&gt;1,"参照ID不正",IF(INDEX('02_工程タスク'!$H$4:$H$135,MATCH(A354,'02_工程タスク'!$A$4:$A$135,0))="","",INDEX('02_工程タスク'!$H$4:$H$135,MATCH(A354,'02_工程タスク'!$A$4:$A$135,0))))</f>
        <v>R18</v>
      </c>
      <c r="E354" s="2" t="s">
        <v>2246</v>
      </c>
      <c r="F354" s="28" t="str">
        <f>IF(COUNTIF('07_スキル辞書'!$A$4:$A$109,E354)&lt;&gt;1,"参照ID不正",IF(INDEX('07_スキル辞書'!$D$4:$D$109,MATCH(E354,'07_スキル辞書'!$A$4:$A$109,0))="","",INDEX('07_スキル辞書'!$D$4:$D$109,MATCH(E354,'07_スキル辞書'!$A$4:$A$109,0))))</f>
        <v>データベース構築とバックアップ・リストア</v>
      </c>
      <c r="G354" s="2">
        <v>2</v>
      </c>
      <c r="H354" s="28" t="str">
        <f>IF(COUNTIF('07_スキル辞書'!$A$4:$A$109,E354)&lt;&gt;1,"参照ID不正",IF(INDEX('07_スキル辞書'!$I$4:$I$109,MATCH(E354,'07_スキル辞書'!$A$4:$A$109,0))="","",INDEX('07_スキル辞書'!$I$4:$I$109,MATCH(E354,'07_スキル辞書'!$A$4:$A$109,0))))</f>
        <v>構築済みデータベース、スキーマ定義書、バックアップ・リストア手順書、データ受領記録、アクセス制御設定</v>
      </c>
      <c r="I354" s="2" t="s">
        <v>2900</v>
      </c>
    </row>
    <row r="355" spans="1:9" ht="38" customHeight="1" x14ac:dyDescent="0.2">
      <c r="A355" s="4" t="s">
        <v>1341</v>
      </c>
      <c r="B355" s="28" t="str">
        <f>IF(COUNTIF('02_工程タスク'!$A$4:$A$135,A355)&lt;&gt;1,"参照ID不正",IF(INDEX('02_工程タスク'!$D$4:$D$135,MATCH(A355,'02_工程タスク'!$A$4:$A$135,0))="","",INDEX('02_工程タスク'!$D$4:$D$135,MATCH(A355,'02_工程タスク'!$A$4:$A$135,0))))</f>
        <v>Major Change判定・再ゲート</v>
      </c>
      <c r="C355" s="28" t="str">
        <f>IF(COUNTIF('02_工程タスク'!$A$4:$A$135,A355)&lt;&gt;1,"参照ID不正",IF(INDEX('02_工程タスク'!$G$4:$G$135,MATCH(A355,'02_工程タスク'!$A$4:$A$135,0))="","",INDEX('02_工程タスク'!$G$4:$G$135,MATCH(A355,'02_工程タスク'!$A$4:$A$135,0))))</f>
        <v>R03, R11, R13, R14</v>
      </c>
      <c r="D355" s="28" t="str">
        <f>IF(COUNTIF('02_工程タスク'!$A$4:$A$135,A355)&lt;&gt;1,"参照ID不正",IF(INDEX('02_工程タスク'!$H$4:$H$135,MATCH(A355,'02_工程タスク'!$A$4:$A$135,0))="","",INDEX('02_工程タスク'!$H$4:$H$135,MATCH(A355,'02_工程タスク'!$A$4:$A$135,0))))</f>
        <v>R18</v>
      </c>
      <c r="E355" s="4" t="s">
        <v>2164</v>
      </c>
      <c r="F355" s="28" t="str">
        <f>IF(COUNTIF('07_スキル辞書'!$A$4:$A$109,E355)&lt;&gt;1,"参照ID不正",IF(INDEX('07_スキル辞書'!$D$4:$D$109,MATCH(E355,'07_スキル辞書'!$A$4:$A$109,0))="","",INDEX('07_スキル辞書'!$D$4:$D$109,MATCH(E355,'07_スキル辞書'!$A$4:$A$109,0))))</f>
        <v>コード・データ・モデルのバージョン管理と再現性確保</v>
      </c>
      <c r="G355" s="4">
        <v>2</v>
      </c>
      <c r="H355" s="28" t="str">
        <f>IF(COUNTIF('07_スキル辞書'!$A$4:$A$109,E355)&lt;&gt;1,"参照ID不正",IF(INDEX('07_スキル辞書'!$I$4:$I$109,MATCH(E355,'07_スキル辞書'!$A$4:$A$109,0))="","",INDEX('07_スキル辞書'!$I$4:$I$109,MATCH(E355,'07_スキル辞書'!$A$4:$A$109,0))))</f>
        <v>依存関係定義ファイル、バージョン管理規約、モデルレジストリ、来歴記録、学習・改善ログ、プロンプト仕様書（版管理）</v>
      </c>
      <c r="I355" s="4" t="s">
        <v>2900</v>
      </c>
    </row>
    <row r="356" spans="1:9" ht="38" customHeight="1" x14ac:dyDescent="0.2">
      <c r="A356" s="2" t="s">
        <v>1341</v>
      </c>
      <c r="B356" s="28" t="str">
        <f>IF(COUNTIF('02_工程タスク'!$A$4:$A$135,A356)&lt;&gt;1,"参照ID不正",IF(INDEX('02_工程タスク'!$D$4:$D$135,MATCH(A356,'02_工程タスク'!$A$4:$A$135,0))="","",INDEX('02_工程タスク'!$D$4:$D$135,MATCH(A356,'02_工程タスク'!$A$4:$A$135,0))))</f>
        <v>Major Change判定・再ゲート</v>
      </c>
      <c r="C356" s="28" t="str">
        <f>IF(COUNTIF('02_工程タスク'!$A$4:$A$135,A356)&lt;&gt;1,"参照ID不正",IF(INDEX('02_工程タスク'!$G$4:$G$135,MATCH(A356,'02_工程タスク'!$A$4:$A$135,0))="","",INDEX('02_工程タスク'!$G$4:$G$135,MATCH(A356,'02_工程タスク'!$A$4:$A$135,0))))</f>
        <v>R03, R11, R13, R14</v>
      </c>
      <c r="D356" s="28" t="str">
        <f>IF(COUNTIF('02_工程タスク'!$A$4:$A$135,A356)&lt;&gt;1,"参照ID不正",IF(INDEX('02_工程タスク'!$H$4:$H$135,MATCH(A356,'02_工程タスク'!$A$4:$A$135,0))="","",INDEX('02_工程タスク'!$H$4:$H$135,MATCH(A356,'02_工程タスク'!$A$4:$A$135,0))))</f>
        <v>R18</v>
      </c>
      <c r="E356" s="2" t="s">
        <v>2641</v>
      </c>
      <c r="F356" s="28" t="str">
        <f>IF(COUNTIF('07_スキル辞書'!$A$4:$A$109,E356)&lt;&gt;1,"参照ID不正",IF(INDEX('07_スキル辞書'!$D$4:$D$109,MATCH(E356,'07_スキル辞書'!$A$4:$A$109,0))="","",INDEX('07_スキル辞書'!$D$4:$D$109,MATCH(E356,'07_スキル辞書'!$A$4:$A$109,0))))</f>
        <v>AI構成一式の更新・復旧・終了管理</v>
      </c>
      <c r="G356" s="2">
        <v>2</v>
      </c>
      <c r="H356" s="28" t="str">
        <f>IF(COUNTIF('07_スキル辞書'!$A$4:$A$109,E356)&lt;&gt;1,"参照ID不正",IF(INDEX('07_スキル辞書'!$I$4:$I$109,MATCH(E356,'07_スキル辞書'!$A$4:$A$109,0))="","",INDEX('07_スキル辞書'!$I$4:$I$109,MATCH(E356,'07_スキル辞書'!$A$4:$A$109,0))))</f>
        <v>構成manifest／復旧訓練／終了・削除・失効証跡</v>
      </c>
      <c r="I356" s="2" t="s">
        <v>2900</v>
      </c>
    </row>
    <row r="357" spans="1:9" ht="38" customHeight="1" x14ac:dyDescent="0.2">
      <c r="A357" s="4" t="s">
        <v>1341</v>
      </c>
      <c r="B357" s="28" t="str">
        <f>IF(COUNTIF('02_工程タスク'!$A$4:$A$135,A357)&lt;&gt;1,"参照ID不正",IF(INDEX('02_工程タスク'!$D$4:$D$135,MATCH(A357,'02_工程タスク'!$A$4:$A$135,0))="","",INDEX('02_工程タスク'!$D$4:$D$135,MATCH(A357,'02_工程タスク'!$A$4:$A$135,0))))</f>
        <v>Major Change判定・再ゲート</v>
      </c>
      <c r="C357" s="28" t="str">
        <f>IF(COUNTIF('02_工程タスク'!$A$4:$A$135,A357)&lt;&gt;1,"参照ID不正",IF(INDEX('02_工程タスク'!$G$4:$G$135,MATCH(A357,'02_工程タスク'!$A$4:$A$135,0))="","",INDEX('02_工程タスク'!$G$4:$G$135,MATCH(A357,'02_工程タスク'!$A$4:$A$135,0))))</f>
        <v>R03, R11, R13, R14</v>
      </c>
      <c r="D357" s="28" t="str">
        <f>IF(COUNTIF('02_工程タスク'!$A$4:$A$135,A357)&lt;&gt;1,"参照ID不正",IF(INDEX('02_工程タスク'!$H$4:$H$135,MATCH(A357,'02_工程タスク'!$A$4:$A$135,0))="","",INDEX('02_工程タスク'!$H$4:$H$135,MATCH(A357,'02_工程タスク'!$A$4:$A$135,0))))</f>
        <v>R18</v>
      </c>
      <c r="E357" s="4" t="s">
        <v>2651</v>
      </c>
      <c r="F357" s="28" t="str">
        <f>IF(COUNTIF('07_スキル辞書'!$A$4:$A$109,E357)&lt;&gt;1,"参照ID不正",IF(INDEX('07_スキル辞書'!$D$4:$D$109,MATCH(E357,'07_スキル辞書'!$A$4:$A$109,0))="","",INDEX('07_スキル辞書'!$D$4:$D$109,MATCH(E357,'07_スキル辞書'!$A$4:$A$109,0))))</f>
        <v>リスク比例の投資・公開・継続・変更判断</v>
      </c>
      <c r="G357" s="4">
        <v>3</v>
      </c>
      <c r="H357" s="28" t="str">
        <f>IF(COUNTIF('07_スキル辞書'!$A$4:$A$109,E357)&lt;&gt;1,"参照ID不正",IF(INDEX('07_スキル辞書'!$I$4:$I$109,MATCH(E357,'07_スキル辞書'!$A$4:$A$109,0))="","",INDEX('07_スキル辞書'!$I$4:$I$109,MATCH(E357,'07_スキル辞書'!$A$4:$A$109,0))))</f>
        <v>投資・Release・例外・継続判断記録</v>
      </c>
      <c r="I357" s="4" t="s">
        <v>2900</v>
      </c>
    </row>
    <row r="358" spans="1:9" ht="38" customHeight="1" x14ac:dyDescent="0.2">
      <c r="A358" s="2" t="s">
        <v>1350</v>
      </c>
      <c r="B358" s="28" t="str">
        <f>IF(COUNTIF('02_工程タスク'!$A$4:$A$135,A358)&lt;&gt;1,"参照ID不正",IF(INDEX('02_工程タスク'!$D$4:$D$135,MATCH(A358,'02_工程タスク'!$A$4:$A$135,0))="","",INDEX('02_工程タスク'!$D$4:$D$135,MATCH(A358,'02_工程タスク'!$A$4:$A$135,0))))</f>
        <v>フィードバック・機会・実験の更新</v>
      </c>
      <c r="C358" s="28" t="str">
        <f>IF(COUNTIF('02_工程タスク'!$A$4:$A$135,A358)&lt;&gt;1,"参照ID不正",IF(INDEX('02_工程タスク'!$G$4:$G$135,MATCH(A358,'02_工程タスク'!$A$4:$A$135,0))="","",INDEX('02_工程タスク'!$G$4:$G$135,MATCH(A358,'02_工程タスク'!$A$4:$A$135,0))))</f>
        <v>R02, R05, R17</v>
      </c>
      <c r="D358" s="28" t="str">
        <f>IF(COUNTIF('02_工程タスク'!$A$4:$A$135,A358)&lt;&gt;1,"参照ID不正",IF(INDEX('02_工程タスク'!$H$4:$H$135,MATCH(A358,'02_工程タスク'!$A$4:$A$135,0))="","",INDEX('02_工程タスク'!$H$4:$H$135,MATCH(A358,'02_工程タスク'!$A$4:$A$135,0))))</f>
        <v>R02</v>
      </c>
      <c r="E358" s="2" t="s">
        <v>2661</v>
      </c>
      <c r="F358" s="28" t="str">
        <f>IF(COUNTIF('07_スキル辞書'!$A$4:$A$109,E358)&lt;&gt;1,"参照ID不正",IF(INDEX('07_スキル辞書'!$D$4:$D$109,MATCH(E358,'07_スキル辞書'!$A$4:$A$109,0))="","",INDEX('07_スキル辞書'!$D$4:$D$109,MATCH(E358,'07_スキル辞書'!$A$4:$A$109,0))))</f>
        <v>課題発見と需要の反証</v>
      </c>
      <c r="G358" s="2">
        <v>2</v>
      </c>
      <c r="H358" s="28" t="str">
        <f>IF(COUNTIF('07_スキル辞書'!$A$4:$A$109,E358)&lt;&gt;1,"参照ID不正",IF(INDEX('07_スキル辞書'!$I$4:$I$109,MATCH(E358,'07_スキル辞書'!$A$4:$A$109,0))="","",INDEX('07_スキル辞書'!$I$4:$I$109,MATCH(E358,'07_スキル辞書'!$A$4:$A$109,0))))</f>
        <v>観察記録・Opportunity Brief</v>
      </c>
      <c r="I358" s="2" t="s">
        <v>2900</v>
      </c>
    </row>
    <row r="359" spans="1:9" ht="38" customHeight="1" x14ac:dyDescent="0.2">
      <c r="A359" s="4" t="s">
        <v>1350</v>
      </c>
      <c r="B359" s="28" t="str">
        <f>IF(COUNTIF('02_工程タスク'!$A$4:$A$135,A359)&lt;&gt;1,"参照ID不正",IF(INDEX('02_工程タスク'!$D$4:$D$135,MATCH(A359,'02_工程タスク'!$A$4:$A$135,0))="","",INDEX('02_工程タスク'!$D$4:$D$135,MATCH(A359,'02_工程タスク'!$A$4:$A$135,0))))</f>
        <v>フィードバック・機会・実験の更新</v>
      </c>
      <c r="C359" s="28" t="str">
        <f>IF(COUNTIF('02_工程タスク'!$A$4:$A$135,A359)&lt;&gt;1,"参照ID不正",IF(INDEX('02_工程タスク'!$G$4:$G$135,MATCH(A359,'02_工程タスク'!$A$4:$A$135,0))="","",INDEX('02_工程タスク'!$G$4:$G$135,MATCH(A359,'02_工程タスク'!$A$4:$A$135,0))))</f>
        <v>R02, R05, R17</v>
      </c>
      <c r="D359" s="28" t="str">
        <f>IF(COUNTIF('02_工程タスク'!$A$4:$A$135,A359)&lt;&gt;1,"参照ID不正",IF(INDEX('02_工程タスク'!$H$4:$H$135,MATCH(A359,'02_工程タスク'!$A$4:$A$135,0))="","",INDEX('02_工程タスク'!$H$4:$H$135,MATCH(A359,'02_工程タスク'!$A$4:$A$135,0))))</f>
        <v>R02</v>
      </c>
      <c r="E359" s="4" t="s">
        <v>2705</v>
      </c>
      <c r="F359" s="28" t="str">
        <f>IF(COUNTIF('07_スキル辞書'!$A$4:$A$109,E359)&lt;&gt;1,"参照ID不正",IF(INDEX('07_スキル辞書'!$D$4:$D$109,MATCH(E359,'07_スキル辞書'!$A$4:$A$109,0))="","",INDEX('07_スキル辞書'!$D$4:$D$109,MATCH(E359,'07_スキル辞書'!$A$4:$A$109,0))))</f>
        <v>仮説・実験・反証・意思決定</v>
      </c>
      <c r="G359" s="4">
        <v>2</v>
      </c>
      <c r="H359" s="28" t="str">
        <f>IF(COUNTIF('07_スキル辞書'!$A$4:$A$109,E359)&lt;&gt;1,"参照ID不正",IF(INDEX('07_スキル辞書'!$I$4:$I$109,MATCH(E359,'07_スキル辞書'!$A$4:$A$109,0))="","",INDEX('07_スキル辞書'!$I$4:$I$109,MATCH(E359,'07_スキル辞書'!$A$4:$A$109,0))))</f>
        <v>実験台帳・判断・学習ログ</v>
      </c>
      <c r="I359" s="4" t="s">
        <v>2900</v>
      </c>
    </row>
    <row r="360" spans="1:9" ht="38" customHeight="1" x14ac:dyDescent="0.2">
      <c r="A360" s="2" t="s">
        <v>1350</v>
      </c>
      <c r="B360" s="28" t="str">
        <f>IF(COUNTIF('02_工程タスク'!$A$4:$A$135,A360)&lt;&gt;1,"参照ID不正",IF(INDEX('02_工程タスク'!$D$4:$D$135,MATCH(A360,'02_工程タスク'!$A$4:$A$135,0))="","",INDEX('02_工程タスク'!$D$4:$D$135,MATCH(A360,'02_工程タスク'!$A$4:$A$135,0))))</f>
        <v>フィードバック・機会・実験の更新</v>
      </c>
      <c r="C360" s="28" t="str">
        <f>IF(COUNTIF('02_工程タスク'!$A$4:$A$135,A360)&lt;&gt;1,"参照ID不正",IF(INDEX('02_工程タスク'!$G$4:$G$135,MATCH(A360,'02_工程タスク'!$A$4:$A$135,0))="","",INDEX('02_工程タスク'!$G$4:$G$135,MATCH(A360,'02_工程タスク'!$A$4:$A$135,0))))</f>
        <v>R02, R05, R17</v>
      </c>
      <c r="D360" s="28" t="str">
        <f>IF(COUNTIF('02_工程タスク'!$A$4:$A$135,A360)&lt;&gt;1,"参照ID不正",IF(INDEX('02_工程タスク'!$H$4:$H$135,MATCH(A360,'02_工程タスク'!$A$4:$A$135,0))="","",INDEX('02_工程タスク'!$H$4:$H$135,MATCH(A360,'02_工程タスク'!$A$4:$A$135,0))))</f>
        <v>R02</v>
      </c>
      <c r="E360" s="2" t="s">
        <v>2863</v>
      </c>
      <c r="F360" s="28" t="str">
        <f>IF(COUNTIF('07_スキル辞書'!$A$4:$A$109,E360)&lt;&gt;1,"参照ID不正",IF(INDEX('07_スキル辞書'!$D$4:$D$109,MATCH(E360,'07_スキル辞書'!$A$4:$A$109,0))="","",INDEX('07_スキル辞書'!$D$4:$D$109,MATCH(E360,'07_スキル辞書'!$A$4:$A$109,0))))</f>
        <v>段階投資・学習価値・Pivot/Stop</v>
      </c>
      <c r="G360" s="2">
        <v>3</v>
      </c>
      <c r="H360" s="28" t="str">
        <f>IF(COUNTIF('07_スキル辞書'!$A$4:$A$109,E360)&lt;&gt;1,"参照ID不正",IF(INDEX('07_スキル辞書'!$I$4:$I$109,MATCH(E360,'07_スキル辞書'!$A$4:$A$109,0))="","",INDEX('07_スキル辞書'!$I$4:$I$109,MATCH(E360,'07_スキル辞書'!$A$4:$A$109,0))))</f>
        <v>G0/G4・実験・投資レビュー</v>
      </c>
      <c r="I360" s="2" t="s">
        <v>2900</v>
      </c>
    </row>
    <row r="361" spans="1:9" ht="38" customHeight="1" x14ac:dyDescent="0.2">
      <c r="A361" s="4" t="s">
        <v>1360</v>
      </c>
      <c r="B361" s="28" t="str">
        <f>IF(COUNTIF('02_工程タスク'!$A$4:$A$135,A361)&lt;&gt;1,"参照ID不正",IF(INDEX('02_工程タスク'!$D$4:$D$135,MATCH(A361,'02_工程タスク'!$A$4:$A$135,0))="","",INDEX('02_工程タスク'!$D$4:$D$135,MATCH(A361,'02_工程タスク'!$A$4:$A$135,0))))</f>
        <v>価格・導入・継続の実験</v>
      </c>
      <c r="C361" s="28" t="str">
        <f>IF(COUNTIF('02_工程タスク'!$A$4:$A$135,A361)&lt;&gt;1,"参照ID不正",IF(INDEX('02_工程タスク'!$G$4:$G$135,MATCH(A361,'02_工程タスク'!$A$4:$A$135,0))="","",INDEX('02_工程タスク'!$G$4:$G$135,MATCH(A361,'02_工程タスク'!$A$4:$A$135,0))))</f>
        <v>R16, R15, R02</v>
      </c>
      <c r="D361" s="28" t="str">
        <f>IF(COUNTIF('02_工程タスク'!$A$4:$A$135,A361)&lt;&gt;1,"参照ID不正",IF(INDEX('02_工程タスク'!$H$4:$H$135,MATCH(A361,'02_工程タスク'!$A$4:$A$135,0))="","",INDEX('02_工程タスク'!$H$4:$H$135,MATCH(A361,'02_工程タスク'!$A$4:$A$135,0))))</f>
        <v>R01</v>
      </c>
      <c r="E361" s="4" t="s">
        <v>2672</v>
      </c>
      <c r="F361" s="28" t="str">
        <f>IF(COUNTIF('07_スキル辞書'!$A$4:$A$109,E361)&lt;&gt;1,"参照ID不正",IF(INDEX('07_スキル辞書'!$D$4:$D$109,MATCH(E361,'07_スキル辞書'!$A$4:$A$109,0))="","",INDEX('07_スキル辞書'!$D$4:$D$109,MATCH(E361,'07_スキル辞書'!$A$4:$A$109,0))))</f>
        <v>価格・支払意思・パッケージ</v>
      </c>
      <c r="G361" s="4">
        <v>2</v>
      </c>
      <c r="H361" s="28" t="str">
        <f>IF(COUNTIF('07_スキル辞書'!$A$4:$A$109,E361)&lt;&gt;1,"参照ID不正",IF(INDEX('07_スキル辞書'!$I$4:$I$109,MATCH(E361,'07_スキル辞書'!$A$4:$A$109,0))="","",INDEX('07_スキル辞書'!$I$4:$I$109,MATCH(E361,'07_スキル辞書'!$A$4:$A$109,0))))</f>
        <v>価格実験・提供条件</v>
      </c>
      <c r="I361" s="4" t="s">
        <v>2900</v>
      </c>
    </row>
    <row r="362" spans="1:9" ht="38" customHeight="1" x14ac:dyDescent="0.2">
      <c r="A362" s="2" t="s">
        <v>1360</v>
      </c>
      <c r="B362" s="28" t="str">
        <f>IF(COUNTIF('02_工程タスク'!$A$4:$A$135,A362)&lt;&gt;1,"参照ID不正",IF(INDEX('02_工程タスク'!$D$4:$D$135,MATCH(A362,'02_工程タスク'!$A$4:$A$135,0))="","",INDEX('02_工程タスク'!$D$4:$D$135,MATCH(A362,'02_工程タスク'!$A$4:$A$135,0))))</f>
        <v>価格・導入・継続の実験</v>
      </c>
      <c r="C362" s="28" t="str">
        <f>IF(COUNTIF('02_工程タスク'!$A$4:$A$135,A362)&lt;&gt;1,"参照ID不正",IF(INDEX('02_工程タスク'!$G$4:$G$135,MATCH(A362,'02_工程タスク'!$A$4:$A$135,0))="","",INDEX('02_工程タスク'!$G$4:$G$135,MATCH(A362,'02_工程タスク'!$A$4:$A$135,0))))</f>
        <v>R16, R15, R02</v>
      </c>
      <c r="D362" s="28" t="str">
        <f>IF(COUNTIF('02_工程タスク'!$A$4:$A$135,A362)&lt;&gt;1,"参照ID不正",IF(INDEX('02_工程タスク'!$H$4:$H$135,MATCH(A362,'02_工程タスク'!$A$4:$A$135,0))="","",INDEX('02_工程タスク'!$H$4:$H$135,MATCH(A362,'02_工程タスク'!$A$4:$A$135,0))))</f>
        <v>R01</v>
      </c>
      <c r="E362" s="2" t="s">
        <v>2697</v>
      </c>
      <c r="F362" s="28" t="str">
        <f>IF(COUNTIF('07_スキル辞書'!$A$4:$A$109,E362)&lt;&gt;1,"参照ID不正",IF(INDEX('07_スキル辞書'!$D$4:$D$109,MATCH(E362,'07_スキル辞書'!$A$4:$A$109,0))="","",INDEX('07_スキル辞書'!$D$4:$D$109,MATCH(E362,'07_スキル辞書'!$A$4:$A$109,0))))</f>
        <v>ファネル・コホート・継続改善</v>
      </c>
      <c r="G362" s="2">
        <v>2</v>
      </c>
      <c r="H362" s="28" t="str">
        <f>IF(COUNTIF('07_スキル辞書'!$A$4:$A$109,E362)&lt;&gt;1,"参照ID不正",IF(INDEX('07_スキル辞書'!$I$4:$I$109,MATCH(E362,'07_スキル辞書'!$A$4:$A$109,0))="","",INDEX('07_スキル辞書'!$I$4:$I$109,MATCH(E362,'07_スキル辞書'!$A$4:$A$109,0))))</f>
        <v>ファネル・継続分析・実験</v>
      </c>
      <c r="I362" s="2" t="s">
        <v>2900</v>
      </c>
    </row>
    <row r="363" spans="1:9" ht="38" customHeight="1" x14ac:dyDescent="0.2">
      <c r="A363" s="4" t="s">
        <v>1360</v>
      </c>
      <c r="B363" s="28" t="str">
        <f>IF(COUNTIF('02_工程タスク'!$A$4:$A$135,A363)&lt;&gt;1,"参照ID不正",IF(INDEX('02_工程タスク'!$D$4:$D$135,MATCH(A363,'02_工程タスク'!$A$4:$A$135,0))="","",INDEX('02_工程タスク'!$D$4:$D$135,MATCH(A363,'02_工程タスク'!$A$4:$A$135,0))))</f>
        <v>価格・導入・継続の実験</v>
      </c>
      <c r="C363" s="28" t="str">
        <f>IF(COUNTIF('02_工程タスク'!$A$4:$A$135,A363)&lt;&gt;1,"参照ID不正",IF(INDEX('02_工程タスク'!$G$4:$G$135,MATCH(A363,'02_工程タスク'!$A$4:$A$135,0))="","",INDEX('02_工程タスク'!$G$4:$G$135,MATCH(A363,'02_工程タスク'!$A$4:$A$135,0))))</f>
        <v>R16, R15, R02</v>
      </c>
      <c r="D363" s="28" t="str">
        <f>IF(COUNTIF('02_工程タスク'!$A$4:$A$135,A363)&lt;&gt;1,"参照ID不正",IF(INDEX('02_工程タスク'!$H$4:$H$135,MATCH(A363,'02_工程タスク'!$A$4:$A$135,0))="","",INDEX('02_工程タスク'!$H$4:$H$135,MATCH(A363,'02_工程タスク'!$A$4:$A$135,0))))</f>
        <v>R01</v>
      </c>
      <c r="E363" s="4" t="s">
        <v>2705</v>
      </c>
      <c r="F363" s="28" t="str">
        <f>IF(COUNTIF('07_スキル辞書'!$A$4:$A$109,E363)&lt;&gt;1,"参照ID不正",IF(INDEX('07_スキル辞書'!$D$4:$D$109,MATCH(E363,'07_スキル辞書'!$A$4:$A$109,0))="","",INDEX('07_スキル辞書'!$D$4:$D$109,MATCH(E363,'07_スキル辞書'!$A$4:$A$109,0))))</f>
        <v>仮説・実験・反証・意思決定</v>
      </c>
      <c r="G363" s="4">
        <v>2</v>
      </c>
      <c r="H363" s="28" t="str">
        <f>IF(COUNTIF('07_スキル辞書'!$A$4:$A$109,E363)&lt;&gt;1,"参照ID不正",IF(INDEX('07_スキル辞書'!$I$4:$I$109,MATCH(E363,'07_スキル辞書'!$A$4:$A$109,0))="","",INDEX('07_スキル辞書'!$I$4:$I$109,MATCH(E363,'07_スキル辞書'!$A$4:$A$109,0))))</f>
        <v>実験台帳・判断・学習ログ</v>
      </c>
      <c r="I363" s="4" t="s">
        <v>2900</v>
      </c>
    </row>
    <row r="364" spans="1:9" ht="38" customHeight="1" x14ac:dyDescent="0.2">
      <c r="A364" s="2" t="s">
        <v>1360</v>
      </c>
      <c r="B364" s="28" t="str">
        <f>IF(COUNTIF('02_工程タスク'!$A$4:$A$135,A364)&lt;&gt;1,"参照ID不正",IF(INDEX('02_工程タスク'!$D$4:$D$135,MATCH(A364,'02_工程タスク'!$A$4:$A$135,0))="","",INDEX('02_工程タスク'!$D$4:$D$135,MATCH(A364,'02_工程タスク'!$A$4:$A$135,0))))</f>
        <v>価格・導入・継続の実験</v>
      </c>
      <c r="C364" s="28" t="str">
        <f>IF(COUNTIF('02_工程タスク'!$A$4:$A$135,A364)&lt;&gt;1,"参照ID不正",IF(INDEX('02_工程タスク'!$G$4:$G$135,MATCH(A364,'02_工程タスク'!$A$4:$A$135,0))="","",INDEX('02_工程タスク'!$G$4:$G$135,MATCH(A364,'02_工程タスク'!$A$4:$A$135,0))))</f>
        <v>R16, R15, R02</v>
      </c>
      <c r="D364" s="28" t="str">
        <f>IF(COUNTIF('02_工程タスク'!$A$4:$A$135,A364)&lt;&gt;1,"参照ID不正",IF(INDEX('02_工程タスク'!$H$4:$H$135,MATCH(A364,'02_工程タスク'!$A$4:$A$135,0))="","",INDEX('02_工程タスク'!$H$4:$H$135,MATCH(A364,'02_工程タスク'!$A$4:$A$135,0))))</f>
        <v>R01</v>
      </c>
      <c r="E364" s="2" t="s">
        <v>2732</v>
      </c>
      <c r="F364" s="28" t="str">
        <f>IF(COUNTIF('07_スキル辞書'!$A$4:$A$109,E364)&lt;&gt;1,"参照ID不正",IF(INDEX('07_スキル辞書'!$D$4:$D$109,MATCH(E364,'07_スキル辞書'!$A$4:$A$109,0))="","",INDEX('07_スキル辞書'!$D$4:$D$109,MATCH(E364,'07_スキル辞書'!$A$4:$A$109,0))))</f>
        <v>価値指標・計測・意思決定分析</v>
      </c>
      <c r="G364" s="2">
        <v>2</v>
      </c>
      <c r="H364" s="28" t="str">
        <f>IF(COUNTIF('07_スキル辞書'!$A$4:$A$109,E364)&lt;&gt;1,"参照ID不正",IF(INDEX('07_スキル辞書'!$I$4:$I$109,MATCH(E364,'07_スキル辞書'!$A$4:$A$109,0))="","",INDEX('07_スキル辞書'!$I$4:$I$109,MATCH(E364,'07_スキル辞書'!$A$4:$A$109,0))))</f>
        <v>KPI定義・計測試験・意思決定</v>
      </c>
      <c r="I364" s="2" t="s">
        <v>2900</v>
      </c>
    </row>
    <row r="365" spans="1:9" ht="38" customHeight="1" x14ac:dyDescent="0.2">
      <c r="A365" s="4" t="s">
        <v>1370</v>
      </c>
      <c r="B365" s="28" t="str">
        <f>IF(COUNTIF('02_工程タスク'!$A$4:$A$135,A365)&lt;&gt;1,"参照ID不正",IF(INDEX('02_工程タスク'!$D$4:$D$135,MATCH(A365,'02_工程タスク'!$A$4:$A$135,0))="","",INDEX('02_工程タスク'!$D$4:$D$135,MATCH(A365,'02_工程タスク'!$A$4:$A$135,0))))</f>
        <v>再学習・RAG更新の採否とデータ準備</v>
      </c>
      <c r="C365" s="28" t="str">
        <f>IF(COUNTIF('02_工程タスク'!$A$4:$A$135,A365)&lt;&gt;1,"参照ID不正",IF(INDEX('02_工程タスク'!$G$4:$G$135,MATCH(A365,'02_工程タスク'!$A$4:$A$135,0))="","",INDEX('02_工程タスク'!$G$4:$G$135,MATCH(A365,'02_工程タスク'!$A$4:$A$135,0))))</f>
        <v>R08, R09, R10</v>
      </c>
      <c r="D365" s="28" t="str">
        <f>IF(COUNTIF('02_工程タスク'!$A$4:$A$135,A365)&lt;&gt;1,"参照ID不正",IF(INDEX('02_工程タスク'!$H$4:$H$135,MATCH(A365,'02_工程タスク'!$A$4:$A$135,0))="","",INDEX('02_工程タスク'!$H$4:$H$135,MATCH(A365,'02_工程タスク'!$A$4:$A$135,0))))</f>
        <v>R06</v>
      </c>
      <c r="E365" s="4" t="s">
        <v>2426</v>
      </c>
      <c r="F365" s="28" t="str">
        <f>IF(COUNTIF('07_スキル辞書'!$A$4:$A$109,E365)&lt;&gt;1,"参照ID不正",IF(INDEX('07_スキル辞書'!$D$4:$D$109,MATCH(E365,'07_スキル辞書'!$A$4:$A$109,0))="","",INDEX('07_スキル辞書'!$D$4:$D$109,MATCH(E365,'07_スキル辞書'!$A$4:$A$109,0))))</f>
        <v>データ品質管理とクレンジング設計</v>
      </c>
      <c r="G365" s="4">
        <v>2</v>
      </c>
      <c r="H365" s="28" t="str">
        <f>IF(COUNTIF('07_スキル辞書'!$A$4:$A$109,E365)&lt;&gt;1,"参照ID不正",IF(INDEX('07_スキル辞書'!$I$4:$I$109,MATCH(E365,'07_スキル辞書'!$A$4:$A$109,0))="","",INDEX('07_スキル辞書'!$I$4:$I$109,MATCH(E365,'07_スキル辞書'!$A$4:$A$109,0))))</f>
        <v>データ品質基準定義書、クレンジングスクリプト、クレンジング済みデータ、データ品質レポート、品質レビュー済みデータセット</v>
      </c>
      <c r="I365" s="4" t="s">
        <v>2900</v>
      </c>
    </row>
    <row r="366" spans="1:9" ht="38" customHeight="1" x14ac:dyDescent="0.2">
      <c r="A366" s="2" t="s">
        <v>1370</v>
      </c>
      <c r="B366" s="28" t="str">
        <f>IF(COUNTIF('02_工程タスク'!$A$4:$A$135,A366)&lt;&gt;1,"参照ID不正",IF(INDEX('02_工程タスク'!$D$4:$D$135,MATCH(A366,'02_工程タスク'!$A$4:$A$135,0))="","",INDEX('02_工程タスク'!$D$4:$D$135,MATCH(A366,'02_工程タスク'!$A$4:$A$135,0))))</f>
        <v>再学習・RAG更新の採否とデータ準備</v>
      </c>
      <c r="C366" s="28" t="str">
        <f>IF(COUNTIF('02_工程タスク'!$A$4:$A$135,A366)&lt;&gt;1,"参照ID不正",IF(INDEX('02_工程タスク'!$G$4:$G$135,MATCH(A366,'02_工程タスク'!$A$4:$A$135,0))="","",INDEX('02_工程タスク'!$G$4:$G$135,MATCH(A366,'02_工程タスク'!$A$4:$A$135,0))))</f>
        <v>R08, R09, R10</v>
      </c>
      <c r="D366" s="28" t="str">
        <f>IF(COUNTIF('02_工程タスク'!$A$4:$A$135,A366)&lt;&gt;1,"参照ID不正",IF(INDEX('02_工程タスク'!$H$4:$H$135,MATCH(A366,'02_工程タスク'!$A$4:$A$135,0))="","",INDEX('02_工程タスク'!$H$4:$H$135,MATCH(A366,'02_工程タスク'!$A$4:$A$135,0))))</f>
        <v>R06</v>
      </c>
      <c r="E366" s="2" t="s">
        <v>2515</v>
      </c>
      <c r="F366" s="28" t="str">
        <f>IF(COUNTIF('07_スキル辞書'!$A$4:$A$109,E366)&lt;&gt;1,"参照ID不正",IF(INDEX('07_スキル辞書'!$D$4:$D$109,MATCH(E366,'07_スキル辞書'!$A$4:$A$109,0))="","",INDEX('07_スキル辞書'!$D$4:$D$109,MATCH(E366,'07_スキル辞書'!$A$4:$A$109,0))))</f>
        <v>本番モデルの最適化と再学習</v>
      </c>
      <c r="G366" s="2">
        <v>2</v>
      </c>
      <c r="H366" s="28" t="str">
        <f>IF(COUNTIF('07_スキル辞書'!$A$4:$A$109,E366)&lt;&gt;1,"参照ID不正",IF(INDEX('07_スキル辞書'!$I$4:$I$109,MATCH(E366,'07_スキル辞書'!$A$4:$A$109,0))="","",INDEX('07_スキル辞書'!$I$4:$I$109,MATCH(E366,'07_スキル辞書'!$A$4:$A$109,0))))</f>
        <v>本番用学習済みモデル、学習・評価スクリプト、最終モデル評価レポート、自動化された学習・評価パイプライン</v>
      </c>
      <c r="I366" s="2" t="s">
        <v>2900</v>
      </c>
    </row>
    <row r="367" spans="1:9" ht="38" customHeight="1" x14ac:dyDescent="0.2">
      <c r="A367" s="4" t="s">
        <v>1370</v>
      </c>
      <c r="B367" s="28" t="str">
        <f>IF(COUNTIF('02_工程タスク'!$A$4:$A$135,A367)&lt;&gt;1,"参照ID不正",IF(INDEX('02_工程タスク'!$D$4:$D$135,MATCH(A367,'02_工程タスク'!$A$4:$A$135,0))="","",INDEX('02_工程タスク'!$D$4:$D$135,MATCH(A367,'02_工程タスク'!$A$4:$A$135,0))))</f>
        <v>再学習・RAG更新の採否とデータ準備</v>
      </c>
      <c r="C367" s="28" t="str">
        <f>IF(COUNTIF('02_工程タスク'!$A$4:$A$135,A367)&lt;&gt;1,"参照ID不正",IF(INDEX('02_工程タスク'!$G$4:$G$135,MATCH(A367,'02_工程タスク'!$A$4:$A$135,0))="","",INDEX('02_工程タスク'!$G$4:$G$135,MATCH(A367,'02_工程タスク'!$A$4:$A$135,0))))</f>
        <v>R08, R09, R10</v>
      </c>
      <c r="D367" s="28" t="str">
        <f>IF(COUNTIF('02_工程タスク'!$A$4:$A$135,A367)&lt;&gt;1,"参照ID不正",IF(INDEX('02_工程タスク'!$H$4:$H$135,MATCH(A367,'02_工程タスク'!$A$4:$A$135,0))="","",INDEX('02_工程タスク'!$H$4:$H$135,MATCH(A367,'02_工程タスク'!$A$4:$A$135,0))))</f>
        <v>R06</v>
      </c>
      <c r="E367" s="4" t="s">
        <v>2578</v>
      </c>
      <c r="F367" s="28" t="str">
        <f>IF(COUNTIF('07_スキル辞書'!$A$4:$A$109,E367)&lt;&gt;1,"参照ID不正",IF(INDEX('07_スキル辞書'!$D$4:$D$109,MATCH(E367,'07_スキル辞書'!$A$4:$A$109,0))="","",INDEX('07_スキル辞書'!$D$4:$D$109,MATCH(E367,'07_スキル辞書'!$A$4:$A$109,0))))</f>
        <v>ドリフト検知と更新トリガー設計</v>
      </c>
      <c r="G367" s="4">
        <v>2</v>
      </c>
      <c r="H367" s="28" t="str">
        <f>IF(COUNTIF('07_スキル辞書'!$A$4:$A$109,E367)&lt;&gt;1,"参照ID不正",IF(INDEX('07_スキル辞書'!$I$4:$I$109,MATCH(E367,'07_スキル辞書'!$A$4:$A$109,0))="","",INDEX('07_スキル辞書'!$I$4:$I$109,MATCH(E367,'07_スキル辞書'!$A$4:$A$109,0))))</f>
        <v>ドリフト検知レポート、再学習トリガー定義書 / モデル・プロンプト更新方針、モデル性能ダッシュボード、データ品質レポート</v>
      </c>
      <c r="I367" s="4" t="s">
        <v>2900</v>
      </c>
    </row>
    <row r="368" spans="1:9" ht="38" customHeight="1" x14ac:dyDescent="0.2">
      <c r="A368" s="2" t="s">
        <v>1381</v>
      </c>
      <c r="B368" s="28" t="str">
        <f>IF(COUNTIF('02_工程タスク'!$A$4:$A$135,A368)&lt;&gt;1,"参照ID不正",IF(INDEX('02_工程タスク'!$D$4:$D$135,MATCH(A368,'02_工程タスク'!$A$4:$A$135,0))="","",INDEX('02_工程タスク'!$D$4:$D$135,MATCH(A368,'02_工程タスク'!$A$4:$A$135,0))))</f>
        <v>Champion/Challenger・回帰・独立評価</v>
      </c>
      <c r="C368" s="28" t="str">
        <f>IF(COUNTIF('02_工程タスク'!$A$4:$A$135,A368)&lt;&gt;1,"参照ID不正",IF(INDEX('02_工程タスク'!$G$4:$G$135,MATCH(A368,'02_工程タスク'!$A$4:$A$135,0))="","",INDEX('02_工程タスク'!$G$4:$G$135,MATCH(A368,'02_工程タスク'!$A$4:$A$135,0))))</f>
        <v>R11, R08, R13</v>
      </c>
      <c r="D368" s="28" t="str">
        <f>IF(COUNTIF('02_工程タスク'!$A$4:$A$135,A368)&lt;&gt;1,"参照ID不正",IF(INDEX('02_工程タスク'!$H$4:$H$135,MATCH(A368,'02_工程タスク'!$A$4:$A$135,0))="","",INDEX('02_工程タスク'!$H$4:$H$135,MATCH(A368,'02_工程タスク'!$A$4:$A$135,0))))</f>
        <v>R19</v>
      </c>
      <c r="E368" s="2" t="s">
        <v>2533</v>
      </c>
      <c r="F368" s="28" t="str">
        <f>IF(COUNTIF('07_スキル辞書'!$A$4:$A$109,E368)&lt;&gt;1,"参照ID不正",IF(INDEX('07_スキル辞書'!$D$4:$D$109,MATCH(E368,'07_スキル辞書'!$A$4:$A$109,0))="","",INDEX('07_スキル辞書'!$D$4:$D$109,MATCH(E368,'07_スキル辞書'!$A$4:$A$109,0))))</f>
        <v>モデル評価とエラー分析</v>
      </c>
      <c r="G368" s="2">
        <v>2</v>
      </c>
      <c r="H368" s="28" t="str">
        <f>IF(COUNTIF('07_スキル辞書'!$A$4:$A$109,E368)&lt;&gt;1,"参照ID不正",IF(INDEX('07_スキル辞書'!$I$4:$I$109,MATCH(E368,'07_スキル辞書'!$A$4:$A$109,0))="","",INDEX('07_スキル辞書'!$I$4:$I$109,MATCH(E368,'07_スキル辞書'!$A$4:$A$109,0))))</f>
        <v>モデル評価レポート、エラー分析レポート、最終性能評価レポート（信頼区間付き）、AIモデル品質評価レポート</v>
      </c>
      <c r="I368" s="2" t="s">
        <v>2900</v>
      </c>
    </row>
    <row r="369" spans="1:9" ht="38" customHeight="1" x14ac:dyDescent="0.2">
      <c r="A369" s="4" t="s">
        <v>1381</v>
      </c>
      <c r="B369" s="28" t="str">
        <f>IF(COUNTIF('02_工程タスク'!$A$4:$A$135,A369)&lt;&gt;1,"参照ID不正",IF(INDEX('02_工程タスク'!$D$4:$D$135,MATCH(A369,'02_工程タスク'!$A$4:$A$135,0))="","",INDEX('02_工程タスク'!$D$4:$D$135,MATCH(A369,'02_工程タスク'!$A$4:$A$135,0))))</f>
        <v>Champion/Challenger・回帰・独立評価</v>
      </c>
      <c r="C369" s="28" t="str">
        <f>IF(COUNTIF('02_工程タスク'!$A$4:$A$135,A369)&lt;&gt;1,"参照ID不正",IF(INDEX('02_工程タスク'!$G$4:$G$135,MATCH(A369,'02_工程タスク'!$A$4:$A$135,0))="","",INDEX('02_工程タスク'!$G$4:$G$135,MATCH(A369,'02_工程タスク'!$A$4:$A$135,0))))</f>
        <v>R11, R08, R13</v>
      </c>
      <c r="D369" s="28" t="str">
        <f>IF(COUNTIF('02_工程タスク'!$A$4:$A$135,A369)&lt;&gt;1,"参照ID不正",IF(INDEX('02_工程タスク'!$H$4:$H$135,MATCH(A369,'02_工程タスク'!$A$4:$A$135,0))="","",INDEX('02_工程タスク'!$H$4:$H$135,MATCH(A369,'02_工程タスク'!$A$4:$A$135,0))))</f>
        <v>R19</v>
      </c>
      <c r="E369" s="4" t="s">
        <v>2587</v>
      </c>
      <c r="F369" s="28" t="str">
        <f>IF(COUNTIF('07_スキル辞書'!$A$4:$A$109,E369)&lt;&gt;1,"参照ID不正",IF(INDEX('07_スキル辞書'!$D$4:$D$109,MATCH(E369,'07_スキル辞書'!$A$4:$A$109,0))="","",INDEX('07_スキル辞書'!$D$4:$D$109,MATCH(E369,'07_スキル辞書'!$A$4:$A$109,0))))</f>
        <v>チャンピオン・チャレンジャー評価設計</v>
      </c>
      <c r="G369" s="4">
        <v>2</v>
      </c>
      <c r="H369" s="28" t="str">
        <f>IF(COUNTIF('07_スキル辞書'!$A$4:$A$109,E369)&lt;&gt;1,"参照ID不正",IF(INDEX('07_スキル辞書'!$I$4:$I$109,MATCH(E369,'07_スキル辞書'!$A$4:$A$109,0))="","",INDEX('07_スキル辞書'!$I$4:$I$109,MATCH(E369,'07_スキル辞書'!$A$4:$A$109,0))))</f>
        <v>モデル比較レポート、承認記録、自動化された学習・評価パイプライン、切替記録</v>
      </c>
      <c r="I369" s="4" t="s">
        <v>2900</v>
      </c>
    </row>
    <row r="370" spans="1:9" ht="38" customHeight="1" x14ac:dyDescent="0.2">
      <c r="A370" s="2" t="s">
        <v>1381</v>
      </c>
      <c r="B370" s="28" t="str">
        <f>IF(COUNTIF('02_工程タスク'!$A$4:$A$135,A370)&lt;&gt;1,"参照ID不正",IF(INDEX('02_工程タスク'!$D$4:$D$135,MATCH(A370,'02_工程タスク'!$A$4:$A$135,0))="","",INDEX('02_工程タスク'!$D$4:$D$135,MATCH(A370,'02_工程タスク'!$A$4:$A$135,0))))</f>
        <v>Champion/Challenger・回帰・独立評価</v>
      </c>
      <c r="C370" s="28" t="str">
        <f>IF(COUNTIF('02_工程タスク'!$A$4:$A$135,A370)&lt;&gt;1,"参照ID不正",IF(INDEX('02_工程タスク'!$G$4:$G$135,MATCH(A370,'02_工程タスク'!$A$4:$A$135,0))="","",INDEX('02_工程タスク'!$G$4:$G$135,MATCH(A370,'02_工程タスク'!$A$4:$A$135,0))))</f>
        <v>R11, R08, R13</v>
      </c>
      <c r="D370" s="28" t="str">
        <f>IF(COUNTIF('02_工程タスク'!$A$4:$A$135,A370)&lt;&gt;1,"参照ID不正",IF(INDEX('02_工程タスク'!$H$4:$H$135,MATCH(A370,'02_工程タスク'!$A$4:$A$135,0))="","",INDEX('02_工程タスク'!$H$4:$H$135,MATCH(A370,'02_工程タスク'!$A$4:$A$135,0))))</f>
        <v>R19</v>
      </c>
      <c r="E370" s="2" t="s">
        <v>2614</v>
      </c>
      <c r="F370" s="28" t="str">
        <f>IF(COUNTIF('07_スキル辞書'!$A$4:$A$109,E370)&lt;&gt;1,"参照ID不正",IF(INDEX('07_スキル辞書'!$D$4:$D$109,MATCH(E370,'07_スキル辞書'!$A$4:$A$109,0))="","",INDEX('07_スキル辞書'!$D$4:$D$109,MATCH(E370,'07_スキル辞書'!$A$4:$A$109,0))))</f>
        <v>独立評価・採点較正・品質承認証拠</v>
      </c>
      <c r="G370" s="2">
        <v>3</v>
      </c>
      <c r="H370" s="28" t="str">
        <f>IF(COUNTIF('07_スキル辞書'!$A$4:$A$109,E370)&lt;&gt;1,"参照ID不正",IF(INDEX('07_スキル辞書'!$I$4:$I$109,MATCH(E370,'07_スキル辞書'!$A$4:$A$109,0))="","",INDEX('07_スキル辞書'!$I$4:$I$109,MATCH(E370,'07_スキル辞書'!$A$4:$A$109,0))))</f>
        <v>凍結評価・grader較正・G3品質勧告</v>
      </c>
      <c r="I370" s="2" t="s">
        <v>2900</v>
      </c>
    </row>
    <row r="371" spans="1:9" ht="38" customHeight="1" x14ac:dyDescent="0.2">
      <c r="A371" s="4" t="s">
        <v>1390</v>
      </c>
      <c r="B371" s="28" t="str">
        <f>IF(COUNTIF('02_工程タスク'!$A$4:$A$135,A371)&lt;&gt;1,"参照ID不正",IF(INDEX('02_工程タスク'!$D$4:$D$135,MATCH(A371,'02_工程タスク'!$A$4:$A$135,0))="","",INDEX('02_工程タスク'!$D$4:$D$135,MATCH(A371,'02_工程タスク'!$A$4:$A$135,0))))</f>
        <v>承認済み段階配備・rollback</v>
      </c>
      <c r="C371" s="28" t="str">
        <f>IF(COUNTIF('02_工程タスク'!$A$4:$A$135,A371)&lt;&gt;1,"参照ID不正",IF(INDEX('02_工程タスク'!$G$4:$G$135,MATCH(A371,'02_工程タスク'!$A$4:$A$135,0))="","",INDEX('02_工程タスク'!$G$4:$G$135,MATCH(A371,'02_工程タスク'!$A$4:$A$135,0))))</f>
        <v>R12, R18</v>
      </c>
      <c r="D371" s="28" t="str">
        <f>IF(COUNTIF('02_工程タスク'!$A$4:$A$135,A371)&lt;&gt;1,"参照ID不正",IF(INDEX('02_工程タスク'!$H$4:$H$135,MATCH(A371,'02_工程タスク'!$A$4:$A$135,0))="","",INDEX('02_工程タスク'!$H$4:$H$135,MATCH(A371,'02_工程タスク'!$A$4:$A$135,0))))</f>
        <v>R18</v>
      </c>
      <c r="E371" s="4" t="s">
        <v>2353</v>
      </c>
      <c r="F371" s="28" t="str">
        <f>IF(COUNTIF('07_スキル辞書'!$A$4:$A$109,E371)&lt;&gt;1,"参照ID不正",IF(INDEX('07_スキル辞書'!$D$4:$D$109,MATCH(E371,'07_スキル辞書'!$A$4:$A$109,0))="","",INDEX('07_スキル辞書'!$D$4:$D$109,MATCH(E371,'07_スキル辞書'!$A$4:$A$109,0))))</f>
        <v>リリース・デプロイ戦略とロールバック</v>
      </c>
      <c r="G371" s="4">
        <v>2</v>
      </c>
      <c r="H371" s="28" t="str">
        <f>IF(COUNTIF('07_スキル辞書'!$A$4:$A$109,E371)&lt;&gt;1,"参照ID不正",IF(INDEX('07_スキル辞書'!$I$4:$I$109,MATCH(E371,'07_スキル辞書'!$A$4:$A$109,0))="","",INDEX('07_スキル辞書'!$I$4:$I$109,MATCH(E371,'07_スキル辞書'!$A$4:$A$109,0))))</f>
        <v>リリース計画書、リリースノート、本番稼働中のシステム、デプロイ戦略の実装、切替記録、モデルロールバック手順書</v>
      </c>
      <c r="I371" s="4" t="s">
        <v>2900</v>
      </c>
    </row>
    <row r="372" spans="1:9" ht="38" customHeight="1" x14ac:dyDescent="0.2">
      <c r="A372" s="2" t="s">
        <v>1390</v>
      </c>
      <c r="B372" s="28" t="str">
        <f>IF(COUNTIF('02_工程タスク'!$A$4:$A$135,A372)&lt;&gt;1,"参照ID不正",IF(INDEX('02_工程タスク'!$D$4:$D$135,MATCH(A372,'02_工程タスク'!$A$4:$A$135,0))="","",INDEX('02_工程タスク'!$D$4:$D$135,MATCH(A372,'02_工程タスク'!$A$4:$A$135,0))))</f>
        <v>承認済み段階配備・rollback</v>
      </c>
      <c r="C372" s="28" t="str">
        <f>IF(COUNTIF('02_工程タスク'!$A$4:$A$135,A372)&lt;&gt;1,"参照ID不正",IF(INDEX('02_工程タスク'!$G$4:$G$135,MATCH(A372,'02_工程タスク'!$A$4:$A$135,0))="","",INDEX('02_工程タスク'!$G$4:$G$135,MATCH(A372,'02_工程タスク'!$A$4:$A$135,0))))</f>
        <v>R12, R18</v>
      </c>
      <c r="D372" s="28" t="str">
        <f>IF(COUNTIF('02_工程タスク'!$A$4:$A$135,A372)&lt;&gt;1,"参照ID不正",IF(INDEX('02_工程タスク'!$H$4:$H$135,MATCH(A372,'02_工程タスク'!$A$4:$A$135,0))="","",INDEX('02_工程タスク'!$H$4:$H$135,MATCH(A372,'02_工程タスク'!$A$4:$A$135,0))))</f>
        <v>R18</v>
      </c>
      <c r="E372" s="2" t="s">
        <v>2641</v>
      </c>
      <c r="F372" s="28" t="str">
        <f>IF(COUNTIF('07_スキル辞書'!$A$4:$A$109,E372)&lt;&gt;1,"参照ID不正",IF(INDEX('07_スキル辞書'!$D$4:$D$109,MATCH(E372,'07_スキル辞書'!$A$4:$A$109,0))="","",INDEX('07_スキル辞書'!$D$4:$D$109,MATCH(E372,'07_スキル辞書'!$A$4:$A$109,0))))</f>
        <v>AI構成一式の更新・復旧・終了管理</v>
      </c>
      <c r="G372" s="2">
        <v>2</v>
      </c>
      <c r="H372" s="28" t="str">
        <f>IF(COUNTIF('07_スキル辞書'!$A$4:$A$109,E372)&lt;&gt;1,"参照ID不正",IF(INDEX('07_スキル辞書'!$I$4:$I$109,MATCH(E372,'07_スキル辞書'!$A$4:$A$109,0))="","",INDEX('07_スキル辞書'!$I$4:$I$109,MATCH(E372,'07_スキル辞書'!$A$4:$A$109,0))))</f>
        <v>構成manifest／復旧訓練／終了・削除・失効証跡</v>
      </c>
      <c r="I372" s="2" t="s">
        <v>2900</v>
      </c>
    </row>
    <row r="373" spans="1:9" ht="38" customHeight="1" x14ac:dyDescent="0.2">
      <c r="A373" s="4" t="s">
        <v>1390</v>
      </c>
      <c r="B373" s="28" t="str">
        <f>IF(COUNTIF('02_工程タスク'!$A$4:$A$135,A373)&lt;&gt;1,"参照ID不正",IF(INDEX('02_工程タスク'!$D$4:$D$135,MATCH(A373,'02_工程タスク'!$A$4:$A$135,0))="","",INDEX('02_工程タスク'!$D$4:$D$135,MATCH(A373,'02_工程タスク'!$A$4:$A$135,0))))</f>
        <v>承認済み段階配備・rollback</v>
      </c>
      <c r="C373" s="28" t="str">
        <f>IF(COUNTIF('02_工程タスク'!$A$4:$A$135,A373)&lt;&gt;1,"参照ID不正",IF(INDEX('02_工程タスク'!$G$4:$G$135,MATCH(A373,'02_工程タスク'!$A$4:$A$135,0))="","",INDEX('02_工程タスク'!$G$4:$G$135,MATCH(A373,'02_工程タスク'!$A$4:$A$135,0))))</f>
        <v>R12, R18</v>
      </c>
      <c r="D373" s="28" t="str">
        <f>IF(COUNTIF('02_工程タスク'!$A$4:$A$135,A373)&lt;&gt;1,"参照ID不正",IF(INDEX('02_工程タスク'!$H$4:$H$135,MATCH(A373,'02_工程タスク'!$A$4:$A$135,0))="","",INDEX('02_工程タスク'!$H$4:$H$135,MATCH(A373,'02_工程タスク'!$A$4:$A$135,0))))</f>
        <v>R18</v>
      </c>
      <c r="E373" s="4" t="s">
        <v>2651</v>
      </c>
      <c r="F373" s="28" t="str">
        <f>IF(COUNTIF('07_スキル辞書'!$A$4:$A$109,E373)&lt;&gt;1,"参照ID不正",IF(INDEX('07_スキル辞書'!$D$4:$D$109,MATCH(E373,'07_スキル辞書'!$A$4:$A$109,0))="","",INDEX('07_スキル辞書'!$D$4:$D$109,MATCH(E373,'07_スキル辞書'!$A$4:$A$109,0))))</f>
        <v>リスク比例の投資・公開・継続・変更判断</v>
      </c>
      <c r="G373" s="4">
        <v>3</v>
      </c>
      <c r="H373" s="28" t="str">
        <f>IF(COUNTIF('07_スキル辞書'!$A$4:$A$109,E373)&lt;&gt;1,"参照ID不正",IF(INDEX('07_スキル辞書'!$I$4:$I$109,MATCH(E373,'07_スキル辞書'!$A$4:$A$109,0))="","",INDEX('07_スキル辞書'!$I$4:$I$109,MATCH(E373,'07_スキル辞書'!$A$4:$A$109,0))))</f>
        <v>投資・Release・例外・継続判断記録</v>
      </c>
      <c r="I373" s="4" t="s">
        <v>2900</v>
      </c>
    </row>
    <row r="374" spans="1:9" ht="38" customHeight="1" x14ac:dyDescent="0.2">
      <c r="A374" s="2" t="s">
        <v>1399</v>
      </c>
      <c r="B374" s="28" t="str">
        <f>IF(COUNTIF('02_工程タスク'!$A$4:$A$135,A374)&lt;&gt;1,"参照ID不正",IF(INDEX('02_工程タスク'!$D$4:$D$135,MATCH(A374,'02_工程タスク'!$A$4:$A$135,0))="","",INDEX('02_工程タスク'!$D$4:$D$135,MATCH(A374,'02_工程タスク'!$A$4:$A$135,0))))</f>
        <v>Harness・Skill・標準の保守</v>
      </c>
      <c r="C374" s="28" t="str">
        <f>IF(COUNTIF('02_工程タスク'!$A$4:$A$135,A374)&lt;&gt;1,"参照ID不正",IF(INDEX('02_工程タスク'!$G$4:$G$135,MATCH(A374,'02_工程タスク'!$A$4:$A$135,0))="","",INDEX('02_工程タスク'!$G$4:$G$135,MATCH(A374,'02_工程タスク'!$A$4:$A$135,0))))</f>
        <v>R06, R11, R13</v>
      </c>
      <c r="D374" s="28" t="str">
        <f>IF(COUNTIF('02_工程タスク'!$A$4:$A$135,A374)&lt;&gt;1,"参照ID不正",IF(INDEX('02_工程タスク'!$H$4:$H$135,MATCH(A374,'02_工程タスク'!$A$4:$A$135,0))="","",INDEX('02_工程タスク'!$H$4:$H$135,MATCH(A374,'02_工程タスク'!$A$4:$A$135,0))))</f>
        <v>R06</v>
      </c>
      <c r="E374" s="2" t="s">
        <v>2604</v>
      </c>
      <c r="F374" s="28" t="str">
        <f>IF(COUNTIF('07_スキル辞書'!$A$4:$A$109,E374)&lt;&gt;1,"参照ID不正",IF(INDEX('07_スキル辞書'!$D$4:$D$109,MATCH(E374,'07_スキル辞書'!$A$4:$A$109,0))="","",INDEX('07_スキル辞書'!$D$4:$D$109,MATCH(E374,'07_スキル辞書'!$A$4:$A$109,0))))</f>
        <v>仕様・正本リポジトリ・開発ハーネス</v>
      </c>
      <c r="G374" s="2">
        <v>2</v>
      </c>
      <c r="H374" s="28" t="str">
        <f>IF(COUNTIF('07_スキル辞書'!$A$4:$A$109,E374)&lt;&gt;1,"参照ID不正",IF(INDEX('07_スキル辞書'!$I$4:$I$109,MATCH(E374,'07_スキル辞書'!$A$4:$A$109,0))="","",INDEX('07_スキル辞書'!$I$4:$I$109,MATCH(E374,'07_スキル辞書'!$A$4:$A$109,0))))</f>
        <v>正本リポジトリ／仕様・テスト対応／PRと実行ログ</v>
      </c>
      <c r="I374" s="2" t="s">
        <v>2900</v>
      </c>
    </row>
    <row r="375" spans="1:9" ht="38" customHeight="1" x14ac:dyDescent="0.2">
      <c r="A375" s="4" t="s">
        <v>1399</v>
      </c>
      <c r="B375" s="28" t="str">
        <f>IF(COUNTIF('02_工程タスク'!$A$4:$A$135,A375)&lt;&gt;1,"参照ID不正",IF(INDEX('02_工程タスク'!$D$4:$D$135,MATCH(A375,'02_工程タスク'!$A$4:$A$135,0))="","",INDEX('02_工程タスク'!$D$4:$D$135,MATCH(A375,'02_工程タスク'!$A$4:$A$135,0))))</f>
        <v>Harness・Skill・標準の保守</v>
      </c>
      <c r="C375" s="28" t="str">
        <f>IF(COUNTIF('02_工程タスク'!$A$4:$A$135,A375)&lt;&gt;1,"参照ID不正",IF(INDEX('02_工程タスク'!$G$4:$G$135,MATCH(A375,'02_工程タスク'!$A$4:$A$135,0))="","",INDEX('02_工程タスク'!$G$4:$G$135,MATCH(A375,'02_工程タスク'!$A$4:$A$135,0))))</f>
        <v>R06, R11, R13</v>
      </c>
      <c r="D375" s="28" t="str">
        <f>IF(COUNTIF('02_工程タスク'!$A$4:$A$135,A375)&lt;&gt;1,"参照ID不正",IF(INDEX('02_工程タスク'!$H$4:$H$135,MATCH(A375,'02_工程タスク'!$A$4:$A$135,0))="","",INDEX('02_工程タスク'!$H$4:$H$135,MATCH(A375,'02_工程タスク'!$A$4:$A$135,0))))</f>
        <v>R06</v>
      </c>
      <c r="E375" s="4" t="s">
        <v>2799</v>
      </c>
      <c r="F375" s="28" t="str">
        <f>IF(COUNTIF('07_スキル辞書'!$A$4:$A$109,E375)&lt;&gt;1,"参照ID不正",IF(INDEX('07_スキル辞書'!$D$4:$D$109,MATCH(E375,'07_スキル辞書'!$A$4:$A$109,0))="","",INDEX('07_スキル辞書'!$D$4:$D$109,MATCH(E375,'07_スキル辞書'!$A$4:$A$109,0))))</f>
        <v>Agent Skillの設計・審査・ライフサイクル</v>
      </c>
      <c r="G375" s="4">
        <v>2</v>
      </c>
      <c r="H375" s="28" t="str">
        <f>IF(COUNTIF('07_スキル辞書'!$A$4:$A$109,E375)&lt;&gt;1,"参照ID不正",IF(INDEX('07_スキル辞書'!$I$4:$I$109,MATCH(E375,'07_スキル辞書'!$A$4:$A$109,0))="","",INDEX('07_スキル辞書'!$I$4:$I$109,MATCH(E375,'07_スキル辞書'!$A$4:$A$109,0))))</f>
        <v>Skill package・回帰・署名/版・廃止</v>
      </c>
      <c r="I375" s="4" t="s">
        <v>2900</v>
      </c>
    </row>
    <row r="376" spans="1:9" ht="38" customHeight="1" x14ac:dyDescent="0.2">
      <c r="A376" s="2" t="s">
        <v>1399</v>
      </c>
      <c r="B376" s="28" t="str">
        <f>IF(COUNTIF('02_工程タスク'!$A$4:$A$135,A376)&lt;&gt;1,"参照ID不正",IF(INDEX('02_工程タスク'!$D$4:$D$135,MATCH(A376,'02_工程タスク'!$A$4:$A$135,0))="","",INDEX('02_工程タスク'!$D$4:$D$135,MATCH(A376,'02_工程タスク'!$A$4:$A$135,0))))</f>
        <v>Harness・Skill・標準の保守</v>
      </c>
      <c r="C376" s="28" t="str">
        <f>IF(COUNTIF('02_工程タスク'!$A$4:$A$135,A376)&lt;&gt;1,"参照ID不正",IF(INDEX('02_工程タスク'!$G$4:$G$135,MATCH(A376,'02_工程タスク'!$A$4:$A$135,0))="","",INDEX('02_工程タスク'!$G$4:$G$135,MATCH(A376,'02_工程タスク'!$A$4:$A$135,0))))</f>
        <v>R06, R11, R13</v>
      </c>
      <c r="D376" s="28" t="str">
        <f>IF(COUNTIF('02_工程タスク'!$A$4:$A$135,A376)&lt;&gt;1,"参照ID不正",IF(INDEX('02_工程タスク'!$H$4:$H$135,MATCH(A376,'02_工程タスク'!$A$4:$A$135,0))="","",INDEX('02_工程タスク'!$H$4:$H$135,MATCH(A376,'02_工程タスク'!$A$4:$A$135,0))))</f>
        <v>R06</v>
      </c>
      <c r="E376" s="2" t="s">
        <v>2809</v>
      </c>
      <c r="F376" s="28" t="str">
        <f>IF(COUNTIF('07_スキル辞書'!$A$4:$A$109,E376)&lt;&gt;1,"参照ID不正",IF(INDEX('07_スキル辞書'!$D$4:$D$109,MATCH(E376,'07_スキル辞書'!$A$4:$A$109,0))="","",INDEX('07_スキル辞書'!$D$4:$D$109,MATCH(E376,'07_スキル辞書'!$A$4:$A$109,0))))</f>
        <v>正本文脈・鮮度・段階読込</v>
      </c>
      <c r="G376" s="2">
        <v>2</v>
      </c>
      <c r="H376" s="28" t="str">
        <f>IF(COUNTIF('07_スキル辞書'!$A$4:$A$109,E376)&lt;&gt;1,"参照ID不正",IF(INDEX('07_スキル辞書'!$I$4:$I$109,MATCH(E376,'07_スキル辞書'!$A$4:$A$109,0))="","",INDEX('07_スキル辞書'!$I$4:$I$109,MATCH(E376,'07_スキル辞書'!$A$4:$A$109,0))))</f>
        <v>Repo構造・Context試験・鮮度監査</v>
      </c>
      <c r="I376" s="2" t="s">
        <v>2900</v>
      </c>
    </row>
    <row r="377" spans="1:9" ht="38" customHeight="1" x14ac:dyDescent="0.2">
      <c r="A377" s="4" t="s">
        <v>1399</v>
      </c>
      <c r="B377" s="28" t="str">
        <f>IF(COUNTIF('02_工程タスク'!$A$4:$A$135,A377)&lt;&gt;1,"参照ID不正",IF(INDEX('02_工程タスク'!$D$4:$D$135,MATCH(A377,'02_工程タスク'!$A$4:$A$135,0))="","",INDEX('02_工程タスク'!$D$4:$D$135,MATCH(A377,'02_工程タスク'!$A$4:$A$135,0))))</f>
        <v>Harness・Skill・標準の保守</v>
      </c>
      <c r="C377" s="28" t="str">
        <f>IF(COUNTIF('02_工程タスク'!$A$4:$A$135,A377)&lt;&gt;1,"参照ID不正",IF(INDEX('02_工程タスク'!$G$4:$G$135,MATCH(A377,'02_工程タスク'!$A$4:$A$135,0))="","",INDEX('02_工程タスク'!$G$4:$G$135,MATCH(A377,'02_工程タスク'!$A$4:$A$135,0))))</f>
        <v>R06, R11, R13</v>
      </c>
      <c r="D377" s="28" t="str">
        <f>IF(COUNTIF('02_工程タスク'!$A$4:$A$135,A377)&lt;&gt;1,"参照ID不正",IF(INDEX('02_工程タスク'!$H$4:$H$135,MATCH(A377,'02_工程タスク'!$A$4:$A$135,0))="","",INDEX('02_工程タスク'!$H$4:$H$135,MATCH(A377,'02_工程タスク'!$A$4:$A$135,0))))</f>
        <v>R06</v>
      </c>
      <c r="E377" s="4" t="s">
        <v>2827</v>
      </c>
      <c r="F377" s="28" t="str">
        <f>IF(COUNTIF('07_スキル辞書'!$A$4:$A$109,E377)&lt;&gt;1,"参照ID不正",IF(INDEX('07_スキル辞書'!$D$4:$D$109,MATCH(E377,'07_スキル辞書'!$A$4:$A$109,0))="","",INDEX('07_スキル辞書'!$D$4:$D$109,MATCH(E377,'07_スキル辞書'!$A$4:$A$109,0))))</f>
        <v>有界ループ・実行環境・検証設計</v>
      </c>
      <c r="G377" s="4">
        <v>2</v>
      </c>
      <c r="H377" s="28" t="str">
        <f>IF(COUNTIF('07_スキル辞書'!$A$4:$A$109,E377)&lt;&gt;1,"参照ID不正",IF(INDEX('07_スキル辞書'!$I$4:$I$109,MATCH(E377,'07_スキル辞書'!$A$4:$A$109,0))="","",INDEX('07_スキル辞書'!$I$4:$I$109,MATCH(E377,'07_スキル辞書'!$A$4:$A$109,0))))</f>
        <v>Harness設定・Loop trace・停止試験</v>
      </c>
      <c r="I377" s="4" t="s">
        <v>2900</v>
      </c>
    </row>
    <row r="378" spans="1:9" ht="38" customHeight="1" x14ac:dyDescent="0.2">
      <c r="A378" s="2" t="s">
        <v>1410</v>
      </c>
      <c r="B378" s="28" t="str">
        <f>IF(COUNTIF('02_工程タスク'!$A$4:$A$135,A378)&lt;&gt;1,"参照ID不正",IF(INDEX('02_工程タスク'!$D$4:$D$135,MATCH(A378,'02_工程タスク'!$A$4:$A$135,0))="","",INDEX('02_工程タスク'!$D$4:$D$135,MATCH(A378,'02_工程タスク'!$A$4:$A$135,0))))</f>
        <v>スキル育成・同等品質の効果再計測</v>
      </c>
      <c r="C378" s="28" t="str">
        <f>IF(COUNTIF('02_工程タスク'!$A$4:$A$135,A378)&lt;&gt;1,"参照ID不正",IF(INDEX('02_工程タスク'!$G$4:$G$135,MATCH(A378,'02_工程タスク'!$A$4:$A$135,0))="","",INDEX('02_工程タスク'!$G$4:$G$135,MATCH(A378,'02_工程タスク'!$A$4:$A$135,0))))</f>
        <v>R03, R06, R15</v>
      </c>
      <c r="D378" s="28" t="str">
        <f>IF(COUNTIF('02_工程タスク'!$A$4:$A$135,A378)&lt;&gt;1,"参照ID不正",IF(INDEX('02_工程タスク'!$H$4:$H$135,MATCH(A378,'02_工程タスク'!$A$4:$A$135,0))="","",INDEX('02_工程タスク'!$H$4:$H$135,MATCH(A378,'02_工程タスク'!$A$4:$A$135,0))))</f>
        <v>R06</v>
      </c>
      <c r="E378" s="2" t="s">
        <v>2632</v>
      </c>
      <c r="F378" s="28" t="str">
        <f>IF(COUNTIF('07_スキル辞書'!$A$4:$A$109,E378)&lt;&gt;1,"参照ID不正",IF(INDEX('07_スキル辞書'!$D$4:$D$109,MATCH(E378,'07_スキル辞書'!$A$4:$A$109,0))="","",INDEX('07_スキル辞書'!$D$4:$D$109,MATCH(E378,'07_スキル辞書'!$A$4:$A$109,0))))</f>
        <v>AI開発効果の実測と段階見積</v>
      </c>
      <c r="G378" s="2">
        <v>2</v>
      </c>
      <c r="H378" s="28" t="str">
        <f>IF(COUNTIF('07_スキル辞書'!$A$4:$A$109,E378)&lt;&gt;1,"参照ID不正",IF(INDEX('07_スキル辞書'!$I$4:$I$109,MATCH(E378,'07_スキル辞書'!$A$4:$A$109,0))="","",INDEX('07_スキル辞書'!$I$4:$I$109,MATCH(E378,'07_スキル辞書'!$A$4:$A$109,0))))</f>
        <v>16シート／計測ログ／品質・不具合追跡／較正記録</v>
      </c>
      <c r="I378" s="2" t="s">
        <v>2900</v>
      </c>
    </row>
    <row r="379" spans="1:9" ht="38" customHeight="1" x14ac:dyDescent="0.2">
      <c r="A379" s="4" t="s">
        <v>1410</v>
      </c>
      <c r="B379" s="28" t="str">
        <f>IF(COUNTIF('02_工程タスク'!$A$4:$A$135,A379)&lt;&gt;1,"参照ID不正",IF(INDEX('02_工程タスク'!$D$4:$D$135,MATCH(A379,'02_工程タスク'!$A$4:$A$135,0))="","",INDEX('02_工程タスク'!$D$4:$D$135,MATCH(A379,'02_工程タスク'!$A$4:$A$135,0))))</f>
        <v>スキル育成・同等品質の効果再計測</v>
      </c>
      <c r="C379" s="28" t="str">
        <f>IF(COUNTIF('02_工程タスク'!$A$4:$A$135,A379)&lt;&gt;1,"参照ID不正",IF(INDEX('02_工程タスク'!$G$4:$G$135,MATCH(A379,'02_工程タスク'!$A$4:$A$135,0))="","",INDEX('02_工程タスク'!$G$4:$G$135,MATCH(A379,'02_工程タスク'!$A$4:$A$135,0))))</f>
        <v>R03, R06, R15</v>
      </c>
      <c r="D379" s="28" t="str">
        <f>IF(COUNTIF('02_工程タスク'!$A$4:$A$135,A379)&lt;&gt;1,"参照ID不正",IF(INDEX('02_工程タスク'!$H$4:$H$135,MATCH(A379,'02_工程タスク'!$A$4:$A$135,0))="","",INDEX('02_工程タスク'!$H$4:$H$135,MATCH(A379,'02_工程タスク'!$A$4:$A$135,0))))</f>
        <v>R06</v>
      </c>
      <c r="E379" s="4" t="s">
        <v>2714</v>
      </c>
      <c r="F379" s="28" t="str">
        <f>IF(COUNTIF('07_スキル辞書'!$A$4:$A$109,E379)&lt;&gt;1,"参照ID不正",IF(INDEX('07_スキル辞書'!$D$4:$D$109,MATCH(E379,'07_スキル辞書'!$A$4:$A$109,0))="","",INDEX('07_スキル辞書'!$D$4:$D$109,MATCH(E379,'07_スキル辞書'!$A$4:$A$109,0))))</f>
        <v>スキルギャップ・兼務・要員設計</v>
      </c>
      <c r="G379" s="4">
        <v>2</v>
      </c>
      <c r="H379" s="28" t="str">
        <f>IF(COUNTIF('07_スキル辞書'!$A$4:$A$109,E379)&lt;&gt;1,"参照ID不正",IF(INDEX('07_スキル辞書'!$I$4:$I$109,MATCH(E379,'07_スキル辞書'!$A$4:$A$109,0))="","",INDEX('07_スキル辞書'!$I$4:$I$109,MATCH(E379,'07_スキル辞書'!$A$4:$A$109,0))))</f>
        <v>能力評価・要員・育成計画</v>
      </c>
      <c r="I379" s="4" t="s">
        <v>2900</v>
      </c>
    </row>
    <row r="380" spans="1:9" ht="38" customHeight="1" x14ac:dyDescent="0.2">
      <c r="A380" s="2" t="s">
        <v>1410</v>
      </c>
      <c r="B380" s="28" t="str">
        <f>IF(COUNTIF('02_工程タスク'!$A$4:$A$135,A380)&lt;&gt;1,"参照ID不正",IF(INDEX('02_工程タスク'!$D$4:$D$135,MATCH(A380,'02_工程タスク'!$A$4:$A$135,0))="","",INDEX('02_工程タスク'!$D$4:$D$135,MATCH(A380,'02_工程タスク'!$A$4:$A$135,0))))</f>
        <v>スキル育成・同等品質の効果再計測</v>
      </c>
      <c r="C380" s="28" t="str">
        <f>IF(COUNTIF('02_工程タスク'!$A$4:$A$135,A380)&lt;&gt;1,"参照ID不正",IF(INDEX('02_工程タスク'!$G$4:$G$135,MATCH(A380,'02_工程タスク'!$A$4:$A$135,0))="","",INDEX('02_工程タスク'!$G$4:$G$135,MATCH(A380,'02_工程タスク'!$A$4:$A$135,0))))</f>
        <v>R03, R06, R15</v>
      </c>
      <c r="D380" s="28" t="str">
        <f>IF(COUNTIF('02_工程タスク'!$A$4:$A$135,A380)&lt;&gt;1,"参照ID不正",IF(INDEX('02_工程タスク'!$H$4:$H$135,MATCH(A380,'02_工程タスク'!$A$4:$A$135,0))="","",INDEX('02_工程タスク'!$H$4:$H$135,MATCH(A380,'02_工程タスク'!$A$4:$A$135,0))))</f>
        <v>R06</v>
      </c>
      <c r="E380" s="2" t="s">
        <v>2883</v>
      </c>
      <c r="F380" s="28" t="str">
        <f>IF(COUNTIF('07_スキル辞書'!$A$4:$A$109,E380)&lt;&gt;1,"参照ID不正",IF(INDEX('07_スキル辞書'!$D$4:$D$109,MATCH(E380,'07_スキル辞書'!$A$4:$A$109,0))="","",INDEX('07_スキル辞書'!$D$4:$D$109,MATCH(E380,'07_スキル辞書'!$A$4:$A$109,0))))</f>
        <v>レビュー容量・WIP・品質調整済み速度</v>
      </c>
      <c r="G380" s="2">
        <v>2</v>
      </c>
      <c r="H380" s="28" t="str">
        <f>IF(COUNTIF('07_スキル辞書'!$A$4:$A$109,E380)&lt;&gt;1,"参照ID不正",IF(INDEX('07_スキル辞書'!$I$4:$I$109,MATCH(E380,'07_スキル辞書'!$A$4:$A$109,0))="","",INDEX('07_スキル辞書'!$I$4:$I$109,MATCH(E380,'07_スキル辞書'!$A$4:$A$109,0))))</f>
        <v>Flow指標・能力計画・E2E比較</v>
      </c>
      <c r="I380" s="2" t="s">
        <v>2900</v>
      </c>
    </row>
    <row r="381" spans="1:9" ht="38" customHeight="1" x14ac:dyDescent="0.2">
      <c r="A381" s="4" t="s">
        <v>1419</v>
      </c>
      <c r="B381" s="28" t="str">
        <f>IF(COUNTIF('02_工程タスク'!$A$4:$A$135,A381)&lt;&gt;1,"参照ID不正",IF(INDEX('02_工程タスク'!$D$4:$D$135,MATCH(A381,'02_工程タスク'!$A$4:$A$135,0))="","",INDEX('02_工程タスク'!$D$4:$D$135,MATCH(A381,'02_工程タスク'!$A$4:$A$135,0))))</f>
        <v>法令・Security・Privacy定期再判定</v>
      </c>
      <c r="C381" s="28" t="str">
        <f>IF(COUNTIF('02_工程タスク'!$A$4:$A$135,A381)&lt;&gt;1,"参照ID不正",IF(INDEX('02_工程タスク'!$G$4:$G$135,MATCH(A381,'02_工程タスク'!$A$4:$A$135,0))="","",INDEX('02_工程タスク'!$G$4:$G$135,MATCH(A381,'02_工程タスク'!$A$4:$A$135,0))))</f>
        <v>R13, R14, R10</v>
      </c>
      <c r="D381" s="28" t="str">
        <f>IF(COUNTIF('02_工程タスク'!$A$4:$A$135,A381)&lt;&gt;1,"参照ID不正",IF(INDEX('02_工程タスク'!$H$4:$H$135,MATCH(A381,'02_工程タスク'!$A$4:$A$135,0))="","",INDEX('02_工程タスク'!$H$4:$H$135,MATCH(A381,'02_工程タスク'!$A$4:$A$135,0))))</f>
        <v>R01</v>
      </c>
      <c r="E381" s="4" t="s">
        <v>1936</v>
      </c>
      <c r="F381" s="28" t="str">
        <f>IF(COUNTIF('07_スキル辞書'!$A$4:$A$109,E381)&lt;&gt;1,"参照ID不正",IF(INDEX('07_スキル辞書'!$D$4:$D$109,MATCH(E381,'07_スキル辞書'!$A$4:$A$109,0))="","",INDEX('07_スキル辞書'!$D$4:$D$109,MATCH(E381,'07_スキル辞書'!$A$4:$A$109,0))))</f>
        <v>AIガバナンスと関連法規の適用</v>
      </c>
      <c r="G381" s="4">
        <v>2</v>
      </c>
      <c r="H381" s="28" t="str">
        <f>IF(COUNTIF('07_スキル辞書'!$A$4:$A$109,E381)&lt;&gt;1,"参照ID不正",IF(INDEX('07_スキル辞書'!$I$4:$I$109,MATCH(E381,'07_スキル辞書'!$A$4:$A$109,0))="","",INDEX('07_スキル辞書'!$I$4:$I$109,MATCH(E381,'07_スキル辞書'!$A$4:$A$109,0))))</f>
        <v>リサーチ資料、リスク管理台帳 v1、責任あるAI評価レポート、モデルカード、AIインシデント対応手順書</v>
      </c>
      <c r="I381" s="4" t="s">
        <v>2900</v>
      </c>
    </row>
    <row r="382" spans="1:9" ht="38" customHeight="1" x14ac:dyDescent="0.2">
      <c r="A382" s="2" t="s">
        <v>1419</v>
      </c>
      <c r="B382" s="28" t="str">
        <f>IF(COUNTIF('02_工程タスク'!$A$4:$A$135,A382)&lt;&gt;1,"参照ID不正",IF(INDEX('02_工程タスク'!$D$4:$D$135,MATCH(A382,'02_工程タスク'!$A$4:$A$135,0))="","",INDEX('02_工程タスク'!$D$4:$D$135,MATCH(A382,'02_工程タスク'!$A$4:$A$135,0))))</f>
        <v>法令・Security・Privacy定期再判定</v>
      </c>
      <c r="C382" s="28" t="str">
        <f>IF(COUNTIF('02_工程タスク'!$A$4:$A$135,A382)&lt;&gt;1,"参照ID不正",IF(INDEX('02_工程タスク'!$G$4:$G$135,MATCH(A382,'02_工程タスク'!$A$4:$A$135,0))="","",INDEX('02_工程タスク'!$G$4:$G$135,MATCH(A382,'02_工程タスク'!$A$4:$A$135,0))))</f>
        <v>R13, R14, R10</v>
      </c>
      <c r="D382" s="28" t="str">
        <f>IF(COUNTIF('02_工程タスク'!$A$4:$A$135,A382)&lt;&gt;1,"参照ID不正",IF(INDEX('02_工程タスク'!$H$4:$H$135,MATCH(A382,'02_工程タスク'!$A$4:$A$135,0))="","",INDEX('02_工程タスク'!$H$4:$H$135,MATCH(A382,'02_工程タスク'!$A$4:$A$135,0))))</f>
        <v>R01</v>
      </c>
      <c r="E382" s="2" t="s">
        <v>1948</v>
      </c>
      <c r="F382" s="28" t="str">
        <f>IF(COUNTIF('07_スキル辞書'!$A$4:$A$109,E382)&lt;&gt;1,"参照ID不正",IF(INDEX('07_スキル辞書'!$D$4:$D$109,MATCH(E382,'07_スキル辞書'!$A$4:$A$109,0))="","",INDEX('07_スキル辞書'!$D$4:$D$109,MATCH(E382,'07_スキル辞書'!$A$4:$A$109,0))))</f>
        <v>個人情報保護法の適用判定とデータガバナンス</v>
      </c>
      <c r="G382" s="2">
        <v>2</v>
      </c>
      <c r="H382" s="28" t="str">
        <f>IF(COUNTIF('07_スキル辞書'!$A$4:$A$109,E382)&lt;&gt;1,"参照ID不正",IF(INDEX('07_スキル辞書'!$I$4:$I$109,MATCH(E382,'07_スキル辞書'!$A$4:$A$109,0))="","",INDEX('07_スキル辞書'!$I$4:$I$109,MATCH(E382,'07_スキル辞書'!$A$4:$A$109,0))))</f>
        <v>個人情報取扱い判定書、データ提供・利用契約、データ要件定義書、データ受領記録、アクセス制御設定</v>
      </c>
      <c r="I382" s="2" t="s">
        <v>2900</v>
      </c>
    </row>
    <row r="383" spans="1:9" ht="38" customHeight="1" x14ac:dyDescent="0.2">
      <c r="A383" s="4" t="s">
        <v>1419</v>
      </c>
      <c r="B383" s="28" t="str">
        <f>IF(COUNTIF('02_工程タスク'!$A$4:$A$135,A383)&lt;&gt;1,"参照ID不正",IF(INDEX('02_工程タスク'!$D$4:$D$135,MATCH(A383,'02_工程タスク'!$A$4:$A$135,0))="","",INDEX('02_工程タスク'!$D$4:$D$135,MATCH(A383,'02_工程タスク'!$A$4:$A$135,0))))</f>
        <v>法令・Security・Privacy定期再判定</v>
      </c>
      <c r="C383" s="28" t="str">
        <f>IF(COUNTIF('02_工程タスク'!$A$4:$A$135,A383)&lt;&gt;1,"参照ID不正",IF(INDEX('02_工程タスク'!$G$4:$G$135,MATCH(A383,'02_工程タスク'!$A$4:$A$135,0))="","",INDEX('02_工程タスク'!$G$4:$G$135,MATCH(A383,'02_工程タスク'!$A$4:$A$135,0))))</f>
        <v>R13, R14, R10</v>
      </c>
      <c r="D383" s="28" t="str">
        <f>IF(COUNTIF('02_工程タスク'!$A$4:$A$135,A383)&lt;&gt;1,"参照ID不正",IF(INDEX('02_工程タスク'!$H$4:$H$135,MATCH(A383,'02_工程タスク'!$A$4:$A$135,0))="","",INDEX('02_工程タスク'!$H$4:$H$135,MATCH(A383,'02_工程タスク'!$A$4:$A$135,0))))</f>
        <v>R01</v>
      </c>
      <c r="E383" s="4" t="s">
        <v>2074</v>
      </c>
      <c r="F383" s="28" t="str">
        <f>IF(COUNTIF('07_スキル辞書'!$A$4:$A$109,E383)&lt;&gt;1,"参照ID不正",IF(INDEX('07_スキル辞書'!$D$4:$D$109,MATCH(E383,'07_スキル辞書'!$A$4:$A$109,0))="","",INDEX('07_スキル辞書'!$D$4:$D$109,MATCH(E383,'07_スキル辞書'!$A$4:$A$109,0))))</f>
        <v>リスク管理（AI固有リスクを含む）</v>
      </c>
      <c r="G383" s="4">
        <v>2</v>
      </c>
      <c r="H383" s="28" t="str">
        <f>IF(COUNTIF('07_スキル辞書'!$A$4:$A$109,E383)&lt;&gt;1,"参照ID不正",IF(INDEX('07_スキル辞書'!$I$4:$I$109,MATCH(E383,'07_スキル辞書'!$A$4:$A$109,0))="","",INDEX('07_スキル辞書'!$I$4:$I$109,MATCH(E383,'07_スキル辞書'!$A$4:$A$109,0))))</f>
        <v>リスク管理台帳 v1、前提条件・制約条件リスト、PoC結果報告書</v>
      </c>
      <c r="I383" s="4" t="s">
        <v>2900</v>
      </c>
    </row>
    <row r="384" spans="1:9" ht="38" customHeight="1" x14ac:dyDescent="0.2">
      <c r="A384" s="2" t="s">
        <v>1419</v>
      </c>
      <c r="B384" s="28" t="str">
        <f>IF(COUNTIF('02_工程タスク'!$A$4:$A$135,A384)&lt;&gt;1,"参照ID不正",IF(INDEX('02_工程タスク'!$D$4:$D$135,MATCH(A384,'02_工程タスク'!$A$4:$A$135,0))="","",INDEX('02_工程タスク'!$D$4:$D$135,MATCH(A384,'02_工程タスク'!$A$4:$A$135,0))))</f>
        <v>法令・Security・Privacy定期再判定</v>
      </c>
      <c r="C384" s="28" t="str">
        <f>IF(COUNTIF('02_工程タスク'!$A$4:$A$135,A384)&lt;&gt;1,"参照ID不正",IF(INDEX('02_工程タスク'!$G$4:$G$135,MATCH(A384,'02_工程タスク'!$A$4:$A$135,0))="","",INDEX('02_工程タスク'!$G$4:$G$135,MATCH(A384,'02_工程タスク'!$A$4:$A$135,0))))</f>
        <v>R13, R14, R10</v>
      </c>
      <c r="D384" s="28" t="str">
        <f>IF(COUNTIF('02_工程タスク'!$A$4:$A$135,A384)&lt;&gt;1,"参照ID不正",IF(INDEX('02_工程タスク'!$H$4:$H$135,MATCH(A384,'02_工程タスク'!$A$4:$A$135,0))="","",INDEX('02_工程タスク'!$H$4:$H$135,MATCH(A384,'02_工程タスク'!$A$4:$A$135,0))))</f>
        <v>R01</v>
      </c>
      <c r="E384" s="2" t="s">
        <v>2651</v>
      </c>
      <c r="F384" s="28" t="str">
        <f>IF(COUNTIF('07_スキル辞書'!$A$4:$A$109,E384)&lt;&gt;1,"参照ID不正",IF(INDEX('07_スキル辞書'!$D$4:$D$109,MATCH(E384,'07_スキル辞書'!$A$4:$A$109,0))="","",INDEX('07_スキル辞書'!$D$4:$D$109,MATCH(E384,'07_スキル辞書'!$A$4:$A$109,0))))</f>
        <v>リスク比例の投資・公開・継続・変更判断</v>
      </c>
      <c r="G384" s="2">
        <v>3</v>
      </c>
      <c r="H384" s="28" t="str">
        <f>IF(COUNTIF('07_スキル辞書'!$A$4:$A$109,E384)&lt;&gt;1,"参照ID不正",IF(INDEX('07_スキル辞書'!$I$4:$I$109,MATCH(E384,'07_スキル辞書'!$A$4:$A$109,0))="","",INDEX('07_スキル辞書'!$I$4:$I$109,MATCH(E384,'07_スキル辞書'!$A$4:$A$109,0))))</f>
        <v>投資・Release・例外・継続判断記録</v>
      </c>
      <c r="I384" s="2" t="s">
        <v>2900</v>
      </c>
    </row>
    <row r="385" spans="1:9" ht="38" customHeight="1" x14ac:dyDescent="0.2">
      <c r="A385" s="4" t="s">
        <v>1431</v>
      </c>
      <c r="B385" s="28" t="str">
        <f>IF(COUNTIF('02_工程タスク'!$A$4:$A$135,A385)&lt;&gt;1,"参照ID不正",IF(INDEX('02_工程タスク'!$D$4:$D$135,MATCH(A385,'02_工程タスク'!$A$4:$A$135,0))="","",INDEX('02_工程タスク'!$D$4:$D$135,MATCH(A385,'02_工程タスク'!$A$4:$A$135,0))))</f>
        <v>Scale/Continue/Pivot/Stop判断</v>
      </c>
      <c r="C385" s="28" t="str">
        <f>IF(COUNTIF('02_工程タスク'!$A$4:$A$135,A385)&lt;&gt;1,"参照ID不正",IF(INDEX('02_工程タスク'!$G$4:$G$135,MATCH(A385,'02_工程タスク'!$A$4:$A$135,0))="","",INDEX('02_工程タスク'!$G$4:$G$135,MATCH(A385,'02_工程タスク'!$A$4:$A$135,0))))</f>
        <v>R02, R15, R18</v>
      </c>
      <c r="D385" s="28" t="str">
        <f>IF(COUNTIF('02_工程タスク'!$A$4:$A$135,A385)&lt;&gt;1,"参照ID不正",IF(INDEX('02_工程タスク'!$H$4:$H$135,MATCH(A385,'02_工程タスク'!$A$4:$A$135,0))="","",INDEX('02_工程タスク'!$H$4:$H$135,MATCH(A385,'02_工程タスク'!$A$4:$A$135,0))))</f>
        <v>R01</v>
      </c>
      <c r="E385" s="4" t="s">
        <v>2020</v>
      </c>
      <c r="F385" s="28" t="str">
        <f>IF(COUNTIF('07_スキル辞書'!$A$4:$A$109,E385)&lt;&gt;1,"参照ID不正",IF(INDEX('07_スキル辞書'!$D$4:$D$109,MATCH(E385,'07_スキル辞書'!$A$4:$A$109,0))="","",INDEX('07_スキル辞書'!$D$4:$D$109,MATCH(E385,'07_スキル辞書'!$A$4:$A$109,0))))</f>
        <v>ビジネス価値の可視化と定例レポーティング・QBR運営</v>
      </c>
      <c r="G385" s="4">
        <v>3</v>
      </c>
      <c r="H385" s="28" t="str">
        <f>IF(COUNTIF('07_スキル辞書'!$A$4:$A$109,E385)&lt;&gt;1,"参照ID不正",IF(INDEX('07_スキル辞書'!$I$4:$I$109,MATCH(E385,'07_スキル辞書'!$A$4:$A$109,0))="","",INDEX('07_スキル辞書'!$I$4:$I$109,MATCH(E385,'07_スキル辞書'!$A$4:$A$109,0))))</f>
        <v>効果測定レポート、月次／四半期パフォーマンスレポート、ビジネス価値貢献レポート、QBR資料、次期提案</v>
      </c>
      <c r="I385" s="4" t="s">
        <v>2900</v>
      </c>
    </row>
    <row r="386" spans="1:9" ht="38" customHeight="1" x14ac:dyDescent="0.2">
      <c r="A386" s="2" t="s">
        <v>1431</v>
      </c>
      <c r="B386" s="28" t="str">
        <f>IF(COUNTIF('02_工程タスク'!$A$4:$A$135,A386)&lt;&gt;1,"参照ID不正",IF(INDEX('02_工程タスク'!$D$4:$D$135,MATCH(A386,'02_工程タスク'!$A$4:$A$135,0))="","",INDEX('02_工程タスク'!$D$4:$D$135,MATCH(A386,'02_工程タスク'!$A$4:$A$135,0))))</f>
        <v>Scale/Continue/Pivot/Stop判断</v>
      </c>
      <c r="C386" s="28" t="str">
        <f>IF(COUNTIF('02_工程タスク'!$A$4:$A$135,A386)&lt;&gt;1,"参照ID不正",IF(INDEX('02_工程タスク'!$G$4:$G$135,MATCH(A386,'02_工程タスク'!$A$4:$A$135,0))="","",INDEX('02_工程タスク'!$G$4:$G$135,MATCH(A386,'02_工程タスク'!$A$4:$A$135,0))))</f>
        <v>R02, R15, R18</v>
      </c>
      <c r="D386" s="28" t="str">
        <f>IF(COUNTIF('02_工程タスク'!$A$4:$A$135,A386)&lt;&gt;1,"参照ID不正",IF(INDEX('02_工程タスク'!$H$4:$H$135,MATCH(A386,'02_工程タスク'!$A$4:$A$135,0))="","",INDEX('02_工程タスク'!$H$4:$H$135,MATCH(A386,'02_工程タスク'!$A$4:$A$135,0))))</f>
        <v>R01</v>
      </c>
      <c r="E386" s="2" t="s">
        <v>2651</v>
      </c>
      <c r="F386" s="28" t="str">
        <f>IF(COUNTIF('07_スキル辞書'!$A$4:$A$109,E386)&lt;&gt;1,"参照ID不正",IF(INDEX('07_スキル辞書'!$D$4:$D$109,MATCH(E386,'07_スキル辞書'!$A$4:$A$109,0))="","",INDEX('07_スキル辞書'!$D$4:$D$109,MATCH(E386,'07_スキル辞書'!$A$4:$A$109,0))))</f>
        <v>リスク比例の投資・公開・継続・変更判断</v>
      </c>
      <c r="G386" s="2">
        <v>3</v>
      </c>
      <c r="H386" s="28" t="str">
        <f>IF(COUNTIF('07_スキル辞書'!$A$4:$A$109,E386)&lt;&gt;1,"参照ID不正",IF(INDEX('07_スキル辞書'!$I$4:$I$109,MATCH(E386,'07_スキル辞書'!$A$4:$A$109,0))="","",INDEX('07_スキル辞書'!$I$4:$I$109,MATCH(E386,'07_スキル辞書'!$A$4:$A$109,0))))</f>
        <v>投資・Release・例外・継続判断記録</v>
      </c>
      <c r="I386" s="2" t="s">
        <v>2900</v>
      </c>
    </row>
    <row r="387" spans="1:9" ht="38" customHeight="1" x14ac:dyDescent="0.2">
      <c r="A387" s="4" t="s">
        <v>1431</v>
      </c>
      <c r="B387" s="28" t="str">
        <f>IF(COUNTIF('02_工程タスク'!$A$4:$A$135,A387)&lt;&gt;1,"参照ID不正",IF(INDEX('02_工程タスク'!$D$4:$D$135,MATCH(A387,'02_工程タスク'!$A$4:$A$135,0))="","",INDEX('02_工程タスク'!$D$4:$D$135,MATCH(A387,'02_工程タスク'!$A$4:$A$135,0))))</f>
        <v>Scale/Continue/Pivot/Stop判断</v>
      </c>
      <c r="C387" s="28" t="str">
        <f>IF(COUNTIF('02_工程タスク'!$A$4:$A$135,A387)&lt;&gt;1,"参照ID不正",IF(INDEX('02_工程タスク'!$G$4:$G$135,MATCH(A387,'02_工程タスク'!$A$4:$A$135,0))="","",INDEX('02_工程タスク'!$G$4:$G$135,MATCH(A387,'02_工程タスク'!$A$4:$A$135,0))))</f>
        <v>R02, R15, R18</v>
      </c>
      <c r="D387" s="28" t="str">
        <f>IF(COUNTIF('02_工程タスク'!$A$4:$A$135,A387)&lt;&gt;1,"参照ID不正",IF(INDEX('02_工程タスク'!$H$4:$H$135,MATCH(A387,'02_工程タスク'!$A$4:$A$135,0))="","",INDEX('02_工程タスク'!$H$4:$H$135,MATCH(A387,'02_工程タスク'!$A$4:$A$135,0))))</f>
        <v>R01</v>
      </c>
      <c r="E387" s="4" t="s">
        <v>2863</v>
      </c>
      <c r="F387" s="28" t="str">
        <f>IF(COUNTIF('07_スキル辞書'!$A$4:$A$109,E387)&lt;&gt;1,"参照ID不正",IF(INDEX('07_スキル辞書'!$D$4:$D$109,MATCH(E387,'07_スキル辞書'!$A$4:$A$109,0))="","",INDEX('07_スキル辞書'!$D$4:$D$109,MATCH(E387,'07_スキル辞書'!$A$4:$A$109,0))))</f>
        <v>段階投資・学習価値・Pivot/Stop</v>
      </c>
      <c r="G387" s="4">
        <v>3</v>
      </c>
      <c r="H387" s="28" t="str">
        <f>IF(COUNTIF('07_スキル辞書'!$A$4:$A$109,E387)&lt;&gt;1,"参照ID不正",IF(INDEX('07_スキル辞書'!$I$4:$I$109,MATCH(E387,'07_スキル辞書'!$A$4:$A$109,0))="","",INDEX('07_スキル辞書'!$I$4:$I$109,MATCH(E387,'07_スキル辞書'!$A$4:$A$109,0))))</f>
        <v>G0/G4・実験・投資レビュー</v>
      </c>
      <c r="I387" s="4" t="s">
        <v>2900</v>
      </c>
    </row>
    <row r="388" spans="1:9" ht="38" customHeight="1" x14ac:dyDescent="0.2">
      <c r="A388" s="2" t="s">
        <v>1440</v>
      </c>
      <c r="B388" s="28" t="str">
        <f>IF(COUNTIF('02_工程タスク'!$A$4:$A$135,A388)&lt;&gt;1,"参照ID不正",IF(INDEX('02_工程タスク'!$D$4:$D$135,MATCH(A388,'02_工程タスク'!$A$4:$A$135,0))="","",INDEX('02_工程タスク'!$D$4:$D$135,MATCH(A388,'02_工程タスク'!$A$4:$A$135,0))))</f>
        <v>新市場・用途・自律度拡大の再計画</v>
      </c>
      <c r="C388" s="28" t="str">
        <f>IF(COUNTIF('02_工程タスク'!$A$4:$A$135,A388)&lt;&gt;1,"参照ID不正",IF(INDEX('02_工程タスク'!$G$4:$G$135,MATCH(A388,'02_工程タスク'!$A$4:$A$135,0))="","",INDEX('02_工程タスク'!$G$4:$G$135,MATCH(A388,'02_工程タスク'!$A$4:$A$135,0))))</f>
        <v>R02, R14, R13</v>
      </c>
      <c r="D388" s="28" t="str">
        <f>IF(COUNTIF('02_工程タスク'!$A$4:$A$135,A388)&lt;&gt;1,"参照ID不正",IF(INDEX('02_工程タスク'!$H$4:$H$135,MATCH(A388,'02_工程タスク'!$A$4:$A$135,0))="","",INDEX('02_工程タスク'!$H$4:$H$135,MATCH(A388,'02_工程タスク'!$A$4:$A$135,0))))</f>
        <v>R01</v>
      </c>
      <c r="E388" s="2" t="s">
        <v>1936</v>
      </c>
      <c r="F388" s="28" t="str">
        <f>IF(COUNTIF('07_スキル辞書'!$A$4:$A$109,E388)&lt;&gt;1,"参照ID不正",IF(INDEX('07_スキル辞書'!$D$4:$D$109,MATCH(E388,'07_スキル辞書'!$A$4:$A$109,0))="","",INDEX('07_スキル辞書'!$D$4:$D$109,MATCH(E388,'07_スキル辞書'!$A$4:$A$109,0))))</f>
        <v>AIガバナンスと関連法規の適用</v>
      </c>
      <c r="G388" s="2">
        <v>2</v>
      </c>
      <c r="H388" s="28" t="str">
        <f>IF(COUNTIF('07_スキル辞書'!$A$4:$A$109,E388)&lt;&gt;1,"参照ID不正",IF(INDEX('07_スキル辞書'!$I$4:$I$109,MATCH(E388,'07_スキル辞書'!$A$4:$A$109,0))="","",INDEX('07_スキル辞書'!$I$4:$I$109,MATCH(E388,'07_スキル辞書'!$A$4:$A$109,0))))</f>
        <v>リサーチ資料、リスク管理台帳 v1、責任あるAI評価レポート、モデルカード、AIインシデント対応手順書</v>
      </c>
      <c r="I388" s="2" t="s">
        <v>2900</v>
      </c>
    </row>
    <row r="389" spans="1:9" ht="38" customHeight="1" x14ac:dyDescent="0.2">
      <c r="A389" s="4" t="s">
        <v>1440</v>
      </c>
      <c r="B389" s="28" t="str">
        <f>IF(COUNTIF('02_工程タスク'!$A$4:$A$135,A389)&lt;&gt;1,"参照ID不正",IF(INDEX('02_工程タスク'!$D$4:$D$135,MATCH(A389,'02_工程タスク'!$A$4:$A$135,0))="","",INDEX('02_工程タスク'!$D$4:$D$135,MATCH(A389,'02_工程タスク'!$A$4:$A$135,0))))</f>
        <v>新市場・用途・自律度拡大の再計画</v>
      </c>
      <c r="C389" s="28" t="str">
        <f>IF(COUNTIF('02_工程タスク'!$A$4:$A$135,A389)&lt;&gt;1,"参照ID不正",IF(INDEX('02_工程タスク'!$G$4:$G$135,MATCH(A389,'02_工程タスク'!$A$4:$A$135,0))="","",INDEX('02_工程タスク'!$G$4:$G$135,MATCH(A389,'02_工程タスク'!$A$4:$A$135,0))))</f>
        <v>R02, R14, R13</v>
      </c>
      <c r="D389" s="28" t="str">
        <f>IF(COUNTIF('02_工程タスク'!$A$4:$A$135,A389)&lt;&gt;1,"参照ID不正",IF(INDEX('02_工程タスク'!$H$4:$H$135,MATCH(A389,'02_工程タスク'!$A$4:$A$135,0))="","",INDEX('02_工程タスク'!$H$4:$H$135,MATCH(A389,'02_工程タスク'!$A$4:$A$135,0))))</f>
        <v>R01</v>
      </c>
      <c r="E389" s="4" t="s">
        <v>2651</v>
      </c>
      <c r="F389" s="28" t="str">
        <f>IF(COUNTIF('07_スキル辞書'!$A$4:$A$109,E389)&lt;&gt;1,"参照ID不正",IF(INDEX('07_スキル辞書'!$D$4:$D$109,MATCH(E389,'07_スキル辞書'!$A$4:$A$109,0))="","",INDEX('07_スキル辞書'!$D$4:$D$109,MATCH(E389,'07_スキル辞書'!$A$4:$A$109,0))))</f>
        <v>リスク比例の投資・公開・継続・変更判断</v>
      </c>
      <c r="G389" s="4">
        <v>3</v>
      </c>
      <c r="H389" s="28" t="str">
        <f>IF(COUNTIF('07_スキル辞書'!$A$4:$A$109,E389)&lt;&gt;1,"参照ID不正",IF(INDEX('07_スキル辞書'!$I$4:$I$109,MATCH(E389,'07_スキル辞書'!$A$4:$A$109,0))="","",INDEX('07_スキル辞書'!$I$4:$I$109,MATCH(E389,'07_スキル辞書'!$A$4:$A$109,0))))</f>
        <v>投資・Release・例外・継続判断記録</v>
      </c>
      <c r="I389" s="4" t="s">
        <v>2900</v>
      </c>
    </row>
    <row r="390" spans="1:9" ht="38" customHeight="1" x14ac:dyDescent="0.2">
      <c r="A390" s="2" t="s">
        <v>1440</v>
      </c>
      <c r="B390" s="28" t="str">
        <f>IF(COUNTIF('02_工程タスク'!$A$4:$A$135,A390)&lt;&gt;1,"参照ID不正",IF(INDEX('02_工程タスク'!$D$4:$D$135,MATCH(A390,'02_工程タスク'!$A$4:$A$135,0))="","",INDEX('02_工程タスク'!$D$4:$D$135,MATCH(A390,'02_工程タスク'!$A$4:$A$135,0))))</f>
        <v>新市場・用途・自律度拡大の再計画</v>
      </c>
      <c r="C390" s="28" t="str">
        <f>IF(COUNTIF('02_工程タスク'!$A$4:$A$135,A390)&lt;&gt;1,"参照ID不正",IF(INDEX('02_工程タスク'!$G$4:$G$135,MATCH(A390,'02_工程タスク'!$A$4:$A$135,0))="","",INDEX('02_工程タスク'!$G$4:$G$135,MATCH(A390,'02_工程タスク'!$A$4:$A$135,0))))</f>
        <v>R02, R14, R13</v>
      </c>
      <c r="D390" s="28" t="str">
        <f>IF(COUNTIF('02_工程タスク'!$A$4:$A$135,A390)&lt;&gt;1,"参照ID不正",IF(INDEX('02_工程タスク'!$H$4:$H$135,MATCH(A390,'02_工程タスク'!$A$4:$A$135,0))="","",INDEX('02_工程タスク'!$H$4:$H$135,MATCH(A390,'02_工程タスク'!$A$4:$A$135,0))))</f>
        <v>R01</v>
      </c>
      <c r="E390" s="2" t="s">
        <v>2688</v>
      </c>
      <c r="F390" s="28" t="str">
        <f>IF(COUNTIF('07_スキル辞書'!$A$4:$A$109,E390)&lt;&gt;1,"参照ID不正",IF(INDEX('07_スキル辞書'!$D$4:$D$109,MATCH(E390,'07_スキル辞書'!$A$4:$A$109,0))="","",INDEX('07_スキル辞書'!$D$4:$D$109,MATCH(E390,'07_スキル辞書'!$A$4:$A$109,0))))</f>
        <v>市場投入・販売・導入設計</v>
      </c>
      <c r="G390" s="2">
        <v>2</v>
      </c>
      <c r="H390" s="28" t="str">
        <f>IF(COUNTIF('07_スキル辞書'!$A$4:$A$109,E390)&lt;&gt;1,"参照ID不正",IF(INDEX('07_スキル辞書'!$I$4:$I$109,MATCH(E390,'07_スキル辞書'!$A$4:$A$109,0))="","",INDEX('07_スキル辞書'!$I$4:$I$109,MATCH(E390,'07_スキル辞書'!$A$4:$A$109,0))))</f>
        <v>Launch計画・販売資料・導入実績</v>
      </c>
      <c r="I390" s="2" t="s">
        <v>2900</v>
      </c>
    </row>
    <row r="391" spans="1:9" ht="38" customHeight="1" x14ac:dyDescent="0.2">
      <c r="A391" s="4" t="s">
        <v>1451</v>
      </c>
      <c r="B391" s="28" t="str">
        <f>IF(COUNTIF('02_工程タスク'!$A$4:$A$135,A391)&lt;&gt;1,"参照ID不正",IF(INDEX('02_工程タスク'!$D$4:$D$135,MATCH(A391,'02_工程タスク'!$A$4:$A$135,0))="","",INDEX('02_工程タスク'!$D$4:$D$135,MATCH(A391,'02_工程タスク'!$A$4:$A$135,0))))</f>
        <v>縮小・廃止・移管計画の起動</v>
      </c>
      <c r="C391" s="28" t="str">
        <f>IF(COUNTIF('02_工程タスク'!$A$4:$A$135,A391)&lt;&gt;1,"参照ID不正",IF(INDEX('02_工程タスク'!$G$4:$G$135,MATCH(A391,'02_工程タスク'!$A$4:$A$135,0))="","",INDEX('02_工程タスク'!$G$4:$G$135,MATCH(A391,'02_工程タスク'!$A$4:$A$135,0))))</f>
        <v>R18, R02, R14</v>
      </c>
      <c r="D391" s="28" t="str">
        <f>IF(COUNTIF('02_工程タスク'!$A$4:$A$135,A391)&lt;&gt;1,"参照ID不正",IF(INDEX('02_工程タスク'!$H$4:$H$135,MATCH(A391,'02_工程タスク'!$A$4:$A$135,0))="","",INDEX('02_工程タスク'!$H$4:$H$135,MATCH(A391,'02_工程タスク'!$A$4:$A$135,0))))</f>
        <v>R01</v>
      </c>
      <c r="E391" s="4" t="s">
        <v>2641</v>
      </c>
      <c r="F391" s="28" t="str">
        <f>IF(COUNTIF('07_スキル辞書'!$A$4:$A$109,E391)&lt;&gt;1,"参照ID不正",IF(INDEX('07_スキル辞書'!$D$4:$D$109,MATCH(E391,'07_スキル辞書'!$A$4:$A$109,0))="","",INDEX('07_スキル辞書'!$D$4:$D$109,MATCH(E391,'07_スキル辞書'!$A$4:$A$109,0))))</f>
        <v>AI構成一式の更新・復旧・終了管理</v>
      </c>
      <c r="G391" s="4">
        <v>2</v>
      </c>
      <c r="H391" s="28" t="str">
        <f>IF(COUNTIF('07_スキル辞書'!$A$4:$A$109,E391)&lt;&gt;1,"参照ID不正",IF(INDEX('07_スキル辞書'!$I$4:$I$109,MATCH(E391,'07_スキル辞書'!$A$4:$A$109,0))="","",INDEX('07_スキル辞書'!$I$4:$I$109,MATCH(E391,'07_スキル辞書'!$A$4:$A$109,0))))</f>
        <v>構成manifest／復旧訓練／終了・削除・失効証跡</v>
      </c>
      <c r="I391" s="4" t="s">
        <v>2900</v>
      </c>
    </row>
    <row r="392" spans="1:9" ht="38" customHeight="1" x14ac:dyDescent="0.2">
      <c r="A392" s="2" t="s">
        <v>1451</v>
      </c>
      <c r="B392" s="28" t="str">
        <f>IF(COUNTIF('02_工程タスク'!$A$4:$A$135,A392)&lt;&gt;1,"参照ID不正",IF(INDEX('02_工程タスク'!$D$4:$D$135,MATCH(A392,'02_工程タスク'!$A$4:$A$135,0))="","",INDEX('02_工程タスク'!$D$4:$D$135,MATCH(A392,'02_工程タスク'!$A$4:$A$135,0))))</f>
        <v>縮小・廃止・移管計画の起動</v>
      </c>
      <c r="C392" s="28" t="str">
        <f>IF(COUNTIF('02_工程タスク'!$A$4:$A$135,A392)&lt;&gt;1,"参照ID不正",IF(INDEX('02_工程タスク'!$G$4:$G$135,MATCH(A392,'02_工程タスク'!$A$4:$A$135,0))="","",INDEX('02_工程タスク'!$G$4:$G$135,MATCH(A392,'02_工程タスク'!$A$4:$A$135,0))))</f>
        <v>R18, R02, R14</v>
      </c>
      <c r="D392" s="28" t="str">
        <f>IF(COUNTIF('02_工程タスク'!$A$4:$A$135,A392)&lt;&gt;1,"参照ID不正",IF(INDEX('02_工程タスク'!$H$4:$H$135,MATCH(A392,'02_工程タスク'!$A$4:$A$135,0))="","",INDEX('02_工程タスク'!$H$4:$H$135,MATCH(A392,'02_工程タスク'!$A$4:$A$135,0))))</f>
        <v>R01</v>
      </c>
      <c r="E392" s="2" t="s">
        <v>2854</v>
      </c>
      <c r="F392" s="28" t="str">
        <f>IF(COUNTIF('07_スキル辞書'!$A$4:$A$109,E392)&lt;&gt;1,"参照ID不正",IF(INDEX('07_スキル辞書'!$D$4:$D$109,MATCH(E392,'07_スキル辞書'!$A$4:$A$109,0))="","",INDEX('07_スキル辞書'!$D$4:$D$109,MATCH(E392,'07_スキル辞書'!$A$4:$A$109,0))))</f>
        <v>移管・削除・権限失効・請求終了</v>
      </c>
      <c r="G392" s="2">
        <v>2</v>
      </c>
      <c r="H392" s="28" t="str">
        <f>IF(COUNTIF('07_スキル辞書'!$A$4:$A$109,E392)&lt;&gt;1,"参照ID不正",IF(INDEX('07_スキル辞書'!$I$4:$I$109,MATCH(E392,'07_スキル辞書'!$A$4:$A$109,0))="","",INDEX('07_スキル辞書'!$I$4:$I$109,MATCH(E392,'07_スキル辞書'!$A$4:$A$109,0))))</f>
        <v>廃止計画・Deletion/Retention・G5</v>
      </c>
      <c r="I392" s="2" t="s">
        <v>2900</v>
      </c>
    </row>
    <row r="393" spans="1:9" ht="38" customHeight="1" x14ac:dyDescent="0.2">
      <c r="A393" s="4" t="s">
        <v>1451</v>
      </c>
      <c r="B393" s="28" t="str">
        <f>IF(COUNTIF('02_工程タスク'!$A$4:$A$135,A393)&lt;&gt;1,"参照ID不正",IF(INDEX('02_工程タスク'!$D$4:$D$135,MATCH(A393,'02_工程タスク'!$A$4:$A$135,0))="","",INDEX('02_工程タスク'!$D$4:$D$135,MATCH(A393,'02_工程タスク'!$A$4:$A$135,0))))</f>
        <v>縮小・廃止・移管計画の起動</v>
      </c>
      <c r="C393" s="28" t="str">
        <f>IF(COUNTIF('02_工程タスク'!$A$4:$A$135,A393)&lt;&gt;1,"参照ID不正",IF(INDEX('02_工程タスク'!$G$4:$G$135,MATCH(A393,'02_工程タスク'!$A$4:$A$135,0))="","",INDEX('02_工程タスク'!$G$4:$G$135,MATCH(A393,'02_工程タスク'!$A$4:$A$135,0))))</f>
        <v>R18, R02, R14</v>
      </c>
      <c r="D393" s="28" t="str">
        <f>IF(COUNTIF('02_工程タスク'!$A$4:$A$135,A393)&lt;&gt;1,"参照ID不正",IF(INDEX('02_工程タスク'!$H$4:$H$135,MATCH(A393,'02_工程タスク'!$A$4:$A$135,0))="","",INDEX('02_工程タスク'!$H$4:$H$135,MATCH(A393,'02_工程タスク'!$A$4:$A$135,0))))</f>
        <v>R01</v>
      </c>
      <c r="E393" s="4" t="s">
        <v>2863</v>
      </c>
      <c r="F393" s="28" t="str">
        <f>IF(COUNTIF('07_スキル辞書'!$A$4:$A$109,E393)&lt;&gt;1,"参照ID不正",IF(INDEX('07_スキル辞書'!$D$4:$D$109,MATCH(E393,'07_スキル辞書'!$A$4:$A$109,0))="","",INDEX('07_スキル辞書'!$D$4:$D$109,MATCH(E393,'07_スキル辞書'!$A$4:$A$109,0))))</f>
        <v>段階投資・学習価値・Pivot/Stop</v>
      </c>
      <c r="G393" s="4">
        <v>3</v>
      </c>
      <c r="H393" s="28" t="str">
        <f>IF(COUNTIF('07_スキル辞書'!$A$4:$A$109,E393)&lt;&gt;1,"参照ID不正",IF(INDEX('07_スキル辞書'!$I$4:$I$109,MATCH(E393,'07_スキル辞書'!$A$4:$A$109,0))="","",INDEX('07_スキル辞書'!$I$4:$I$109,MATCH(E393,'07_スキル辞書'!$A$4:$A$109,0))))</f>
        <v>G0/G4・実験・投資レビュー</v>
      </c>
      <c r="I393" s="4" t="s">
        <v>2900</v>
      </c>
    </row>
    <row r="394" spans="1:9" ht="38" customHeight="1" x14ac:dyDescent="0.2">
      <c r="A394" s="2" t="s">
        <v>1461</v>
      </c>
      <c r="B394" s="28" t="str">
        <f>IF(COUNTIF('02_工程タスク'!$A$4:$A$135,A394)&lt;&gt;1,"参照ID不正",IF(INDEX('02_工程タスク'!$D$4:$D$135,MATCH(A394,'02_工程タスク'!$A$4:$A$135,0))="","",INDEX('02_工程タスク'!$D$4:$D$135,MATCH(A394,'02_工程タスク'!$A$4:$A$135,0))))</f>
        <v>知見・原則・再利用資産の蓄積</v>
      </c>
      <c r="C394" s="28" t="str">
        <f>IF(COUNTIF('02_工程タスク'!$A$4:$A$135,A394)&lt;&gt;1,"参照ID不正",IF(INDEX('02_工程タスク'!$G$4:$G$135,MATCH(A394,'02_工程タスク'!$A$4:$A$135,0))="","",INDEX('02_工程タスク'!$G$4:$G$135,MATCH(A394,'02_工程タスク'!$A$4:$A$135,0))))</f>
        <v>R02, R06, R11</v>
      </c>
      <c r="D394" s="28" t="str">
        <f>IF(COUNTIF('02_工程タスク'!$A$4:$A$135,A394)&lt;&gt;1,"参照ID不正",IF(INDEX('02_工程タスク'!$H$4:$H$135,MATCH(A394,'02_工程タスク'!$A$4:$A$135,0))="","",INDEX('02_工程タスク'!$H$4:$H$135,MATCH(A394,'02_工程タスク'!$A$4:$A$135,0))))</f>
        <v>R02</v>
      </c>
      <c r="E394" s="2" t="s">
        <v>2380</v>
      </c>
      <c r="F394" s="28" t="str">
        <f>IF(COUNTIF('07_スキル辞書'!$A$4:$A$109,E394)&lt;&gt;1,"参照ID不正",IF(INDEX('07_スキル辞書'!$D$4:$D$109,MATCH(E394,'07_スキル辞書'!$A$4:$A$109,0))="","",INDEX('07_スキル辞書'!$D$4:$D$109,MATCH(E394,'07_スキル辞書'!$A$4:$A$109,0))))</f>
        <v>テクニカルドキュメンテーションと引継ぎ</v>
      </c>
      <c r="G394" s="2">
        <v>2</v>
      </c>
      <c r="H394" s="28" t="str">
        <f>IF(COUNTIF('07_スキル辞書'!$A$4:$A$109,E394)&lt;&gt;1,"参照ID不正",IF(INDEX('07_スキル辞書'!$I$4:$I$109,MATCH(E394,'07_スキル辞書'!$A$4:$A$109,0))="","",INDEX('07_スキル辞書'!$I$4:$I$109,MATCH(E394,'07_スキル辞書'!$A$4:$A$109,0))))</f>
        <v>システム運用マニュアル、障害対応マニュアル、運用引継ぎ完了報告書、最終版プロジェクトドキュメント一式、監視項目一覧</v>
      </c>
      <c r="I394" s="2" t="s">
        <v>2900</v>
      </c>
    </row>
    <row r="395" spans="1:9" ht="38" customHeight="1" x14ac:dyDescent="0.2">
      <c r="A395" s="4" t="s">
        <v>1461</v>
      </c>
      <c r="B395" s="28" t="str">
        <f>IF(COUNTIF('02_工程タスク'!$A$4:$A$135,A395)&lt;&gt;1,"参照ID不正",IF(INDEX('02_工程タスク'!$D$4:$D$135,MATCH(A395,'02_工程タスク'!$A$4:$A$135,0))="","",INDEX('02_工程タスク'!$D$4:$D$135,MATCH(A395,'02_工程タスク'!$A$4:$A$135,0))))</f>
        <v>知見・原則・再利用資産の蓄積</v>
      </c>
      <c r="C395" s="28" t="str">
        <f>IF(COUNTIF('02_工程タスク'!$A$4:$A$135,A395)&lt;&gt;1,"参照ID不正",IF(INDEX('02_工程タスク'!$G$4:$G$135,MATCH(A395,'02_工程タスク'!$A$4:$A$135,0))="","",INDEX('02_工程タスク'!$G$4:$G$135,MATCH(A395,'02_工程タスク'!$A$4:$A$135,0))))</f>
        <v>R02, R06, R11</v>
      </c>
      <c r="D395" s="28" t="str">
        <f>IF(COUNTIF('02_工程タスク'!$A$4:$A$135,A395)&lt;&gt;1,"参照ID不正",IF(INDEX('02_工程タスク'!$H$4:$H$135,MATCH(A395,'02_工程タスク'!$A$4:$A$135,0))="","",INDEX('02_工程タスク'!$H$4:$H$135,MATCH(A395,'02_工程タスク'!$A$4:$A$135,0))))</f>
        <v>R02</v>
      </c>
      <c r="E395" s="4" t="s">
        <v>2799</v>
      </c>
      <c r="F395" s="28" t="str">
        <f>IF(COUNTIF('07_スキル辞書'!$A$4:$A$109,E395)&lt;&gt;1,"参照ID不正",IF(INDEX('07_スキル辞書'!$D$4:$D$109,MATCH(E395,'07_スキル辞書'!$A$4:$A$109,0))="","",INDEX('07_スキル辞書'!$D$4:$D$109,MATCH(E395,'07_スキル辞書'!$A$4:$A$109,0))))</f>
        <v>Agent Skillの設計・審査・ライフサイクル</v>
      </c>
      <c r="G395" s="4">
        <v>2</v>
      </c>
      <c r="H395" s="28" t="str">
        <f>IF(COUNTIF('07_スキル辞書'!$A$4:$A$109,E395)&lt;&gt;1,"参照ID不正",IF(INDEX('07_スキル辞書'!$I$4:$I$109,MATCH(E395,'07_スキル辞書'!$A$4:$A$109,0))="","",INDEX('07_スキル辞書'!$I$4:$I$109,MATCH(E395,'07_スキル辞書'!$A$4:$A$109,0))))</f>
        <v>Skill package・回帰・署名/版・廃止</v>
      </c>
      <c r="I395" s="4" t="s">
        <v>2900</v>
      </c>
    </row>
    <row r="396" spans="1:9" ht="38" customHeight="1" x14ac:dyDescent="0.2">
      <c r="A396" s="2" t="s">
        <v>1461</v>
      </c>
      <c r="B396" s="28" t="str">
        <f>IF(COUNTIF('02_工程タスク'!$A$4:$A$135,A396)&lt;&gt;1,"参照ID不正",IF(INDEX('02_工程タスク'!$D$4:$D$135,MATCH(A396,'02_工程タスク'!$A$4:$A$135,0))="","",INDEX('02_工程タスク'!$D$4:$D$135,MATCH(A396,'02_工程タスク'!$A$4:$A$135,0))))</f>
        <v>知見・原則・再利用資産の蓄積</v>
      </c>
      <c r="C396" s="28" t="str">
        <f>IF(COUNTIF('02_工程タスク'!$A$4:$A$135,A396)&lt;&gt;1,"参照ID不正",IF(INDEX('02_工程タスク'!$G$4:$G$135,MATCH(A396,'02_工程タスク'!$A$4:$A$135,0))="","",INDEX('02_工程タスク'!$G$4:$G$135,MATCH(A396,'02_工程タスク'!$A$4:$A$135,0))))</f>
        <v>R02, R06, R11</v>
      </c>
      <c r="D396" s="28" t="str">
        <f>IF(COUNTIF('02_工程タスク'!$A$4:$A$135,A396)&lt;&gt;1,"参照ID不正",IF(INDEX('02_工程タスク'!$H$4:$H$135,MATCH(A396,'02_工程タスク'!$A$4:$A$135,0))="","",INDEX('02_工程タスク'!$H$4:$H$135,MATCH(A396,'02_工程タスク'!$A$4:$A$135,0))))</f>
        <v>R02</v>
      </c>
      <c r="E396" s="2" t="s">
        <v>2863</v>
      </c>
      <c r="F396" s="28" t="str">
        <f>IF(COUNTIF('07_スキル辞書'!$A$4:$A$109,E396)&lt;&gt;1,"参照ID不正",IF(INDEX('07_スキル辞書'!$D$4:$D$109,MATCH(E396,'07_スキル辞書'!$A$4:$A$109,0))="","",INDEX('07_スキル辞書'!$D$4:$D$109,MATCH(E396,'07_スキル辞書'!$A$4:$A$109,0))))</f>
        <v>段階投資・学習価値・Pivot/Stop</v>
      </c>
      <c r="G396" s="2">
        <v>3</v>
      </c>
      <c r="H396" s="28" t="str">
        <f>IF(COUNTIF('07_スキル辞書'!$A$4:$A$109,E396)&lt;&gt;1,"参照ID不正",IF(INDEX('07_スキル辞書'!$I$4:$I$109,MATCH(E396,'07_スキル辞書'!$A$4:$A$109,0))="","",INDEX('07_スキル辞書'!$I$4:$I$109,MATCH(E396,'07_スキル辞書'!$A$4:$A$109,0))))</f>
        <v>G0/G4・実験・投資レビュー</v>
      </c>
      <c r="I396" s="2" t="s">
        <v>2900</v>
      </c>
    </row>
    <row r="397" spans="1:9" ht="38" customHeight="1" x14ac:dyDescent="0.2">
      <c r="A397" s="4" t="s">
        <v>1470</v>
      </c>
      <c r="B397" s="28" t="str">
        <f>IF(COUNTIF('02_工程タスク'!$A$4:$A$135,A397)&lt;&gt;1,"参照ID不正",IF(INDEX('02_工程タスク'!$D$4:$D$135,MATCH(A397,'02_工程タスク'!$A$4:$A$135,0))="","",INDEX('02_工程タスク'!$D$4:$D$135,MATCH(A397,'02_工程タスク'!$A$4:$A$135,0))))</f>
        <v>廃止範囲・日程・責任の承認</v>
      </c>
      <c r="C397" s="28" t="str">
        <f>IF(COUNTIF('02_工程タスク'!$A$4:$A$135,A397)&lt;&gt;1,"参照ID不正",IF(INDEX('02_工程タスク'!$G$4:$G$135,MATCH(A397,'02_工程タスク'!$A$4:$A$135,0))="","",INDEX('02_工程タスク'!$G$4:$G$135,MATCH(A397,'02_工程タスク'!$A$4:$A$135,0))))</f>
        <v>R18, R02, R14</v>
      </c>
      <c r="D397" s="28" t="str">
        <f>IF(COUNTIF('02_工程タスク'!$A$4:$A$135,A397)&lt;&gt;1,"参照ID不正",IF(INDEX('02_工程タスク'!$H$4:$H$135,MATCH(A397,'02_工程タスク'!$A$4:$A$135,0))="","",INDEX('02_工程タスク'!$H$4:$H$135,MATCH(A397,'02_工程タスク'!$A$4:$A$135,0))))</f>
        <v>R01</v>
      </c>
      <c r="E397" s="4" t="s">
        <v>2641</v>
      </c>
      <c r="F397" s="28" t="str">
        <f>IF(COUNTIF('07_スキル辞書'!$A$4:$A$109,E397)&lt;&gt;1,"参照ID不正",IF(INDEX('07_スキル辞書'!$D$4:$D$109,MATCH(E397,'07_スキル辞書'!$A$4:$A$109,0))="","",INDEX('07_スキル辞書'!$D$4:$D$109,MATCH(E397,'07_スキル辞書'!$A$4:$A$109,0))))</f>
        <v>AI構成一式の更新・復旧・終了管理</v>
      </c>
      <c r="G397" s="4">
        <v>2</v>
      </c>
      <c r="H397" s="28" t="str">
        <f>IF(COUNTIF('07_スキル辞書'!$A$4:$A$109,E397)&lt;&gt;1,"参照ID不正",IF(INDEX('07_スキル辞書'!$I$4:$I$109,MATCH(E397,'07_スキル辞書'!$A$4:$A$109,0))="","",INDEX('07_スキル辞書'!$I$4:$I$109,MATCH(E397,'07_スキル辞書'!$A$4:$A$109,0))))</f>
        <v>構成manifest／復旧訓練／終了・削除・失効証跡</v>
      </c>
      <c r="I397" s="4" t="s">
        <v>2900</v>
      </c>
    </row>
    <row r="398" spans="1:9" ht="38" customHeight="1" x14ac:dyDescent="0.2">
      <c r="A398" s="2" t="s">
        <v>1470</v>
      </c>
      <c r="B398" s="28" t="str">
        <f>IF(COUNTIF('02_工程タスク'!$A$4:$A$135,A398)&lt;&gt;1,"参照ID不正",IF(INDEX('02_工程タスク'!$D$4:$D$135,MATCH(A398,'02_工程タスク'!$A$4:$A$135,0))="","",INDEX('02_工程タスク'!$D$4:$D$135,MATCH(A398,'02_工程タスク'!$A$4:$A$135,0))))</f>
        <v>廃止範囲・日程・責任の承認</v>
      </c>
      <c r="C398" s="28" t="str">
        <f>IF(COUNTIF('02_工程タスク'!$A$4:$A$135,A398)&lt;&gt;1,"参照ID不正",IF(INDEX('02_工程タスク'!$G$4:$G$135,MATCH(A398,'02_工程タスク'!$A$4:$A$135,0))="","",INDEX('02_工程タスク'!$G$4:$G$135,MATCH(A398,'02_工程タスク'!$A$4:$A$135,0))))</f>
        <v>R18, R02, R14</v>
      </c>
      <c r="D398" s="28" t="str">
        <f>IF(COUNTIF('02_工程タスク'!$A$4:$A$135,A398)&lt;&gt;1,"参照ID不正",IF(INDEX('02_工程タスク'!$H$4:$H$135,MATCH(A398,'02_工程タスク'!$A$4:$A$135,0))="","",INDEX('02_工程タスク'!$H$4:$H$135,MATCH(A398,'02_工程タスク'!$A$4:$A$135,0))))</f>
        <v>R01</v>
      </c>
      <c r="E398" s="2" t="s">
        <v>2854</v>
      </c>
      <c r="F398" s="28" t="str">
        <f>IF(COUNTIF('07_スキル辞書'!$A$4:$A$109,E398)&lt;&gt;1,"参照ID不正",IF(INDEX('07_スキル辞書'!$D$4:$D$109,MATCH(E398,'07_スキル辞書'!$A$4:$A$109,0))="","",INDEX('07_スキル辞書'!$D$4:$D$109,MATCH(E398,'07_スキル辞書'!$A$4:$A$109,0))))</f>
        <v>移管・削除・権限失効・請求終了</v>
      </c>
      <c r="G398" s="2">
        <v>2</v>
      </c>
      <c r="H398" s="28" t="str">
        <f>IF(COUNTIF('07_スキル辞書'!$A$4:$A$109,E398)&lt;&gt;1,"参照ID不正",IF(INDEX('07_スキル辞書'!$I$4:$I$109,MATCH(E398,'07_スキル辞書'!$A$4:$A$109,0))="","",INDEX('07_スキル辞書'!$I$4:$I$109,MATCH(E398,'07_スキル辞書'!$A$4:$A$109,0))))</f>
        <v>廃止計画・Deletion/Retention・G5</v>
      </c>
      <c r="I398" s="2" t="s">
        <v>2900</v>
      </c>
    </row>
    <row r="399" spans="1:9" ht="38" customHeight="1" x14ac:dyDescent="0.2">
      <c r="A399" s="4" t="s">
        <v>1479</v>
      </c>
      <c r="B399" s="28" t="str">
        <f>IF(COUNTIF('02_工程タスク'!$A$4:$A$135,A399)&lt;&gt;1,"参照ID不正",IF(INDEX('02_工程タスク'!$D$4:$D$135,MATCH(A399,'02_工程タスク'!$A$4:$A$135,0))="","",INDEX('02_工程タスク'!$D$4:$D$135,MATCH(A399,'02_工程タスク'!$A$4:$A$135,0))))</f>
        <v>顧客・社内利用者への通知と移行</v>
      </c>
      <c r="C399" s="28" t="str">
        <f>IF(COUNTIF('02_工程タスク'!$A$4:$A$135,A399)&lt;&gt;1,"参照ID不正",IF(INDEX('02_工程タスク'!$G$4:$G$135,MATCH(A399,'02_工程タスク'!$A$4:$A$135,0))="","",INDEX('02_工程タスク'!$G$4:$G$135,MATCH(A399,'02_工程タスク'!$A$4:$A$135,0))))</f>
        <v>R17, R16, R14</v>
      </c>
      <c r="D399" s="28" t="str">
        <f>IF(COUNTIF('02_工程タスク'!$A$4:$A$135,A399)&lt;&gt;1,"参照ID不正",IF(INDEX('02_工程タスク'!$H$4:$H$135,MATCH(A399,'02_工程タスク'!$A$4:$A$135,0))="","",INDEX('02_工程タスク'!$H$4:$H$135,MATCH(A399,'02_工程タスク'!$A$4:$A$135,0))))</f>
        <v>R18</v>
      </c>
      <c r="E399" s="4" t="s">
        <v>2723</v>
      </c>
      <c r="F399" s="28" t="str">
        <f>IF(COUNTIF('07_スキル辞書'!$A$4:$A$109,E399)&lt;&gt;1,"参照ID不正",IF(INDEX('07_スキル辞書'!$D$4:$D$109,MATCH(E399,'07_スキル辞書'!$A$4:$A$109,0))="","",INDEX('07_スキル辞書'!$D$4:$D$109,MATCH(E399,'07_スキル辞書'!$A$4:$A$109,0))))</f>
        <v>導入・顧客成功・救済</v>
      </c>
      <c r="G399" s="4">
        <v>2</v>
      </c>
      <c r="H399" s="28" t="str">
        <f>IF(COUNTIF('07_スキル辞書'!$A$4:$A$109,E399)&lt;&gt;1,"参照ID不正",IF(INDEX('07_スキル辞書'!$I$4:$I$109,MATCH(E399,'07_スキル辞書'!$A$4:$A$109,0))="","",INDEX('07_スキル辞書'!$I$4:$I$109,MATCH(E399,'07_スキル辞書'!$A$4:$A$109,0))))</f>
        <v>CS記録・導入指標・救済記録</v>
      </c>
      <c r="I399" s="4" t="s">
        <v>2900</v>
      </c>
    </row>
    <row r="400" spans="1:9" ht="38" customHeight="1" x14ac:dyDescent="0.2">
      <c r="A400" s="2" t="s">
        <v>1479</v>
      </c>
      <c r="B400" s="28" t="str">
        <f>IF(COUNTIF('02_工程タスク'!$A$4:$A$135,A400)&lt;&gt;1,"参照ID不正",IF(INDEX('02_工程タスク'!$D$4:$D$135,MATCH(A400,'02_工程タスク'!$A$4:$A$135,0))="","",INDEX('02_工程タスク'!$D$4:$D$135,MATCH(A400,'02_工程タスク'!$A$4:$A$135,0))))</f>
        <v>顧客・社内利用者への通知と移行</v>
      </c>
      <c r="C400" s="28" t="str">
        <f>IF(COUNTIF('02_工程タスク'!$A$4:$A$135,A400)&lt;&gt;1,"参照ID不正",IF(INDEX('02_工程タスク'!$G$4:$G$135,MATCH(A400,'02_工程タスク'!$A$4:$A$135,0))="","",INDEX('02_工程タスク'!$G$4:$G$135,MATCH(A400,'02_工程タスク'!$A$4:$A$135,0))))</f>
        <v>R17, R16, R14</v>
      </c>
      <c r="D400" s="28" t="str">
        <f>IF(COUNTIF('02_工程タスク'!$A$4:$A$135,A400)&lt;&gt;1,"参照ID不正",IF(INDEX('02_工程タスク'!$H$4:$H$135,MATCH(A400,'02_工程タスク'!$A$4:$A$135,0))="","",INDEX('02_工程タスク'!$H$4:$H$135,MATCH(A400,'02_工程タスク'!$A$4:$A$135,0))))</f>
        <v>R18</v>
      </c>
      <c r="E400" s="2" t="s">
        <v>2845</v>
      </c>
      <c r="F400" s="28" t="str">
        <f>IF(COUNTIF('07_スキル辞書'!$A$4:$A$109,E400)&lt;&gt;1,"参照ID不正",IF(INDEX('07_スキル辞書'!$D$4:$D$109,MATCH(E400,'07_スキル辞書'!$A$4:$A$109,0))="","",INDEX('07_スキル辞書'!$D$4:$D$109,MATCH(E400,'07_スキル辞書'!$A$4:$A$109,0))))</f>
        <v>顧客通知・重大度・救済の連携</v>
      </c>
      <c r="G400" s="2">
        <v>2</v>
      </c>
      <c r="H400" s="28" t="str">
        <f>IF(COUNTIF('07_スキル辞書'!$A$4:$A$109,E400)&lt;&gt;1,"参照ID不正",IF(INDEX('07_スキル辞書'!$I$4:$I$109,MATCH(E400,'07_スキル辞書'!$A$4:$A$109,0))="","",INDEX('07_スキル辞書'!$I$4:$I$109,MATCH(E400,'07_スキル辞書'!$A$4:$A$109,0))))</f>
        <v>Incident通知・救済・振り返り</v>
      </c>
      <c r="I400" s="2" t="s">
        <v>2900</v>
      </c>
    </row>
    <row r="401" spans="1:9" ht="38" customHeight="1" x14ac:dyDescent="0.2">
      <c r="A401" s="4" t="s">
        <v>1479</v>
      </c>
      <c r="B401" s="28" t="str">
        <f>IF(COUNTIF('02_工程タスク'!$A$4:$A$135,A401)&lt;&gt;1,"参照ID不正",IF(INDEX('02_工程タスク'!$D$4:$D$135,MATCH(A401,'02_工程タスク'!$A$4:$A$135,0))="","",INDEX('02_工程タスク'!$D$4:$D$135,MATCH(A401,'02_工程タスク'!$A$4:$A$135,0))))</f>
        <v>顧客・社内利用者への通知と移行</v>
      </c>
      <c r="C401" s="28" t="str">
        <f>IF(COUNTIF('02_工程タスク'!$A$4:$A$135,A401)&lt;&gt;1,"参照ID不正",IF(INDEX('02_工程タスク'!$G$4:$G$135,MATCH(A401,'02_工程タスク'!$A$4:$A$135,0))="","",INDEX('02_工程タスク'!$G$4:$G$135,MATCH(A401,'02_工程タスク'!$A$4:$A$135,0))))</f>
        <v>R17, R16, R14</v>
      </c>
      <c r="D401" s="28" t="str">
        <f>IF(COUNTIF('02_工程タスク'!$A$4:$A$135,A401)&lt;&gt;1,"参照ID不正",IF(INDEX('02_工程タスク'!$H$4:$H$135,MATCH(A401,'02_工程タスク'!$A$4:$A$135,0))="","",INDEX('02_工程タスク'!$H$4:$H$135,MATCH(A401,'02_工程タスク'!$A$4:$A$135,0))))</f>
        <v>R18</v>
      </c>
      <c r="E401" s="4" t="s">
        <v>2854</v>
      </c>
      <c r="F401" s="28" t="str">
        <f>IF(COUNTIF('07_スキル辞書'!$A$4:$A$109,E401)&lt;&gt;1,"参照ID不正",IF(INDEX('07_スキル辞書'!$D$4:$D$109,MATCH(E401,'07_スキル辞書'!$A$4:$A$109,0))="","",INDEX('07_スキル辞書'!$D$4:$D$109,MATCH(E401,'07_スキル辞書'!$A$4:$A$109,0))))</f>
        <v>移管・削除・権限失効・請求終了</v>
      </c>
      <c r="G401" s="4">
        <v>2</v>
      </c>
      <c r="H401" s="28" t="str">
        <f>IF(COUNTIF('07_スキル辞書'!$A$4:$A$109,E401)&lt;&gt;1,"参照ID不正",IF(INDEX('07_スキル辞書'!$I$4:$I$109,MATCH(E401,'07_スキル辞書'!$A$4:$A$109,0))="","",INDEX('07_スキル辞書'!$I$4:$I$109,MATCH(E401,'07_スキル辞書'!$A$4:$A$109,0))))</f>
        <v>廃止計画・Deletion/Retention・G5</v>
      </c>
      <c r="I401" s="4" t="s">
        <v>2900</v>
      </c>
    </row>
    <row r="402" spans="1:9" ht="38" customHeight="1" x14ac:dyDescent="0.2">
      <c r="A402" s="2" t="s">
        <v>1487</v>
      </c>
      <c r="B402" s="28" t="str">
        <f>IF(COUNTIF('02_工程タスク'!$A$4:$A$135,A402)&lt;&gt;1,"参照ID不正",IF(INDEX('02_工程タスク'!$D$4:$D$135,MATCH(A402,'02_工程タスク'!$A$4:$A$135,0))="","",INDEX('02_工程タスク'!$D$4:$D$135,MATCH(A402,'02_工程タスク'!$A$4:$A$135,0))))</f>
        <v>データ・モデル・Tool・アカウント一覧</v>
      </c>
      <c r="C402" s="28" t="str">
        <f>IF(COUNTIF('02_工程タスク'!$A$4:$A$135,A402)&lt;&gt;1,"参照ID不正",IF(INDEX('02_工程タスク'!$G$4:$G$135,MATCH(A402,'02_工程タスク'!$A$4:$A$135,0))="","",INDEX('02_工程タスク'!$G$4:$G$135,MATCH(A402,'02_工程タスク'!$A$4:$A$135,0))))</f>
        <v>R09, R12, R20</v>
      </c>
      <c r="D402" s="28" t="str">
        <f>IF(COUNTIF('02_工程タスク'!$A$4:$A$135,A402)&lt;&gt;1,"参照ID不正",IF(INDEX('02_工程タスク'!$H$4:$H$135,MATCH(A402,'02_工程タスク'!$A$4:$A$135,0))="","",INDEX('02_工程タスク'!$H$4:$H$135,MATCH(A402,'02_工程タスク'!$A$4:$A$135,0))))</f>
        <v>R18</v>
      </c>
      <c r="E402" s="2" t="s">
        <v>2201</v>
      </c>
      <c r="F402" s="28" t="str">
        <f>IF(COUNTIF('07_スキル辞書'!$A$4:$A$109,E402)&lt;&gt;1,"参照ID不正",IF(INDEX('07_スキル辞書'!$D$4:$D$109,MATCH(E402,'07_スキル辞書'!$A$4:$A$109,0))="","",INDEX('07_スキル辞書'!$D$4:$D$109,MATCH(E402,'07_スキル辞書'!$A$4:$A$109,0))))</f>
        <v>データアーキテクチャとパイプライン設計</v>
      </c>
      <c r="G402" s="2">
        <v>2</v>
      </c>
      <c r="H402" s="28" t="str">
        <f>IF(COUNTIF('07_スキル辞書'!$A$4:$A$109,E402)&lt;&gt;1,"参照ID不正",IF(INDEX('07_スキル辞書'!$I$4:$I$109,MATCH(E402,'07_スキル辞書'!$A$4:$A$109,0))="","",INDEX('07_スキル辞書'!$I$4:$I$109,MATCH(E402,'07_スキル辞書'!$A$4:$A$109,0))))</f>
        <v>データアーキテクチャ図、データパイプライン設計書、コーパス整備仕様書、データ品質レポート</v>
      </c>
      <c r="I402" s="2" t="s">
        <v>2900</v>
      </c>
    </row>
    <row r="403" spans="1:9" ht="38" customHeight="1" x14ac:dyDescent="0.2">
      <c r="A403" s="4" t="s">
        <v>1487</v>
      </c>
      <c r="B403" s="28" t="str">
        <f>IF(COUNTIF('02_工程タスク'!$A$4:$A$135,A403)&lt;&gt;1,"参照ID不正",IF(INDEX('02_工程タスク'!$D$4:$D$135,MATCH(A403,'02_工程タスク'!$A$4:$A$135,0))="","",INDEX('02_工程タスク'!$D$4:$D$135,MATCH(A403,'02_工程タスク'!$A$4:$A$135,0))))</f>
        <v>データ・モデル・Tool・アカウント一覧</v>
      </c>
      <c r="C403" s="28" t="str">
        <f>IF(COUNTIF('02_工程タスク'!$A$4:$A$135,A403)&lt;&gt;1,"参照ID不正",IF(INDEX('02_工程タスク'!$G$4:$G$135,MATCH(A403,'02_工程タスク'!$A$4:$A$135,0))="","",INDEX('02_工程タスク'!$G$4:$G$135,MATCH(A403,'02_工程タスク'!$A$4:$A$135,0))))</f>
        <v>R09, R12, R20</v>
      </c>
      <c r="D403" s="28" t="str">
        <f>IF(COUNTIF('02_工程タスク'!$A$4:$A$135,A403)&lt;&gt;1,"参照ID不正",IF(INDEX('02_工程タスク'!$H$4:$H$135,MATCH(A403,'02_工程タスク'!$A$4:$A$135,0))="","",INDEX('02_工程タスク'!$H$4:$H$135,MATCH(A403,'02_工程タスク'!$A$4:$A$135,0))))</f>
        <v>R18</v>
      </c>
      <c r="E403" s="4" t="s">
        <v>2641</v>
      </c>
      <c r="F403" s="28" t="str">
        <f>IF(COUNTIF('07_スキル辞書'!$A$4:$A$109,E403)&lt;&gt;1,"参照ID不正",IF(INDEX('07_スキル辞書'!$D$4:$D$109,MATCH(E403,'07_スキル辞書'!$A$4:$A$109,0))="","",INDEX('07_スキル辞書'!$D$4:$D$109,MATCH(E403,'07_スキル辞書'!$A$4:$A$109,0))))</f>
        <v>AI構成一式の更新・復旧・終了管理</v>
      </c>
      <c r="G403" s="4">
        <v>2</v>
      </c>
      <c r="H403" s="28" t="str">
        <f>IF(COUNTIF('07_スキル辞書'!$A$4:$A$109,E403)&lt;&gt;1,"参照ID不正",IF(INDEX('07_スキル辞書'!$I$4:$I$109,MATCH(E403,'07_スキル辞書'!$A$4:$A$109,0))="","",INDEX('07_スキル辞書'!$I$4:$I$109,MATCH(E403,'07_スキル辞書'!$A$4:$A$109,0))))</f>
        <v>構成manifest／復旧訓練／終了・削除・失効証跡</v>
      </c>
      <c r="I403" s="4" t="s">
        <v>2900</v>
      </c>
    </row>
    <row r="404" spans="1:9" ht="38" customHeight="1" x14ac:dyDescent="0.2">
      <c r="A404" s="2" t="s">
        <v>1487</v>
      </c>
      <c r="B404" s="28" t="str">
        <f>IF(COUNTIF('02_工程タスク'!$A$4:$A$135,A404)&lt;&gt;1,"参照ID不正",IF(INDEX('02_工程タスク'!$D$4:$D$135,MATCH(A404,'02_工程タスク'!$A$4:$A$135,0))="","",INDEX('02_工程タスク'!$D$4:$D$135,MATCH(A404,'02_工程タスク'!$A$4:$A$135,0))))</f>
        <v>データ・モデル・Tool・アカウント一覧</v>
      </c>
      <c r="C404" s="28" t="str">
        <f>IF(COUNTIF('02_工程タスク'!$A$4:$A$135,A404)&lt;&gt;1,"参照ID不正",IF(INDEX('02_工程タスク'!$G$4:$G$135,MATCH(A404,'02_工程タスク'!$A$4:$A$135,0))="","",INDEX('02_工程タスク'!$G$4:$G$135,MATCH(A404,'02_工程タスク'!$A$4:$A$135,0))))</f>
        <v>R09, R12, R20</v>
      </c>
      <c r="D404" s="28" t="str">
        <f>IF(COUNTIF('02_工程タスク'!$A$4:$A$135,A404)&lt;&gt;1,"参照ID不正",IF(INDEX('02_工程タスク'!$H$4:$H$135,MATCH(A404,'02_工程タスク'!$A$4:$A$135,0))="","",INDEX('02_工程タスク'!$H$4:$H$135,MATCH(A404,'02_工程タスク'!$A$4:$A$135,0))))</f>
        <v>R18</v>
      </c>
      <c r="E404" s="2" t="s">
        <v>2771</v>
      </c>
      <c r="F404" s="28" t="str">
        <f>IF(COUNTIF('07_スキル辞書'!$A$4:$A$109,E404)&lt;&gt;1,"参照ID不正",IF(INDEX('07_スキル辞書'!$D$4:$D$109,MATCH(E404,'07_スキル辞書'!$A$4:$A$109,0))="","",INDEX('07_スキル辞書'!$D$4:$D$109,MATCH(E404,'07_スキル辞書'!$A$4:$A$109,0))))</f>
        <v>モデル・Provider・処理条件・EOL管理</v>
      </c>
      <c r="G404" s="2">
        <v>2</v>
      </c>
      <c r="H404" s="28" t="str">
        <f>IF(COUNTIF('07_スキル辞書'!$A$4:$A$109,E404)&lt;&gt;1,"参照ID不正",IF(INDEX('07_スキル辞書'!$I$4:$I$109,MATCH(E404,'07_スキル辞書'!$A$4:$A$109,0))="","",INDEX('07_スキル辞書'!$I$4:$I$109,MATCH(E404,'07_スキル辞書'!$A$4:$A$109,0))))</f>
        <v>AI依存台帳・規約差分・切替評価</v>
      </c>
      <c r="I404" s="2" t="s">
        <v>2900</v>
      </c>
    </row>
    <row r="405" spans="1:9" ht="38" customHeight="1" x14ac:dyDescent="0.2">
      <c r="A405" s="4" t="s">
        <v>1487</v>
      </c>
      <c r="B405" s="28" t="str">
        <f>IF(COUNTIF('02_工程タスク'!$A$4:$A$135,A405)&lt;&gt;1,"参照ID不正",IF(INDEX('02_工程タスク'!$D$4:$D$135,MATCH(A405,'02_工程タスク'!$A$4:$A$135,0))="","",INDEX('02_工程タスク'!$D$4:$D$135,MATCH(A405,'02_工程タスク'!$A$4:$A$135,0))))</f>
        <v>データ・モデル・Tool・アカウント一覧</v>
      </c>
      <c r="C405" s="28" t="str">
        <f>IF(COUNTIF('02_工程タスク'!$A$4:$A$135,A405)&lt;&gt;1,"参照ID不正",IF(INDEX('02_工程タスク'!$G$4:$G$135,MATCH(A405,'02_工程タスク'!$A$4:$A$135,0))="","",INDEX('02_工程タスク'!$G$4:$G$135,MATCH(A405,'02_工程タスク'!$A$4:$A$135,0))))</f>
        <v>R09, R12, R20</v>
      </c>
      <c r="D405" s="28" t="str">
        <f>IF(COUNTIF('02_工程タスク'!$A$4:$A$135,A405)&lt;&gt;1,"参照ID不正",IF(INDEX('02_工程タスク'!$H$4:$H$135,MATCH(A405,'02_工程タスク'!$A$4:$A$135,0))="","",INDEX('02_工程タスク'!$H$4:$H$135,MATCH(A405,'02_工程タスク'!$A$4:$A$135,0))))</f>
        <v>R18</v>
      </c>
      <c r="E405" s="4" t="s">
        <v>2854</v>
      </c>
      <c r="F405" s="28" t="str">
        <f>IF(COUNTIF('07_スキル辞書'!$A$4:$A$109,E405)&lt;&gt;1,"参照ID不正",IF(INDEX('07_スキル辞書'!$D$4:$D$109,MATCH(E405,'07_スキル辞書'!$A$4:$A$109,0))="","",INDEX('07_スキル辞書'!$D$4:$D$109,MATCH(E405,'07_スキル辞書'!$A$4:$A$109,0))))</f>
        <v>移管・削除・権限失効・請求終了</v>
      </c>
      <c r="G405" s="4">
        <v>2</v>
      </c>
      <c r="H405" s="28" t="str">
        <f>IF(COUNTIF('07_スキル辞書'!$A$4:$A$109,E405)&lt;&gt;1,"参照ID不正",IF(INDEX('07_スキル辞書'!$I$4:$I$109,MATCH(E405,'07_スキル辞書'!$A$4:$A$109,0))="","",INDEX('07_スキル辞書'!$I$4:$I$109,MATCH(E405,'07_スキル辞書'!$A$4:$A$109,0))))</f>
        <v>廃止計画・Deletion/Retention・G5</v>
      </c>
      <c r="I405" s="4" t="s">
        <v>2900</v>
      </c>
    </row>
    <row r="406" spans="1:9" ht="38" customHeight="1" x14ac:dyDescent="0.2">
      <c r="A406" s="2" t="s">
        <v>1495</v>
      </c>
      <c r="B406" s="28" t="str">
        <f>IF(COUNTIF('02_工程タスク'!$A$4:$A$135,A406)&lt;&gt;1,"参照ID不正",IF(INDEX('02_工程タスク'!$D$4:$D$135,MATCH(A406,'02_工程タスク'!$A$4:$A$135,0))="","",INDEX('02_工程タスク'!$D$4:$D$135,MATCH(A406,'02_工程タスク'!$A$4:$A$135,0))))</f>
        <v>保持義務・保全・削除・学習資産判断</v>
      </c>
      <c r="C406" s="28" t="str">
        <f>IF(COUNTIF('02_工程タスク'!$A$4:$A$135,A406)&lt;&gt;1,"参照ID不正",IF(INDEX('02_工程タスク'!$G$4:$G$135,MATCH(A406,'02_工程タスク'!$A$4:$A$135,0))="","",INDEX('02_工程タスク'!$G$4:$G$135,MATCH(A406,'02_工程タスク'!$A$4:$A$135,0))))</f>
        <v>R10, R09, R14</v>
      </c>
      <c r="D406" s="28" t="str">
        <f>IF(COUNTIF('02_工程タスク'!$A$4:$A$135,A406)&lt;&gt;1,"参照ID不正",IF(INDEX('02_工程タスク'!$H$4:$H$135,MATCH(A406,'02_工程タスク'!$A$4:$A$135,0))="","",INDEX('02_工程タスク'!$H$4:$H$135,MATCH(A406,'02_工程タスク'!$A$4:$A$135,0))))</f>
        <v>R10</v>
      </c>
      <c r="E406" s="2" t="s">
        <v>1948</v>
      </c>
      <c r="F406" s="28" t="str">
        <f>IF(COUNTIF('07_スキル辞書'!$A$4:$A$109,E406)&lt;&gt;1,"参照ID不正",IF(INDEX('07_スキル辞書'!$D$4:$D$109,MATCH(E406,'07_スキル辞書'!$A$4:$A$109,0))="","",INDEX('07_スキル辞書'!$D$4:$D$109,MATCH(E406,'07_スキル辞書'!$A$4:$A$109,0))))</f>
        <v>個人情報保護法の適用判定とデータガバナンス</v>
      </c>
      <c r="G406" s="2">
        <v>2</v>
      </c>
      <c r="H406" s="28" t="str">
        <f>IF(COUNTIF('07_スキル辞書'!$A$4:$A$109,E406)&lt;&gt;1,"参照ID不正",IF(INDEX('07_スキル辞書'!$I$4:$I$109,MATCH(E406,'07_スキル辞書'!$A$4:$A$109,0))="","",INDEX('07_スキル辞書'!$I$4:$I$109,MATCH(E406,'07_スキル辞書'!$A$4:$A$109,0))))</f>
        <v>個人情報取扱い判定書、データ提供・利用契約、データ要件定義書、データ受領記録、アクセス制御設定</v>
      </c>
      <c r="I406" s="2" t="s">
        <v>2900</v>
      </c>
    </row>
    <row r="407" spans="1:9" ht="38" customHeight="1" x14ac:dyDescent="0.2">
      <c r="A407" s="4" t="s">
        <v>1495</v>
      </c>
      <c r="B407" s="28" t="str">
        <f>IF(COUNTIF('02_工程タスク'!$A$4:$A$135,A407)&lt;&gt;1,"参照ID不正",IF(INDEX('02_工程タスク'!$D$4:$D$135,MATCH(A407,'02_工程タスク'!$A$4:$A$135,0))="","",INDEX('02_工程タスク'!$D$4:$D$135,MATCH(A407,'02_工程タスク'!$A$4:$A$135,0))))</f>
        <v>保持義務・保全・削除・学習資産判断</v>
      </c>
      <c r="C407" s="28" t="str">
        <f>IF(COUNTIF('02_工程タスク'!$A$4:$A$135,A407)&lt;&gt;1,"参照ID不正",IF(INDEX('02_工程タスク'!$G$4:$G$135,MATCH(A407,'02_工程タスク'!$A$4:$A$135,0))="","",INDEX('02_工程タスク'!$G$4:$G$135,MATCH(A407,'02_工程タスク'!$A$4:$A$135,0))))</f>
        <v>R10, R09, R14</v>
      </c>
      <c r="D407" s="28" t="str">
        <f>IF(COUNTIF('02_工程タスク'!$A$4:$A$135,A407)&lt;&gt;1,"参照ID不正",IF(INDEX('02_工程タスク'!$H$4:$H$135,MATCH(A407,'02_工程タスク'!$A$4:$A$135,0))="","",INDEX('02_工程タスク'!$H$4:$H$135,MATCH(A407,'02_工程タスク'!$A$4:$A$135,0))))</f>
        <v>R10</v>
      </c>
      <c r="E407" s="4" t="s">
        <v>2246</v>
      </c>
      <c r="F407" s="28" t="str">
        <f>IF(COUNTIF('07_スキル辞書'!$A$4:$A$109,E407)&lt;&gt;1,"参照ID不正",IF(INDEX('07_スキル辞書'!$D$4:$D$109,MATCH(E407,'07_スキル辞書'!$A$4:$A$109,0))="","",INDEX('07_スキル辞書'!$D$4:$D$109,MATCH(E407,'07_スキル辞書'!$A$4:$A$109,0))))</f>
        <v>データベース構築とバックアップ・リストア</v>
      </c>
      <c r="G407" s="4">
        <v>2</v>
      </c>
      <c r="H407" s="28" t="str">
        <f>IF(COUNTIF('07_スキル辞書'!$A$4:$A$109,E407)&lt;&gt;1,"参照ID不正",IF(INDEX('07_スキル辞書'!$I$4:$I$109,MATCH(E407,'07_スキル辞書'!$A$4:$A$109,0))="","",INDEX('07_スキル辞書'!$I$4:$I$109,MATCH(E407,'07_スキル辞書'!$A$4:$A$109,0))))</f>
        <v>構築済みデータベース、スキーマ定義書、バックアップ・リストア手順書、データ受領記録、アクセス制御設定</v>
      </c>
      <c r="I407" s="4" t="s">
        <v>2900</v>
      </c>
    </row>
    <row r="408" spans="1:9" ht="38" customHeight="1" x14ac:dyDescent="0.2">
      <c r="A408" s="2" t="s">
        <v>1495</v>
      </c>
      <c r="B408" s="28" t="str">
        <f>IF(COUNTIF('02_工程タスク'!$A$4:$A$135,A408)&lt;&gt;1,"参照ID不正",IF(INDEX('02_工程タスク'!$D$4:$D$135,MATCH(A408,'02_工程タスク'!$A$4:$A$135,0))="","",INDEX('02_工程タスク'!$D$4:$D$135,MATCH(A408,'02_工程タスク'!$A$4:$A$135,0))))</f>
        <v>保持義務・保全・削除・学習資産判断</v>
      </c>
      <c r="C408" s="28" t="str">
        <f>IF(COUNTIF('02_工程タスク'!$A$4:$A$135,A408)&lt;&gt;1,"参照ID不正",IF(INDEX('02_工程タスク'!$G$4:$G$135,MATCH(A408,'02_工程タスク'!$A$4:$A$135,0))="","",INDEX('02_工程タスク'!$G$4:$G$135,MATCH(A408,'02_工程タスク'!$A$4:$A$135,0))))</f>
        <v>R10, R09, R14</v>
      </c>
      <c r="D408" s="28" t="str">
        <f>IF(COUNTIF('02_工程タスク'!$A$4:$A$135,A408)&lt;&gt;1,"参照ID不正",IF(INDEX('02_工程タスク'!$H$4:$H$135,MATCH(A408,'02_工程タスク'!$A$4:$A$135,0))="","",INDEX('02_工程タスク'!$H$4:$H$135,MATCH(A408,'02_工程タスク'!$A$4:$A$135,0))))</f>
        <v>R10</v>
      </c>
      <c r="E408" s="2" t="s">
        <v>2515</v>
      </c>
      <c r="F408" s="28" t="str">
        <f>IF(COUNTIF('07_スキル辞書'!$A$4:$A$109,E408)&lt;&gt;1,"参照ID不正",IF(INDEX('07_スキル辞書'!$D$4:$D$109,MATCH(E408,'07_スキル辞書'!$A$4:$A$109,0))="","",INDEX('07_スキル辞書'!$D$4:$D$109,MATCH(E408,'07_スキル辞書'!$A$4:$A$109,0))))</f>
        <v>本番モデルの最適化と再学習</v>
      </c>
      <c r="G408" s="2">
        <v>2</v>
      </c>
      <c r="H408" s="28" t="str">
        <f>IF(COUNTIF('07_スキル辞書'!$A$4:$A$109,E408)&lt;&gt;1,"参照ID不正",IF(INDEX('07_スキル辞書'!$I$4:$I$109,MATCH(E408,'07_スキル辞書'!$A$4:$A$109,0))="","",INDEX('07_スキル辞書'!$I$4:$I$109,MATCH(E408,'07_スキル辞書'!$A$4:$A$109,0))))</f>
        <v>本番用学習済みモデル、学習・評価スクリプト、最終モデル評価レポート、自動化された学習・評価パイプライン</v>
      </c>
      <c r="I408" s="2" t="s">
        <v>2900</v>
      </c>
    </row>
    <row r="409" spans="1:9" ht="38" customHeight="1" x14ac:dyDescent="0.2">
      <c r="A409" s="4" t="s">
        <v>1495</v>
      </c>
      <c r="B409" s="28" t="str">
        <f>IF(COUNTIF('02_工程タスク'!$A$4:$A$135,A409)&lt;&gt;1,"参照ID不正",IF(INDEX('02_工程タスク'!$D$4:$D$135,MATCH(A409,'02_工程タスク'!$A$4:$A$135,0))="","",INDEX('02_工程タスク'!$D$4:$D$135,MATCH(A409,'02_工程タスク'!$A$4:$A$135,0))))</f>
        <v>保持義務・保全・削除・学習資産判断</v>
      </c>
      <c r="C409" s="28" t="str">
        <f>IF(COUNTIF('02_工程タスク'!$A$4:$A$135,A409)&lt;&gt;1,"参照ID不正",IF(INDEX('02_工程タスク'!$G$4:$G$135,MATCH(A409,'02_工程タスク'!$A$4:$A$135,0))="","",INDEX('02_工程タスク'!$G$4:$G$135,MATCH(A409,'02_工程タスク'!$A$4:$A$135,0))))</f>
        <v>R10, R09, R14</v>
      </c>
      <c r="D409" s="28" t="str">
        <f>IF(COUNTIF('02_工程タスク'!$A$4:$A$135,A409)&lt;&gt;1,"参照ID不正",IF(INDEX('02_工程タスク'!$H$4:$H$135,MATCH(A409,'02_工程タスク'!$A$4:$A$135,0))="","",INDEX('02_工程タスク'!$H$4:$H$135,MATCH(A409,'02_工程タスク'!$A$4:$A$135,0))))</f>
        <v>R10</v>
      </c>
      <c r="E409" s="4" t="s">
        <v>2854</v>
      </c>
      <c r="F409" s="28" t="str">
        <f>IF(COUNTIF('07_スキル辞書'!$A$4:$A$109,E409)&lt;&gt;1,"参照ID不正",IF(INDEX('07_スキル辞書'!$D$4:$D$109,MATCH(E409,'07_スキル辞書'!$A$4:$A$109,0))="","",INDEX('07_スキル辞書'!$D$4:$D$109,MATCH(E409,'07_スキル辞書'!$A$4:$A$109,0))))</f>
        <v>移管・削除・権限失効・請求終了</v>
      </c>
      <c r="G409" s="4">
        <v>2</v>
      </c>
      <c r="H409" s="28" t="str">
        <f>IF(COUNTIF('07_スキル辞書'!$A$4:$A$109,E409)&lt;&gt;1,"参照ID不正",IF(INDEX('07_スキル辞書'!$I$4:$I$109,MATCH(E409,'07_スキル辞書'!$A$4:$A$109,0))="","",INDEX('07_スキル辞書'!$I$4:$I$109,MATCH(E409,'07_スキル辞書'!$A$4:$A$109,0))))</f>
        <v>廃止計画・Deletion/Retention・G5</v>
      </c>
      <c r="I409" s="4" t="s">
        <v>2900</v>
      </c>
    </row>
    <row r="410" spans="1:9" ht="38" customHeight="1" x14ac:dyDescent="0.2">
      <c r="A410" s="2" t="s">
        <v>1503</v>
      </c>
      <c r="B410" s="28" t="str">
        <f>IF(COUNTIF('02_工程タスク'!$A$4:$A$135,A410)&lt;&gt;1,"参照ID不正",IF(INDEX('02_工程タスク'!$D$4:$D$135,MATCH(A410,'02_工程タスク'!$A$4:$A$135,0))="","",INDEX('02_工程タスク'!$D$4:$D$135,MATCH(A410,'02_工程タスク'!$A$4:$A$135,0))))</f>
        <v>APIキー・MCP・OAuth・IDの失効</v>
      </c>
      <c r="C410" s="28" t="str">
        <f>IF(COUNTIF('02_工程タスク'!$A$4:$A$135,A410)&lt;&gt;1,"参照ID不正",IF(INDEX('02_工程タスク'!$G$4:$G$135,MATCH(A410,'02_工程タスク'!$A$4:$A$135,0))="","",INDEX('02_工程タスク'!$G$4:$G$135,MATCH(A410,'02_工程タスク'!$A$4:$A$135,0))))</f>
        <v>R13, R12</v>
      </c>
      <c r="D410" s="28" t="str">
        <f>IF(COUNTIF('02_工程タスク'!$A$4:$A$135,A410)&lt;&gt;1,"参照ID不正",IF(INDEX('02_工程タスク'!$H$4:$H$135,MATCH(A410,'02_工程タスク'!$A$4:$A$135,0))="","",INDEX('02_工程タスク'!$H$4:$H$135,MATCH(A410,'02_工程タスク'!$A$4:$A$135,0))))</f>
        <v>R13</v>
      </c>
      <c r="E410" s="2" t="s">
        <v>2255</v>
      </c>
      <c r="F410" s="28" t="str">
        <f>IF(COUNTIF('07_スキル辞書'!$A$4:$A$109,E410)&lt;&gt;1,"参照ID不正",IF(INDEX('07_スキル辞書'!$D$4:$D$109,MATCH(E410,'07_スキル辞書'!$A$4:$A$109,0))="","",INDEX('07_スキル辞書'!$D$4:$D$109,MATCH(E410,'07_スキル辞書'!$A$4:$A$109,0))))</f>
        <v>API設計・実装と認証認可</v>
      </c>
      <c r="G410" s="2">
        <v>2</v>
      </c>
      <c r="H410" s="28" t="str">
        <f>IF(COUNTIF('07_スキル辞書'!$A$4:$A$109,E410)&lt;&gt;1,"参照ID不正",IF(INDEX('07_スキル辞書'!$I$4:$I$109,MATCH(E410,'07_スキル辞書'!$A$4:$A$109,0))="","",INDEX('07_スキル辞書'!$I$4:$I$109,MATCH(E410,'07_スキル辞書'!$A$4:$A$109,0))))</f>
        <v>APIエンドポイント、API仕様書、サーバーサイドのソースコード、監査ログ設計書</v>
      </c>
      <c r="I410" s="2" t="s">
        <v>2900</v>
      </c>
    </row>
    <row r="411" spans="1:9" ht="38" customHeight="1" x14ac:dyDescent="0.2">
      <c r="A411" s="4" t="s">
        <v>1503</v>
      </c>
      <c r="B411" s="28" t="str">
        <f>IF(COUNTIF('02_工程タスク'!$A$4:$A$135,A411)&lt;&gt;1,"参照ID不正",IF(INDEX('02_工程タスク'!$D$4:$D$135,MATCH(A411,'02_工程タスク'!$A$4:$A$135,0))="","",INDEX('02_工程タスク'!$D$4:$D$135,MATCH(A411,'02_工程タスク'!$A$4:$A$135,0))))</f>
        <v>APIキー・MCP・OAuth・IDの失効</v>
      </c>
      <c r="C411" s="28" t="str">
        <f>IF(COUNTIF('02_工程タスク'!$A$4:$A$135,A411)&lt;&gt;1,"参照ID不正",IF(INDEX('02_工程タスク'!$G$4:$G$135,MATCH(A411,'02_工程タスク'!$A$4:$A$135,0))="","",INDEX('02_工程タスク'!$G$4:$G$135,MATCH(A411,'02_工程タスク'!$A$4:$A$135,0))))</f>
        <v>R13, R12</v>
      </c>
      <c r="D411" s="28" t="str">
        <f>IF(COUNTIF('02_工程タスク'!$A$4:$A$135,A411)&lt;&gt;1,"参照ID不正",IF(INDEX('02_工程タスク'!$H$4:$H$135,MATCH(A411,'02_工程タスク'!$A$4:$A$135,0))="","",INDEX('02_工程タスク'!$H$4:$H$135,MATCH(A411,'02_工程タスク'!$A$4:$A$135,0))))</f>
        <v>R13</v>
      </c>
      <c r="E411" s="4" t="s">
        <v>2623</v>
      </c>
      <c r="F411" s="28" t="str">
        <f>IF(COUNTIF('07_スキル辞書'!$A$4:$A$109,E411)&lt;&gt;1,"参照ID不正",IF(INDEX('07_スキル辞書'!$D$4:$D$109,MATCH(E411,'07_スキル辞書'!$A$4:$A$109,0))="","",INDEX('07_スキル辞書'!$D$4:$D$109,MATCH(E411,'07_スキル辞書'!$A$4:$A$109,0))))</f>
        <v>開発エージェントの権限・通信・供給網統制</v>
      </c>
      <c r="G411" s="4">
        <v>2</v>
      </c>
      <c r="H411" s="28" t="str">
        <f>IF(COUNTIF('07_スキル辞書'!$A$4:$A$109,E411)&lt;&gt;1,"参照ID不正",IF(INDEX('07_スキル辞書'!$I$4:$I$109,MATCH(E411,'07_スキル辞書'!$A$4:$A$109,0))="","",INDEX('07_スキル辞書'!$I$4:$I$109,MATCH(E411,'07_スキル辞書'!$A$4:$A$109,0))))</f>
        <v>ツール許可台帳／sandbox設定／通信・権限試験／秘密検査</v>
      </c>
      <c r="I411" s="4" t="s">
        <v>2900</v>
      </c>
    </row>
    <row r="412" spans="1:9" ht="38" customHeight="1" x14ac:dyDescent="0.2">
      <c r="A412" s="2" t="s">
        <v>1503</v>
      </c>
      <c r="B412" s="28" t="str">
        <f>IF(COUNTIF('02_工程タスク'!$A$4:$A$135,A412)&lt;&gt;1,"参照ID不正",IF(INDEX('02_工程タスク'!$D$4:$D$135,MATCH(A412,'02_工程タスク'!$A$4:$A$135,0))="","",INDEX('02_工程タスク'!$D$4:$D$135,MATCH(A412,'02_工程タスク'!$A$4:$A$135,0))))</f>
        <v>APIキー・MCP・OAuth・IDの失効</v>
      </c>
      <c r="C412" s="28" t="str">
        <f>IF(COUNTIF('02_工程タスク'!$A$4:$A$135,A412)&lt;&gt;1,"参照ID不正",IF(INDEX('02_工程タスク'!$G$4:$G$135,MATCH(A412,'02_工程タスク'!$A$4:$A$135,0))="","",INDEX('02_工程タスク'!$G$4:$G$135,MATCH(A412,'02_工程タスク'!$A$4:$A$135,0))))</f>
        <v>R13, R12</v>
      </c>
      <c r="D412" s="28" t="str">
        <f>IF(COUNTIF('02_工程タスク'!$A$4:$A$135,A412)&lt;&gt;1,"参照ID不正",IF(INDEX('02_工程タスク'!$H$4:$H$135,MATCH(A412,'02_工程タスク'!$A$4:$A$135,0))="","",INDEX('02_工程タスク'!$H$4:$H$135,MATCH(A412,'02_工程タスク'!$A$4:$A$135,0))))</f>
        <v>R13</v>
      </c>
      <c r="E412" s="2" t="s">
        <v>2641</v>
      </c>
      <c r="F412" s="28" t="str">
        <f>IF(COUNTIF('07_スキル辞書'!$A$4:$A$109,E412)&lt;&gt;1,"参照ID不正",IF(INDEX('07_スキル辞書'!$D$4:$D$109,MATCH(E412,'07_スキル辞書'!$A$4:$A$109,0))="","",INDEX('07_スキル辞書'!$D$4:$D$109,MATCH(E412,'07_スキル辞書'!$A$4:$A$109,0))))</f>
        <v>AI構成一式の更新・復旧・終了管理</v>
      </c>
      <c r="G412" s="2">
        <v>2</v>
      </c>
      <c r="H412" s="28" t="str">
        <f>IF(COUNTIF('07_スキル辞書'!$A$4:$A$109,E412)&lt;&gt;1,"参照ID不正",IF(INDEX('07_スキル辞書'!$I$4:$I$109,MATCH(E412,'07_スキル辞書'!$A$4:$A$109,0))="","",INDEX('07_スキル辞書'!$I$4:$I$109,MATCH(E412,'07_スキル辞書'!$A$4:$A$109,0))))</f>
        <v>構成manifest／復旧訓練／終了・削除・失効証跡</v>
      </c>
      <c r="I412" s="2" t="s">
        <v>2900</v>
      </c>
    </row>
    <row r="413" spans="1:9" ht="38" customHeight="1" x14ac:dyDescent="0.2">
      <c r="A413" s="4" t="s">
        <v>1511</v>
      </c>
      <c r="B413" s="28" t="str">
        <f>IF(COUNTIF('02_工程タスク'!$A$4:$A$135,A413)&lt;&gt;1,"参照ID不正",IF(INDEX('02_工程タスク'!$D$4:$D$135,MATCH(A413,'02_工程タスク'!$A$4:$A$135,0))="","",INDEX('02_工程タスク'!$D$4:$D$135,MATCH(A413,'02_工程タスク'!$A$4:$A$135,0))))</f>
        <v>推論・学習・バッチ・監視の停止</v>
      </c>
      <c r="C413" s="28" t="str">
        <f>IF(COUNTIF('02_工程タスク'!$A$4:$A$135,A413)&lt;&gt;1,"参照ID不正",IF(INDEX('02_工程タスク'!$G$4:$G$135,MATCH(A413,'02_工程タスク'!$A$4:$A$135,0))="","",INDEX('02_工程タスク'!$G$4:$G$135,MATCH(A413,'02_工程タスク'!$A$4:$A$135,0))))</f>
        <v>R12, R08, R09</v>
      </c>
      <c r="D413" s="28" t="str">
        <f>IF(COUNTIF('02_工程タスク'!$A$4:$A$135,A413)&lt;&gt;1,"参照ID不正",IF(INDEX('02_工程タスク'!$H$4:$H$135,MATCH(A413,'02_工程タスク'!$A$4:$A$135,0))="","",INDEX('02_工程タスク'!$H$4:$H$135,MATCH(A413,'02_工程タスク'!$A$4:$A$135,0))))</f>
        <v>R18</v>
      </c>
      <c r="E413" s="4" t="s">
        <v>2237</v>
      </c>
      <c r="F413" s="28" t="str">
        <f>IF(COUNTIF('07_スキル辞書'!$A$4:$A$109,E413)&lt;&gt;1,"参照ID不正",IF(INDEX('07_スキル辞書'!$D$4:$D$109,MATCH(E413,'07_スキル辞書'!$A$4:$A$109,0))="","",INDEX('07_スキル辞書'!$D$4:$D$109,MATCH(E413,'07_スキル辞書'!$A$4:$A$109,0))))</f>
        <v>モデルサービングとコンテナ化</v>
      </c>
      <c r="G413" s="4">
        <v>2</v>
      </c>
      <c r="H413" s="28" t="str">
        <f>IF(COUNTIF('07_スキル辞書'!$A$4:$A$109,E413)&lt;&gt;1,"参照ID不正",IF(INDEX('07_スキル辞書'!$I$4:$I$109,MATCH(E413,'07_スキル辞書'!$A$4:$A$109,0))="","",INDEX('07_スキル辞書'!$I$4:$I$109,MATCH(E413,'07_スキル辞書'!$A$4:$A$109,0))))</f>
        <v>モデル推論APIのエンドポイント、コンテナイメージ、API仕様書、Dockerfile、コンテナイメージリポジトリ</v>
      </c>
      <c r="I413" s="4" t="s">
        <v>2900</v>
      </c>
    </row>
    <row r="414" spans="1:9" ht="38" customHeight="1" x14ac:dyDescent="0.2">
      <c r="A414" s="2" t="s">
        <v>1511</v>
      </c>
      <c r="B414" s="28" t="str">
        <f>IF(COUNTIF('02_工程タスク'!$A$4:$A$135,A414)&lt;&gt;1,"参照ID不正",IF(INDEX('02_工程タスク'!$D$4:$D$135,MATCH(A414,'02_工程タスク'!$A$4:$A$135,0))="","",INDEX('02_工程タスク'!$D$4:$D$135,MATCH(A414,'02_工程タスク'!$A$4:$A$135,0))))</f>
        <v>推論・学習・バッチ・監視の停止</v>
      </c>
      <c r="C414" s="28" t="str">
        <f>IF(COUNTIF('02_工程タスク'!$A$4:$A$135,A414)&lt;&gt;1,"参照ID不正",IF(INDEX('02_工程タスク'!$G$4:$G$135,MATCH(A414,'02_工程タスク'!$A$4:$A$135,0))="","",INDEX('02_工程タスク'!$G$4:$G$135,MATCH(A414,'02_工程タスク'!$A$4:$A$135,0))))</f>
        <v>R12, R08, R09</v>
      </c>
      <c r="D414" s="28" t="str">
        <f>IF(COUNTIF('02_工程タスク'!$A$4:$A$135,A414)&lt;&gt;1,"参照ID不正",IF(INDEX('02_工程タスク'!$H$4:$H$135,MATCH(A414,'02_工程タスク'!$A$4:$A$135,0))="","",INDEX('02_工程タスク'!$H$4:$H$135,MATCH(A414,'02_工程タスク'!$A$4:$A$135,0))))</f>
        <v>R18</v>
      </c>
      <c r="E414" s="2" t="s">
        <v>2353</v>
      </c>
      <c r="F414" s="28" t="str">
        <f>IF(COUNTIF('07_スキル辞書'!$A$4:$A$109,E414)&lt;&gt;1,"参照ID不正",IF(INDEX('07_スキル辞書'!$D$4:$D$109,MATCH(E414,'07_スキル辞書'!$A$4:$A$109,0))="","",INDEX('07_スキル辞書'!$D$4:$D$109,MATCH(E414,'07_スキル辞書'!$A$4:$A$109,0))))</f>
        <v>リリース・デプロイ戦略とロールバック</v>
      </c>
      <c r="G414" s="2">
        <v>2</v>
      </c>
      <c r="H414" s="28" t="str">
        <f>IF(COUNTIF('07_スキル辞書'!$A$4:$A$109,E414)&lt;&gt;1,"参照ID不正",IF(INDEX('07_スキル辞書'!$I$4:$I$109,MATCH(E414,'07_スキル辞書'!$A$4:$A$109,0))="","",INDEX('07_スキル辞書'!$I$4:$I$109,MATCH(E414,'07_スキル辞書'!$A$4:$A$109,0))))</f>
        <v>リリース計画書、リリースノート、本番稼働中のシステム、デプロイ戦略の実装、切替記録、モデルロールバック手順書</v>
      </c>
      <c r="I414" s="2" t="s">
        <v>2900</v>
      </c>
    </row>
    <row r="415" spans="1:9" ht="38" customHeight="1" x14ac:dyDescent="0.2">
      <c r="A415" s="4" t="s">
        <v>1511</v>
      </c>
      <c r="B415" s="28" t="str">
        <f>IF(COUNTIF('02_工程タスク'!$A$4:$A$135,A415)&lt;&gt;1,"参照ID不正",IF(INDEX('02_工程タスク'!$D$4:$D$135,MATCH(A415,'02_工程タスク'!$A$4:$A$135,0))="","",INDEX('02_工程タスク'!$D$4:$D$135,MATCH(A415,'02_工程タスク'!$A$4:$A$135,0))))</f>
        <v>推論・学習・バッチ・監視の停止</v>
      </c>
      <c r="C415" s="28" t="str">
        <f>IF(COUNTIF('02_工程タスク'!$A$4:$A$135,A415)&lt;&gt;1,"参照ID不正",IF(INDEX('02_工程タスク'!$G$4:$G$135,MATCH(A415,'02_工程タスク'!$A$4:$A$135,0))="","",INDEX('02_工程タスク'!$G$4:$G$135,MATCH(A415,'02_工程タスク'!$A$4:$A$135,0))))</f>
        <v>R12, R08, R09</v>
      </c>
      <c r="D415" s="28" t="str">
        <f>IF(COUNTIF('02_工程タスク'!$A$4:$A$135,A415)&lt;&gt;1,"参照ID不正",IF(INDEX('02_工程タスク'!$H$4:$H$135,MATCH(A415,'02_工程タスク'!$A$4:$A$135,0))="","",INDEX('02_工程タスク'!$H$4:$H$135,MATCH(A415,'02_工程タスク'!$A$4:$A$135,0))))</f>
        <v>R18</v>
      </c>
      <c r="E415" s="4" t="s">
        <v>2641</v>
      </c>
      <c r="F415" s="28" t="str">
        <f>IF(COUNTIF('07_スキル辞書'!$A$4:$A$109,E415)&lt;&gt;1,"参照ID不正",IF(INDEX('07_スキル辞書'!$D$4:$D$109,MATCH(E415,'07_スキル辞書'!$A$4:$A$109,0))="","",INDEX('07_スキル辞書'!$D$4:$D$109,MATCH(E415,'07_スキル辞書'!$A$4:$A$109,0))))</f>
        <v>AI構成一式の更新・復旧・終了管理</v>
      </c>
      <c r="G415" s="4">
        <v>2</v>
      </c>
      <c r="H415" s="28" t="str">
        <f>IF(COUNTIF('07_スキル辞書'!$A$4:$A$109,E415)&lt;&gt;1,"参照ID不正",IF(INDEX('07_スキル辞書'!$I$4:$I$109,MATCH(E415,'07_スキル辞書'!$A$4:$A$109,0))="","",INDEX('07_スキル辞書'!$I$4:$I$109,MATCH(E415,'07_スキル辞書'!$A$4:$A$109,0))))</f>
        <v>構成manifest／復旧訓練／終了・削除・失効証跡</v>
      </c>
      <c r="I415" s="4" t="s">
        <v>2900</v>
      </c>
    </row>
    <row r="416" spans="1:9" ht="38" customHeight="1" x14ac:dyDescent="0.2">
      <c r="A416" s="2" t="s">
        <v>1520</v>
      </c>
      <c r="B416" s="28" t="str">
        <f>IF(COUNTIF('02_工程タスク'!$A$4:$A$135,A416)&lt;&gt;1,"参照ID不正",IF(INDEX('02_工程タスク'!$D$4:$D$135,MATCH(A416,'02_工程タスク'!$A$4:$A$135,0))="","",INDEX('02_工程タスク'!$D$4:$D$135,MATCH(A416,'02_工程タスク'!$A$4:$A$135,0))))</f>
        <v>ベンダー解約・削除確認・請求停止</v>
      </c>
      <c r="C416" s="28" t="str">
        <f>IF(COUNTIF('02_工程タスク'!$A$4:$A$135,A416)&lt;&gt;1,"参照ID不正",IF(INDEX('02_工程タスク'!$G$4:$G$135,MATCH(A416,'02_工程タスク'!$A$4:$A$135,0))="","",INDEX('02_工程タスク'!$G$4:$G$135,MATCH(A416,'02_工程タスク'!$A$4:$A$135,0))))</f>
        <v>R20, R15, R14</v>
      </c>
      <c r="D416" s="28" t="str">
        <f>IF(COUNTIF('02_工程タスク'!$A$4:$A$135,A416)&lt;&gt;1,"参照ID不正",IF(INDEX('02_工程タスク'!$H$4:$H$135,MATCH(A416,'02_工程タスク'!$A$4:$A$135,0))="","",INDEX('02_工程タスク'!$H$4:$H$135,MATCH(A416,'02_工程タスク'!$A$4:$A$135,0))))</f>
        <v>R20</v>
      </c>
      <c r="E416" s="2" t="s">
        <v>2046</v>
      </c>
      <c r="F416" s="28" t="str">
        <f>IF(COUNTIF('07_スキル辞書'!$A$4:$A$109,E416)&lt;&gt;1,"参照ID不正",IF(INDEX('07_スキル辞書'!$D$4:$D$109,MATCH(E416,'07_スキル辞書'!$A$4:$A$109,0))="","",INDEX('07_スキル辞書'!$D$4:$D$109,MATCH(E416,'07_スキル辞書'!$A$4:$A$109,0))))</f>
        <v>外部契約・調達・ベンダー受入</v>
      </c>
      <c r="G416" s="2">
        <v>2</v>
      </c>
      <c r="H416" s="28" t="str">
        <f>IF(COUNTIF('07_スキル辞書'!$A$4:$A$109,E416)&lt;&gt;1,"参照ID不正",IF(INDEX('07_スキル辞書'!$I$4:$I$109,MATCH(E416,'07_スキル辞書'!$A$4:$A$109,0))="","",INDEX('07_スキル辞書'!$I$4:$I$109,MATCH(E416,'07_スキル辞書'!$A$4:$A$109,0))))</f>
        <v>外部契約台帳・Supplier Acceptance・退出計画</v>
      </c>
      <c r="I416" s="2" t="s">
        <v>2900</v>
      </c>
    </row>
    <row r="417" spans="1:9" ht="38" customHeight="1" x14ac:dyDescent="0.2">
      <c r="A417" s="4" t="s">
        <v>1520</v>
      </c>
      <c r="B417" s="28" t="str">
        <f>IF(COUNTIF('02_工程タスク'!$A$4:$A$135,A417)&lt;&gt;1,"参照ID不正",IF(INDEX('02_工程タスク'!$D$4:$D$135,MATCH(A417,'02_工程タスク'!$A$4:$A$135,0))="","",INDEX('02_工程タスク'!$D$4:$D$135,MATCH(A417,'02_工程タスク'!$A$4:$A$135,0))))</f>
        <v>ベンダー解約・削除確認・請求停止</v>
      </c>
      <c r="C417" s="28" t="str">
        <f>IF(COUNTIF('02_工程タスク'!$A$4:$A$135,A417)&lt;&gt;1,"参照ID不正",IF(INDEX('02_工程タスク'!$G$4:$G$135,MATCH(A417,'02_工程タスク'!$A$4:$A$135,0))="","",INDEX('02_工程タスク'!$G$4:$G$135,MATCH(A417,'02_工程タスク'!$A$4:$A$135,0))))</f>
        <v>R20, R15, R14</v>
      </c>
      <c r="D417" s="28" t="str">
        <f>IF(COUNTIF('02_工程タスク'!$A$4:$A$135,A417)&lt;&gt;1,"参照ID不正",IF(INDEX('02_工程タスク'!$H$4:$H$135,MATCH(A417,'02_工程タスク'!$A$4:$A$135,0))="","",INDEX('02_工程タスク'!$H$4:$H$135,MATCH(A417,'02_工程タスク'!$A$4:$A$135,0))))</f>
        <v>R20</v>
      </c>
      <c r="E417" s="4" t="s">
        <v>2771</v>
      </c>
      <c r="F417" s="28" t="str">
        <f>IF(COUNTIF('07_スキル辞書'!$A$4:$A$109,E417)&lt;&gt;1,"参照ID不正",IF(INDEX('07_スキル辞書'!$D$4:$D$109,MATCH(E417,'07_スキル辞書'!$A$4:$A$109,0))="","",INDEX('07_スキル辞書'!$D$4:$D$109,MATCH(E417,'07_スキル辞書'!$A$4:$A$109,0))))</f>
        <v>モデル・Provider・処理条件・EOL管理</v>
      </c>
      <c r="G417" s="4">
        <v>2</v>
      </c>
      <c r="H417" s="28" t="str">
        <f>IF(COUNTIF('07_スキル辞書'!$A$4:$A$109,E417)&lt;&gt;1,"参照ID不正",IF(INDEX('07_スキル辞書'!$I$4:$I$109,MATCH(E417,'07_スキル辞書'!$A$4:$A$109,0))="","",INDEX('07_スキル辞書'!$I$4:$I$109,MATCH(E417,'07_スキル辞書'!$A$4:$A$109,0))))</f>
        <v>AI依存台帳・規約差分・切替評価</v>
      </c>
      <c r="I417" s="4" t="s">
        <v>2900</v>
      </c>
    </row>
    <row r="418" spans="1:9" ht="38" customHeight="1" x14ac:dyDescent="0.2">
      <c r="A418" s="2" t="s">
        <v>1520</v>
      </c>
      <c r="B418" s="28" t="str">
        <f>IF(COUNTIF('02_工程タスク'!$A$4:$A$135,A418)&lt;&gt;1,"参照ID不正",IF(INDEX('02_工程タスク'!$D$4:$D$135,MATCH(A418,'02_工程タスク'!$A$4:$A$135,0))="","",INDEX('02_工程タスク'!$D$4:$D$135,MATCH(A418,'02_工程タスク'!$A$4:$A$135,0))))</f>
        <v>ベンダー解約・削除確認・請求停止</v>
      </c>
      <c r="C418" s="28" t="str">
        <f>IF(COUNTIF('02_工程タスク'!$A$4:$A$135,A418)&lt;&gt;1,"参照ID不正",IF(INDEX('02_工程タスク'!$G$4:$G$135,MATCH(A418,'02_工程タスク'!$A$4:$A$135,0))="","",INDEX('02_工程タスク'!$G$4:$G$135,MATCH(A418,'02_工程タスク'!$A$4:$A$135,0))))</f>
        <v>R20, R15, R14</v>
      </c>
      <c r="D418" s="28" t="str">
        <f>IF(COUNTIF('02_工程タスク'!$A$4:$A$135,A418)&lt;&gt;1,"参照ID不正",IF(INDEX('02_工程タスク'!$H$4:$H$135,MATCH(A418,'02_工程タスク'!$A$4:$A$135,0))="","",INDEX('02_工程タスク'!$H$4:$H$135,MATCH(A418,'02_工程タスク'!$A$4:$A$135,0))))</f>
        <v>R20</v>
      </c>
      <c r="E418" s="2" t="s">
        <v>2854</v>
      </c>
      <c r="F418" s="28" t="str">
        <f>IF(COUNTIF('07_スキル辞書'!$A$4:$A$109,E418)&lt;&gt;1,"参照ID不正",IF(INDEX('07_スキル辞書'!$D$4:$D$109,MATCH(E418,'07_スキル辞書'!$A$4:$A$109,0))="","",INDEX('07_スキル辞書'!$D$4:$D$109,MATCH(E418,'07_スキル辞書'!$A$4:$A$109,0))))</f>
        <v>移管・削除・権限失効・請求終了</v>
      </c>
      <c r="G418" s="2">
        <v>2</v>
      </c>
      <c r="H418" s="28" t="str">
        <f>IF(COUNTIF('07_スキル辞書'!$A$4:$A$109,E418)&lt;&gt;1,"参照ID不正",IF(INDEX('07_スキル辞書'!$I$4:$I$109,MATCH(E418,'07_スキル辞書'!$A$4:$A$109,0))="","",INDEX('07_スキル辞書'!$I$4:$I$109,MATCH(E418,'07_スキル辞書'!$A$4:$A$109,0))))</f>
        <v>廃止計画・Deletion/Retention・G5</v>
      </c>
      <c r="I418" s="2" t="s">
        <v>2900</v>
      </c>
    </row>
    <row r="419" spans="1:9" ht="38" customHeight="1" x14ac:dyDescent="0.2">
      <c r="A419" s="4" t="s">
        <v>1529</v>
      </c>
      <c r="B419" s="28" t="str">
        <f>IF(COUNTIF('02_工程タスク'!$A$4:$A$135,A419)&lt;&gt;1,"参照ID不正",IF(INDEX('02_工程タスク'!$D$4:$D$135,MATCH(A419,'02_工程タスク'!$A$4:$A$135,0))="","",INDEX('02_工程タスク'!$D$4:$D$135,MATCH(A419,'02_工程タスク'!$A$4:$A$135,0))))</f>
        <v>削除・失効・移行の完了確認</v>
      </c>
      <c r="C419" s="28" t="str">
        <f>IF(COUNTIF('02_工程タスク'!$A$4:$A$135,A419)&lt;&gt;1,"参照ID不正",IF(INDEX('02_工程タスク'!$G$4:$G$135,MATCH(A419,'02_工程タスク'!$A$4:$A$135,0))="","",INDEX('02_工程タスク'!$G$4:$G$135,MATCH(A419,'02_工程タスク'!$A$4:$A$135,0))))</f>
        <v>R11, R13, R10</v>
      </c>
      <c r="D419" s="28" t="str">
        <f>IF(COUNTIF('02_工程タスク'!$A$4:$A$135,A419)&lt;&gt;1,"参照ID不正",IF(INDEX('02_工程タスク'!$H$4:$H$135,MATCH(A419,'02_工程タスク'!$A$4:$A$135,0))="","",INDEX('02_工程タスク'!$H$4:$H$135,MATCH(A419,'02_工程タスク'!$A$4:$A$135,0))))</f>
        <v>R19</v>
      </c>
      <c r="E419" s="4" t="s">
        <v>2614</v>
      </c>
      <c r="F419" s="28" t="str">
        <f>IF(COUNTIF('07_スキル辞書'!$A$4:$A$109,E419)&lt;&gt;1,"参照ID不正",IF(INDEX('07_スキル辞書'!$D$4:$D$109,MATCH(E419,'07_スキル辞書'!$A$4:$A$109,0))="","",INDEX('07_スキル辞書'!$D$4:$D$109,MATCH(E419,'07_スキル辞書'!$A$4:$A$109,0))))</f>
        <v>独立評価・採点較正・品質承認証拠</v>
      </c>
      <c r="G419" s="4">
        <v>3</v>
      </c>
      <c r="H419" s="28" t="str">
        <f>IF(COUNTIF('07_スキル辞書'!$A$4:$A$109,E419)&lt;&gt;1,"参照ID不正",IF(INDEX('07_スキル辞書'!$I$4:$I$109,MATCH(E419,'07_スキル辞書'!$A$4:$A$109,0))="","",INDEX('07_スキル辞書'!$I$4:$I$109,MATCH(E419,'07_スキル辞書'!$A$4:$A$109,0))))</f>
        <v>凍結評価・grader較正・G3品質勧告</v>
      </c>
      <c r="I419" s="4" t="s">
        <v>2900</v>
      </c>
    </row>
    <row r="420" spans="1:9" ht="38" customHeight="1" x14ac:dyDescent="0.2">
      <c r="A420" s="2" t="s">
        <v>1529</v>
      </c>
      <c r="B420" s="28" t="str">
        <f>IF(COUNTIF('02_工程タスク'!$A$4:$A$135,A420)&lt;&gt;1,"参照ID不正",IF(INDEX('02_工程タスク'!$D$4:$D$135,MATCH(A420,'02_工程タスク'!$A$4:$A$135,0))="","",INDEX('02_工程タスク'!$D$4:$D$135,MATCH(A420,'02_工程タスク'!$A$4:$A$135,0))))</f>
        <v>削除・失効・移行の完了確認</v>
      </c>
      <c r="C420" s="28" t="str">
        <f>IF(COUNTIF('02_工程タスク'!$A$4:$A$135,A420)&lt;&gt;1,"参照ID不正",IF(INDEX('02_工程タスク'!$G$4:$G$135,MATCH(A420,'02_工程タスク'!$A$4:$A$135,0))="","",INDEX('02_工程タスク'!$G$4:$G$135,MATCH(A420,'02_工程タスク'!$A$4:$A$135,0))))</f>
        <v>R11, R13, R10</v>
      </c>
      <c r="D420" s="28" t="str">
        <f>IF(COUNTIF('02_工程タスク'!$A$4:$A$135,A420)&lt;&gt;1,"参照ID不正",IF(INDEX('02_工程タスク'!$H$4:$H$135,MATCH(A420,'02_工程タスク'!$A$4:$A$135,0))="","",INDEX('02_工程タスク'!$H$4:$H$135,MATCH(A420,'02_工程タスク'!$A$4:$A$135,0))))</f>
        <v>R19</v>
      </c>
      <c r="E420" s="2" t="s">
        <v>2641</v>
      </c>
      <c r="F420" s="28" t="str">
        <f>IF(COUNTIF('07_スキル辞書'!$A$4:$A$109,E420)&lt;&gt;1,"参照ID不正",IF(INDEX('07_スキル辞書'!$D$4:$D$109,MATCH(E420,'07_スキル辞書'!$A$4:$A$109,0))="","",INDEX('07_スキル辞書'!$D$4:$D$109,MATCH(E420,'07_スキル辞書'!$A$4:$A$109,0))))</f>
        <v>AI構成一式の更新・復旧・終了管理</v>
      </c>
      <c r="G420" s="2">
        <v>2</v>
      </c>
      <c r="H420" s="28" t="str">
        <f>IF(COUNTIF('07_スキル辞書'!$A$4:$A$109,E420)&lt;&gt;1,"参照ID不正",IF(INDEX('07_スキル辞書'!$I$4:$I$109,MATCH(E420,'07_スキル辞書'!$A$4:$A$109,0))="","",INDEX('07_スキル辞書'!$I$4:$I$109,MATCH(E420,'07_スキル辞書'!$A$4:$A$109,0))))</f>
        <v>構成manifest／復旧訓練／終了・削除・失効証跡</v>
      </c>
      <c r="I420" s="2" t="s">
        <v>2900</v>
      </c>
    </row>
    <row r="421" spans="1:9" ht="38" customHeight="1" x14ac:dyDescent="0.2">
      <c r="A421" s="4" t="s">
        <v>1529</v>
      </c>
      <c r="B421" s="28" t="str">
        <f>IF(COUNTIF('02_工程タスク'!$A$4:$A$135,A421)&lt;&gt;1,"参照ID不正",IF(INDEX('02_工程タスク'!$D$4:$D$135,MATCH(A421,'02_工程タスク'!$A$4:$A$135,0))="","",INDEX('02_工程タスク'!$D$4:$D$135,MATCH(A421,'02_工程タスク'!$A$4:$A$135,0))))</f>
        <v>削除・失効・移行の完了確認</v>
      </c>
      <c r="C421" s="28" t="str">
        <f>IF(COUNTIF('02_工程タスク'!$A$4:$A$135,A421)&lt;&gt;1,"参照ID不正",IF(INDEX('02_工程タスク'!$G$4:$G$135,MATCH(A421,'02_工程タスク'!$A$4:$A$135,0))="","",INDEX('02_工程タスク'!$G$4:$G$135,MATCH(A421,'02_工程タスク'!$A$4:$A$135,0))))</f>
        <v>R11, R13, R10</v>
      </c>
      <c r="D421" s="28" t="str">
        <f>IF(COUNTIF('02_工程タスク'!$A$4:$A$135,A421)&lt;&gt;1,"参照ID不正",IF(INDEX('02_工程タスク'!$H$4:$H$135,MATCH(A421,'02_工程タスク'!$A$4:$A$135,0))="","",INDEX('02_工程タスク'!$H$4:$H$135,MATCH(A421,'02_工程タスク'!$A$4:$A$135,0))))</f>
        <v>R19</v>
      </c>
      <c r="E421" s="4" t="s">
        <v>2854</v>
      </c>
      <c r="F421" s="28" t="str">
        <f>IF(COUNTIF('07_スキル辞書'!$A$4:$A$109,E421)&lt;&gt;1,"参照ID不正",IF(INDEX('07_スキル辞書'!$D$4:$D$109,MATCH(E421,'07_スキル辞書'!$A$4:$A$109,0))="","",INDEX('07_スキル辞書'!$D$4:$D$109,MATCH(E421,'07_スキル辞書'!$A$4:$A$109,0))))</f>
        <v>移管・削除・権限失効・請求終了</v>
      </c>
      <c r="G421" s="4">
        <v>2</v>
      </c>
      <c r="H421" s="28" t="str">
        <f>IF(COUNTIF('07_スキル辞書'!$A$4:$A$109,E421)&lt;&gt;1,"参照ID不正",IF(INDEX('07_スキル辞書'!$I$4:$I$109,MATCH(E421,'07_スキル辞書'!$A$4:$A$109,0))="","",INDEX('07_スキル辞書'!$I$4:$I$109,MATCH(E421,'07_スキル辞書'!$A$4:$A$109,0))))</f>
        <v>廃止計画・Deletion/Retention・G5</v>
      </c>
      <c r="I421" s="4" t="s">
        <v>2900</v>
      </c>
    </row>
    <row r="422" spans="1:9" ht="38" customHeight="1" x14ac:dyDescent="0.2">
      <c r="A422" s="2" t="s">
        <v>1538</v>
      </c>
      <c r="B422" s="28" t="str">
        <f>IF(COUNTIF('02_工程タスク'!$A$4:$A$135,A422)&lt;&gt;1,"参照ID不正",IF(INDEX('02_工程タスク'!$D$4:$D$135,MATCH(A422,'02_工程タスク'!$A$4:$A$135,0))="","",INDEX('02_工程タスク'!$D$4:$D$135,MATCH(A422,'02_工程タスク'!$A$4:$A$135,0))))</f>
        <v>事業結果・投資・知見の振り返り</v>
      </c>
      <c r="C422" s="28" t="str">
        <f>IF(COUNTIF('02_工程タスク'!$A$4:$A$135,A422)&lt;&gt;1,"参照ID不正",IF(INDEX('02_工程タスク'!$G$4:$G$135,MATCH(A422,'02_工程タスク'!$A$4:$A$135,0))="","",INDEX('02_工程タスク'!$G$4:$G$135,MATCH(A422,'02_工程タスク'!$A$4:$A$135,0))))</f>
        <v>R02, R15, R06</v>
      </c>
      <c r="D422" s="28" t="str">
        <f>IF(COUNTIF('02_工程タスク'!$A$4:$A$135,A422)&lt;&gt;1,"参照ID不正",IF(INDEX('02_工程タスク'!$H$4:$H$135,MATCH(A422,'02_工程タスク'!$A$4:$A$135,0))="","",INDEX('02_工程タスク'!$H$4:$H$135,MATCH(A422,'02_工程タスク'!$A$4:$A$135,0))))</f>
        <v>R01</v>
      </c>
      <c r="E422" s="2" t="s">
        <v>2011</v>
      </c>
      <c r="F422" s="28" t="str">
        <f>IF(COUNTIF('07_スキル辞書'!$A$4:$A$109,E422)&lt;&gt;1,"参照ID不正",IF(INDEX('07_スキル辞書'!$D$4:$D$109,MATCH(E422,'07_スキル辞書'!$A$4:$A$109,0))="","",INDEX('07_スキル辞書'!$D$4:$D$109,MATCH(E422,'07_スキル辞書'!$A$4:$A$109,0))))</f>
        <v>ROI・TCO試算と感度分析</v>
      </c>
      <c r="G422" s="2">
        <v>2</v>
      </c>
      <c r="H422" s="28" t="str">
        <f>IF(COUNTIF('07_スキル辞書'!$A$4:$A$109,E422)&lt;&gt;1,"参照ID不正",IF(INDEX('07_スキル辞書'!$I$4:$I$109,MATCH(E422,'07_スキル辞書'!$A$4:$A$109,0))="","",INDEX('07_スキル辞書'!$I$4:$I$109,MATCH(E422,'07_スキル辞書'!$A$4:$A$109,0))))</f>
        <v>ROI試算シート（感度分析付き）、実現可能性評価レポート、コストダッシュボード</v>
      </c>
      <c r="I422" s="2" t="s">
        <v>2900</v>
      </c>
    </row>
    <row r="423" spans="1:9" ht="38" customHeight="1" x14ac:dyDescent="0.2">
      <c r="A423" s="4" t="s">
        <v>1538</v>
      </c>
      <c r="B423" s="28" t="str">
        <f>IF(COUNTIF('02_工程タスク'!$A$4:$A$135,A423)&lt;&gt;1,"参照ID不正",IF(INDEX('02_工程タスク'!$D$4:$D$135,MATCH(A423,'02_工程タスク'!$A$4:$A$135,0))="","",INDEX('02_工程タスク'!$D$4:$D$135,MATCH(A423,'02_工程タスク'!$A$4:$A$135,0))))</f>
        <v>事業結果・投資・知見の振り返り</v>
      </c>
      <c r="C423" s="28" t="str">
        <f>IF(COUNTIF('02_工程タスク'!$A$4:$A$135,A423)&lt;&gt;1,"参照ID不正",IF(INDEX('02_工程タスク'!$G$4:$G$135,MATCH(A423,'02_工程タスク'!$A$4:$A$135,0))="","",INDEX('02_工程タスク'!$G$4:$G$135,MATCH(A423,'02_工程タスク'!$A$4:$A$135,0))))</f>
        <v>R02, R15, R06</v>
      </c>
      <c r="D423" s="28" t="str">
        <f>IF(COUNTIF('02_工程タスク'!$A$4:$A$135,A423)&lt;&gt;1,"参照ID不正",IF(INDEX('02_工程タスク'!$H$4:$H$135,MATCH(A423,'02_工程タスク'!$A$4:$A$135,0))="","",INDEX('02_工程タスク'!$H$4:$H$135,MATCH(A423,'02_工程タスク'!$A$4:$A$135,0))))</f>
        <v>R01</v>
      </c>
      <c r="E423" s="4" t="s">
        <v>2020</v>
      </c>
      <c r="F423" s="28" t="str">
        <f>IF(COUNTIF('07_スキル辞書'!$A$4:$A$109,E423)&lt;&gt;1,"参照ID不正",IF(INDEX('07_スキル辞書'!$D$4:$D$109,MATCH(E423,'07_スキル辞書'!$A$4:$A$109,0))="","",INDEX('07_スキル辞書'!$D$4:$D$109,MATCH(E423,'07_スキル辞書'!$A$4:$A$109,0))))</f>
        <v>ビジネス価値の可視化と定例レポーティング・QBR運営</v>
      </c>
      <c r="G423" s="4">
        <v>2</v>
      </c>
      <c r="H423" s="28" t="str">
        <f>IF(COUNTIF('07_スキル辞書'!$A$4:$A$109,E423)&lt;&gt;1,"参照ID不正",IF(INDEX('07_スキル辞書'!$I$4:$I$109,MATCH(E423,'07_スキル辞書'!$A$4:$A$109,0))="","",INDEX('07_スキル辞書'!$I$4:$I$109,MATCH(E423,'07_スキル辞書'!$A$4:$A$109,0))))</f>
        <v>効果測定レポート、月次／四半期パフォーマンスレポート、ビジネス価値貢献レポート、QBR資料、次期提案</v>
      </c>
      <c r="I423" s="4" t="s">
        <v>2900</v>
      </c>
    </row>
    <row r="424" spans="1:9" ht="38" customHeight="1" x14ac:dyDescent="0.2">
      <c r="A424" s="2" t="s">
        <v>1538</v>
      </c>
      <c r="B424" s="28" t="str">
        <f>IF(COUNTIF('02_工程タスク'!$A$4:$A$135,A424)&lt;&gt;1,"参照ID不正",IF(INDEX('02_工程タスク'!$D$4:$D$135,MATCH(A424,'02_工程タスク'!$A$4:$A$135,0))="","",INDEX('02_工程タスク'!$D$4:$D$135,MATCH(A424,'02_工程タスク'!$A$4:$A$135,0))))</f>
        <v>事業結果・投資・知見の振り返り</v>
      </c>
      <c r="C424" s="28" t="str">
        <f>IF(COUNTIF('02_工程タスク'!$A$4:$A$135,A424)&lt;&gt;1,"参照ID不正",IF(INDEX('02_工程タスク'!$G$4:$G$135,MATCH(A424,'02_工程タスク'!$A$4:$A$135,0))="","",INDEX('02_工程タスク'!$G$4:$G$135,MATCH(A424,'02_工程タスク'!$A$4:$A$135,0))))</f>
        <v>R02, R15, R06</v>
      </c>
      <c r="D424" s="28" t="str">
        <f>IF(COUNTIF('02_工程タスク'!$A$4:$A$135,A424)&lt;&gt;1,"参照ID不正",IF(INDEX('02_工程タスク'!$H$4:$H$135,MATCH(A424,'02_工程タスク'!$A$4:$A$135,0))="","",INDEX('02_工程タスク'!$H$4:$H$135,MATCH(A424,'02_工程タスク'!$A$4:$A$135,0))))</f>
        <v>R01</v>
      </c>
      <c r="E424" s="2" t="s">
        <v>2863</v>
      </c>
      <c r="F424" s="28" t="str">
        <f>IF(COUNTIF('07_スキル辞書'!$A$4:$A$109,E424)&lt;&gt;1,"参照ID不正",IF(INDEX('07_スキル辞書'!$D$4:$D$109,MATCH(E424,'07_スキル辞書'!$A$4:$A$109,0))="","",INDEX('07_スキル辞書'!$D$4:$D$109,MATCH(E424,'07_スキル辞書'!$A$4:$A$109,0))))</f>
        <v>段階投資・学習価値・Pivot/Stop</v>
      </c>
      <c r="G424" s="2">
        <v>3</v>
      </c>
      <c r="H424" s="28" t="str">
        <f>IF(COUNTIF('07_スキル辞書'!$A$4:$A$109,E424)&lt;&gt;1,"参照ID不正",IF(INDEX('07_スキル辞書'!$I$4:$I$109,MATCH(E424,'07_スキル辞書'!$A$4:$A$109,0))="","",INDEX('07_スキル辞書'!$I$4:$I$109,MATCH(E424,'07_スキル辞書'!$A$4:$A$109,0))))</f>
        <v>G0/G4・実験・投資レビュー</v>
      </c>
      <c r="I424" s="2" t="s">
        <v>2900</v>
      </c>
    </row>
    <row r="425" spans="1:9" ht="38" customHeight="1" x14ac:dyDescent="0.2">
      <c r="A425" s="4" t="s">
        <v>1546</v>
      </c>
      <c r="B425" s="28" t="str">
        <f>IF(COUNTIF('02_工程タスク'!$A$4:$A$135,A425)&lt;&gt;1,"参照ID不正",IF(INDEX('02_工程タスク'!$D$4:$D$135,MATCH(A425,'02_工程タスク'!$A$4:$A$135,0))="","",INDEX('02_工程タスク'!$D$4:$D$135,MATCH(A425,'02_工程タスク'!$A$4:$A$135,0))))</f>
        <v>廃止完了承認</v>
      </c>
      <c r="C425" s="28" t="str">
        <f>IF(COUNTIF('02_工程タスク'!$A$4:$A$135,A425)&lt;&gt;1,"参照ID不正",IF(INDEX('02_工程タスク'!$G$4:$G$135,MATCH(A425,'02_工程タスク'!$A$4:$A$135,0))="","",INDEX('02_工程タスク'!$G$4:$G$135,MATCH(A425,'02_工程タスク'!$A$4:$A$135,0))))</f>
        <v>R18, R03</v>
      </c>
      <c r="D425" s="28" t="str">
        <f>IF(COUNTIF('02_工程タスク'!$A$4:$A$135,A425)&lt;&gt;1,"参照ID不正",IF(INDEX('02_工程タスク'!$H$4:$H$135,MATCH(A425,'02_工程タスク'!$A$4:$A$135,0))="","",INDEX('02_工程タスク'!$H$4:$H$135,MATCH(A425,'02_工程タスク'!$A$4:$A$135,0))))</f>
        <v>R01</v>
      </c>
      <c r="E425" s="4" t="s">
        <v>1924</v>
      </c>
      <c r="F425" s="28" t="str">
        <f>IF(COUNTIF('07_スキル辞書'!$A$4:$A$109,E425)&lt;&gt;1,"参照ID不正",IF(INDEX('07_スキル辞書'!$D$4:$D$109,MATCH(E425,'07_スキル辞書'!$A$4:$A$109,0))="","",INDEX('07_スキル辞書'!$D$4:$D$109,MATCH(E425,'07_スキル辞書'!$A$4:$A$109,0))))</f>
        <v>七工程と事業投資・公開ゲートの運用</v>
      </c>
      <c r="G425" s="4">
        <v>3</v>
      </c>
      <c r="H425" s="28" t="str">
        <f>IF(COUNTIF('07_スキル辞書'!$A$4:$A$109,E425)&lt;&gt;1,"参照ID不正",IF(INDEX('07_スキル辞書'!$I$4:$I$109,MATCH(E425,'07_スキル辞書'!$A$4:$A$109,0))="","",INDEX('07_スキル辞書'!$I$4:$I$109,MATCH(E425,'07_スキル辞書'!$A$4:$A$109,0))))</f>
        <v>G0〜G5判断記録・再Gate計画</v>
      </c>
      <c r="I425" s="4" t="s">
        <v>2900</v>
      </c>
    </row>
    <row r="426" spans="1:9" ht="38" customHeight="1" x14ac:dyDescent="0.2">
      <c r="A426" s="2" t="s">
        <v>1546</v>
      </c>
      <c r="B426" s="28" t="str">
        <f>IF(COUNTIF('02_工程タスク'!$A$4:$A$135,A426)&lt;&gt;1,"参照ID不正",IF(INDEX('02_工程タスク'!$D$4:$D$135,MATCH(A426,'02_工程タスク'!$A$4:$A$135,0))="","",INDEX('02_工程タスク'!$D$4:$D$135,MATCH(A426,'02_工程タスク'!$A$4:$A$135,0))))</f>
        <v>廃止完了承認</v>
      </c>
      <c r="C426" s="28" t="str">
        <f>IF(COUNTIF('02_工程タスク'!$A$4:$A$135,A426)&lt;&gt;1,"参照ID不正",IF(INDEX('02_工程タスク'!$G$4:$G$135,MATCH(A426,'02_工程タスク'!$A$4:$A$135,0))="","",INDEX('02_工程タスク'!$G$4:$G$135,MATCH(A426,'02_工程タスク'!$A$4:$A$135,0))))</f>
        <v>R18, R03</v>
      </c>
      <c r="D426" s="28" t="str">
        <f>IF(COUNTIF('02_工程タスク'!$A$4:$A$135,A426)&lt;&gt;1,"参照ID不正",IF(INDEX('02_工程タスク'!$H$4:$H$135,MATCH(A426,'02_工程タスク'!$A$4:$A$135,0))="","",INDEX('02_工程タスク'!$H$4:$H$135,MATCH(A426,'02_工程タスク'!$A$4:$A$135,0))))</f>
        <v>R01</v>
      </c>
      <c r="E426" s="2" t="s">
        <v>2651</v>
      </c>
      <c r="F426" s="28" t="str">
        <f>IF(COUNTIF('07_スキル辞書'!$A$4:$A$109,E426)&lt;&gt;1,"参照ID不正",IF(INDEX('07_スキル辞書'!$D$4:$D$109,MATCH(E426,'07_スキル辞書'!$A$4:$A$109,0))="","",INDEX('07_スキル辞書'!$D$4:$D$109,MATCH(E426,'07_スキル辞書'!$A$4:$A$109,0))))</f>
        <v>リスク比例の投資・公開・継続・変更判断</v>
      </c>
      <c r="G426" s="2">
        <v>3</v>
      </c>
      <c r="H426" s="28" t="str">
        <f>IF(COUNTIF('07_スキル辞書'!$A$4:$A$109,E426)&lt;&gt;1,"参照ID不正",IF(INDEX('07_スキル辞書'!$I$4:$I$109,MATCH(E426,'07_スキル辞書'!$A$4:$A$109,0))="","",INDEX('07_スキル辞書'!$I$4:$I$109,MATCH(E426,'07_スキル辞書'!$A$4:$A$109,0))))</f>
        <v>投資・Release・例外・継続判断記録</v>
      </c>
      <c r="I426" s="2" t="s">
        <v>2900</v>
      </c>
    </row>
    <row r="427" spans="1:9" ht="38" customHeight="1" x14ac:dyDescent="0.2">
      <c r="A427" s="4" t="s">
        <v>1546</v>
      </c>
      <c r="B427" s="28" t="str">
        <f>IF(COUNTIF('02_工程タスク'!$A$4:$A$135,A427)&lt;&gt;1,"参照ID不正",IF(INDEX('02_工程タスク'!$D$4:$D$135,MATCH(A427,'02_工程タスク'!$A$4:$A$135,0))="","",INDEX('02_工程タスク'!$D$4:$D$135,MATCH(A427,'02_工程タスク'!$A$4:$A$135,0))))</f>
        <v>廃止完了承認</v>
      </c>
      <c r="C427" s="28" t="str">
        <f>IF(COUNTIF('02_工程タスク'!$A$4:$A$135,A427)&lt;&gt;1,"参照ID不正",IF(INDEX('02_工程タスク'!$G$4:$G$135,MATCH(A427,'02_工程タスク'!$A$4:$A$135,0))="","",INDEX('02_工程タスク'!$G$4:$G$135,MATCH(A427,'02_工程タスク'!$A$4:$A$135,0))))</f>
        <v>R18, R03</v>
      </c>
      <c r="D427" s="28" t="str">
        <f>IF(COUNTIF('02_工程タスク'!$A$4:$A$135,A427)&lt;&gt;1,"参照ID不正",IF(INDEX('02_工程タスク'!$H$4:$H$135,MATCH(A427,'02_工程タスク'!$A$4:$A$135,0))="","",INDEX('02_工程タスク'!$H$4:$H$135,MATCH(A427,'02_工程タスク'!$A$4:$A$135,0))))</f>
        <v>R01</v>
      </c>
      <c r="E427" s="4" t="s">
        <v>2854</v>
      </c>
      <c r="F427" s="28" t="str">
        <f>IF(COUNTIF('07_スキル辞書'!$A$4:$A$109,E427)&lt;&gt;1,"参照ID不正",IF(INDEX('07_スキル辞書'!$D$4:$D$109,MATCH(E427,'07_スキル辞書'!$A$4:$A$109,0))="","",INDEX('07_スキル辞書'!$D$4:$D$109,MATCH(E427,'07_スキル辞書'!$A$4:$A$109,0))))</f>
        <v>移管・削除・権限失効・請求終了</v>
      </c>
      <c r="G427" s="4">
        <v>3</v>
      </c>
      <c r="H427" s="28" t="str">
        <f>IF(COUNTIF('07_スキル辞書'!$A$4:$A$109,E427)&lt;&gt;1,"参照ID不正",IF(INDEX('07_スキル辞書'!$I$4:$I$109,MATCH(E427,'07_スキル辞書'!$A$4:$A$109,0))="","",INDEX('07_スキル辞書'!$I$4:$I$109,MATCH(E427,'07_スキル辞書'!$A$4:$A$109,0))))</f>
        <v>廃止計画・Deletion/Retention・G5</v>
      </c>
      <c r="I427" s="4" t="s">
        <v>2900</v>
      </c>
    </row>
    <row r="428" spans="1:9" ht="38" customHeight="1" x14ac:dyDescent="0.2">
      <c r="A428" s="2" t="s">
        <v>1553</v>
      </c>
      <c r="B428" s="28" t="str">
        <f>IF(COUNTIF('02_工程タスク'!$A$4:$A$135,A428)&lt;&gt;1,"参照ID不正",IF(INDEX('02_工程タスク'!$D$4:$D$135,MATCH(A428,'02_工程タスク'!$A$4:$A$135,0))="","",INDEX('02_工程タスク'!$D$4:$D$135,MATCH(A428,'02_工程タスク'!$A$4:$A$135,0))))</f>
        <v>保持期限到来・残存請求の追跡</v>
      </c>
      <c r="C428" s="28" t="str">
        <f>IF(COUNTIF('02_工程タスク'!$A$4:$A$135,A428)&lt;&gt;1,"参照ID不正",IF(INDEX('02_工程タスク'!$G$4:$G$135,MATCH(A428,'02_工程タスク'!$A$4:$A$135,0))="","",INDEX('02_工程タスク'!$G$4:$G$135,MATCH(A428,'02_工程タスク'!$A$4:$A$135,0))))</f>
        <v>R18, R10, R15</v>
      </c>
      <c r="D428" s="28" t="str">
        <f>IF(COUNTIF('02_工程タスク'!$A$4:$A$135,A428)&lt;&gt;1,"参照ID不正",IF(INDEX('02_工程タスク'!$H$4:$H$135,MATCH(A428,'02_工程タスク'!$A$4:$A$135,0))="","",INDEX('02_工程タスク'!$H$4:$H$135,MATCH(A428,'02_工程タスク'!$A$4:$A$135,0))))</f>
        <v>R18</v>
      </c>
      <c r="E428" s="2" t="s">
        <v>1948</v>
      </c>
      <c r="F428" s="28" t="str">
        <f>IF(COUNTIF('07_スキル辞書'!$A$4:$A$109,E428)&lt;&gt;1,"参照ID不正",IF(INDEX('07_スキル辞書'!$D$4:$D$109,MATCH(E428,'07_スキル辞書'!$A$4:$A$109,0))="","",INDEX('07_スキル辞書'!$D$4:$D$109,MATCH(E428,'07_スキル辞書'!$A$4:$A$109,0))))</f>
        <v>個人情報保護法の適用判定とデータガバナンス</v>
      </c>
      <c r="G428" s="2">
        <v>2</v>
      </c>
      <c r="H428" s="28" t="str">
        <f>IF(COUNTIF('07_スキル辞書'!$A$4:$A$109,E428)&lt;&gt;1,"参照ID不正",IF(INDEX('07_スキル辞書'!$I$4:$I$109,MATCH(E428,'07_スキル辞書'!$A$4:$A$109,0))="","",INDEX('07_スキル辞書'!$I$4:$I$109,MATCH(E428,'07_スキル辞書'!$A$4:$A$109,0))))</f>
        <v>個人情報取扱い判定書、データ提供・利用契約、データ要件定義書、データ受領記録、アクセス制御設定</v>
      </c>
      <c r="I428" s="2" t="s">
        <v>2900</v>
      </c>
    </row>
    <row r="429" spans="1:9" ht="38" customHeight="1" x14ac:dyDescent="0.2">
      <c r="A429" s="4" t="s">
        <v>1553</v>
      </c>
      <c r="B429" s="28" t="str">
        <f>IF(COUNTIF('02_工程タスク'!$A$4:$A$135,A429)&lt;&gt;1,"参照ID不正",IF(INDEX('02_工程タスク'!$D$4:$D$135,MATCH(A429,'02_工程タスク'!$A$4:$A$135,0))="","",INDEX('02_工程タスク'!$D$4:$D$135,MATCH(A429,'02_工程タスク'!$A$4:$A$135,0))))</f>
        <v>保持期限到来・残存請求の追跡</v>
      </c>
      <c r="C429" s="28" t="str">
        <f>IF(COUNTIF('02_工程タスク'!$A$4:$A$135,A429)&lt;&gt;1,"参照ID不正",IF(INDEX('02_工程タスク'!$G$4:$G$135,MATCH(A429,'02_工程タスク'!$A$4:$A$135,0))="","",INDEX('02_工程タスク'!$G$4:$G$135,MATCH(A429,'02_工程タスク'!$A$4:$A$135,0))))</f>
        <v>R18, R10, R15</v>
      </c>
      <c r="D429" s="28" t="str">
        <f>IF(COUNTIF('02_工程タスク'!$A$4:$A$135,A429)&lt;&gt;1,"参照ID不正",IF(INDEX('02_工程タスク'!$H$4:$H$135,MATCH(A429,'02_工程タスク'!$A$4:$A$135,0))="","",INDEX('02_工程タスク'!$H$4:$H$135,MATCH(A429,'02_工程タスク'!$A$4:$A$135,0))))</f>
        <v>R18</v>
      </c>
      <c r="E429" s="4" t="s">
        <v>2641</v>
      </c>
      <c r="F429" s="28" t="str">
        <f>IF(COUNTIF('07_スキル辞書'!$A$4:$A$109,E429)&lt;&gt;1,"参照ID不正",IF(INDEX('07_スキル辞書'!$D$4:$D$109,MATCH(E429,'07_スキル辞書'!$A$4:$A$109,0))="","",INDEX('07_スキル辞書'!$D$4:$D$109,MATCH(E429,'07_スキル辞書'!$A$4:$A$109,0))))</f>
        <v>AI構成一式の更新・復旧・終了管理</v>
      </c>
      <c r="G429" s="4">
        <v>2</v>
      </c>
      <c r="H429" s="28" t="str">
        <f>IF(COUNTIF('07_スキル辞書'!$A$4:$A$109,E429)&lt;&gt;1,"参照ID不正",IF(INDEX('07_スキル辞書'!$I$4:$I$109,MATCH(E429,'07_スキル辞書'!$A$4:$A$109,0))="","",INDEX('07_スキル辞書'!$I$4:$I$109,MATCH(E429,'07_スキル辞書'!$A$4:$A$109,0))))</f>
        <v>構成manifest／復旧訓練／終了・削除・失効証跡</v>
      </c>
      <c r="I429" s="4" t="s">
        <v>2900</v>
      </c>
    </row>
    <row r="430" spans="1:9" ht="38" customHeight="1" x14ac:dyDescent="0.2">
      <c r="A430" s="2" t="s">
        <v>1553</v>
      </c>
      <c r="B430" s="28" t="str">
        <f>IF(COUNTIF('02_工程タスク'!$A$4:$A$135,A430)&lt;&gt;1,"参照ID不正",IF(INDEX('02_工程タスク'!$D$4:$D$135,MATCH(A430,'02_工程タスク'!$A$4:$A$135,0))="","",INDEX('02_工程タスク'!$D$4:$D$135,MATCH(A430,'02_工程タスク'!$A$4:$A$135,0))))</f>
        <v>保持期限到来・残存請求の追跡</v>
      </c>
      <c r="C430" s="28" t="str">
        <f>IF(COUNTIF('02_工程タスク'!$A$4:$A$135,A430)&lt;&gt;1,"参照ID不正",IF(INDEX('02_工程タスク'!$G$4:$G$135,MATCH(A430,'02_工程タスク'!$A$4:$A$135,0))="","",INDEX('02_工程タスク'!$G$4:$G$135,MATCH(A430,'02_工程タスク'!$A$4:$A$135,0))))</f>
        <v>R18, R10, R15</v>
      </c>
      <c r="D430" s="28" t="str">
        <f>IF(COUNTIF('02_工程タスク'!$A$4:$A$135,A430)&lt;&gt;1,"参照ID不正",IF(INDEX('02_工程タスク'!$H$4:$H$135,MATCH(A430,'02_工程タスク'!$A$4:$A$135,0))="","",INDEX('02_工程タスク'!$H$4:$H$135,MATCH(A430,'02_工程タスク'!$A$4:$A$135,0))))</f>
        <v>R18</v>
      </c>
      <c r="E430" s="2" t="s">
        <v>2854</v>
      </c>
      <c r="F430" s="28" t="str">
        <f>IF(COUNTIF('07_スキル辞書'!$A$4:$A$109,E430)&lt;&gt;1,"参照ID不正",IF(INDEX('07_スキル辞書'!$D$4:$D$109,MATCH(E430,'07_スキル辞書'!$A$4:$A$109,0))="","",INDEX('07_スキル辞書'!$D$4:$D$109,MATCH(E430,'07_スキル辞書'!$A$4:$A$109,0))))</f>
        <v>移管・削除・権限失効・請求終了</v>
      </c>
      <c r="G430" s="2">
        <v>2</v>
      </c>
      <c r="H430" s="28" t="str">
        <f>IF(COUNTIF('07_スキル辞書'!$A$4:$A$109,E430)&lt;&gt;1,"参照ID不正",IF(INDEX('07_スキル辞書'!$I$4:$I$109,MATCH(E430,'07_スキル辞書'!$A$4:$A$109,0))="","",INDEX('07_スキル辞書'!$I$4:$I$109,MATCH(E430,'07_スキル辞書'!$A$4:$A$109,0))))</f>
        <v>廃止計画・Deletion/Retention・G5</v>
      </c>
      <c r="I430" s="2" t="s">
        <v>2900</v>
      </c>
    </row>
  </sheetData>
  <autoFilter ref="A3:I430" xr:uid="{00000000-0009-0000-0000-000008000000}"/>
  <mergeCells count="2">
    <mergeCell ref="A2:I2"/>
    <mergeCell ref="A1:G1"/>
  </mergeCells>
  <phoneticPr fontId="12"/>
  <pageMargins left="0.25" right="0.25" top="0.4" bottom="0.4" header="0.5" footer="0.5"/>
  <pageSetup paperSize="8" fitToHeight="0" orientation="landscape"/>
  <headerFooter>
    <oddFooter>&amp;CAI自社事業PJ v1.0 | &amp;A&amp;R&amp;P / &amp;N</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3877F"/>
    <outlinePr summaryRight="0"/>
    <pageSetUpPr fitToPage="1"/>
  </sheetPr>
  <dimension ref="A1:K135"/>
  <sheetViews>
    <sheetView showGridLines="0" zoomScale="85" workbookViewId="0">
      <pane xSplit="2" ySplit="3" topLeftCell="C4" activePane="bottomRight" state="frozen"/>
      <selection pane="topRight"/>
      <selection pane="bottomLeft"/>
      <selection pane="bottomRight"/>
    </sheetView>
  </sheetViews>
  <sheetFormatPr defaultRowHeight="13" x14ac:dyDescent="0.2"/>
  <cols>
    <col min="1" max="1" width="17" customWidth="1"/>
    <col min="2" max="2" width="12" customWidth="1"/>
    <col min="3" max="3" width="47" customWidth="1"/>
    <col min="4" max="4" width="37" customWidth="1"/>
    <col min="5" max="5" width="17" customWidth="1"/>
    <col min="6" max="6" width="80" customWidth="1"/>
    <col min="7" max="7" width="62" customWidth="1"/>
    <col min="8" max="8" width="35" customWidth="1"/>
    <col min="9" max="9" width="28" customWidth="1"/>
    <col min="10" max="10" width="20" customWidth="1"/>
    <col min="11" max="11" width="32" customWidth="1"/>
  </cols>
  <sheetData>
    <row r="1" spans="1:11" ht="34" customHeight="1" x14ac:dyDescent="0.55000000000000004">
      <c r="A1" s="44" t="s">
        <v>2901</v>
      </c>
      <c r="B1" s="45"/>
      <c r="C1" s="45"/>
      <c r="D1" s="45"/>
      <c r="E1" s="45"/>
      <c r="F1" s="45"/>
      <c r="G1" s="45"/>
    </row>
    <row r="2" spans="1:11" ht="43" customHeight="1" x14ac:dyDescent="0.2">
      <c r="A2" s="47" t="s">
        <v>2902</v>
      </c>
      <c r="B2" s="45"/>
      <c r="C2" s="45"/>
      <c r="D2" s="45"/>
      <c r="E2" s="45"/>
      <c r="F2" s="45"/>
      <c r="G2" s="45"/>
      <c r="H2" s="45"/>
      <c r="I2" s="45"/>
    </row>
    <row r="3" spans="1:11" ht="34" customHeight="1" x14ac:dyDescent="0.2">
      <c r="A3" s="1" t="s">
        <v>2903</v>
      </c>
      <c r="B3" s="1" t="s">
        <v>2894</v>
      </c>
      <c r="C3" s="1" t="s">
        <v>2904</v>
      </c>
      <c r="D3" s="1" t="s">
        <v>2905</v>
      </c>
      <c r="E3" s="1" t="s">
        <v>2906</v>
      </c>
      <c r="F3" s="1" t="s">
        <v>2907</v>
      </c>
      <c r="G3" s="1" t="s">
        <v>2908</v>
      </c>
      <c r="H3" s="1" t="s">
        <v>2909</v>
      </c>
      <c r="I3" s="1" t="s">
        <v>2910</v>
      </c>
      <c r="J3" s="1" t="s">
        <v>2911</v>
      </c>
      <c r="K3" s="1" t="s">
        <v>2912</v>
      </c>
    </row>
    <row r="4" spans="1:11" ht="38" customHeight="1" x14ac:dyDescent="0.2">
      <c r="A4" s="2" t="s">
        <v>2913</v>
      </c>
      <c r="B4" s="2" t="s">
        <v>266</v>
      </c>
      <c r="C4" s="2" t="s">
        <v>270</v>
      </c>
      <c r="D4" s="2" t="s">
        <v>2914</v>
      </c>
      <c r="E4" s="2" t="s">
        <v>166</v>
      </c>
      <c r="F4" s="2" t="s">
        <v>272</v>
      </c>
      <c r="G4" s="6"/>
      <c r="H4" s="6"/>
      <c r="I4" s="6"/>
      <c r="J4" s="5"/>
      <c r="K4" s="6"/>
    </row>
    <row r="5" spans="1:11" ht="38" customHeight="1" x14ac:dyDescent="0.2">
      <c r="A5" s="4" t="s">
        <v>2915</v>
      </c>
      <c r="B5" s="4" t="s">
        <v>280</v>
      </c>
      <c r="C5" s="4" t="s">
        <v>284</v>
      </c>
      <c r="D5" s="4" t="s">
        <v>2914</v>
      </c>
      <c r="E5" s="4" t="s">
        <v>286</v>
      </c>
      <c r="F5" s="4" t="s">
        <v>287</v>
      </c>
      <c r="G5" s="6"/>
      <c r="H5" s="6"/>
      <c r="I5" s="6"/>
      <c r="J5" s="5"/>
      <c r="K5" s="6"/>
    </row>
    <row r="6" spans="1:11" ht="38" customHeight="1" x14ac:dyDescent="0.2">
      <c r="A6" s="2" t="s">
        <v>2916</v>
      </c>
      <c r="B6" s="2" t="s">
        <v>292</v>
      </c>
      <c r="C6" s="2" t="s">
        <v>296</v>
      </c>
      <c r="D6" s="2" t="s">
        <v>2914</v>
      </c>
      <c r="E6" s="2" t="s">
        <v>286</v>
      </c>
      <c r="F6" s="2" t="s">
        <v>298</v>
      </c>
      <c r="G6" s="6"/>
      <c r="H6" s="6"/>
      <c r="I6" s="6"/>
      <c r="J6" s="5"/>
      <c r="K6" s="6"/>
    </row>
    <row r="7" spans="1:11" ht="38" customHeight="1" x14ac:dyDescent="0.2">
      <c r="A7" s="4" t="s">
        <v>2917</v>
      </c>
      <c r="B7" s="4" t="s">
        <v>302</v>
      </c>
      <c r="C7" s="4" t="s">
        <v>305</v>
      </c>
      <c r="D7" s="4" t="s">
        <v>2914</v>
      </c>
      <c r="E7" s="4" t="s">
        <v>286</v>
      </c>
      <c r="F7" s="4" t="s">
        <v>307</v>
      </c>
      <c r="G7" s="6"/>
      <c r="H7" s="6"/>
      <c r="I7" s="6"/>
      <c r="J7" s="5"/>
      <c r="K7" s="6"/>
    </row>
    <row r="8" spans="1:11" ht="38" customHeight="1" x14ac:dyDescent="0.2">
      <c r="A8" s="2" t="s">
        <v>2918</v>
      </c>
      <c r="B8" s="2" t="s">
        <v>310</v>
      </c>
      <c r="C8" s="2" t="s">
        <v>314</v>
      </c>
      <c r="D8" s="2" t="s">
        <v>2914</v>
      </c>
      <c r="E8" s="2" t="s">
        <v>166</v>
      </c>
      <c r="F8" s="2" t="s">
        <v>316</v>
      </c>
      <c r="G8" s="6"/>
      <c r="H8" s="6"/>
      <c r="I8" s="6"/>
      <c r="J8" s="5"/>
      <c r="K8" s="6"/>
    </row>
    <row r="9" spans="1:11" ht="38" customHeight="1" x14ac:dyDescent="0.2">
      <c r="A9" s="4" t="s">
        <v>2919</v>
      </c>
      <c r="B9" s="4" t="s">
        <v>319</v>
      </c>
      <c r="C9" s="4" t="s">
        <v>323</v>
      </c>
      <c r="D9" s="4" t="s">
        <v>2914</v>
      </c>
      <c r="E9" s="4" t="s">
        <v>166</v>
      </c>
      <c r="F9" s="4" t="s">
        <v>325</v>
      </c>
      <c r="G9" s="6"/>
      <c r="H9" s="6"/>
      <c r="I9" s="6"/>
      <c r="J9" s="5"/>
      <c r="K9" s="6"/>
    </row>
    <row r="10" spans="1:11" ht="38" customHeight="1" x14ac:dyDescent="0.2">
      <c r="A10" s="2" t="s">
        <v>2920</v>
      </c>
      <c r="B10" s="2" t="s">
        <v>330</v>
      </c>
      <c r="C10" s="2" t="s">
        <v>334</v>
      </c>
      <c r="D10" s="2" t="s">
        <v>2914</v>
      </c>
      <c r="E10" s="2" t="s">
        <v>336</v>
      </c>
      <c r="F10" s="2" t="s">
        <v>337</v>
      </c>
      <c r="G10" s="6"/>
      <c r="H10" s="6"/>
      <c r="I10" s="6"/>
      <c r="J10" s="5"/>
      <c r="K10" s="6"/>
    </row>
    <row r="11" spans="1:11" ht="38" customHeight="1" x14ac:dyDescent="0.2">
      <c r="A11" s="4" t="s">
        <v>2921</v>
      </c>
      <c r="B11" s="4" t="s">
        <v>342</v>
      </c>
      <c r="C11" s="4" t="s">
        <v>346</v>
      </c>
      <c r="D11" s="4" t="s">
        <v>2914</v>
      </c>
      <c r="E11" s="4" t="s">
        <v>166</v>
      </c>
      <c r="F11" s="4" t="s">
        <v>348</v>
      </c>
      <c r="G11" s="6"/>
      <c r="H11" s="6"/>
      <c r="I11" s="6"/>
      <c r="J11" s="5"/>
      <c r="K11" s="6"/>
    </row>
    <row r="12" spans="1:11" ht="38" customHeight="1" x14ac:dyDescent="0.2">
      <c r="A12" s="2" t="s">
        <v>2922</v>
      </c>
      <c r="B12" s="2" t="s">
        <v>354</v>
      </c>
      <c r="C12" s="2" t="s">
        <v>358</v>
      </c>
      <c r="D12" s="2" t="s">
        <v>2914</v>
      </c>
      <c r="E12" s="2" t="s">
        <v>166</v>
      </c>
      <c r="F12" s="2" t="s">
        <v>360</v>
      </c>
      <c r="G12" s="6"/>
      <c r="H12" s="6"/>
      <c r="I12" s="6"/>
      <c r="J12" s="5"/>
      <c r="K12" s="6"/>
    </row>
    <row r="13" spans="1:11" ht="38" customHeight="1" x14ac:dyDescent="0.2">
      <c r="A13" s="4" t="s">
        <v>2923</v>
      </c>
      <c r="B13" s="4" t="s">
        <v>363</v>
      </c>
      <c r="C13" s="4" t="s">
        <v>367</v>
      </c>
      <c r="D13" s="4" t="s">
        <v>2914</v>
      </c>
      <c r="E13" s="4" t="s">
        <v>166</v>
      </c>
      <c r="F13" s="4" t="s">
        <v>369</v>
      </c>
      <c r="G13" s="6"/>
      <c r="H13" s="6"/>
      <c r="I13" s="6"/>
      <c r="J13" s="5"/>
      <c r="K13" s="6"/>
    </row>
    <row r="14" spans="1:11" ht="38" customHeight="1" x14ac:dyDescent="0.2">
      <c r="A14" s="2" t="s">
        <v>2924</v>
      </c>
      <c r="B14" s="2" t="s">
        <v>375</v>
      </c>
      <c r="C14" s="2" t="s">
        <v>379</v>
      </c>
      <c r="D14" s="2" t="s">
        <v>2914</v>
      </c>
      <c r="E14" s="2" t="s">
        <v>286</v>
      </c>
      <c r="F14" s="2" t="s">
        <v>381</v>
      </c>
      <c r="G14" s="6"/>
      <c r="H14" s="6"/>
      <c r="I14" s="6"/>
      <c r="J14" s="5"/>
      <c r="K14" s="6"/>
    </row>
    <row r="15" spans="1:11" ht="38" customHeight="1" x14ac:dyDescent="0.2">
      <c r="A15" s="4" t="s">
        <v>2925</v>
      </c>
      <c r="B15" s="4" t="s">
        <v>385</v>
      </c>
      <c r="C15" s="4" t="s">
        <v>389</v>
      </c>
      <c r="D15" s="4" t="s">
        <v>2914</v>
      </c>
      <c r="E15" s="4" t="s">
        <v>286</v>
      </c>
      <c r="F15" s="4" t="s">
        <v>391</v>
      </c>
      <c r="G15" s="6"/>
      <c r="H15" s="6"/>
      <c r="I15" s="6"/>
      <c r="J15" s="5"/>
      <c r="K15" s="6"/>
    </row>
    <row r="16" spans="1:11" ht="38" customHeight="1" x14ac:dyDescent="0.2">
      <c r="A16" s="2" t="s">
        <v>2926</v>
      </c>
      <c r="B16" s="2" t="s">
        <v>396</v>
      </c>
      <c r="C16" s="2" t="s">
        <v>400</v>
      </c>
      <c r="D16" s="2" t="s">
        <v>2914</v>
      </c>
      <c r="E16" s="2" t="s">
        <v>189</v>
      </c>
      <c r="F16" s="2" t="s">
        <v>402</v>
      </c>
      <c r="G16" s="6"/>
      <c r="H16" s="6"/>
      <c r="I16" s="6"/>
      <c r="J16" s="5"/>
      <c r="K16" s="6"/>
    </row>
    <row r="17" spans="1:11" ht="38" customHeight="1" x14ac:dyDescent="0.2">
      <c r="A17" s="4" t="s">
        <v>2927</v>
      </c>
      <c r="B17" s="4" t="s">
        <v>407</v>
      </c>
      <c r="C17" s="4" t="s">
        <v>411</v>
      </c>
      <c r="D17" s="4" t="s">
        <v>2914</v>
      </c>
      <c r="E17" s="4" t="s">
        <v>166</v>
      </c>
      <c r="F17" s="4" t="s">
        <v>413</v>
      </c>
      <c r="G17" s="6"/>
      <c r="H17" s="6"/>
      <c r="I17" s="6"/>
      <c r="J17" s="5"/>
      <c r="K17" s="6"/>
    </row>
    <row r="18" spans="1:11" ht="38" customHeight="1" x14ac:dyDescent="0.2">
      <c r="A18" s="2" t="s">
        <v>2928</v>
      </c>
      <c r="B18" s="2" t="s">
        <v>416</v>
      </c>
      <c r="C18" s="2" t="s">
        <v>420</v>
      </c>
      <c r="D18" s="2" t="s">
        <v>2914</v>
      </c>
      <c r="E18" s="2" t="s">
        <v>166</v>
      </c>
      <c r="F18" s="2" t="s">
        <v>422</v>
      </c>
      <c r="G18" s="6"/>
      <c r="H18" s="6"/>
      <c r="I18" s="6"/>
      <c r="J18" s="5"/>
      <c r="K18" s="6"/>
    </row>
    <row r="19" spans="1:11" ht="38" customHeight="1" x14ac:dyDescent="0.2">
      <c r="A19" s="4" t="s">
        <v>2929</v>
      </c>
      <c r="B19" s="4" t="s">
        <v>425</v>
      </c>
      <c r="C19" s="4" t="s">
        <v>429</v>
      </c>
      <c r="D19" s="4" t="s">
        <v>2914</v>
      </c>
      <c r="E19" s="4" t="s">
        <v>166</v>
      </c>
      <c r="F19" s="4" t="s">
        <v>431</v>
      </c>
      <c r="G19" s="6"/>
      <c r="H19" s="6"/>
      <c r="I19" s="6"/>
      <c r="J19" s="5"/>
      <c r="K19" s="6"/>
    </row>
    <row r="20" spans="1:11" ht="38" customHeight="1" x14ac:dyDescent="0.2">
      <c r="A20" s="2" t="s">
        <v>2930</v>
      </c>
      <c r="B20" s="2" t="s">
        <v>435</v>
      </c>
      <c r="C20" s="2" t="s">
        <v>439</v>
      </c>
      <c r="D20" s="2" t="s">
        <v>2914</v>
      </c>
      <c r="E20" s="2" t="s">
        <v>166</v>
      </c>
      <c r="F20" s="2" t="s">
        <v>2931</v>
      </c>
      <c r="G20" s="6"/>
      <c r="H20" s="6"/>
      <c r="I20" s="6"/>
      <c r="J20" s="5"/>
      <c r="K20" s="6"/>
    </row>
    <row r="21" spans="1:11" ht="38" customHeight="1" x14ac:dyDescent="0.2">
      <c r="A21" s="4" t="s">
        <v>2932</v>
      </c>
      <c r="B21" s="4" t="s">
        <v>445</v>
      </c>
      <c r="C21" s="4" t="s">
        <v>448</v>
      </c>
      <c r="D21" s="4" t="s">
        <v>2914</v>
      </c>
      <c r="E21" s="4" t="s">
        <v>166</v>
      </c>
      <c r="F21" s="4" t="s">
        <v>2933</v>
      </c>
      <c r="G21" s="6"/>
      <c r="H21" s="6"/>
      <c r="I21" s="6"/>
      <c r="J21" s="5"/>
      <c r="K21" s="6"/>
    </row>
    <row r="22" spans="1:11" ht="38" customHeight="1" x14ac:dyDescent="0.2">
      <c r="A22" s="2" t="s">
        <v>2934</v>
      </c>
      <c r="B22" s="2" t="s">
        <v>453</v>
      </c>
      <c r="C22" s="2" t="s">
        <v>457</v>
      </c>
      <c r="D22" s="2" t="s">
        <v>2914</v>
      </c>
      <c r="E22" s="2" t="s">
        <v>166</v>
      </c>
      <c r="F22" s="2" t="s">
        <v>459</v>
      </c>
      <c r="G22" s="6"/>
      <c r="H22" s="6"/>
      <c r="I22" s="6"/>
      <c r="J22" s="5"/>
      <c r="K22" s="6"/>
    </row>
    <row r="23" spans="1:11" ht="38" customHeight="1" x14ac:dyDescent="0.2">
      <c r="A23" s="4" t="s">
        <v>2935</v>
      </c>
      <c r="B23" s="4" t="s">
        <v>463</v>
      </c>
      <c r="C23" s="4" t="s">
        <v>467</v>
      </c>
      <c r="D23" s="4" t="s">
        <v>2914</v>
      </c>
      <c r="E23" s="4" t="s">
        <v>286</v>
      </c>
      <c r="F23" s="4" t="s">
        <v>469</v>
      </c>
      <c r="G23" s="6"/>
      <c r="H23" s="6"/>
      <c r="I23" s="6"/>
      <c r="J23" s="5"/>
      <c r="K23" s="6"/>
    </row>
    <row r="24" spans="1:11" ht="38" customHeight="1" x14ac:dyDescent="0.2">
      <c r="A24" s="2" t="s">
        <v>2936</v>
      </c>
      <c r="B24" s="2" t="s">
        <v>472</v>
      </c>
      <c r="C24" s="2" t="s">
        <v>476</v>
      </c>
      <c r="D24" s="2" t="s">
        <v>2914</v>
      </c>
      <c r="E24" s="2" t="s">
        <v>286</v>
      </c>
      <c r="F24" s="2" t="s">
        <v>478</v>
      </c>
      <c r="G24" s="6"/>
      <c r="H24" s="6"/>
      <c r="I24" s="6"/>
      <c r="J24" s="5"/>
      <c r="K24" s="6"/>
    </row>
    <row r="25" spans="1:11" ht="38" customHeight="1" x14ac:dyDescent="0.2">
      <c r="A25" s="4" t="s">
        <v>2937</v>
      </c>
      <c r="B25" s="4" t="s">
        <v>481</v>
      </c>
      <c r="C25" s="4" t="s">
        <v>485</v>
      </c>
      <c r="D25" s="4" t="s">
        <v>2914</v>
      </c>
      <c r="E25" s="4" t="s">
        <v>487</v>
      </c>
      <c r="F25" s="4" t="s">
        <v>488</v>
      </c>
      <c r="G25" s="6"/>
      <c r="H25" s="6"/>
      <c r="I25" s="6"/>
      <c r="J25" s="5"/>
      <c r="K25" s="6"/>
    </row>
    <row r="26" spans="1:11" ht="38" customHeight="1" x14ac:dyDescent="0.2">
      <c r="A26" s="2" t="s">
        <v>2938</v>
      </c>
      <c r="B26" s="2" t="s">
        <v>492</v>
      </c>
      <c r="C26" s="2" t="s">
        <v>496</v>
      </c>
      <c r="D26" s="2" t="s">
        <v>2914</v>
      </c>
      <c r="E26" s="2" t="s">
        <v>336</v>
      </c>
      <c r="F26" s="2" t="s">
        <v>498</v>
      </c>
      <c r="G26" s="6"/>
      <c r="H26" s="6"/>
      <c r="I26" s="6"/>
      <c r="J26" s="5"/>
      <c r="K26" s="6"/>
    </row>
    <row r="27" spans="1:11" ht="38" customHeight="1" x14ac:dyDescent="0.2">
      <c r="A27" s="4" t="s">
        <v>2939</v>
      </c>
      <c r="B27" s="4" t="s">
        <v>501</v>
      </c>
      <c r="C27" s="4" t="s">
        <v>505</v>
      </c>
      <c r="D27" s="4" t="s">
        <v>2914</v>
      </c>
      <c r="E27" s="4" t="s">
        <v>286</v>
      </c>
      <c r="F27" s="4" t="s">
        <v>507</v>
      </c>
      <c r="G27" s="6"/>
      <c r="H27" s="6"/>
      <c r="I27" s="6"/>
      <c r="J27" s="5"/>
      <c r="K27" s="6"/>
    </row>
    <row r="28" spans="1:11" ht="38" customHeight="1" x14ac:dyDescent="0.2">
      <c r="A28" s="2" t="s">
        <v>2940</v>
      </c>
      <c r="B28" s="2" t="s">
        <v>510</v>
      </c>
      <c r="C28" s="2" t="s">
        <v>514</v>
      </c>
      <c r="D28" s="2" t="s">
        <v>2914</v>
      </c>
      <c r="E28" s="2" t="s">
        <v>516</v>
      </c>
      <c r="F28" s="2" t="s">
        <v>517</v>
      </c>
      <c r="G28" s="6"/>
      <c r="H28" s="6"/>
      <c r="I28" s="6"/>
      <c r="J28" s="5"/>
      <c r="K28" s="6"/>
    </row>
    <row r="29" spans="1:11" ht="38" customHeight="1" x14ac:dyDescent="0.2">
      <c r="A29" s="4" t="s">
        <v>2941</v>
      </c>
      <c r="B29" s="4" t="s">
        <v>523</v>
      </c>
      <c r="C29" s="4" t="s">
        <v>527</v>
      </c>
      <c r="D29" s="4" t="s">
        <v>2914</v>
      </c>
      <c r="E29" s="4" t="s">
        <v>197</v>
      </c>
      <c r="F29" s="4" t="s">
        <v>529</v>
      </c>
      <c r="G29" s="6"/>
      <c r="H29" s="6"/>
      <c r="I29" s="6"/>
      <c r="J29" s="5"/>
      <c r="K29" s="6"/>
    </row>
    <row r="30" spans="1:11" ht="38" customHeight="1" x14ac:dyDescent="0.2">
      <c r="A30" s="2" t="s">
        <v>2942</v>
      </c>
      <c r="B30" s="2" t="s">
        <v>533</v>
      </c>
      <c r="C30" s="2" t="s">
        <v>537</v>
      </c>
      <c r="D30" s="2" t="s">
        <v>2914</v>
      </c>
      <c r="E30" s="2" t="s">
        <v>286</v>
      </c>
      <c r="F30" s="2" t="s">
        <v>539</v>
      </c>
      <c r="G30" s="6"/>
      <c r="H30" s="6"/>
      <c r="I30" s="6"/>
      <c r="J30" s="5"/>
      <c r="K30" s="6"/>
    </row>
    <row r="31" spans="1:11" ht="38" customHeight="1" x14ac:dyDescent="0.2">
      <c r="A31" s="4" t="s">
        <v>2943</v>
      </c>
      <c r="B31" s="4" t="s">
        <v>542</v>
      </c>
      <c r="C31" s="4" t="s">
        <v>546</v>
      </c>
      <c r="D31" s="4" t="s">
        <v>2914</v>
      </c>
      <c r="E31" s="4" t="s">
        <v>166</v>
      </c>
      <c r="F31" s="4" t="s">
        <v>548</v>
      </c>
      <c r="G31" s="6"/>
      <c r="H31" s="6"/>
      <c r="I31" s="6"/>
      <c r="J31" s="5"/>
      <c r="K31" s="6"/>
    </row>
    <row r="32" spans="1:11" ht="38" customHeight="1" x14ac:dyDescent="0.2">
      <c r="A32" s="2" t="s">
        <v>2944</v>
      </c>
      <c r="B32" s="2" t="s">
        <v>552</v>
      </c>
      <c r="C32" s="2" t="s">
        <v>556</v>
      </c>
      <c r="D32" s="2" t="s">
        <v>2914</v>
      </c>
      <c r="E32" s="2" t="s">
        <v>286</v>
      </c>
      <c r="F32" s="2" t="s">
        <v>558</v>
      </c>
      <c r="G32" s="6"/>
      <c r="H32" s="6"/>
      <c r="I32" s="6"/>
      <c r="J32" s="5"/>
      <c r="K32" s="6"/>
    </row>
    <row r="33" spans="1:11" ht="38" customHeight="1" x14ac:dyDescent="0.2">
      <c r="A33" s="4" t="s">
        <v>2945</v>
      </c>
      <c r="B33" s="4" t="s">
        <v>562</v>
      </c>
      <c r="C33" s="4" t="s">
        <v>566</v>
      </c>
      <c r="D33" s="4" t="s">
        <v>2914</v>
      </c>
      <c r="E33" s="4" t="s">
        <v>166</v>
      </c>
      <c r="F33" s="4" t="s">
        <v>567</v>
      </c>
      <c r="G33" s="6"/>
      <c r="H33" s="6"/>
      <c r="I33" s="6"/>
      <c r="J33" s="5"/>
      <c r="K33" s="6"/>
    </row>
    <row r="34" spans="1:11" ht="38" customHeight="1" x14ac:dyDescent="0.2">
      <c r="A34" s="2" t="s">
        <v>2946</v>
      </c>
      <c r="B34" s="2" t="s">
        <v>571</v>
      </c>
      <c r="C34" s="2" t="s">
        <v>575</v>
      </c>
      <c r="D34" s="2" t="s">
        <v>2914</v>
      </c>
      <c r="E34" s="2" t="s">
        <v>577</v>
      </c>
      <c r="F34" s="2" t="s">
        <v>578</v>
      </c>
      <c r="G34" s="6"/>
      <c r="H34" s="6"/>
      <c r="I34" s="6"/>
      <c r="J34" s="5"/>
      <c r="K34" s="6"/>
    </row>
    <row r="35" spans="1:11" ht="38" customHeight="1" x14ac:dyDescent="0.2">
      <c r="A35" s="4" t="s">
        <v>2947</v>
      </c>
      <c r="B35" s="4" t="s">
        <v>583</v>
      </c>
      <c r="C35" s="4" t="s">
        <v>587</v>
      </c>
      <c r="D35" s="4" t="s">
        <v>2914</v>
      </c>
      <c r="E35" s="4" t="s">
        <v>189</v>
      </c>
      <c r="F35" s="4" t="s">
        <v>589</v>
      </c>
      <c r="G35" s="6"/>
      <c r="H35" s="6"/>
      <c r="I35" s="6"/>
      <c r="J35" s="5"/>
      <c r="K35" s="6"/>
    </row>
    <row r="36" spans="1:11" ht="38" customHeight="1" x14ac:dyDescent="0.2">
      <c r="A36" s="2" t="s">
        <v>2948</v>
      </c>
      <c r="B36" s="2" t="s">
        <v>596</v>
      </c>
      <c r="C36" s="2" t="s">
        <v>600</v>
      </c>
      <c r="D36" s="2" t="s">
        <v>2914</v>
      </c>
      <c r="E36" s="2" t="s">
        <v>286</v>
      </c>
      <c r="F36" s="2" t="s">
        <v>601</v>
      </c>
      <c r="G36" s="6"/>
      <c r="H36" s="6"/>
      <c r="I36" s="6"/>
      <c r="J36" s="5"/>
      <c r="K36" s="6"/>
    </row>
    <row r="37" spans="1:11" ht="38" customHeight="1" x14ac:dyDescent="0.2">
      <c r="A37" s="4" t="s">
        <v>2949</v>
      </c>
      <c r="B37" s="4" t="s">
        <v>604</v>
      </c>
      <c r="C37" s="4" t="s">
        <v>607</v>
      </c>
      <c r="D37" s="4" t="s">
        <v>2914</v>
      </c>
      <c r="E37" s="4" t="s">
        <v>166</v>
      </c>
      <c r="F37" s="4" t="s">
        <v>609</v>
      </c>
      <c r="G37" s="6"/>
      <c r="H37" s="6"/>
      <c r="I37" s="6"/>
      <c r="J37" s="5"/>
      <c r="K37" s="6"/>
    </row>
    <row r="38" spans="1:11" ht="38" customHeight="1" x14ac:dyDescent="0.2">
      <c r="A38" s="2" t="s">
        <v>2950</v>
      </c>
      <c r="B38" s="2" t="s">
        <v>613</v>
      </c>
      <c r="C38" s="2" t="s">
        <v>617</v>
      </c>
      <c r="D38" s="2" t="s">
        <v>2914</v>
      </c>
      <c r="E38" s="2" t="s">
        <v>197</v>
      </c>
      <c r="F38" s="2" t="s">
        <v>619</v>
      </c>
      <c r="G38" s="6"/>
      <c r="H38" s="6"/>
      <c r="I38" s="6"/>
      <c r="J38" s="5"/>
      <c r="K38" s="6"/>
    </row>
    <row r="39" spans="1:11" ht="38" customHeight="1" x14ac:dyDescent="0.2">
      <c r="A39" s="4" t="s">
        <v>2951</v>
      </c>
      <c r="B39" s="4" t="s">
        <v>623</v>
      </c>
      <c r="C39" s="4" t="s">
        <v>627</v>
      </c>
      <c r="D39" s="4" t="s">
        <v>2914</v>
      </c>
      <c r="E39" s="4" t="s">
        <v>286</v>
      </c>
      <c r="F39" s="4" t="s">
        <v>629</v>
      </c>
      <c r="G39" s="6"/>
      <c r="H39" s="6"/>
      <c r="I39" s="6"/>
      <c r="J39" s="5"/>
      <c r="K39" s="6"/>
    </row>
    <row r="40" spans="1:11" ht="38" customHeight="1" x14ac:dyDescent="0.2">
      <c r="A40" s="2" t="s">
        <v>2952</v>
      </c>
      <c r="B40" s="2" t="s">
        <v>635</v>
      </c>
      <c r="C40" s="2" t="s">
        <v>638</v>
      </c>
      <c r="D40" s="2" t="s">
        <v>2914</v>
      </c>
      <c r="E40" s="2" t="s">
        <v>166</v>
      </c>
      <c r="F40" s="2" t="s">
        <v>639</v>
      </c>
      <c r="G40" s="6"/>
      <c r="H40" s="6"/>
      <c r="I40" s="6"/>
      <c r="J40" s="5"/>
      <c r="K40" s="6"/>
    </row>
    <row r="41" spans="1:11" ht="38" customHeight="1" x14ac:dyDescent="0.2">
      <c r="A41" s="4" t="s">
        <v>2953</v>
      </c>
      <c r="B41" s="4" t="s">
        <v>643</v>
      </c>
      <c r="C41" s="4" t="s">
        <v>647</v>
      </c>
      <c r="D41" s="4" t="s">
        <v>2954</v>
      </c>
      <c r="E41" s="4" t="s">
        <v>189</v>
      </c>
      <c r="F41" s="4" t="s">
        <v>649</v>
      </c>
      <c r="G41" s="6"/>
      <c r="H41" s="6"/>
      <c r="I41" s="6"/>
      <c r="J41" s="5"/>
      <c r="K41" s="6"/>
    </row>
    <row r="42" spans="1:11" ht="38" customHeight="1" x14ac:dyDescent="0.2">
      <c r="A42" s="2" t="s">
        <v>2955</v>
      </c>
      <c r="B42" s="2" t="s">
        <v>653</v>
      </c>
      <c r="C42" s="2" t="s">
        <v>657</v>
      </c>
      <c r="D42" s="2" t="s">
        <v>2954</v>
      </c>
      <c r="E42" s="2" t="s">
        <v>189</v>
      </c>
      <c r="F42" s="2" t="s">
        <v>659</v>
      </c>
      <c r="G42" s="6"/>
      <c r="H42" s="6"/>
      <c r="I42" s="6"/>
      <c r="J42" s="5"/>
      <c r="K42" s="6"/>
    </row>
    <row r="43" spans="1:11" ht="38" customHeight="1" x14ac:dyDescent="0.2">
      <c r="A43" s="4" t="s">
        <v>2956</v>
      </c>
      <c r="B43" s="4" t="s">
        <v>664</v>
      </c>
      <c r="C43" s="4" t="s">
        <v>668</v>
      </c>
      <c r="D43" s="4" t="s">
        <v>2954</v>
      </c>
      <c r="E43" s="4" t="s">
        <v>336</v>
      </c>
      <c r="F43" s="4" t="s">
        <v>670</v>
      </c>
      <c r="G43" s="6"/>
      <c r="H43" s="6"/>
      <c r="I43" s="6"/>
      <c r="J43" s="5"/>
      <c r="K43" s="6"/>
    </row>
    <row r="44" spans="1:11" ht="38" customHeight="1" x14ac:dyDescent="0.2">
      <c r="A44" s="2" t="s">
        <v>2957</v>
      </c>
      <c r="B44" s="2" t="s">
        <v>674</v>
      </c>
      <c r="C44" s="2" t="s">
        <v>678</v>
      </c>
      <c r="D44" s="2" t="s">
        <v>2954</v>
      </c>
      <c r="E44" s="2" t="s">
        <v>189</v>
      </c>
      <c r="F44" s="2" t="s">
        <v>680</v>
      </c>
      <c r="G44" s="6"/>
      <c r="H44" s="6"/>
      <c r="I44" s="6"/>
      <c r="J44" s="5"/>
      <c r="K44" s="6"/>
    </row>
    <row r="45" spans="1:11" ht="38" customHeight="1" x14ac:dyDescent="0.2">
      <c r="A45" s="4" t="s">
        <v>2958</v>
      </c>
      <c r="B45" s="4" t="s">
        <v>685</v>
      </c>
      <c r="C45" s="4" t="s">
        <v>689</v>
      </c>
      <c r="D45" s="4" t="s">
        <v>2954</v>
      </c>
      <c r="E45" s="4" t="s">
        <v>189</v>
      </c>
      <c r="F45" s="4" t="s">
        <v>690</v>
      </c>
      <c r="G45" s="6"/>
      <c r="H45" s="6"/>
      <c r="I45" s="6"/>
      <c r="J45" s="5"/>
      <c r="K45" s="6"/>
    </row>
    <row r="46" spans="1:11" ht="38" customHeight="1" x14ac:dyDescent="0.2">
      <c r="A46" s="2" t="s">
        <v>2959</v>
      </c>
      <c r="B46" s="2" t="s">
        <v>695</v>
      </c>
      <c r="C46" s="2" t="s">
        <v>699</v>
      </c>
      <c r="D46" s="2" t="s">
        <v>2954</v>
      </c>
      <c r="E46" s="2" t="s">
        <v>189</v>
      </c>
      <c r="F46" s="2" t="s">
        <v>701</v>
      </c>
      <c r="G46" s="6"/>
      <c r="H46" s="6"/>
      <c r="I46" s="6"/>
      <c r="J46" s="5"/>
      <c r="K46" s="6"/>
    </row>
    <row r="47" spans="1:11" ht="38" customHeight="1" x14ac:dyDescent="0.2">
      <c r="A47" s="4" t="s">
        <v>2960</v>
      </c>
      <c r="B47" s="4" t="s">
        <v>708</v>
      </c>
      <c r="C47" s="4" t="s">
        <v>712</v>
      </c>
      <c r="D47" s="4" t="s">
        <v>2954</v>
      </c>
      <c r="E47" s="4" t="s">
        <v>714</v>
      </c>
      <c r="F47" s="4" t="s">
        <v>715</v>
      </c>
      <c r="G47" s="6"/>
      <c r="H47" s="6"/>
      <c r="I47" s="6"/>
      <c r="J47" s="5"/>
      <c r="K47" s="6"/>
    </row>
    <row r="48" spans="1:11" ht="38" customHeight="1" x14ac:dyDescent="0.2">
      <c r="A48" s="2" t="s">
        <v>2961</v>
      </c>
      <c r="B48" s="2" t="s">
        <v>721</v>
      </c>
      <c r="C48" s="2" t="s">
        <v>725</v>
      </c>
      <c r="D48" s="2" t="s">
        <v>2954</v>
      </c>
      <c r="E48" s="2" t="s">
        <v>286</v>
      </c>
      <c r="F48" s="2" t="s">
        <v>727</v>
      </c>
      <c r="G48" s="6"/>
      <c r="H48" s="6"/>
      <c r="I48" s="6"/>
      <c r="J48" s="5"/>
      <c r="K48" s="6"/>
    </row>
    <row r="49" spans="1:11" ht="38" customHeight="1" x14ac:dyDescent="0.2">
      <c r="A49" s="4" t="s">
        <v>2962</v>
      </c>
      <c r="B49" s="4" t="s">
        <v>730</v>
      </c>
      <c r="C49" s="4" t="s">
        <v>734</v>
      </c>
      <c r="D49" s="4" t="s">
        <v>2954</v>
      </c>
      <c r="E49" s="4" t="s">
        <v>189</v>
      </c>
      <c r="F49" s="4" t="s">
        <v>736</v>
      </c>
      <c r="G49" s="6"/>
      <c r="H49" s="6"/>
      <c r="I49" s="6"/>
      <c r="J49" s="5"/>
      <c r="K49" s="6"/>
    </row>
    <row r="50" spans="1:11" ht="38" customHeight="1" x14ac:dyDescent="0.2">
      <c r="A50" s="2" t="s">
        <v>2963</v>
      </c>
      <c r="B50" s="2" t="s">
        <v>740</v>
      </c>
      <c r="C50" s="2" t="s">
        <v>744</v>
      </c>
      <c r="D50" s="2" t="s">
        <v>2954</v>
      </c>
      <c r="E50" s="2" t="s">
        <v>516</v>
      </c>
      <c r="F50" s="2" t="s">
        <v>746</v>
      </c>
      <c r="G50" s="6"/>
      <c r="H50" s="6"/>
      <c r="I50" s="6"/>
      <c r="J50" s="5"/>
      <c r="K50" s="6"/>
    </row>
    <row r="51" spans="1:11" ht="38" customHeight="1" x14ac:dyDescent="0.2">
      <c r="A51" s="4" t="s">
        <v>2964</v>
      </c>
      <c r="B51" s="4" t="s">
        <v>752</v>
      </c>
      <c r="C51" s="4" t="s">
        <v>756</v>
      </c>
      <c r="D51" s="4" t="s">
        <v>2954</v>
      </c>
      <c r="E51" s="4" t="s">
        <v>189</v>
      </c>
      <c r="F51" s="4" t="s">
        <v>758</v>
      </c>
      <c r="G51" s="6"/>
      <c r="H51" s="6"/>
      <c r="I51" s="6"/>
      <c r="J51" s="5"/>
      <c r="K51" s="6"/>
    </row>
    <row r="52" spans="1:11" ht="38" customHeight="1" x14ac:dyDescent="0.2">
      <c r="A52" s="2" t="s">
        <v>2965</v>
      </c>
      <c r="B52" s="2" t="s">
        <v>764</v>
      </c>
      <c r="C52" s="2" t="s">
        <v>768</v>
      </c>
      <c r="D52" s="2" t="s">
        <v>2954</v>
      </c>
      <c r="E52" s="2" t="s">
        <v>189</v>
      </c>
      <c r="F52" s="2" t="s">
        <v>770</v>
      </c>
      <c r="G52" s="6"/>
      <c r="H52" s="6"/>
      <c r="I52" s="6"/>
      <c r="J52" s="5"/>
      <c r="K52" s="6"/>
    </row>
    <row r="53" spans="1:11" ht="38" customHeight="1" x14ac:dyDescent="0.2">
      <c r="A53" s="4" t="s">
        <v>2966</v>
      </c>
      <c r="B53" s="4" t="s">
        <v>776</v>
      </c>
      <c r="C53" s="4" t="s">
        <v>780</v>
      </c>
      <c r="D53" s="4" t="s">
        <v>2954</v>
      </c>
      <c r="E53" s="4" t="s">
        <v>714</v>
      </c>
      <c r="F53" s="4" t="s">
        <v>782</v>
      </c>
      <c r="G53" s="6"/>
      <c r="H53" s="6"/>
      <c r="I53" s="6"/>
      <c r="J53" s="5"/>
      <c r="K53" s="6"/>
    </row>
    <row r="54" spans="1:11" ht="38" customHeight="1" x14ac:dyDescent="0.2">
      <c r="A54" s="2" t="s">
        <v>2967</v>
      </c>
      <c r="B54" s="2" t="s">
        <v>787</v>
      </c>
      <c r="C54" s="2" t="s">
        <v>791</v>
      </c>
      <c r="D54" s="2" t="s">
        <v>2954</v>
      </c>
      <c r="E54" s="2" t="s">
        <v>189</v>
      </c>
      <c r="F54" s="2" t="s">
        <v>793</v>
      </c>
      <c r="G54" s="6"/>
      <c r="H54" s="6"/>
      <c r="I54" s="6"/>
      <c r="J54" s="5"/>
      <c r="K54" s="6"/>
    </row>
    <row r="55" spans="1:11" ht="38" customHeight="1" x14ac:dyDescent="0.2">
      <c r="A55" s="4" t="s">
        <v>2968</v>
      </c>
      <c r="B55" s="4" t="s">
        <v>798</v>
      </c>
      <c r="C55" s="4" t="s">
        <v>802</v>
      </c>
      <c r="D55" s="4" t="s">
        <v>2954</v>
      </c>
      <c r="E55" s="4" t="s">
        <v>197</v>
      </c>
      <c r="F55" s="4" t="s">
        <v>804</v>
      </c>
      <c r="G55" s="6"/>
      <c r="H55" s="6"/>
      <c r="I55" s="6"/>
      <c r="J55" s="5"/>
      <c r="K55" s="6"/>
    </row>
    <row r="56" spans="1:11" ht="38" customHeight="1" x14ac:dyDescent="0.2">
      <c r="A56" s="2" t="s">
        <v>2969</v>
      </c>
      <c r="B56" s="2" t="s">
        <v>810</v>
      </c>
      <c r="C56" s="2" t="s">
        <v>814</v>
      </c>
      <c r="D56" s="2" t="s">
        <v>2954</v>
      </c>
      <c r="E56" s="2" t="s">
        <v>197</v>
      </c>
      <c r="F56" s="2" t="s">
        <v>816</v>
      </c>
      <c r="G56" s="6"/>
      <c r="H56" s="6"/>
      <c r="I56" s="6"/>
      <c r="J56" s="5"/>
      <c r="K56" s="6"/>
    </row>
    <row r="57" spans="1:11" ht="38" customHeight="1" x14ac:dyDescent="0.2">
      <c r="A57" s="4" t="s">
        <v>2970</v>
      </c>
      <c r="B57" s="4" t="s">
        <v>820</v>
      </c>
      <c r="C57" s="4" t="s">
        <v>824</v>
      </c>
      <c r="D57" s="4" t="s">
        <v>2954</v>
      </c>
      <c r="E57" s="4" t="s">
        <v>166</v>
      </c>
      <c r="F57" s="4" t="s">
        <v>825</v>
      </c>
      <c r="G57" s="6"/>
      <c r="H57" s="6"/>
      <c r="I57" s="6"/>
      <c r="J57" s="5"/>
      <c r="K57" s="6"/>
    </row>
    <row r="58" spans="1:11" ht="38" customHeight="1" x14ac:dyDescent="0.2">
      <c r="A58" s="2" t="s">
        <v>2971</v>
      </c>
      <c r="B58" s="2" t="s">
        <v>829</v>
      </c>
      <c r="C58" s="2" t="s">
        <v>833</v>
      </c>
      <c r="D58" s="2" t="s">
        <v>2954</v>
      </c>
      <c r="E58" s="2" t="s">
        <v>197</v>
      </c>
      <c r="F58" s="2" t="s">
        <v>835</v>
      </c>
      <c r="G58" s="6"/>
      <c r="H58" s="6"/>
      <c r="I58" s="6"/>
      <c r="J58" s="5"/>
      <c r="K58" s="6"/>
    </row>
    <row r="59" spans="1:11" ht="38" customHeight="1" x14ac:dyDescent="0.2">
      <c r="A59" s="4" t="s">
        <v>2972</v>
      </c>
      <c r="B59" s="4" t="s">
        <v>839</v>
      </c>
      <c r="C59" s="4" t="s">
        <v>843</v>
      </c>
      <c r="D59" s="4" t="s">
        <v>2954</v>
      </c>
      <c r="E59" s="4" t="s">
        <v>189</v>
      </c>
      <c r="F59" s="4" t="s">
        <v>845</v>
      </c>
      <c r="G59" s="6"/>
      <c r="H59" s="6"/>
      <c r="I59" s="6"/>
      <c r="J59" s="5"/>
      <c r="K59" s="6"/>
    </row>
    <row r="60" spans="1:11" ht="38" customHeight="1" x14ac:dyDescent="0.2">
      <c r="A60" s="2" t="s">
        <v>2973</v>
      </c>
      <c r="B60" s="2" t="s">
        <v>849</v>
      </c>
      <c r="C60" s="2" t="s">
        <v>852</v>
      </c>
      <c r="D60" s="2" t="s">
        <v>2954</v>
      </c>
      <c r="E60" s="2" t="s">
        <v>166</v>
      </c>
      <c r="F60" s="2" t="s">
        <v>854</v>
      </c>
      <c r="G60" s="6"/>
      <c r="H60" s="6"/>
      <c r="I60" s="6"/>
      <c r="J60" s="5"/>
      <c r="K60" s="6"/>
    </row>
    <row r="61" spans="1:11" ht="38" customHeight="1" x14ac:dyDescent="0.2">
      <c r="A61" s="4" t="s">
        <v>2974</v>
      </c>
      <c r="B61" s="4" t="s">
        <v>857</v>
      </c>
      <c r="C61" s="4" t="s">
        <v>861</v>
      </c>
      <c r="D61" s="4" t="s">
        <v>2954</v>
      </c>
      <c r="E61" s="4" t="s">
        <v>189</v>
      </c>
      <c r="F61" s="4" t="s">
        <v>863</v>
      </c>
      <c r="G61" s="6"/>
      <c r="H61" s="6"/>
      <c r="I61" s="6"/>
      <c r="J61" s="5"/>
      <c r="K61" s="6"/>
    </row>
    <row r="62" spans="1:11" ht="38" customHeight="1" x14ac:dyDescent="0.2">
      <c r="A62" s="2" t="s">
        <v>2975</v>
      </c>
      <c r="B62" s="2" t="s">
        <v>870</v>
      </c>
      <c r="C62" s="2" t="s">
        <v>874</v>
      </c>
      <c r="D62" s="2" t="s">
        <v>2954</v>
      </c>
      <c r="E62" s="2" t="s">
        <v>714</v>
      </c>
      <c r="F62" s="2" t="s">
        <v>876</v>
      </c>
      <c r="G62" s="6"/>
      <c r="H62" s="6"/>
      <c r="I62" s="6"/>
      <c r="J62" s="5"/>
      <c r="K62" s="6"/>
    </row>
    <row r="63" spans="1:11" ht="38" customHeight="1" x14ac:dyDescent="0.2">
      <c r="A63" s="4" t="s">
        <v>2976</v>
      </c>
      <c r="B63" s="4" t="s">
        <v>881</v>
      </c>
      <c r="C63" s="4" t="s">
        <v>885</v>
      </c>
      <c r="D63" s="4" t="s">
        <v>2954</v>
      </c>
      <c r="E63" s="4" t="s">
        <v>189</v>
      </c>
      <c r="F63" s="4" t="s">
        <v>887</v>
      </c>
      <c r="G63" s="6"/>
      <c r="H63" s="6"/>
      <c r="I63" s="6"/>
      <c r="J63" s="5"/>
      <c r="K63" s="6"/>
    </row>
    <row r="64" spans="1:11" ht="38" customHeight="1" x14ac:dyDescent="0.2">
      <c r="A64" s="2" t="s">
        <v>2977</v>
      </c>
      <c r="B64" s="2" t="s">
        <v>891</v>
      </c>
      <c r="C64" s="2" t="s">
        <v>895</v>
      </c>
      <c r="D64" s="2" t="s">
        <v>2954</v>
      </c>
      <c r="E64" s="2" t="s">
        <v>189</v>
      </c>
      <c r="F64" s="2" t="s">
        <v>897</v>
      </c>
      <c r="G64" s="6"/>
      <c r="H64" s="6"/>
      <c r="I64" s="6"/>
      <c r="J64" s="5"/>
      <c r="K64" s="6"/>
    </row>
    <row r="65" spans="1:11" ht="38" customHeight="1" x14ac:dyDescent="0.2">
      <c r="A65" s="4" t="s">
        <v>2978</v>
      </c>
      <c r="B65" s="4" t="s">
        <v>900</v>
      </c>
      <c r="C65" s="4" t="s">
        <v>904</v>
      </c>
      <c r="D65" s="4" t="s">
        <v>2954</v>
      </c>
      <c r="E65" s="4" t="s">
        <v>189</v>
      </c>
      <c r="F65" s="4" t="s">
        <v>906</v>
      </c>
      <c r="G65" s="6"/>
      <c r="H65" s="6"/>
      <c r="I65" s="6"/>
      <c r="J65" s="5"/>
      <c r="K65" s="6"/>
    </row>
    <row r="66" spans="1:11" ht="38" customHeight="1" x14ac:dyDescent="0.2">
      <c r="A66" s="2" t="s">
        <v>2979</v>
      </c>
      <c r="B66" s="2" t="s">
        <v>911</v>
      </c>
      <c r="C66" s="2" t="s">
        <v>915</v>
      </c>
      <c r="D66" s="2" t="s">
        <v>2954</v>
      </c>
      <c r="E66" s="2" t="s">
        <v>336</v>
      </c>
      <c r="F66" s="2" t="s">
        <v>917</v>
      </c>
      <c r="G66" s="6"/>
      <c r="H66" s="6"/>
      <c r="I66" s="6"/>
      <c r="J66" s="5"/>
      <c r="K66" s="6"/>
    </row>
    <row r="67" spans="1:11" ht="38" customHeight="1" x14ac:dyDescent="0.2">
      <c r="A67" s="4" t="s">
        <v>2980</v>
      </c>
      <c r="B67" s="4" t="s">
        <v>921</v>
      </c>
      <c r="C67" s="4" t="s">
        <v>925</v>
      </c>
      <c r="D67" s="4" t="s">
        <v>2954</v>
      </c>
      <c r="E67" s="4" t="s">
        <v>516</v>
      </c>
      <c r="F67" s="4" t="s">
        <v>927</v>
      </c>
      <c r="G67" s="6"/>
      <c r="H67" s="6"/>
      <c r="I67" s="6"/>
      <c r="J67" s="5"/>
      <c r="K67" s="6"/>
    </row>
    <row r="68" spans="1:11" ht="38" customHeight="1" x14ac:dyDescent="0.2">
      <c r="A68" s="2" t="s">
        <v>2981</v>
      </c>
      <c r="B68" s="2" t="s">
        <v>931</v>
      </c>
      <c r="C68" s="2" t="s">
        <v>935</v>
      </c>
      <c r="D68" s="2" t="s">
        <v>2954</v>
      </c>
      <c r="E68" s="2" t="s">
        <v>189</v>
      </c>
      <c r="F68" s="2" t="s">
        <v>937</v>
      </c>
      <c r="G68" s="6"/>
      <c r="H68" s="6"/>
      <c r="I68" s="6"/>
      <c r="J68" s="5"/>
      <c r="K68" s="6"/>
    </row>
    <row r="69" spans="1:11" ht="38" customHeight="1" x14ac:dyDescent="0.2">
      <c r="A69" s="4" t="s">
        <v>2982</v>
      </c>
      <c r="B69" s="4" t="s">
        <v>941</v>
      </c>
      <c r="C69" s="4" t="s">
        <v>945</v>
      </c>
      <c r="D69" s="4" t="s">
        <v>2954</v>
      </c>
      <c r="E69" s="4" t="s">
        <v>189</v>
      </c>
      <c r="F69" s="4" t="s">
        <v>947</v>
      </c>
      <c r="G69" s="6"/>
      <c r="H69" s="6"/>
      <c r="I69" s="6"/>
      <c r="J69" s="5"/>
      <c r="K69" s="6"/>
    </row>
    <row r="70" spans="1:11" ht="38" customHeight="1" x14ac:dyDescent="0.2">
      <c r="A70" s="2" t="s">
        <v>2983</v>
      </c>
      <c r="B70" s="2" t="s">
        <v>951</v>
      </c>
      <c r="C70" s="2" t="s">
        <v>955</v>
      </c>
      <c r="D70" s="2" t="s">
        <v>2954</v>
      </c>
      <c r="E70" s="2" t="s">
        <v>189</v>
      </c>
      <c r="F70" s="2" t="s">
        <v>957</v>
      </c>
      <c r="G70" s="6"/>
      <c r="H70" s="6"/>
      <c r="I70" s="6"/>
      <c r="J70" s="5"/>
      <c r="K70" s="6"/>
    </row>
    <row r="71" spans="1:11" ht="38" customHeight="1" x14ac:dyDescent="0.2">
      <c r="A71" s="4" t="s">
        <v>2984</v>
      </c>
      <c r="B71" s="4" t="s">
        <v>961</v>
      </c>
      <c r="C71" s="4" t="s">
        <v>965</v>
      </c>
      <c r="D71" s="4" t="s">
        <v>2954</v>
      </c>
      <c r="E71" s="4" t="s">
        <v>714</v>
      </c>
      <c r="F71" s="4" t="s">
        <v>966</v>
      </c>
      <c r="G71" s="6"/>
      <c r="H71" s="6"/>
      <c r="I71" s="6"/>
      <c r="J71" s="5"/>
      <c r="K71" s="6"/>
    </row>
    <row r="72" spans="1:11" ht="38" customHeight="1" x14ac:dyDescent="0.2">
      <c r="A72" s="2" t="s">
        <v>2985</v>
      </c>
      <c r="B72" s="2" t="s">
        <v>971</v>
      </c>
      <c r="C72" s="2" t="s">
        <v>975</v>
      </c>
      <c r="D72" s="2" t="s">
        <v>2954</v>
      </c>
      <c r="E72" s="2" t="s">
        <v>189</v>
      </c>
      <c r="F72" s="2" t="s">
        <v>977</v>
      </c>
      <c r="G72" s="6"/>
      <c r="H72" s="6"/>
      <c r="I72" s="6"/>
      <c r="J72" s="5"/>
      <c r="K72" s="6"/>
    </row>
    <row r="73" spans="1:11" ht="38" customHeight="1" x14ac:dyDescent="0.2">
      <c r="A73" s="4" t="s">
        <v>2986</v>
      </c>
      <c r="B73" s="4" t="s">
        <v>981</v>
      </c>
      <c r="C73" s="4" t="s">
        <v>985</v>
      </c>
      <c r="D73" s="4" t="s">
        <v>2954</v>
      </c>
      <c r="E73" s="4" t="s">
        <v>286</v>
      </c>
      <c r="F73" s="4" t="s">
        <v>987</v>
      </c>
      <c r="G73" s="6"/>
      <c r="H73" s="6"/>
      <c r="I73" s="6"/>
      <c r="J73" s="5"/>
      <c r="K73" s="6"/>
    </row>
    <row r="74" spans="1:11" ht="38" customHeight="1" x14ac:dyDescent="0.2">
      <c r="A74" s="2" t="s">
        <v>2987</v>
      </c>
      <c r="B74" s="2" t="s">
        <v>991</v>
      </c>
      <c r="C74" s="2" t="s">
        <v>995</v>
      </c>
      <c r="D74" s="2" t="s">
        <v>2954</v>
      </c>
      <c r="E74" s="2" t="s">
        <v>166</v>
      </c>
      <c r="F74" s="2" t="s">
        <v>997</v>
      </c>
      <c r="G74" s="6"/>
      <c r="H74" s="6"/>
      <c r="I74" s="6"/>
      <c r="J74" s="5"/>
      <c r="K74" s="6"/>
    </row>
    <row r="75" spans="1:11" ht="38" customHeight="1" x14ac:dyDescent="0.2">
      <c r="A75" s="4" t="s">
        <v>2988</v>
      </c>
      <c r="B75" s="4" t="s">
        <v>1000</v>
      </c>
      <c r="C75" s="4" t="s">
        <v>1004</v>
      </c>
      <c r="D75" s="4" t="s">
        <v>2954</v>
      </c>
      <c r="E75" s="4" t="s">
        <v>197</v>
      </c>
      <c r="F75" s="4" t="s">
        <v>1006</v>
      </c>
      <c r="G75" s="6"/>
      <c r="H75" s="6"/>
      <c r="I75" s="6"/>
      <c r="J75" s="5"/>
      <c r="K75" s="6"/>
    </row>
    <row r="76" spans="1:11" ht="38" customHeight="1" x14ac:dyDescent="0.2">
      <c r="A76" s="2" t="s">
        <v>2989</v>
      </c>
      <c r="B76" s="2" t="s">
        <v>1008</v>
      </c>
      <c r="C76" s="2" t="s">
        <v>1012</v>
      </c>
      <c r="D76" s="2" t="s">
        <v>2954</v>
      </c>
      <c r="E76" s="2" t="s">
        <v>189</v>
      </c>
      <c r="F76" s="2" t="s">
        <v>1014</v>
      </c>
      <c r="G76" s="6"/>
      <c r="H76" s="6"/>
      <c r="I76" s="6"/>
      <c r="J76" s="5"/>
      <c r="K76" s="6"/>
    </row>
    <row r="77" spans="1:11" ht="38" customHeight="1" x14ac:dyDescent="0.2">
      <c r="A77" s="4" t="s">
        <v>2990</v>
      </c>
      <c r="B77" s="4" t="s">
        <v>1018</v>
      </c>
      <c r="C77" s="4" t="s">
        <v>1022</v>
      </c>
      <c r="D77" s="4" t="s">
        <v>2954</v>
      </c>
      <c r="E77" s="4" t="s">
        <v>516</v>
      </c>
      <c r="F77" s="4" t="s">
        <v>1024</v>
      </c>
      <c r="G77" s="6"/>
      <c r="H77" s="6"/>
      <c r="I77" s="6"/>
      <c r="J77" s="5"/>
      <c r="K77" s="6"/>
    </row>
    <row r="78" spans="1:11" ht="38" customHeight="1" x14ac:dyDescent="0.2">
      <c r="A78" s="2" t="s">
        <v>2991</v>
      </c>
      <c r="B78" s="2" t="s">
        <v>1028</v>
      </c>
      <c r="C78" s="2" t="s">
        <v>1032</v>
      </c>
      <c r="D78" s="2" t="s">
        <v>2954</v>
      </c>
      <c r="E78" s="2" t="s">
        <v>189</v>
      </c>
      <c r="F78" s="2" t="s">
        <v>1034</v>
      </c>
      <c r="G78" s="6"/>
      <c r="H78" s="6"/>
      <c r="I78" s="6"/>
      <c r="J78" s="5"/>
      <c r="K78" s="6"/>
    </row>
    <row r="79" spans="1:11" ht="38" customHeight="1" x14ac:dyDescent="0.2">
      <c r="A79" s="4" t="s">
        <v>2992</v>
      </c>
      <c r="B79" s="4" t="s">
        <v>1040</v>
      </c>
      <c r="C79" s="4" t="s">
        <v>1044</v>
      </c>
      <c r="D79" s="4" t="s">
        <v>2954</v>
      </c>
      <c r="E79" s="4" t="s">
        <v>197</v>
      </c>
      <c r="F79" s="4" t="s">
        <v>1046</v>
      </c>
      <c r="G79" s="6"/>
      <c r="H79" s="6"/>
      <c r="I79" s="6"/>
      <c r="J79" s="5"/>
      <c r="K79" s="6"/>
    </row>
    <row r="80" spans="1:11" ht="38" customHeight="1" x14ac:dyDescent="0.2">
      <c r="A80" s="2" t="s">
        <v>2993</v>
      </c>
      <c r="B80" s="2" t="s">
        <v>1049</v>
      </c>
      <c r="C80" s="2" t="s">
        <v>1053</v>
      </c>
      <c r="D80" s="2" t="s">
        <v>2954</v>
      </c>
      <c r="E80" s="2" t="s">
        <v>286</v>
      </c>
      <c r="F80" s="2" t="s">
        <v>1054</v>
      </c>
      <c r="G80" s="6"/>
      <c r="H80" s="6"/>
      <c r="I80" s="6"/>
      <c r="J80" s="5"/>
      <c r="K80" s="6"/>
    </row>
    <row r="81" spans="1:11" ht="38" customHeight="1" x14ac:dyDescent="0.2">
      <c r="A81" s="4" t="s">
        <v>2994</v>
      </c>
      <c r="B81" s="4" t="s">
        <v>1058</v>
      </c>
      <c r="C81" s="4" t="s">
        <v>1062</v>
      </c>
      <c r="D81" s="4" t="s">
        <v>2954</v>
      </c>
      <c r="E81" s="4" t="s">
        <v>189</v>
      </c>
      <c r="F81" s="4" t="s">
        <v>1064</v>
      </c>
      <c r="G81" s="6"/>
      <c r="H81" s="6"/>
      <c r="I81" s="6"/>
      <c r="J81" s="5"/>
      <c r="K81" s="6"/>
    </row>
    <row r="82" spans="1:11" ht="38" customHeight="1" x14ac:dyDescent="0.2">
      <c r="A82" s="2" t="s">
        <v>2995</v>
      </c>
      <c r="B82" s="2" t="s">
        <v>1067</v>
      </c>
      <c r="C82" s="2" t="s">
        <v>1071</v>
      </c>
      <c r="D82" s="2" t="s">
        <v>2954</v>
      </c>
      <c r="E82" s="2" t="s">
        <v>189</v>
      </c>
      <c r="F82" s="2" t="s">
        <v>1073</v>
      </c>
      <c r="G82" s="6"/>
      <c r="H82" s="6"/>
      <c r="I82" s="6"/>
      <c r="J82" s="5"/>
      <c r="K82" s="6"/>
    </row>
    <row r="83" spans="1:11" ht="38" customHeight="1" x14ac:dyDescent="0.2">
      <c r="A83" s="4" t="s">
        <v>2996</v>
      </c>
      <c r="B83" s="4" t="s">
        <v>1076</v>
      </c>
      <c r="C83" s="4" t="s">
        <v>1080</v>
      </c>
      <c r="D83" s="4" t="s">
        <v>2954</v>
      </c>
      <c r="E83" s="4" t="s">
        <v>189</v>
      </c>
      <c r="F83" s="4" t="s">
        <v>1082</v>
      </c>
      <c r="G83" s="6"/>
      <c r="H83" s="6"/>
      <c r="I83" s="6"/>
      <c r="J83" s="5"/>
      <c r="K83" s="6"/>
    </row>
    <row r="84" spans="1:11" ht="38" customHeight="1" x14ac:dyDescent="0.2">
      <c r="A84" s="2" t="s">
        <v>2997</v>
      </c>
      <c r="B84" s="2" t="s">
        <v>1086</v>
      </c>
      <c r="C84" s="2" t="s">
        <v>1090</v>
      </c>
      <c r="D84" s="2" t="s">
        <v>2954</v>
      </c>
      <c r="E84" s="2" t="s">
        <v>516</v>
      </c>
      <c r="F84" s="2" t="s">
        <v>1092</v>
      </c>
      <c r="G84" s="6"/>
      <c r="H84" s="6"/>
      <c r="I84" s="6"/>
      <c r="J84" s="5"/>
      <c r="K84" s="6"/>
    </row>
    <row r="85" spans="1:11" ht="38" customHeight="1" x14ac:dyDescent="0.2">
      <c r="A85" s="4" t="s">
        <v>2998</v>
      </c>
      <c r="B85" s="4" t="s">
        <v>1097</v>
      </c>
      <c r="C85" s="4" t="s">
        <v>1101</v>
      </c>
      <c r="D85" s="4" t="s">
        <v>2954</v>
      </c>
      <c r="E85" s="4" t="s">
        <v>516</v>
      </c>
      <c r="F85" s="4" t="s">
        <v>1102</v>
      </c>
      <c r="G85" s="6"/>
      <c r="H85" s="6"/>
      <c r="I85" s="6"/>
      <c r="J85" s="5"/>
      <c r="K85" s="6"/>
    </row>
    <row r="86" spans="1:11" ht="38" customHeight="1" x14ac:dyDescent="0.2">
      <c r="A86" s="2" t="s">
        <v>2999</v>
      </c>
      <c r="B86" s="2" t="s">
        <v>1105</v>
      </c>
      <c r="C86" s="2" t="s">
        <v>1109</v>
      </c>
      <c r="D86" s="2" t="s">
        <v>2954</v>
      </c>
      <c r="E86" s="2" t="s">
        <v>516</v>
      </c>
      <c r="F86" s="2" t="s">
        <v>1111</v>
      </c>
      <c r="G86" s="6"/>
      <c r="H86" s="6"/>
      <c r="I86" s="6"/>
      <c r="J86" s="5"/>
      <c r="K86" s="6"/>
    </row>
    <row r="87" spans="1:11" ht="38" customHeight="1" x14ac:dyDescent="0.2">
      <c r="A87" s="4" t="s">
        <v>3000</v>
      </c>
      <c r="B87" s="4" t="s">
        <v>1115</v>
      </c>
      <c r="C87" s="4" t="s">
        <v>1119</v>
      </c>
      <c r="D87" s="4" t="s">
        <v>2954</v>
      </c>
      <c r="E87" s="4" t="s">
        <v>516</v>
      </c>
      <c r="F87" s="4" t="s">
        <v>1121</v>
      </c>
      <c r="G87" s="6"/>
      <c r="H87" s="6"/>
      <c r="I87" s="6"/>
      <c r="J87" s="5"/>
      <c r="K87" s="6"/>
    </row>
    <row r="88" spans="1:11" ht="38" customHeight="1" x14ac:dyDescent="0.2">
      <c r="A88" s="2" t="s">
        <v>3001</v>
      </c>
      <c r="B88" s="2" t="s">
        <v>1126</v>
      </c>
      <c r="C88" s="2" t="s">
        <v>1130</v>
      </c>
      <c r="D88" s="2" t="s">
        <v>2954</v>
      </c>
      <c r="E88" s="2" t="s">
        <v>516</v>
      </c>
      <c r="F88" s="2" t="s">
        <v>1132</v>
      </c>
      <c r="G88" s="6"/>
      <c r="H88" s="6"/>
      <c r="I88" s="6"/>
      <c r="J88" s="5"/>
      <c r="K88" s="6"/>
    </row>
    <row r="89" spans="1:11" ht="38" customHeight="1" x14ac:dyDescent="0.2">
      <c r="A89" s="4" t="s">
        <v>3002</v>
      </c>
      <c r="B89" s="4" t="s">
        <v>1137</v>
      </c>
      <c r="C89" s="4" t="s">
        <v>1141</v>
      </c>
      <c r="D89" s="4" t="s">
        <v>2954</v>
      </c>
      <c r="E89" s="4" t="s">
        <v>714</v>
      </c>
      <c r="F89" s="4" t="s">
        <v>1143</v>
      </c>
      <c r="G89" s="6"/>
      <c r="H89" s="6"/>
      <c r="I89" s="6"/>
      <c r="J89" s="5"/>
      <c r="K89" s="6"/>
    </row>
    <row r="90" spans="1:11" ht="38" customHeight="1" x14ac:dyDescent="0.2">
      <c r="A90" s="2" t="s">
        <v>3003</v>
      </c>
      <c r="B90" s="2" t="s">
        <v>1146</v>
      </c>
      <c r="C90" s="2" t="s">
        <v>1150</v>
      </c>
      <c r="D90" s="2" t="s">
        <v>2954</v>
      </c>
      <c r="E90" s="2" t="s">
        <v>487</v>
      </c>
      <c r="F90" s="2" t="s">
        <v>1152</v>
      </c>
      <c r="G90" s="6"/>
      <c r="H90" s="6"/>
      <c r="I90" s="6"/>
      <c r="J90" s="5"/>
      <c r="K90" s="6"/>
    </row>
    <row r="91" spans="1:11" ht="38" customHeight="1" x14ac:dyDescent="0.2">
      <c r="A91" s="4" t="s">
        <v>3004</v>
      </c>
      <c r="B91" s="4" t="s">
        <v>1155</v>
      </c>
      <c r="C91" s="4" t="s">
        <v>1159</v>
      </c>
      <c r="D91" s="4" t="s">
        <v>2954</v>
      </c>
      <c r="E91" s="4" t="s">
        <v>197</v>
      </c>
      <c r="F91" s="4" t="s">
        <v>1161</v>
      </c>
      <c r="G91" s="6"/>
      <c r="H91" s="6"/>
      <c r="I91" s="6"/>
      <c r="J91" s="5"/>
      <c r="K91" s="6"/>
    </row>
    <row r="92" spans="1:11" ht="38" customHeight="1" x14ac:dyDescent="0.2">
      <c r="A92" s="2" t="s">
        <v>3005</v>
      </c>
      <c r="B92" s="2" t="s">
        <v>1165</v>
      </c>
      <c r="C92" s="2" t="s">
        <v>1168</v>
      </c>
      <c r="D92" s="2" t="s">
        <v>2954</v>
      </c>
      <c r="E92" s="2" t="s">
        <v>286</v>
      </c>
      <c r="F92" s="2" t="s">
        <v>1170</v>
      </c>
      <c r="G92" s="6"/>
      <c r="H92" s="6"/>
      <c r="I92" s="6"/>
      <c r="J92" s="5"/>
      <c r="K92" s="6"/>
    </row>
    <row r="93" spans="1:11" ht="38" customHeight="1" x14ac:dyDescent="0.2">
      <c r="A93" s="4" t="s">
        <v>3006</v>
      </c>
      <c r="B93" s="4" t="s">
        <v>1174</v>
      </c>
      <c r="C93" s="4" t="s">
        <v>1178</v>
      </c>
      <c r="D93" s="4" t="s">
        <v>2954</v>
      </c>
      <c r="E93" s="4" t="s">
        <v>166</v>
      </c>
      <c r="F93" s="4" t="s">
        <v>1180</v>
      </c>
      <c r="G93" s="6"/>
      <c r="H93" s="6"/>
      <c r="I93" s="6"/>
      <c r="J93" s="5"/>
      <c r="K93" s="6"/>
    </row>
    <row r="94" spans="1:11" ht="38" customHeight="1" x14ac:dyDescent="0.2">
      <c r="A94" s="2" t="s">
        <v>3007</v>
      </c>
      <c r="B94" s="2" t="s">
        <v>1184</v>
      </c>
      <c r="C94" s="2" t="s">
        <v>1188</v>
      </c>
      <c r="D94" s="2" t="s">
        <v>2954</v>
      </c>
      <c r="E94" s="2" t="s">
        <v>197</v>
      </c>
      <c r="F94" s="2" t="s">
        <v>1190</v>
      </c>
      <c r="G94" s="6"/>
      <c r="H94" s="6"/>
      <c r="I94" s="6"/>
      <c r="J94" s="5"/>
      <c r="K94" s="6"/>
    </row>
    <row r="95" spans="1:11" ht="38" customHeight="1" x14ac:dyDescent="0.2">
      <c r="A95" s="4" t="s">
        <v>3008</v>
      </c>
      <c r="B95" s="4" t="s">
        <v>1193</v>
      </c>
      <c r="C95" s="4" t="s">
        <v>1197</v>
      </c>
      <c r="D95" s="4" t="s">
        <v>2954</v>
      </c>
      <c r="E95" s="4" t="s">
        <v>197</v>
      </c>
      <c r="F95" s="4" t="s">
        <v>1199</v>
      </c>
      <c r="G95" s="6"/>
      <c r="H95" s="6"/>
      <c r="I95" s="6"/>
      <c r="J95" s="5"/>
      <c r="K95" s="6"/>
    </row>
    <row r="96" spans="1:11" ht="38" customHeight="1" x14ac:dyDescent="0.2">
      <c r="A96" s="2" t="s">
        <v>3009</v>
      </c>
      <c r="B96" s="2" t="s">
        <v>1203</v>
      </c>
      <c r="C96" s="2" t="s">
        <v>1207</v>
      </c>
      <c r="D96" s="2" t="s">
        <v>2954</v>
      </c>
      <c r="E96" s="2" t="s">
        <v>516</v>
      </c>
      <c r="F96" s="2" t="s">
        <v>3010</v>
      </c>
      <c r="G96" s="6"/>
      <c r="H96" s="6"/>
      <c r="I96" s="6"/>
      <c r="J96" s="5"/>
      <c r="K96" s="6"/>
    </row>
    <row r="97" spans="1:11" ht="38" customHeight="1" x14ac:dyDescent="0.2">
      <c r="A97" s="4" t="s">
        <v>3011</v>
      </c>
      <c r="B97" s="4" t="s">
        <v>1212</v>
      </c>
      <c r="C97" s="4" t="s">
        <v>1215</v>
      </c>
      <c r="D97" s="4" t="s">
        <v>2954</v>
      </c>
      <c r="E97" s="4" t="s">
        <v>197</v>
      </c>
      <c r="F97" s="4" t="s">
        <v>1217</v>
      </c>
      <c r="G97" s="6"/>
      <c r="H97" s="6"/>
      <c r="I97" s="6"/>
      <c r="J97" s="5"/>
      <c r="K97" s="6"/>
    </row>
    <row r="98" spans="1:11" ht="38" customHeight="1" x14ac:dyDescent="0.2">
      <c r="A98" s="2" t="s">
        <v>3012</v>
      </c>
      <c r="B98" s="2" t="s">
        <v>1221</v>
      </c>
      <c r="C98" s="2" t="s">
        <v>1225</v>
      </c>
      <c r="D98" s="2" t="s">
        <v>2954</v>
      </c>
      <c r="E98" s="2" t="s">
        <v>197</v>
      </c>
      <c r="F98" s="2" t="s">
        <v>1227</v>
      </c>
      <c r="G98" s="6"/>
      <c r="H98" s="6"/>
      <c r="I98" s="6"/>
      <c r="J98" s="5"/>
      <c r="K98" s="6"/>
    </row>
    <row r="99" spans="1:11" ht="38" customHeight="1" x14ac:dyDescent="0.2">
      <c r="A99" s="4" t="s">
        <v>3013</v>
      </c>
      <c r="B99" s="4" t="s">
        <v>1230</v>
      </c>
      <c r="C99" s="4" t="s">
        <v>1234</v>
      </c>
      <c r="D99" s="4" t="s">
        <v>2954</v>
      </c>
      <c r="E99" s="4" t="s">
        <v>166</v>
      </c>
      <c r="F99" s="4" t="s">
        <v>1235</v>
      </c>
      <c r="G99" s="6"/>
      <c r="H99" s="6"/>
      <c r="I99" s="6"/>
      <c r="J99" s="5"/>
      <c r="K99" s="6"/>
    </row>
    <row r="100" spans="1:11" ht="38" customHeight="1" x14ac:dyDescent="0.2">
      <c r="A100" s="2" t="s">
        <v>3014</v>
      </c>
      <c r="B100" s="2" t="s">
        <v>1238</v>
      </c>
      <c r="C100" s="2" t="s">
        <v>1242</v>
      </c>
      <c r="D100" s="2" t="s">
        <v>2954</v>
      </c>
      <c r="E100" s="2" t="s">
        <v>197</v>
      </c>
      <c r="F100" s="2" t="s">
        <v>1244</v>
      </c>
      <c r="G100" s="6"/>
      <c r="H100" s="6"/>
      <c r="I100" s="6"/>
      <c r="J100" s="5"/>
      <c r="K100" s="6"/>
    </row>
    <row r="101" spans="1:11" ht="38" customHeight="1" x14ac:dyDescent="0.2">
      <c r="A101" s="4" t="s">
        <v>3015</v>
      </c>
      <c r="B101" s="4" t="s">
        <v>1248</v>
      </c>
      <c r="C101" s="4" t="s">
        <v>1252</v>
      </c>
      <c r="D101" s="4" t="s">
        <v>2914</v>
      </c>
      <c r="E101" s="4" t="s">
        <v>197</v>
      </c>
      <c r="F101" s="4" t="s">
        <v>1254</v>
      </c>
      <c r="G101" s="6"/>
      <c r="H101" s="6"/>
      <c r="I101" s="6"/>
      <c r="J101" s="5"/>
      <c r="K101" s="6"/>
    </row>
    <row r="102" spans="1:11" ht="38" customHeight="1" x14ac:dyDescent="0.2">
      <c r="A102" s="2" t="s">
        <v>3016</v>
      </c>
      <c r="B102" s="2" t="s">
        <v>1258</v>
      </c>
      <c r="C102" s="2" t="s">
        <v>1262</v>
      </c>
      <c r="D102" s="2" t="s">
        <v>2914</v>
      </c>
      <c r="E102" s="2" t="s">
        <v>166</v>
      </c>
      <c r="F102" s="2" t="s">
        <v>1264</v>
      </c>
      <c r="G102" s="6"/>
      <c r="H102" s="6"/>
      <c r="I102" s="6"/>
      <c r="J102" s="5"/>
      <c r="K102" s="6"/>
    </row>
    <row r="103" spans="1:11" ht="38" customHeight="1" x14ac:dyDescent="0.2">
      <c r="A103" s="4" t="s">
        <v>3017</v>
      </c>
      <c r="B103" s="4" t="s">
        <v>1267</v>
      </c>
      <c r="C103" s="4" t="s">
        <v>1270</v>
      </c>
      <c r="D103" s="4" t="s">
        <v>2914</v>
      </c>
      <c r="E103" s="4" t="s">
        <v>197</v>
      </c>
      <c r="F103" s="4" t="s">
        <v>1272</v>
      </c>
      <c r="G103" s="6"/>
      <c r="H103" s="6"/>
      <c r="I103" s="6"/>
      <c r="J103" s="5"/>
      <c r="K103" s="6"/>
    </row>
    <row r="104" spans="1:11" ht="38" customHeight="1" x14ac:dyDescent="0.2">
      <c r="A104" s="2" t="s">
        <v>3018</v>
      </c>
      <c r="B104" s="2" t="s">
        <v>1275</v>
      </c>
      <c r="C104" s="2" t="s">
        <v>1279</v>
      </c>
      <c r="D104" s="2" t="s">
        <v>2914</v>
      </c>
      <c r="E104" s="2" t="s">
        <v>516</v>
      </c>
      <c r="F104" s="2" t="s">
        <v>1281</v>
      </c>
      <c r="G104" s="6"/>
      <c r="H104" s="6"/>
      <c r="I104" s="6"/>
      <c r="J104" s="5"/>
      <c r="K104" s="6"/>
    </row>
    <row r="105" spans="1:11" ht="38" customHeight="1" x14ac:dyDescent="0.2">
      <c r="A105" s="4" t="s">
        <v>3019</v>
      </c>
      <c r="B105" s="4" t="s">
        <v>1284</v>
      </c>
      <c r="C105" s="4" t="s">
        <v>1288</v>
      </c>
      <c r="D105" s="4" t="s">
        <v>2914</v>
      </c>
      <c r="E105" s="4" t="s">
        <v>336</v>
      </c>
      <c r="F105" s="4" t="s">
        <v>1289</v>
      </c>
      <c r="G105" s="6"/>
      <c r="H105" s="6"/>
      <c r="I105" s="6"/>
      <c r="J105" s="5"/>
      <c r="K105" s="6"/>
    </row>
    <row r="106" spans="1:11" ht="38" customHeight="1" x14ac:dyDescent="0.2">
      <c r="A106" s="2" t="s">
        <v>3020</v>
      </c>
      <c r="B106" s="2" t="s">
        <v>1292</v>
      </c>
      <c r="C106" s="2" t="s">
        <v>1296</v>
      </c>
      <c r="D106" s="2" t="s">
        <v>2914</v>
      </c>
      <c r="E106" s="2" t="s">
        <v>166</v>
      </c>
      <c r="F106" s="2" t="s">
        <v>1298</v>
      </c>
      <c r="G106" s="6"/>
      <c r="H106" s="6"/>
      <c r="I106" s="6"/>
      <c r="J106" s="5"/>
      <c r="K106" s="6"/>
    </row>
    <row r="107" spans="1:11" ht="38" customHeight="1" x14ac:dyDescent="0.2">
      <c r="A107" s="4" t="s">
        <v>3021</v>
      </c>
      <c r="B107" s="4" t="s">
        <v>1299</v>
      </c>
      <c r="C107" s="4" t="s">
        <v>1303</v>
      </c>
      <c r="D107" s="4" t="s">
        <v>2914</v>
      </c>
      <c r="E107" s="4" t="s">
        <v>197</v>
      </c>
      <c r="F107" s="4" t="s">
        <v>1305</v>
      </c>
      <c r="G107" s="6"/>
      <c r="H107" s="6"/>
      <c r="I107" s="6"/>
      <c r="J107" s="5"/>
      <c r="K107" s="6"/>
    </row>
    <row r="108" spans="1:11" ht="38" customHeight="1" x14ac:dyDescent="0.2">
      <c r="A108" s="2" t="s">
        <v>3022</v>
      </c>
      <c r="B108" s="2" t="s">
        <v>1307</v>
      </c>
      <c r="C108" s="2" t="s">
        <v>1311</v>
      </c>
      <c r="D108" s="2" t="s">
        <v>2914</v>
      </c>
      <c r="E108" s="2" t="s">
        <v>197</v>
      </c>
      <c r="F108" s="2" t="s">
        <v>1312</v>
      </c>
      <c r="G108" s="6"/>
      <c r="H108" s="6"/>
      <c r="I108" s="6"/>
      <c r="J108" s="5"/>
      <c r="K108" s="6"/>
    </row>
    <row r="109" spans="1:11" ht="38" customHeight="1" x14ac:dyDescent="0.2">
      <c r="A109" s="4" t="s">
        <v>3023</v>
      </c>
      <c r="B109" s="4" t="s">
        <v>1315</v>
      </c>
      <c r="C109" s="4" t="s">
        <v>1318</v>
      </c>
      <c r="D109" s="4" t="s">
        <v>2914</v>
      </c>
      <c r="E109" s="4" t="s">
        <v>197</v>
      </c>
      <c r="F109" s="4" t="s">
        <v>1320</v>
      </c>
      <c r="G109" s="6"/>
      <c r="H109" s="6"/>
      <c r="I109" s="6"/>
      <c r="J109" s="5"/>
      <c r="K109" s="6"/>
    </row>
    <row r="110" spans="1:11" ht="38" customHeight="1" x14ac:dyDescent="0.2">
      <c r="A110" s="2" t="s">
        <v>3024</v>
      </c>
      <c r="B110" s="2" t="s">
        <v>1324</v>
      </c>
      <c r="C110" s="2" t="s">
        <v>1328</v>
      </c>
      <c r="D110" s="2" t="s">
        <v>2914</v>
      </c>
      <c r="E110" s="2" t="s">
        <v>197</v>
      </c>
      <c r="F110" s="2" t="s">
        <v>1330</v>
      </c>
      <c r="G110" s="6"/>
      <c r="H110" s="6"/>
      <c r="I110" s="6"/>
      <c r="J110" s="5"/>
      <c r="K110" s="6"/>
    </row>
    <row r="111" spans="1:11" ht="38" customHeight="1" x14ac:dyDescent="0.2">
      <c r="A111" s="4" t="s">
        <v>3025</v>
      </c>
      <c r="B111" s="4" t="s">
        <v>1333</v>
      </c>
      <c r="C111" s="4" t="s">
        <v>1337</v>
      </c>
      <c r="D111" s="4" t="s">
        <v>2914</v>
      </c>
      <c r="E111" s="4" t="s">
        <v>197</v>
      </c>
      <c r="F111" s="4" t="s">
        <v>1338</v>
      </c>
      <c r="G111" s="6"/>
      <c r="H111" s="6"/>
      <c r="I111" s="6"/>
      <c r="J111" s="5"/>
      <c r="K111" s="6"/>
    </row>
    <row r="112" spans="1:11" ht="38" customHeight="1" x14ac:dyDescent="0.2">
      <c r="A112" s="2" t="s">
        <v>3026</v>
      </c>
      <c r="B112" s="2" t="s">
        <v>1341</v>
      </c>
      <c r="C112" s="2" t="s">
        <v>1345</v>
      </c>
      <c r="D112" s="2" t="s">
        <v>2914</v>
      </c>
      <c r="E112" s="2" t="s">
        <v>197</v>
      </c>
      <c r="F112" s="2" t="s">
        <v>1347</v>
      </c>
      <c r="G112" s="6"/>
      <c r="H112" s="6"/>
      <c r="I112" s="6"/>
      <c r="J112" s="5"/>
      <c r="K112" s="6"/>
    </row>
    <row r="113" spans="1:11" ht="38" customHeight="1" x14ac:dyDescent="0.2">
      <c r="A113" s="4" t="s">
        <v>3027</v>
      </c>
      <c r="B113" s="4" t="s">
        <v>1350</v>
      </c>
      <c r="C113" s="4" t="s">
        <v>1354</v>
      </c>
      <c r="D113" s="4" t="s">
        <v>2914</v>
      </c>
      <c r="E113" s="4" t="s">
        <v>286</v>
      </c>
      <c r="F113" s="4" t="s">
        <v>1356</v>
      </c>
      <c r="G113" s="6"/>
      <c r="H113" s="6"/>
      <c r="I113" s="6"/>
      <c r="J113" s="5"/>
      <c r="K113" s="6"/>
    </row>
    <row r="114" spans="1:11" ht="38" customHeight="1" x14ac:dyDescent="0.2">
      <c r="A114" s="2" t="s">
        <v>3028</v>
      </c>
      <c r="B114" s="2" t="s">
        <v>1360</v>
      </c>
      <c r="C114" s="2" t="s">
        <v>1364</v>
      </c>
      <c r="D114" s="2" t="s">
        <v>2914</v>
      </c>
      <c r="E114" s="2" t="s">
        <v>166</v>
      </c>
      <c r="F114" s="2" t="s">
        <v>1366</v>
      </c>
      <c r="G114" s="6"/>
      <c r="H114" s="6"/>
      <c r="I114" s="6"/>
      <c r="J114" s="5"/>
      <c r="K114" s="6"/>
    </row>
    <row r="115" spans="1:11" ht="38" customHeight="1" x14ac:dyDescent="0.2">
      <c r="A115" s="4" t="s">
        <v>3029</v>
      </c>
      <c r="B115" s="4" t="s">
        <v>1370</v>
      </c>
      <c r="C115" s="4" t="s">
        <v>1374</v>
      </c>
      <c r="D115" s="4" t="s">
        <v>2914</v>
      </c>
      <c r="E115" s="4" t="s">
        <v>189</v>
      </c>
      <c r="F115" s="4" t="s">
        <v>1376</v>
      </c>
      <c r="G115" s="6"/>
      <c r="H115" s="6"/>
      <c r="I115" s="6"/>
      <c r="J115" s="5"/>
      <c r="K115" s="6"/>
    </row>
    <row r="116" spans="1:11" ht="38" customHeight="1" x14ac:dyDescent="0.2">
      <c r="A116" s="2" t="s">
        <v>3030</v>
      </c>
      <c r="B116" s="2" t="s">
        <v>1381</v>
      </c>
      <c r="C116" s="2" t="s">
        <v>1385</v>
      </c>
      <c r="D116" s="2" t="s">
        <v>2914</v>
      </c>
      <c r="E116" s="2" t="s">
        <v>516</v>
      </c>
      <c r="F116" s="2" t="s">
        <v>1386</v>
      </c>
      <c r="G116" s="6"/>
      <c r="H116" s="6"/>
      <c r="I116" s="6"/>
      <c r="J116" s="5"/>
      <c r="K116" s="6"/>
    </row>
    <row r="117" spans="1:11" ht="38" customHeight="1" x14ac:dyDescent="0.2">
      <c r="A117" s="4" t="s">
        <v>3031</v>
      </c>
      <c r="B117" s="4" t="s">
        <v>1390</v>
      </c>
      <c r="C117" s="4" t="s">
        <v>1394</v>
      </c>
      <c r="D117" s="4" t="s">
        <v>2914</v>
      </c>
      <c r="E117" s="4" t="s">
        <v>197</v>
      </c>
      <c r="F117" s="4" t="s">
        <v>1396</v>
      </c>
      <c r="G117" s="6"/>
      <c r="H117" s="6"/>
      <c r="I117" s="6"/>
      <c r="J117" s="5"/>
      <c r="K117" s="6"/>
    </row>
    <row r="118" spans="1:11" ht="38" customHeight="1" x14ac:dyDescent="0.2">
      <c r="A118" s="2" t="s">
        <v>3032</v>
      </c>
      <c r="B118" s="2" t="s">
        <v>1399</v>
      </c>
      <c r="C118" s="2" t="s">
        <v>1403</v>
      </c>
      <c r="D118" s="2" t="s">
        <v>2914</v>
      </c>
      <c r="E118" s="2" t="s">
        <v>189</v>
      </c>
      <c r="F118" s="2" t="s">
        <v>1405</v>
      </c>
      <c r="G118" s="6"/>
      <c r="H118" s="6"/>
      <c r="I118" s="6"/>
      <c r="J118" s="5"/>
      <c r="K118" s="6"/>
    </row>
    <row r="119" spans="1:11" ht="38" customHeight="1" x14ac:dyDescent="0.2">
      <c r="A119" s="4" t="s">
        <v>3033</v>
      </c>
      <c r="B119" s="4" t="s">
        <v>1410</v>
      </c>
      <c r="C119" s="4" t="s">
        <v>1414</v>
      </c>
      <c r="D119" s="4" t="s">
        <v>2914</v>
      </c>
      <c r="E119" s="4" t="s">
        <v>189</v>
      </c>
      <c r="F119" s="4" t="s">
        <v>1416</v>
      </c>
      <c r="G119" s="6"/>
      <c r="H119" s="6"/>
      <c r="I119" s="6"/>
      <c r="J119" s="5"/>
      <c r="K119" s="6"/>
    </row>
    <row r="120" spans="1:11" ht="38" customHeight="1" x14ac:dyDescent="0.2">
      <c r="A120" s="2" t="s">
        <v>3034</v>
      </c>
      <c r="B120" s="2" t="s">
        <v>1419</v>
      </c>
      <c r="C120" s="2" t="s">
        <v>1423</v>
      </c>
      <c r="D120" s="2" t="s">
        <v>2914</v>
      </c>
      <c r="E120" s="2" t="s">
        <v>166</v>
      </c>
      <c r="F120" s="2" t="s">
        <v>1425</v>
      </c>
      <c r="G120" s="6"/>
      <c r="H120" s="6"/>
      <c r="I120" s="6"/>
      <c r="J120" s="5"/>
      <c r="K120" s="6"/>
    </row>
    <row r="121" spans="1:11" ht="38" customHeight="1" x14ac:dyDescent="0.2">
      <c r="A121" s="4" t="s">
        <v>3035</v>
      </c>
      <c r="B121" s="4" t="s">
        <v>1431</v>
      </c>
      <c r="C121" s="4" t="s">
        <v>1434</v>
      </c>
      <c r="D121" s="4" t="s">
        <v>2914</v>
      </c>
      <c r="E121" s="4" t="s">
        <v>166</v>
      </c>
      <c r="F121" s="4" t="s">
        <v>1436</v>
      </c>
      <c r="G121" s="6"/>
      <c r="H121" s="6"/>
      <c r="I121" s="6"/>
      <c r="J121" s="5"/>
      <c r="K121" s="6"/>
    </row>
    <row r="122" spans="1:11" ht="38" customHeight="1" x14ac:dyDescent="0.2">
      <c r="A122" s="2" t="s">
        <v>3036</v>
      </c>
      <c r="B122" s="2" t="s">
        <v>1440</v>
      </c>
      <c r="C122" s="2" t="s">
        <v>1444</v>
      </c>
      <c r="D122" s="2" t="s">
        <v>2914</v>
      </c>
      <c r="E122" s="2" t="s">
        <v>166</v>
      </c>
      <c r="F122" s="2" t="s">
        <v>1446</v>
      </c>
      <c r="G122" s="6"/>
      <c r="H122" s="6"/>
      <c r="I122" s="6"/>
      <c r="J122" s="5"/>
      <c r="K122" s="6"/>
    </row>
    <row r="123" spans="1:11" ht="38" customHeight="1" x14ac:dyDescent="0.2">
      <c r="A123" s="4" t="s">
        <v>3037</v>
      </c>
      <c r="B123" s="4" t="s">
        <v>1451</v>
      </c>
      <c r="C123" s="4" t="s">
        <v>1455</v>
      </c>
      <c r="D123" s="4" t="s">
        <v>2914</v>
      </c>
      <c r="E123" s="4" t="s">
        <v>166</v>
      </c>
      <c r="F123" s="4" t="s">
        <v>1457</v>
      </c>
      <c r="G123" s="6"/>
      <c r="H123" s="6"/>
      <c r="I123" s="6"/>
      <c r="J123" s="5"/>
      <c r="K123" s="6"/>
    </row>
    <row r="124" spans="1:11" ht="38" customHeight="1" x14ac:dyDescent="0.2">
      <c r="A124" s="2" t="s">
        <v>3038</v>
      </c>
      <c r="B124" s="2" t="s">
        <v>1461</v>
      </c>
      <c r="C124" s="2" t="s">
        <v>1465</v>
      </c>
      <c r="D124" s="2" t="s">
        <v>2914</v>
      </c>
      <c r="E124" s="2" t="s">
        <v>286</v>
      </c>
      <c r="F124" s="2" t="s">
        <v>1467</v>
      </c>
      <c r="G124" s="6"/>
      <c r="H124" s="6"/>
      <c r="I124" s="6"/>
      <c r="J124" s="5"/>
      <c r="K124" s="6"/>
    </row>
    <row r="125" spans="1:11" ht="38" customHeight="1" x14ac:dyDescent="0.2">
      <c r="A125" s="4" t="s">
        <v>3039</v>
      </c>
      <c r="B125" s="4" t="s">
        <v>1470</v>
      </c>
      <c r="C125" s="4" t="s">
        <v>1474</v>
      </c>
      <c r="D125" s="4" t="s">
        <v>2914</v>
      </c>
      <c r="E125" s="4" t="s">
        <v>166</v>
      </c>
      <c r="F125" s="4" t="s">
        <v>3040</v>
      </c>
      <c r="G125" s="6"/>
      <c r="H125" s="6"/>
      <c r="I125" s="6"/>
      <c r="J125" s="5"/>
      <c r="K125" s="6"/>
    </row>
    <row r="126" spans="1:11" ht="38" customHeight="1" x14ac:dyDescent="0.2">
      <c r="A126" s="2" t="s">
        <v>3041</v>
      </c>
      <c r="B126" s="2" t="s">
        <v>1479</v>
      </c>
      <c r="C126" s="2" t="s">
        <v>1483</v>
      </c>
      <c r="D126" s="2" t="s">
        <v>2914</v>
      </c>
      <c r="E126" s="2" t="s">
        <v>197</v>
      </c>
      <c r="F126" s="2" t="s">
        <v>1485</v>
      </c>
      <c r="G126" s="6"/>
      <c r="H126" s="6"/>
      <c r="I126" s="6"/>
      <c r="J126" s="5"/>
      <c r="K126" s="6"/>
    </row>
    <row r="127" spans="1:11" ht="38" customHeight="1" x14ac:dyDescent="0.2">
      <c r="A127" s="4" t="s">
        <v>3042</v>
      </c>
      <c r="B127" s="4" t="s">
        <v>1487</v>
      </c>
      <c r="C127" s="4" t="s">
        <v>1491</v>
      </c>
      <c r="D127" s="4" t="s">
        <v>2914</v>
      </c>
      <c r="E127" s="4" t="s">
        <v>197</v>
      </c>
      <c r="F127" s="4" t="s">
        <v>1493</v>
      </c>
      <c r="G127" s="6"/>
      <c r="H127" s="6"/>
      <c r="I127" s="6"/>
      <c r="J127" s="5"/>
      <c r="K127" s="6"/>
    </row>
    <row r="128" spans="1:11" ht="38" customHeight="1" x14ac:dyDescent="0.2">
      <c r="A128" s="2" t="s">
        <v>3043</v>
      </c>
      <c r="B128" s="2" t="s">
        <v>1495</v>
      </c>
      <c r="C128" s="2" t="s">
        <v>1499</v>
      </c>
      <c r="D128" s="2" t="s">
        <v>2914</v>
      </c>
      <c r="E128" s="2" t="s">
        <v>336</v>
      </c>
      <c r="F128" s="2" t="s">
        <v>1501</v>
      </c>
      <c r="G128" s="6"/>
      <c r="H128" s="6"/>
      <c r="I128" s="6"/>
      <c r="J128" s="5"/>
      <c r="K128" s="6"/>
    </row>
    <row r="129" spans="1:11" ht="38" customHeight="1" x14ac:dyDescent="0.2">
      <c r="A129" s="4" t="s">
        <v>3044</v>
      </c>
      <c r="B129" s="4" t="s">
        <v>1503</v>
      </c>
      <c r="C129" s="4" t="s">
        <v>1507</v>
      </c>
      <c r="D129" s="4" t="s">
        <v>2914</v>
      </c>
      <c r="E129" s="4" t="s">
        <v>714</v>
      </c>
      <c r="F129" s="4" t="s">
        <v>1509</v>
      </c>
      <c r="G129" s="6"/>
      <c r="H129" s="6"/>
      <c r="I129" s="6"/>
      <c r="J129" s="5"/>
      <c r="K129" s="6"/>
    </row>
    <row r="130" spans="1:11" ht="38" customHeight="1" x14ac:dyDescent="0.2">
      <c r="A130" s="2" t="s">
        <v>3045</v>
      </c>
      <c r="B130" s="2" t="s">
        <v>1511</v>
      </c>
      <c r="C130" s="2" t="s">
        <v>1515</v>
      </c>
      <c r="D130" s="2" t="s">
        <v>2914</v>
      </c>
      <c r="E130" s="2" t="s">
        <v>197</v>
      </c>
      <c r="F130" s="2" t="s">
        <v>1517</v>
      </c>
      <c r="G130" s="6"/>
      <c r="H130" s="6"/>
      <c r="I130" s="6"/>
      <c r="J130" s="5"/>
      <c r="K130" s="6"/>
    </row>
    <row r="131" spans="1:11" ht="38" customHeight="1" x14ac:dyDescent="0.2">
      <c r="A131" s="4" t="s">
        <v>3046</v>
      </c>
      <c r="B131" s="4" t="s">
        <v>1520</v>
      </c>
      <c r="C131" s="4" t="s">
        <v>1524</v>
      </c>
      <c r="D131" s="4" t="s">
        <v>2914</v>
      </c>
      <c r="E131" s="4" t="s">
        <v>577</v>
      </c>
      <c r="F131" s="4" t="s">
        <v>1526</v>
      </c>
      <c r="G131" s="6"/>
      <c r="H131" s="6"/>
      <c r="I131" s="6"/>
      <c r="J131" s="5"/>
      <c r="K131" s="6"/>
    </row>
    <row r="132" spans="1:11" ht="38" customHeight="1" x14ac:dyDescent="0.2">
      <c r="A132" s="2" t="s">
        <v>3047</v>
      </c>
      <c r="B132" s="2" t="s">
        <v>1529</v>
      </c>
      <c r="C132" s="2" t="s">
        <v>1533</v>
      </c>
      <c r="D132" s="2" t="s">
        <v>2914</v>
      </c>
      <c r="E132" s="2" t="s">
        <v>516</v>
      </c>
      <c r="F132" s="2" t="s">
        <v>1535</v>
      </c>
      <c r="G132" s="6"/>
      <c r="H132" s="6"/>
      <c r="I132" s="6"/>
      <c r="J132" s="5"/>
      <c r="K132" s="6"/>
    </row>
    <row r="133" spans="1:11" ht="38" customHeight="1" x14ac:dyDescent="0.2">
      <c r="A133" s="4" t="s">
        <v>3048</v>
      </c>
      <c r="B133" s="4" t="s">
        <v>1538</v>
      </c>
      <c r="C133" s="4" t="s">
        <v>1541</v>
      </c>
      <c r="D133" s="4" t="s">
        <v>2914</v>
      </c>
      <c r="E133" s="4" t="s">
        <v>166</v>
      </c>
      <c r="F133" s="4" t="s">
        <v>1543</v>
      </c>
      <c r="G133" s="6"/>
      <c r="H133" s="6"/>
      <c r="I133" s="6"/>
      <c r="J133" s="5"/>
      <c r="K133" s="6"/>
    </row>
    <row r="134" spans="1:11" ht="38" customHeight="1" x14ac:dyDescent="0.2">
      <c r="A134" s="2" t="s">
        <v>3049</v>
      </c>
      <c r="B134" s="2" t="s">
        <v>1546</v>
      </c>
      <c r="C134" s="2" t="s">
        <v>1549</v>
      </c>
      <c r="D134" s="2" t="s">
        <v>2914</v>
      </c>
      <c r="E134" s="2" t="s">
        <v>166</v>
      </c>
      <c r="F134" s="2" t="s">
        <v>1550</v>
      </c>
      <c r="G134" s="6"/>
      <c r="H134" s="6"/>
      <c r="I134" s="6"/>
      <c r="J134" s="5"/>
      <c r="K134" s="6"/>
    </row>
    <row r="135" spans="1:11" ht="38" customHeight="1" x14ac:dyDescent="0.2">
      <c r="A135" s="4" t="s">
        <v>3050</v>
      </c>
      <c r="B135" s="4" t="s">
        <v>1553</v>
      </c>
      <c r="C135" s="4" t="s">
        <v>1557</v>
      </c>
      <c r="D135" s="4" t="s">
        <v>2914</v>
      </c>
      <c r="E135" s="4" t="s">
        <v>197</v>
      </c>
      <c r="F135" s="4" t="s">
        <v>1559</v>
      </c>
      <c r="G135" s="6"/>
      <c r="H135" s="6"/>
      <c r="I135" s="6"/>
      <c r="J135" s="5"/>
      <c r="K135" s="6"/>
    </row>
  </sheetData>
  <autoFilter ref="A3:K135" xr:uid="{00000000-0009-0000-0000-000009000000}"/>
  <mergeCells count="2">
    <mergeCell ref="A2:I2"/>
    <mergeCell ref="A1:G1"/>
  </mergeCells>
  <phoneticPr fontId="12"/>
  <dataValidations count="1">
    <dataValidation type="date" allowBlank="1" showErrorMessage="1" error="日付形式で入力してください。" sqref="J4:J135" xr:uid="{00000000-0002-0000-0900-000000000000}">
      <formula1>DATE(2000,1,1)</formula1>
      <formula2>DATE(2100,12,31)</formula2>
    </dataValidation>
  </dataValidations>
  <pageMargins left="0.25" right="0.25" top="0.4" bottom="0.4" header="0.5" footer="0.5"/>
  <pageSetup paperSize="8" fitToHeight="0" orientation="landscape"/>
  <headerFooter>
    <oddFooter>&amp;CAI自社事業PJ v1.0 | &amp;A&amp;R&amp;P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3877F"/>
    <outlinePr summaryRight="0"/>
    <pageSetUpPr fitToPage="1"/>
  </sheetPr>
  <dimension ref="A1:X52"/>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6" customWidth="1"/>
    <col min="2" max="2" width="35" customWidth="1"/>
    <col min="3" max="3" width="23" customWidth="1"/>
    <col min="4" max="4" width="55" customWidth="1"/>
    <col min="5" max="5" width="26" customWidth="1"/>
    <col min="6" max="6" width="36" customWidth="1"/>
    <col min="7" max="7" width="55" customWidth="1"/>
    <col min="8" max="8" width="58" customWidth="1"/>
    <col min="9" max="10" width="22" customWidth="1"/>
    <col min="11" max="11" width="43" customWidth="1"/>
    <col min="12" max="12" width="29" customWidth="1"/>
    <col min="13" max="13" width="40" customWidth="1"/>
    <col min="14" max="14" width="48" customWidth="1"/>
    <col min="15" max="15" width="42" customWidth="1"/>
    <col min="16" max="16" width="56" customWidth="1"/>
    <col min="17" max="17" width="57" customWidth="1"/>
    <col min="18" max="18" width="53" customWidth="1"/>
    <col min="19" max="19" width="24" customWidth="1"/>
    <col min="20" max="20" width="20" customWidth="1"/>
    <col min="21" max="21" width="62" customWidth="1"/>
    <col min="22" max="22" width="20" customWidth="1"/>
    <col min="23" max="23" width="23" customWidth="1"/>
    <col min="24" max="24" width="28" customWidth="1"/>
  </cols>
  <sheetData>
    <row r="1" spans="1:24" ht="34" customHeight="1" x14ac:dyDescent="0.55000000000000004">
      <c r="A1" s="44" t="s">
        <v>3051</v>
      </c>
      <c r="B1" s="45"/>
      <c r="C1" s="45"/>
      <c r="D1" s="45"/>
      <c r="E1" s="45"/>
      <c r="F1" s="45"/>
      <c r="G1" s="45"/>
    </row>
    <row r="2" spans="1:24" ht="43" customHeight="1" x14ac:dyDescent="0.2">
      <c r="A2" s="47" t="s">
        <v>3052</v>
      </c>
      <c r="B2" s="45"/>
      <c r="C2" s="45"/>
      <c r="D2" s="45"/>
      <c r="E2" s="45"/>
      <c r="F2" s="45"/>
      <c r="G2" s="45"/>
      <c r="H2" s="45"/>
      <c r="I2" s="45"/>
    </row>
    <row r="3" spans="1:24" ht="34" customHeight="1" x14ac:dyDescent="0.2">
      <c r="A3" s="1" t="s">
        <v>3053</v>
      </c>
      <c r="B3" s="1" t="s">
        <v>3054</v>
      </c>
      <c r="C3" s="1" t="s">
        <v>3055</v>
      </c>
      <c r="D3" s="1" t="s">
        <v>3056</v>
      </c>
      <c r="E3" s="1" t="s">
        <v>3057</v>
      </c>
      <c r="F3" s="1" t="s">
        <v>3058</v>
      </c>
      <c r="G3" s="1" t="s">
        <v>3059</v>
      </c>
      <c r="H3" s="1" t="s">
        <v>3060</v>
      </c>
      <c r="I3" s="1" t="s">
        <v>3061</v>
      </c>
      <c r="J3" s="1" t="s">
        <v>3062</v>
      </c>
      <c r="K3" s="1" t="s">
        <v>3063</v>
      </c>
      <c r="L3" s="1" t="s">
        <v>3064</v>
      </c>
      <c r="M3" s="1" t="s">
        <v>3065</v>
      </c>
      <c r="N3" s="1" t="s">
        <v>3066</v>
      </c>
      <c r="O3" s="1" t="s">
        <v>3067</v>
      </c>
      <c r="P3" s="1" t="s">
        <v>3068</v>
      </c>
      <c r="Q3" s="1" t="s">
        <v>3069</v>
      </c>
      <c r="R3" s="1" t="s">
        <v>3070</v>
      </c>
      <c r="S3" s="1" t="s">
        <v>3071</v>
      </c>
      <c r="T3" s="1" t="s">
        <v>3072</v>
      </c>
      <c r="U3" s="1" t="s">
        <v>3073</v>
      </c>
      <c r="V3" s="1" t="s">
        <v>3074</v>
      </c>
      <c r="W3" s="1" t="s">
        <v>1595</v>
      </c>
      <c r="X3" s="1" t="s">
        <v>3075</v>
      </c>
    </row>
    <row r="4" spans="1:24" ht="38" customHeight="1" x14ac:dyDescent="0.2">
      <c r="A4" s="6"/>
      <c r="B4" s="6"/>
      <c r="C4" s="6"/>
      <c r="D4" s="6"/>
      <c r="E4" s="6"/>
      <c r="F4" s="6"/>
      <c r="G4" s="6"/>
      <c r="H4" s="6"/>
      <c r="I4" s="6"/>
      <c r="J4" s="6"/>
      <c r="K4" s="6"/>
      <c r="L4" s="6"/>
      <c r="M4" s="6"/>
      <c r="N4" s="6"/>
      <c r="O4" s="6"/>
      <c r="P4" s="6"/>
      <c r="Q4" s="6"/>
      <c r="R4" s="6"/>
      <c r="S4" s="6"/>
      <c r="T4" s="5"/>
      <c r="U4" s="6"/>
      <c r="V4" s="5"/>
      <c r="W4" s="6"/>
      <c r="X4" s="25" t="str">
        <f t="shared" ref="X4:X43" si="0">IF(A4="","",IF(OR(C4="",D4="",E4="",G4="",H4="",N4="",O4="",P4="",S4="",T4="",U4=""),"利用根拠不足","記録あり・内容審査別"))</f>
        <v/>
      </c>
    </row>
    <row r="5" spans="1:24" ht="38" customHeight="1" x14ac:dyDescent="0.2">
      <c r="A5" s="6"/>
      <c r="B5" s="6"/>
      <c r="C5" s="6"/>
      <c r="D5" s="6"/>
      <c r="E5" s="6"/>
      <c r="F5" s="6"/>
      <c r="G5" s="6"/>
      <c r="H5" s="6"/>
      <c r="I5" s="6"/>
      <c r="J5" s="6"/>
      <c r="K5" s="6"/>
      <c r="L5" s="6"/>
      <c r="M5" s="6"/>
      <c r="N5" s="6"/>
      <c r="O5" s="6"/>
      <c r="P5" s="6"/>
      <c r="Q5" s="6"/>
      <c r="R5" s="6"/>
      <c r="S5" s="6"/>
      <c r="T5" s="5"/>
      <c r="U5" s="6"/>
      <c r="V5" s="5"/>
      <c r="W5" s="6"/>
      <c r="X5" s="26" t="str">
        <f t="shared" si="0"/>
        <v/>
      </c>
    </row>
    <row r="6" spans="1:24" ht="38" customHeight="1" x14ac:dyDescent="0.2">
      <c r="A6" s="6"/>
      <c r="B6" s="6"/>
      <c r="C6" s="6"/>
      <c r="D6" s="6"/>
      <c r="E6" s="6"/>
      <c r="F6" s="6"/>
      <c r="G6" s="6"/>
      <c r="H6" s="6"/>
      <c r="I6" s="6"/>
      <c r="J6" s="6"/>
      <c r="K6" s="6"/>
      <c r="L6" s="6"/>
      <c r="M6" s="6"/>
      <c r="N6" s="6"/>
      <c r="O6" s="6"/>
      <c r="P6" s="6"/>
      <c r="Q6" s="6"/>
      <c r="R6" s="6"/>
      <c r="S6" s="6"/>
      <c r="T6" s="5"/>
      <c r="U6" s="6"/>
      <c r="V6" s="5"/>
      <c r="W6" s="6"/>
      <c r="X6" s="25" t="str">
        <f t="shared" si="0"/>
        <v/>
      </c>
    </row>
    <row r="7" spans="1:24" ht="38" customHeight="1" x14ac:dyDescent="0.2">
      <c r="A7" s="6"/>
      <c r="B7" s="6"/>
      <c r="C7" s="6"/>
      <c r="D7" s="6"/>
      <c r="E7" s="6"/>
      <c r="F7" s="6"/>
      <c r="G7" s="6"/>
      <c r="H7" s="6"/>
      <c r="I7" s="6"/>
      <c r="J7" s="6"/>
      <c r="K7" s="6"/>
      <c r="L7" s="6"/>
      <c r="M7" s="6"/>
      <c r="N7" s="6"/>
      <c r="O7" s="6"/>
      <c r="P7" s="6"/>
      <c r="Q7" s="6"/>
      <c r="R7" s="6"/>
      <c r="S7" s="6"/>
      <c r="T7" s="5"/>
      <c r="U7" s="6"/>
      <c r="V7" s="5"/>
      <c r="W7" s="6"/>
      <c r="X7" s="26" t="str">
        <f t="shared" si="0"/>
        <v/>
      </c>
    </row>
    <row r="8" spans="1:24" ht="38" customHeight="1" x14ac:dyDescent="0.2">
      <c r="A8" s="6"/>
      <c r="B8" s="6"/>
      <c r="C8" s="6"/>
      <c r="D8" s="6"/>
      <c r="E8" s="6"/>
      <c r="F8" s="6"/>
      <c r="G8" s="6"/>
      <c r="H8" s="6"/>
      <c r="I8" s="6"/>
      <c r="J8" s="6"/>
      <c r="K8" s="6"/>
      <c r="L8" s="6"/>
      <c r="M8" s="6"/>
      <c r="N8" s="6"/>
      <c r="O8" s="6"/>
      <c r="P8" s="6"/>
      <c r="Q8" s="6"/>
      <c r="R8" s="6"/>
      <c r="S8" s="6"/>
      <c r="T8" s="5"/>
      <c r="U8" s="6"/>
      <c r="V8" s="5"/>
      <c r="W8" s="6"/>
      <c r="X8" s="25" t="str">
        <f t="shared" si="0"/>
        <v/>
      </c>
    </row>
    <row r="9" spans="1:24" ht="38" customHeight="1" x14ac:dyDescent="0.2">
      <c r="A9" s="6"/>
      <c r="B9" s="6"/>
      <c r="C9" s="6"/>
      <c r="D9" s="6"/>
      <c r="E9" s="6"/>
      <c r="F9" s="6"/>
      <c r="G9" s="6"/>
      <c r="H9" s="6"/>
      <c r="I9" s="6"/>
      <c r="J9" s="6"/>
      <c r="K9" s="6"/>
      <c r="L9" s="6"/>
      <c r="M9" s="6"/>
      <c r="N9" s="6"/>
      <c r="O9" s="6"/>
      <c r="P9" s="6"/>
      <c r="Q9" s="6"/>
      <c r="R9" s="6"/>
      <c r="S9" s="6"/>
      <c r="T9" s="5"/>
      <c r="U9" s="6"/>
      <c r="V9" s="5"/>
      <c r="W9" s="6"/>
      <c r="X9" s="26" t="str">
        <f t="shared" si="0"/>
        <v/>
      </c>
    </row>
    <row r="10" spans="1:24" ht="38" customHeight="1" x14ac:dyDescent="0.2">
      <c r="A10" s="6"/>
      <c r="B10" s="6"/>
      <c r="C10" s="6"/>
      <c r="D10" s="6"/>
      <c r="E10" s="6"/>
      <c r="F10" s="6"/>
      <c r="G10" s="6"/>
      <c r="H10" s="6"/>
      <c r="I10" s="6"/>
      <c r="J10" s="6"/>
      <c r="K10" s="6"/>
      <c r="L10" s="6"/>
      <c r="M10" s="6"/>
      <c r="N10" s="6"/>
      <c r="O10" s="6"/>
      <c r="P10" s="6"/>
      <c r="Q10" s="6"/>
      <c r="R10" s="6"/>
      <c r="S10" s="6"/>
      <c r="T10" s="5"/>
      <c r="U10" s="6"/>
      <c r="V10" s="5"/>
      <c r="W10" s="6"/>
      <c r="X10" s="25" t="str">
        <f t="shared" si="0"/>
        <v/>
      </c>
    </row>
    <row r="11" spans="1:24" ht="38" customHeight="1" x14ac:dyDescent="0.2">
      <c r="A11" s="6"/>
      <c r="B11" s="6"/>
      <c r="C11" s="6"/>
      <c r="D11" s="6"/>
      <c r="E11" s="6"/>
      <c r="F11" s="6"/>
      <c r="G11" s="6"/>
      <c r="H11" s="6"/>
      <c r="I11" s="6"/>
      <c r="J11" s="6"/>
      <c r="K11" s="6"/>
      <c r="L11" s="6"/>
      <c r="M11" s="6"/>
      <c r="N11" s="6"/>
      <c r="O11" s="6"/>
      <c r="P11" s="6"/>
      <c r="Q11" s="6"/>
      <c r="R11" s="6"/>
      <c r="S11" s="6"/>
      <c r="T11" s="5"/>
      <c r="U11" s="6"/>
      <c r="V11" s="5"/>
      <c r="W11" s="6"/>
      <c r="X11" s="26" t="str">
        <f t="shared" si="0"/>
        <v/>
      </c>
    </row>
    <row r="12" spans="1:24" ht="38" customHeight="1" x14ac:dyDescent="0.2">
      <c r="A12" s="6"/>
      <c r="B12" s="6"/>
      <c r="C12" s="6"/>
      <c r="D12" s="6"/>
      <c r="E12" s="6"/>
      <c r="F12" s="6"/>
      <c r="G12" s="6"/>
      <c r="H12" s="6"/>
      <c r="I12" s="6"/>
      <c r="J12" s="6"/>
      <c r="K12" s="6"/>
      <c r="L12" s="6"/>
      <c r="M12" s="6"/>
      <c r="N12" s="6"/>
      <c r="O12" s="6"/>
      <c r="P12" s="6"/>
      <c r="Q12" s="6"/>
      <c r="R12" s="6"/>
      <c r="S12" s="6"/>
      <c r="T12" s="5"/>
      <c r="U12" s="6"/>
      <c r="V12" s="5"/>
      <c r="W12" s="6"/>
      <c r="X12" s="25" t="str">
        <f t="shared" si="0"/>
        <v/>
      </c>
    </row>
    <row r="13" spans="1:24" ht="38" customHeight="1" x14ac:dyDescent="0.2">
      <c r="A13" s="6"/>
      <c r="B13" s="6"/>
      <c r="C13" s="6"/>
      <c r="D13" s="6"/>
      <c r="E13" s="6"/>
      <c r="F13" s="6"/>
      <c r="G13" s="6"/>
      <c r="H13" s="6"/>
      <c r="I13" s="6"/>
      <c r="J13" s="6"/>
      <c r="K13" s="6"/>
      <c r="L13" s="6"/>
      <c r="M13" s="6"/>
      <c r="N13" s="6"/>
      <c r="O13" s="6"/>
      <c r="P13" s="6"/>
      <c r="Q13" s="6"/>
      <c r="R13" s="6"/>
      <c r="S13" s="6"/>
      <c r="T13" s="5"/>
      <c r="U13" s="6"/>
      <c r="V13" s="5"/>
      <c r="W13" s="6"/>
      <c r="X13" s="26" t="str">
        <f t="shared" si="0"/>
        <v/>
      </c>
    </row>
    <row r="14" spans="1:24" ht="38" customHeight="1" x14ac:dyDescent="0.2">
      <c r="A14" s="6"/>
      <c r="B14" s="6"/>
      <c r="C14" s="6"/>
      <c r="D14" s="6"/>
      <c r="E14" s="6"/>
      <c r="F14" s="6"/>
      <c r="G14" s="6"/>
      <c r="H14" s="6"/>
      <c r="I14" s="6"/>
      <c r="J14" s="6"/>
      <c r="K14" s="6"/>
      <c r="L14" s="6"/>
      <c r="M14" s="6"/>
      <c r="N14" s="6"/>
      <c r="O14" s="6"/>
      <c r="P14" s="6"/>
      <c r="Q14" s="6"/>
      <c r="R14" s="6"/>
      <c r="S14" s="6"/>
      <c r="T14" s="5"/>
      <c r="U14" s="6"/>
      <c r="V14" s="5"/>
      <c r="W14" s="6"/>
      <c r="X14" s="25" t="str">
        <f t="shared" si="0"/>
        <v/>
      </c>
    </row>
    <row r="15" spans="1:24" ht="38" customHeight="1" x14ac:dyDescent="0.2">
      <c r="A15" s="6"/>
      <c r="B15" s="6"/>
      <c r="C15" s="6"/>
      <c r="D15" s="6"/>
      <c r="E15" s="6"/>
      <c r="F15" s="6"/>
      <c r="G15" s="6"/>
      <c r="H15" s="6"/>
      <c r="I15" s="6"/>
      <c r="J15" s="6"/>
      <c r="K15" s="6"/>
      <c r="L15" s="6"/>
      <c r="M15" s="6"/>
      <c r="N15" s="6"/>
      <c r="O15" s="6"/>
      <c r="P15" s="6"/>
      <c r="Q15" s="6"/>
      <c r="R15" s="6"/>
      <c r="S15" s="6"/>
      <c r="T15" s="5"/>
      <c r="U15" s="6"/>
      <c r="V15" s="5"/>
      <c r="W15" s="6"/>
      <c r="X15" s="26" t="str">
        <f t="shared" si="0"/>
        <v/>
      </c>
    </row>
    <row r="16" spans="1:24" ht="38" customHeight="1" x14ac:dyDescent="0.2">
      <c r="A16" s="6"/>
      <c r="B16" s="6"/>
      <c r="C16" s="6"/>
      <c r="D16" s="6"/>
      <c r="E16" s="6"/>
      <c r="F16" s="6"/>
      <c r="G16" s="6"/>
      <c r="H16" s="6"/>
      <c r="I16" s="6"/>
      <c r="J16" s="6"/>
      <c r="K16" s="6"/>
      <c r="L16" s="6"/>
      <c r="M16" s="6"/>
      <c r="N16" s="6"/>
      <c r="O16" s="6"/>
      <c r="P16" s="6"/>
      <c r="Q16" s="6"/>
      <c r="R16" s="6"/>
      <c r="S16" s="6"/>
      <c r="T16" s="5"/>
      <c r="U16" s="6"/>
      <c r="V16" s="5"/>
      <c r="W16" s="6"/>
      <c r="X16" s="25" t="str">
        <f t="shared" si="0"/>
        <v/>
      </c>
    </row>
    <row r="17" spans="1:24" ht="38" customHeight="1" x14ac:dyDescent="0.2">
      <c r="A17" s="6"/>
      <c r="B17" s="6"/>
      <c r="C17" s="6"/>
      <c r="D17" s="6"/>
      <c r="E17" s="6"/>
      <c r="F17" s="6"/>
      <c r="G17" s="6"/>
      <c r="H17" s="6"/>
      <c r="I17" s="6"/>
      <c r="J17" s="6"/>
      <c r="K17" s="6"/>
      <c r="L17" s="6"/>
      <c r="M17" s="6"/>
      <c r="N17" s="6"/>
      <c r="O17" s="6"/>
      <c r="P17" s="6"/>
      <c r="Q17" s="6"/>
      <c r="R17" s="6"/>
      <c r="S17" s="6"/>
      <c r="T17" s="5"/>
      <c r="U17" s="6"/>
      <c r="V17" s="5"/>
      <c r="W17" s="6"/>
      <c r="X17" s="26" t="str">
        <f t="shared" si="0"/>
        <v/>
      </c>
    </row>
    <row r="18" spans="1:24" ht="38" customHeight="1" x14ac:dyDescent="0.2">
      <c r="A18" s="6"/>
      <c r="B18" s="6"/>
      <c r="C18" s="6"/>
      <c r="D18" s="6"/>
      <c r="E18" s="6"/>
      <c r="F18" s="6"/>
      <c r="G18" s="6"/>
      <c r="H18" s="6"/>
      <c r="I18" s="6"/>
      <c r="J18" s="6"/>
      <c r="K18" s="6"/>
      <c r="L18" s="6"/>
      <c r="M18" s="6"/>
      <c r="N18" s="6"/>
      <c r="O18" s="6"/>
      <c r="P18" s="6"/>
      <c r="Q18" s="6"/>
      <c r="R18" s="6"/>
      <c r="S18" s="6"/>
      <c r="T18" s="5"/>
      <c r="U18" s="6"/>
      <c r="V18" s="5"/>
      <c r="W18" s="6"/>
      <c r="X18" s="25" t="str">
        <f t="shared" si="0"/>
        <v/>
      </c>
    </row>
    <row r="19" spans="1:24" ht="38" customHeight="1" x14ac:dyDescent="0.2">
      <c r="A19" s="6"/>
      <c r="B19" s="6"/>
      <c r="C19" s="6"/>
      <c r="D19" s="6"/>
      <c r="E19" s="6"/>
      <c r="F19" s="6"/>
      <c r="G19" s="6"/>
      <c r="H19" s="6"/>
      <c r="I19" s="6"/>
      <c r="J19" s="6"/>
      <c r="K19" s="6"/>
      <c r="L19" s="6"/>
      <c r="M19" s="6"/>
      <c r="N19" s="6"/>
      <c r="O19" s="6"/>
      <c r="P19" s="6"/>
      <c r="Q19" s="6"/>
      <c r="R19" s="6"/>
      <c r="S19" s="6"/>
      <c r="T19" s="5"/>
      <c r="U19" s="6"/>
      <c r="V19" s="5"/>
      <c r="W19" s="6"/>
      <c r="X19" s="26" t="str">
        <f t="shared" si="0"/>
        <v/>
      </c>
    </row>
    <row r="20" spans="1:24" ht="38" customHeight="1" x14ac:dyDescent="0.2">
      <c r="A20" s="6"/>
      <c r="B20" s="6"/>
      <c r="C20" s="6"/>
      <c r="D20" s="6"/>
      <c r="E20" s="6"/>
      <c r="F20" s="6"/>
      <c r="G20" s="6"/>
      <c r="H20" s="6"/>
      <c r="I20" s="6"/>
      <c r="J20" s="6"/>
      <c r="K20" s="6"/>
      <c r="L20" s="6"/>
      <c r="M20" s="6"/>
      <c r="N20" s="6"/>
      <c r="O20" s="6"/>
      <c r="P20" s="6"/>
      <c r="Q20" s="6"/>
      <c r="R20" s="6"/>
      <c r="S20" s="6"/>
      <c r="T20" s="5"/>
      <c r="U20" s="6"/>
      <c r="V20" s="5"/>
      <c r="W20" s="6"/>
      <c r="X20" s="25" t="str">
        <f t="shared" si="0"/>
        <v/>
      </c>
    </row>
    <row r="21" spans="1:24" ht="38" customHeight="1" x14ac:dyDescent="0.2">
      <c r="A21" s="6"/>
      <c r="B21" s="6"/>
      <c r="C21" s="6"/>
      <c r="D21" s="6"/>
      <c r="E21" s="6"/>
      <c r="F21" s="6"/>
      <c r="G21" s="6"/>
      <c r="H21" s="6"/>
      <c r="I21" s="6"/>
      <c r="J21" s="6"/>
      <c r="K21" s="6"/>
      <c r="L21" s="6"/>
      <c r="M21" s="6"/>
      <c r="N21" s="6"/>
      <c r="O21" s="6"/>
      <c r="P21" s="6"/>
      <c r="Q21" s="6"/>
      <c r="R21" s="6"/>
      <c r="S21" s="6"/>
      <c r="T21" s="5"/>
      <c r="U21" s="6"/>
      <c r="V21" s="5"/>
      <c r="W21" s="6"/>
      <c r="X21" s="26" t="str">
        <f t="shared" si="0"/>
        <v/>
      </c>
    </row>
    <row r="22" spans="1:24" ht="38" customHeight="1" x14ac:dyDescent="0.2">
      <c r="A22" s="6"/>
      <c r="B22" s="6"/>
      <c r="C22" s="6"/>
      <c r="D22" s="6"/>
      <c r="E22" s="6"/>
      <c r="F22" s="6"/>
      <c r="G22" s="6"/>
      <c r="H22" s="6"/>
      <c r="I22" s="6"/>
      <c r="J22" s="6"/>
      <c r="K22" s="6"/>
      <c r="L22" s="6"/>
      <c r="M22" s="6"/>
      <c r="N22" s="6"/>
      <c r="O22" s="6"/>
      <c r="P22" s="6"/>
      <c r="Q22" s="6"/>
      <c r="R22" s="6"/>
      <c r="S22" s="6"/>
      <c r="T22" s="5"/>
      <c r="U22" s="6"/>
      <c r="V22" s="5"/>
      <c r="W22" s="6"/>
      <c r="X22" s="25" t="str">
        <f t="shared" si="0"/>
        <v/>
      </c>
    </row>
    <row r="23" spans="1:24" ht="38" customHeight="1" x14ac:dyDescent="0.2">
      <c r="A23" s="6"/>
      <c r="B23" s="6"/>
      <c r="C23" s="6"/>
      <c r="D23" s="6"/>
      <c r="E23" s="6"/>
      <c r="F23" s="6"/>
      <c r="G23" s="6"/>
      <c r="H23" s="6"/>
      <c r="I23" s="6"/>
      <c r="J23" s="6"/>
      <c r="K23" s="6"/>
      <c r="L23" s="6"/>
      <c r="M23" s="6"/>
      <c r="N23" s="6"/>
      <c r="O23" s="6"/>
      <c r="P23" s="6"/>
      <c r="Q23" s="6"/>
      <c r="R23" s="6"/>
      <c r="S23" s="6"/>
      <c r="T23" s="5"/>
      <c r="U23" s="6"/>
      <c r="V23" s="5"/>
      <c r="W23" s="6"/>
      <c r="X23" s="26" t="str">
        <f t="shared" si="0"/>
        <v/>
      </c>
    </row>
    <row r="24" spans="1:24" ht="38" customHeight="1" x14ac:dyDescent="0.2">
      <c r="A24" s="6"/>
      <c r="B24" s="6"/>
      <c r="C24" s="6"/>
      <c r="D24" s="6"/>
      <c r="E24" s="6"/>
      <c r="F24" s="6"/>
      <c r="G24" s="6"/>
      <c r="H24" s="6"/>
      <c r="I24" s="6"/>
      <c r="J24" s="6"/>
      <c r="K24" s="6"/>
      <c r="L24" s="6"/>
      <c r="M24" s="6"/>
      <c r="N24" s="6"/>
      <c r="O24" s="6"/>
      <c r="P24" s="6"/>
      <c r="Q24" s="6"/>
      <c r="R24" s="6"/>
      <c r="S24" s="6"/>
      <c r="T24" s="5"/>
      <c r="U24" s="6"/>
      <c r="V24" s="5"/>
      <c r="W24" s="6"/>
      <c r="X24" s="25" t="str">
        <f t="shared" si="0"/>
        <v/>
      </c>
    </row>
    <row r="25" spans="1:24" ht="38" customHeight="1" x14ac:dyDescent="0.2">
      <c r="A25" s="6"/>
      <c r="B25" s="6"/>
      <c r="C25" s="6"/>
      <c r="D25" s="6"/>
      <c r="E25" s="6"/>
      <c r="F25" s="6"/>
      <c r="G25" s="6"/>
      <c r="H25" s="6"/>
      <c r="I25" s="6"/>
      <c r="J25" s="6"/>
      <c r="K25" s="6"/>
      <c r="L25" s="6"/>
      <c r="M25" s="6"/>
      <c r="N25" s="6"/>
      <c r="O25" s="6"/>
      <c r="P25" s="6"/>
      <c r="Q25" s="6"/>
      <c r="R25" s="6"/>
      <c r="S25" s="6"/>
      <c r="T25" s="5"/>
      <c r="U25" s="6"/>
      <c r="V25" s="5"/>
      <c r="W25" s="6"/>
      <c r="X25" s="26" t="str">
        <f t="shared" si="0"/>
        <v/>
      </c>
    </row>
    <row r="26" spans="1:24" ht="38" customHeight="1" x14ac:dyDescent="0.2">
      <c r="A26" s="6"/>
      <c r="B26" s="6"/>
      <c r="C26" s="6"/>
      <c r="D26" s="6"/>
      <c r="E26" s="6"/>
      <c r="F26" s="6"/>
      <c r="G26" s="6"/>
      <c r="H26" s="6"/>
      <c r="I26" s="6"/>
      <c r="J26" s="6"/>
      <c r="K26" s="6"/>
      <c r="L26" s="6"/>
      <c r="M26" s="6"/>
      <c r="N26" s="6"/>
      <c r="O26" s="6"/>
      <c r="P26" s="6"/>
      <c r="Q26" s="6"/>
      <c r="R26" s="6"/>
      <c r="S26" s="6"/>
      <c r="T26" s="5"/>
      <c r="U26" s="6"/>
      <c r="V26" s="5"/>
      <c r="W26" s="6"/>
      <c r="X26" s="25" t="str">
        <f t="shared" si="0"/>
        <v/>
      </c>
    </row>
    <row r="27" spans="1:24" ht="38" customHeight="1" x14ac:dyDescent="0.2">
      <c r="A27" s="6"/>
      <c r="B27" s="6"/>
      <c r="C27" s="6"/>
      <c r="D27" s="6"/>
      <c r="E27" s="6"/>
      <c r="F27" s="6"/>
      <c r="G27" s="6"/>
      <c r="H27" s="6"/>
      <c r="I27" s="6"/>
      <c r="J27" s="6"/>
      <c r="K27" s="6"/>
      <c r="L27" s="6"/>
      <c r="M27" s="6"/>
      <c r="N27" s="6"/>
      <c r="O27" s="6"/>
      <c r="P27" s="6"/>
      <c r="Q27" s="6"/>
      <c r="R27" s="6"/>
      <c r="S27" s="6"/>
      <c r="T27" s="5"/>
      <c r="U27" s="6"/>
      <c r="V27" s="5"/>
      <c r="W27" s="6"/>
      <c r="X27" s="26" t="str">
        <f t="shared" si="0"/>
        <v/>
      </c>
    </row>
    <row r="28" spans="1:24" ht="38" customHeight="1" x14ac:dyDescent="0.2">
      <c r="A28" s="6"/>
      <c r="B28" s="6"/>
      <c r="C28" s="6"/>
      <c r="D28" s="6"/>
      <c r="E28" s="6"/>
      <c r="F28" s="6"/>
      <c r="G28" s="6"/>
      <c r="H28" s="6"/>
      <c r="I28" s="6"/>
      <c r="J28" s="6"/>
      <c r="K28" s="6"/>
      <c r="L28" s="6"/>
      <c r="M28" s="6"/>
      <c r="N28" s="6"/>
      <c r="O28" s="6"/>
      <c r="P28" s="6"/>
      <c r="Q28" s="6"/>
      <c r="R28" s="6"/>
      <c r="S28" s="6"/>
      <c r="T28" s="5"/>
      <c r="U28" s="6"/>
      <c r="V28" s="5"/>
      <c r="W28" s="6"/>
      <c r="X28" s="25" t="str">
        <f t="shared" si="0"/>
        <v/>
      </c>
    </row>
    <row r="29" spans="1:24" ht="38" customHeight="1" x14ac:dyDescent="0.2">
      <c r="A29" s="6"/>
      <c r="B29" s="6"/>
      <c r="C29" s="6"/>
      <c r="D29" s="6"/>
      <c r="E29" s="6"/>
      <c r="F29" s="6"/>
      <c r="G29" s="6"/>
      <c r="H29" s="6"/>
      <c r="I29" s="6"/>
      <c r="J29" s="6"/>
      <c r="K29" s="6"/>
      <c r="L29" s="6"/>
      <c r="M29" s="6"/>
      <c r="N29" s="6"/>
      <c r="O29" s="6"/>
      <c r="P29" s="6"/>
      <c r="Q29" s="6"/>
      <c r="R29" s="6"/>
      <c r="S29" s="6"/>
      <c r="T29" s="5"/>
      <c r="U29" s="6"/>
      <c r="V29" s="5"/>
      <c r="W29" s="6"/>
      <c r="X29" s="26" t="str">
        <f t="shared" si="0"/>
        <v/>
      </c>
    </row>
    <row r="30" spans="1:24" ht="38" customHeight="1" x14ac:dyDescent="0.2">
      <c r="A30" s="6"/>
      <c r="B30" s="6"/>
      <c r="C30" s="6"/>
      <c r="D30" s="6"/>
      <c r="E30" s="6"/>
      <c r="F30" s="6"/>
      <c r="G30" s="6"/>
      <c r="H30" s="6"/>
      <c r="I30" s="6"/>
      <c r="J30" s="6"/>
      <c r="K30" s="6"/>
      <c r="L30" s="6"/>
      <c r="M30" s="6"/>
      <c r="N30" s="6"/>
      <c r="O30" s="6"/>
      <c r="P30" s="6"/>
      <c r="Q30" s="6"/>
      <c r="R30" s="6"/>
      <c r="S30" s="6"/>
      <c r="T30" s="5"/>
      <c r="U30" s="6"/>
      <c r="V30" s="5"/>
      <c r="W30" s="6"/>
      <c r="X30" s="25" t="str">
        <f t="shared" si="0"/>
        <v/>
      </c>
    </row>
    <row r="31" spans="1:24" ht="38" customHeight="1" x14ac:dyDescent="0.2">
      <c r="A31" s="6"/>
      <c r="B31" s="6"/>
      <c r="C31" s="6"/>
      <c r="D31" s="6"/>
      <c r="E31" s="6"/>
      <c r="F31" s="6"/>
      <c r="G31" s="6"/>
      <c r="H31" s="6"/>
      <c r="I31" s="6"/>
      <c r="J31" s="6"/>
      <c r="K31" s="6"/>
      <c r="L31" s="6"/>
      <c r="M31" s="6"/>
      <c r="N31" s="6"/>
      <c r="O31" s="6"/>
      <c r="P31" s="6"/>
      <c r="Q31" s="6"/>
      <c r="R31" s="6"/>
      <c r="S31" s="6"/>
      <c r="T31" s="5"/>
      <c r="U31" s="6"/>
      <c r="V31" s="5"/>
      <c r="W31" s="6"/>
      <c r="X31" s="26" t="str">
        <f t="shared" si="0"/>
        <v/>
      </c>
    </row>
    <row r="32" spans="1:24" ht="38" customHeight="1" x14ac:dyDescent="0.2">
      <c r="A32" s="6"/>
      <c r="B32" s="6"/>
      <c r="C32" s="6"/>
      <c r="D32" s="6"/>
      <c r="E32" s="6"/>
      <c r="F32" s="6"/>
      <c r="G32" s="6"/>
      <c r="H32" s="6"/>
      <c r="I32" s="6"/>
      <c r="J32" s="6"/>
      <c r="K32" s="6"/>
      <c r="L32" s="6"/>
      <c r="M32" s="6"/>
      <c r="N32" s="6"/>
      <c r="O32" s="6"/>
      <c r="P32" s="6"/>
      <c r="Q32" s="6"/>
      <c r="R32" s="6"/>
      <c r="S32" s="6"/>
      <c r="T32" s="5"/>
      <c r="U32" s="6"/>
      <c r="V32" s="5"/>
      <c r="W32" s="6"/>
      <c r="X32" s="25" t="str">
        <f t="shared" si="0"/>
        <v/>
      </c>
    </row>
    <row r="33" spans="1:24" ht="38" customHeight="1" x14ac:dyDescent="0.2">
      <c r="A33" s="6"/>
      <c r="B33" s="6"/>
      <c r="C33" s="6"/>
      <c r="D33" s="6"/>
      <c r="E33" s="6"/>
      <c r="F33" s="6"/>
      <c r="G33" s="6"/>
      <c r="H33" s="6"/>
      <c r="I33" s="6"/>
      <c r="J33" s="6"/>
      <c r="K33" s="6"/>
      <c r="L33" s="6"/>
      <c r="M33" s="6"/>
      <c r="N33" s="6"/>
      <c r="O33" s="6"/>
      <c r="P33" s="6"/>
      <c r="Q33" s="6"/>
      <c r="R33" s="6"/>
      <c r="S33" s="6"/>
      <c r="T33" s="5"/>
      <c r="U33" s="6"/>
      <c r="V33" s="5"/>
      <c r="W33" s="6"/>
      <c r="X33" s="26" t="str">
        <f t="shared" si="0"/>
        <v/>
      </c>
    </row>
    <row r="34" spans="1:24" ht="38" customHeight="1" x14ac:dyDescent="0.2">
      <c r="A34" s="6"/>
      <c r="B34" s="6"/>
      <c r="C34" s="6"/>
      <c r="D34" s="6"/>
      <c r="E34" s="6"/>
      <c r="F34" s="6"/>
      <c r="G34" s="6"/>
      <c r="H34" s="6"/>
      <c r="I34" s="6"/>
      <c r="J34" s="6"/>
      <c r="K34" s="6"/>
      <c r="L34" s="6"/>
      <c r="M34" s="6"/>
      <c r="N34" s="6"/>
      <c r="O34" s="6"/>
      <c r="P34" s="6"/>
      <c r="Q34" s="6"/>
      <c r="R34" s="6"/>
      <c r="S34" s="6"/>
      <c r="T34" s="5"/>
      <c r="U34" s="6"/>
      <c r="V34" s="5"/>
      <c r="W34" s="6"/>
      <c r="X34" s="25" t="str">
        <f t="shared" si="0"/>
        <v/>
      </c>
    </row>
    <row r="35" spans="1:24" ht="38" customHeight="1" x14ac:dyDescent="0.2">
      <c r="A35" s="6"/>
      <c r="B35" s="6"/>
      <c r="C35" s="6"/>
      <c r="D35" s="6"/>
      <c r="E35" s="6"/>
      <c r="F35" s="6"/>
      <c r="G35" s="6"/>
      <c r="H35" s="6"/>
      <c r="I35" s="6"/>
      <c r="J35" s="6"/>
      <c r="K35" s="6"/>
      <c r="L35" s="6"/>
      <c r="M35" s="6"/>
      <c r="N35" s="6"/>
      <c r="O35" s="6"/>
      <c r="P35" s="6"/>
      <c r="Q35" s="6"/>
      <c r="R35" s="6"/>
      <c r="S35" s="6"/>
      <c r="T35" s="5"/>
      <c r="U35" s="6"/>
      <c r="V35" s="5"/>
      <c r="W35" s="6"/>
      <c r="X35" s="26" t="str">
        <f t="shared" si="0"/>
        <v/>
      </c>
    </row>
    <row r="36" spans="1:24" ht="38" customHeight="1" x14ac:dyDescent="0.2">
      <c r="A36" s="6"/>
      <c r="B36" s="6"/>
      <c r="C36" s="6"/>
      <c r="D36" s="6"/>
      <c r="E36" s="6"/>
      <c r="F36" s="6"/>
      <c r="G36" s="6"/>
      <c r="H36" s="6"/>
      <c r="I36" s="6"/>
      <c r="J36" s="6"/>
      <c r="K36" s="6"/>
      <c r="L36" s="6"/>
      <c r="M36" s="6"/>
      <c r="N36" s="6"/>
      <c r="O36" s="6"/>
      <c r="P36" s="6"/>
      <c r="Q36" s="6"/>
      <c r="R36" s="6"/>
      <c r="S36" s="6"/>
      <c r="T36" s="5"/>
      <c r="U36" s="6"/>
      <c r="V36" s="5"/>
      <c r="W36" s="6"/>
      <c r="X36" s="25" t="str">
        <f t="shared" si="0"/>
        <v/>
      </c>
    </row>
    <row r="37" spans="1:24" ht="38" customHeight="1" x14ac:dyDescent="0.2">
      <c r="A37" s="6"/>
      <c r="B37" s="6"/>
      <c r="C37" s="6"/>
      <c r="D37" s="6"/>
      <c r="E37" s="6"/>
      <c r="F37" s="6"/>
      <c r="G37" s="6"/>
      <c r="H37" s="6"/>
      <c r="I37" s="6"/>
      <c r="J37" s="6"/>
      <c r="K37" s="6"/>
      <c r="L37" s="6"/>
      <c r="M37" s="6"/>
      <c r="N37" s="6"/>
      <c r="O37" s="6"/>
      <c r="P37" s="6"/>
      <c r="Q37" s="6"/>
      <c r="R37" s="6"/>
      <c r="S37" s="6"/>
      <c r="T37" s="5"/>
      <c r="U37" s="6"/>
      <c r="V37" s="5"/>
      <c r="W37" s="6"/>
      <c r="X37" s="26" t="str">
        <f t="shared" si="0"/>
        <v/>
      </c>
    </row>
    <row r="38" spans="1:24" ht="38" customHeight="1" x14ac:dyDescent="0.2">
      <c r="A38" s="6"/>
      <c r="B38" s="6"/>
      <c r="C38" s="6"/>
      <c r="D38" s="6"/>
      <c r="E38" s="6"/>
      <c r="F38" s="6"/>
      <c r="G38" s="6"/>
      <c r="H38" s="6"/>
      <c r="I38" s="6"/>
      <c r="J38" s="6"/>
      <c r="K38" s="6"/>
      <c r="L38" s="6"/>
      <c r="M38" s="6"/>
      <c r="N38" s="6"/>
      <c r="O38" s="6"/>
      <c r="P38" s="6"/>
      <c r="Q38" s="6"/>
      <c r="R38" s="6"/>
      <c r="S38" s="6"/>
      <c r="T38" s="5"/>
      <c r="U38" s="6"/>
      <c r="V38" s="5"/>
      <c r="W38" s="6"/>
      <c r="X38" s="25" t="str">
        <f t="shared" si="0"/>
        <v/>
      </c>
    </row>
    <row r="39" spans="1:24" ht="38" customHeight="1" x14ac:dyDescent="0.2">
      <c r="A39" s="6"/>
      <c r="B39" s="6"/>
      <c r="C39" s="6"/>
      <c r="D39" s="6"/>
      <c r="E39" s="6"/>
      <c r="F39" s="6"/>
      <c r="G39" s="6"/>
      <c r="H39" s="6"/>
      <c r="I39" s="6"/>
      <c r="J39" s="6"/>
      <c r="K39" s="6"/>
      <c r="L39" s="6"/>
      <c r="M39" s="6"/>
      <c r="N39" s="6"/>
      <c r="O39" s="6"/>
      <c r="P39" s="6"/>
      <c r="Q39" s="6"/>
      <c r="R39" s="6"/>
      <c r="S39" s="6"/>
      <c r="T39" s="5"/>
      <c r="U39" s="6"/>
      <c r="V39" s="5"/>
      <c r="W39" s="6"/>
      <c r="X39" s="26" t="str">
        <f t="shared" si="0"/>
        <v/>
      </c>
    </row>
    <row r="40" spans="1:24" ht="38" customHeight="1" x14ac:dyDescent="0.2">
      <c r="A40" s="6"/>
      <c r="B40" s="6"/>
      <c r="C40" s="6"/>
      <c r="D40" s="6"/>
      <c r="E40" s="6"/>
      <c r="F40" s="6"/>
      <c r="G40" s="6"/>
      <c r="H40" s="6"/>
      <c r="I40" s="6"/>
      <c r="J40" s="6"/>
      <c r="K40" s="6"/>
      <c r="L40" s="6"/>
      <c r="M40" s="6"/>
      <c r="N40" s="6"/>
      <c r="O40" s="6"/>
      <c r="P40" s="6"/>
      <c r="Q40" s="6"/>
      <c r="R40" s="6"/>
      <c r="S40" s="6"/>
      <c r="T40" s="5"/>
      <c r="U40" s="6"/>
      <c r="V40" s="5"/>
      <c r="W40" s="6"/>
      <c r="X40" s="25" t="str">
        <f t="shared" si="0"/>
        <v/>
      </c>
    </row>
    <row r="41" spans="1:24" ht="38" customHeight="1" x14ac:dyDescent="0.2">
      <c r="A41" s="6"/>
      <c r="B41" s="6"/>
      <c r="C41" s="6"/>
      <c r="D41" s="6"/>
      <c r="E41" s="6"/>
      <c r="F41" s="6"/>
      <c r="G41" s="6"/>
      <c r="H41" s="6"/>
      <c r="I41" s="6"/>
      <c r="J41" s="6"/>
      <c r="K41" s="6"/>
      <c r="L41" s="6"/>
      <c r="M41" s="6"/>
      <c r="N41" s="6"/>
      <c r="O41" s="6"/>
      <c r="P41" s="6"/>
      <c r="Q41" s="6"/>
      <c r="R41" s="6"/>
      <c r="S41" s="6"/>
      <c r="T41" s="5"/>
      <c r="U41" s="6"/>
      <c r="V41" s="5"/>
      <c r="W41" s="6"/>
      <c r="X41" s="26" t="str">
        <f t="shared" si="0"/>
        <v/>
      </c>
    </row>
    <row r="42" spans="1:24" ht="38" customHeight="1" x14ac:dyDescent="0.2">
      <c r="A42" s="6"/>
      <c r="B42" s="6"/>
      <c r="C42" s="6"/>
      <c r="D42" s="6"/>
      <c r="E42" s="6"/>
      <c r="F42" s="6"/>
      <c r="G42" s="6"/>
      <c r="H42" s="6"/>
      <c r="I42" s="6"/>
      <c r="J42" s="6"/>
      <c r="K42" s="6"/>
      <c r="L42" s="6"/>
      <c r="M42" s="6"/>
      <c r="N42" s="6"/>
      <c r="O42" s="6"/>
      <c r="P42" s="6"/>
      <c r="Q42" s="6"/>
      <c r="R42" s="6"/>
      <c r="S42" s="6"/>
      <c r="T42" s="5"/>
      <c r="U42" s="6"/>
      <c r="V42" s="5"/>
      <c r="W42" s="6"/>
      <c r="X42" s="25" t="str">
        <f t="shared" si="0"/>
        <v/>
      </c>
    </row>
    <row r="43" spans="1:24" ht="38" customHeight="1" x14ac:dyDescent="0.2">
      <c r="A43" s="6"/>
      <c r="B43" s="6"/>
      <c r="C43" s="6"/>
      <c r="D43" s="6"/>
      <c r="E43" s="6"/>
      <c r="F43" s="6"/>
      <c r="G43" s="6"/>
      <c r="H43" s="6"/>
      <c r="I43" s="6"/>
      <c r="J43" s="6"/>
      <c r="K43" s="6"/>
      <c r="L43" s="6"/>
      <c r="M43" s="6"/>
      <c r="N43" s="6"/>
      <c r="O43" s="6"/>
      <c r="P43" s="6"/>
      <c r="Q43" s="6"/>
      <c r="R43" s="6"/>
      <c r="S43" s="6"/>
      <c r="T43" s="5"/>
      <c r="U43" s="6"/>
      <c r="V43" s="5"/>
      <c r="W43" s="6"/>
      <c r="X43" s="26" t="str">
        <f t="shared" si="0"/>
        <v/>
      </c>
    </row>
    <row r="47" spans="1:24" ht="30" customHeight="1" x14ac:dyDescent="0.2">
      <c r="A47" s="46" t="s">
        <v>3076</v>
      </c>
      <c r="B47" s="45"/>
      <c r="C47" s="45"/>
    </row>
    <row r="48" spans="1:24" ht="32" customHeight="1" x14ac:dyDescent="0.2">
      <c r="A48" s="1" t="s">
        <v>2</v>
      </c>
      <c r="B48" s="1" t="s">
        <v>3077</v>
      </c>
      <c r="C48" s="1" t="s">
        <v>160</v>
      </c>
    </row>
    <row r="49" spans="1:24" ht="38" customHeight="1" x14ac:dyDescent="0.2">
      <c r="A49" s="2" t="s">
        <v>3078</v>
      </c>
      <c r="B49" s="2" t="s">
        <v>3079</v>
      </c>
      <c r="C49" s="2" t="s">
        <v>340</v>
      </c>
      <c r="D49" s="2"/>
      <c r="E49" s="2"/>
      <c r="F49" s="2"/>
      <c r="G49" s="2"/>
      <c r="H49" s="2"/>
      <c r="I49" s="2"/>
      <c r="J49" s="2"/>
      <c r="K49" s="2"/>
      <c r="L49" s="2"/>
      <c r="M49" s="2"/>
      <c r="N49" s="2"/>
      <c r="O49" s="2"/>
      <c r="P49" s="2"/>
      <c r="Q49" s="2"/>
      <c r="R49" s="2"/>
      <c r="S49" s="2"/>
      <c r="T49" s="2"/>
      <c r="U49" s="2"/>
      <c r="V49" s="2"/>
      <c r="W49" s="2"/>
      <c r="X49" s="2"/>
    </row>
    <row r="50" spans="1:24" ht="38" customHeight="1" x14ac:dyDescent="0.2">
      <c r="A50" s="4" t="s">
        <v>3080</v>
      </c>
      <c r="B50" s="4" t="s">
        <v>3081</v>
      </c>
      <c r="C50" s="4" t="s">
        <v>169</v>
      </c>
      <c r="D50" s="4"/>
      <c r="E50" s="4"/>
      <c r="F50" s="4"/>
      <c r="G50" s="4"/>
      <c r="H50" s="4"/>
      <c r="I50" s="4"/>
      <c r="J50" s="4"/>
      <c r="K50" s="4"/>
      <c r="L50" s="4"/>
      <c r="M50" s="4"/>
      <c r="N50" s="4"/>
      <c r="O50" s="4"/>
      <c r="P50" s="4"/>
      <c r="Q50" s="4"/>
      <c r="R50" s="4"/>
      <c r="S50" s="4"/>
      <c r="T50" s="4"/>
      <c r="U50" s="4"/>
      <c r="V50" s="4"/>
      <c r="W50" s="4"/>
      <c r="X50" s="4"/>
    </row>
    <row r="51" spans="1:24" ht="49" customHeight="1" x14ac:dyDescent="0.2">
      <c r="A51" s="2" t="s">
        <v>3082</v>
      </c>
      <c r="B51" s="2" t="s">
        <v>3083</v>
      </c>
      <c r="C51" s="2" t="s">
        <v>2752</v>
      </c>
      <c r="D51" s="2"/>
      <c r="E51" s="2"/>
      <c r="F51" s="2"/>
      <c r="G51" s="2"/>
      <c r="H51" s="2"/>
      <c r="I51" s="2"/>
      <c r="J51" s="2"/>
      <c r="K51" s="2"/>
      <c r="L51" s="2"/>
      <c r="M51" s="2"/>
      <c r="N51" s="2"/>
      <c r="O51" s="2"/>
      <c r="P51" s="2"/>
      <c r="Q51" s="2"/>
      <c r="R51" s="2"/>
      <c r="S51" s="2"/>
      <c r="T51" s="2"/>
      <c r="U51" s="2"/>
      <c r="V51" s="2"/>
      <c r="W51" s="2"/>
      <c r="X51" s="2"/>
    </row>
    <row r="52" spans="1:24" ht="38" customHeight="1" x14ac:dyDescent="0.2">
      <c r="A52" s="4" t="s">
        <v>3084</v>
      </c>
      <c r="B52" s="4" t="s">
        <v>3085</v>
      </c>
      <c r="C52" s="4" t="s">
        <v>169</v>
      </c>
      <c r="D52" s="4"/>
      <c r="E52" s="4"/>
      <c r="F52" s="4"/>
      <c r="G52" s="4"/>
      <c r="H52" s="4"/>
      <c r="I52" s="4"/>
      <c r="J52" s="4"/>
      <c r="K52" s="4"/>
      <c r="L52" s="4"/>
      <c r="M52" s="4"/>
      <c r="N52" s="4"/>
      <c r="O52" s="4"/>
      <c r="P52" s="4"/>
      <c r="Q52" s="4"/>
      <c r="R52" s="4"/>
      <c r="S52" s="4"/>
      <c r="T52" s="4"/>
      <c r="U52" s="4"/>
      <c r="V52" s="4"/>
      <c r="W52" s="4"/>
      <c r="X52" s="4"/>
    </row>
  </sheetData>
  <autoFilter ref="A3:X43" xr:uid="{00000000-0009-0000-0000-00000A000000}"/>
  <mergeCells count="3">
    <mergeCell ref="A2:I2"/>
    <mergeCell ref="A1:G1"/>
    <mergeCell ref="A47:C47"/>
  </mergeCells>
  <phoneticPr fontId="12"/>
  <conditionalFormatting sqref="X4:X43">
    <cfRule type="expression" dxfId="73" priority="1">
      <formula>ISNUMBER(SEARCH("不足",X4))</formula>
    </cfRule>
    <cfRule type="expression" dxfId="72" priority="2">
      <formula>ISNUMBER(SEARCH("不正",X4))</formula>
    </cfRule>
    <cfRule type="expression" dxfId="71" priority="3">
      <formula>ISNUMBER(SEARCH("未判定",X4))</formula>
    </cfRule>
    <cfRule type="expression" dxfId="70" priority="4">
      <formula>ISNUMBER(SEARCH("未承認",X4))</formula>
    </cfRule>
    <cfRule type="expression" dxfId="69" priority="5">
      <formula>ISNUMBER(SEARCH("超過",X4))</formula>
    </cfRule>
    <cfRule type="expression" dxfId="68" priority="6">
      <formula>ISNUMBER(SEARCH("要確認",X4))</formula>
    </cfRule>
  </conditionalFormatting>
  <dataValidations count="4">
    <dataValidation type="list" allowBlank="1" showErrorMessage="1" errorTitle="入力値を確認" error="選択肢から入力してください。" sqref="E4:E43" xr:uid="{00000000-0002-0000-0A00-000000000000}">
      <formula1>"未判定,個人情報,要配慮個人情報,個人関連情報,個人情報なし,要法務判定"</formula1>
    </dataValidation>
    <dataValidation type="list" allowBlank="1" showErrorMessage="1" errorTitle="入力値を確認" error="選択肢から入力してください。" sqref="I4:I43 J4:J43" xr:uid="{00000000-0002-0000-0A00-000001000000}">
      <formula1>"未判定,許可,条件付許可,禁止,対象外"</formula1>
    </dataValidation>
    <dataValidation type="list" allowBlank="1" showErrorMessage="1" errorTitle="入力値を確認" error="選択肢から入力してください。" sqref="W4:W43" xr:uid="{00000000-0002-0000-0A00-000002000000}">
      <formula1>"未判定,審査中,利用承認,利用禁止,終了/保全"</formula1>
    </dataValidation>
    <dataValidation type="date" allowBlank="1" showErrorMessage="1" error="日付形式で入力してください。" sqref="T4:T43 V4:V43" xr:uid="{00000000-0002-0000-0A00-000003000000}">
      <formula1>DATE(2000,1,1)</formula1>
      <formula2>DATE(2100,12,31)</formula2>
    </dataValidation>
  </dataValidations>
  <pageMargins left="0.25" right="0.25" top="0.4" bottom="0.4" header="0.5" footer="0.5"/>
  <pageSetup paperSize="8" fitToHeight="0" orientation="landscape"/>
  <headerFooter>
    <oddFooter>&amp;CAI自社事業PJ v1.0 | &amp;A&amp;R&amp;P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3877F"/>
    <outlinePr summaryRight="0"/>
    <pageSetUpPr fitToPage="1"/>
  </sheetPr>
  <dimension ref="A1:Z51"/>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6" customWidth="1"/>
    <col min="2" max="3" width="22" customWidth="1"/>
    <col min="4" max="4" width="39" customWidth="1"/>
    <col min="5" max="5" width="44" customWidth="1"/>
    <col min="6" max="6" width="35" customWidth="1"/>
    <col min="7" max="7" width="23" customWidth="1"/>
    <col min="8" max="8" width="48" customWidth="1"/>
    <col min="9" max="9" width="30" customWidth="1"/>
    <col min="10" max="10" width="35" customWidth="1"/>
    <col min="11" max="11" width="55" customWidth="1"/>
    <col min="12" max="12" width="47" customWidth="1"/>
    <col min="13" max="13" width="34" customWidth="1"/>
    <col min="14" max="14" width="43" customWidth="1"/>
    <col min="15" max="15" width="48" customWidth="1"/>
    <col min="16" max="16" width="38" customWidth="1"/>
    <col min="17" max="17" width="57" customWidth="1"/>
    <col min="18" max="18" width="53" customWidth="1"/>
    <col min="19" max="19" width="45" customWidth="1"/>
    <col min="20" max="20" width="43" customWidth="1"/>
    <col min="21" max="21" width="52" customWidth="1"/>
    <col min="22" max="22" width="30" customWidth="1"/>
    <col min="23" max="23" width="33" customWidth="1"/>
    <col min="24" max="24" width="62" customWidth="1"/>
    <col min="25" max="25" width="20" customWidth="1"/>
    <col min="26" max="26" width="24" customWidth="1"/>
  </cols>
  <sheetData>
    <row r="1" spans="1:26" ht="34" customHeight="1" x14ac:dyDescent="0.55000000000000004">
      <c r="A1" s="44" t="s">
        <v>3086</v>
      </c>
      <c r="B1" s="45"/>
      <c r="C1" s="45"/>
      <c r="D1" s="45"/>
      <c r="E1" s="45"/>
      <c r="F1" s="45"/>
      <c r="G1" s="45"/>
    </row>
    <row r="2" spans="1:26" ht="43" customHeight="1" x14ac:dyDescent="0.2">
      <c r="A2" s="47" t="s">
        <v>3087</v>
      </c>
      <c r="B2" s="45"/>
      <c r="C2" s="45"/>
      <c r="D2" s="45"/>
      <c r="E2" s="45"/>
      <c r="F2" s="45"/>
      <c r="G2" s="45"/>
      <c r="H2" s="45"/>
      <c r="I2" s="45"/>
    </row>
    <row r="3" spans="1:26" ht="34" customHeight="1" x14ac:dyDescent="0.2">
      <c r="A3" s="1" t="s">
        <v>3088</v>
      </c>
      <c r="B3" s="1" t="s">
        <v>3089</v>
      </c>
      <c r="C3" s="1" t="s">
        <v>3090</v>
      </c>
      <c r="D3" s="1" t="s">
        <v>3091</v>
      </c>
      <c r="E3" s="1" t="s">
        <v>3092</v>
      </c>
      <c r="F3" s="1" t="s">
        <v>3093</v>
      </c>
      <c r="G3" s="1" t="s">
        <v>3055</v>
      </c>
      <c r="H3" s="1" t="s">
        <v>3094</v>
      </c>
      <c r="I3" s="1" t="s">
        <v>3095</v>
      </c>
      <c r="J3" s="1" t="s">
        <v>3096</v>
      </c>
      <c r="K3" s="1" t="s">
        <v>3097</v>
      </c>
      <c r="L3" s="1" t="s">
        <v>3098</v>
      </c>
      <c r="M3" s="1" t="s">
        <v>3099</v>
      </c>
      <c r="N3" s="1" t="s">
        <v>3100</v>
      </c>
      <c r="O3" s="1" t="s">
        <v>3101</v>
      </c>
      <c r="P3" s="1" t="s">
        <v>3102</v>
      </c>
      <c r="Q3" s="1" t="s">
        <v>3103</v>
      </c>
      <c r="R3" s="1" t="s">
        <v>3104</v>
      </c>
      <c r="S3" s="1" t="s">
        <v>3105</v>
      </c>
      <c r="T3" s="1" t="s">
        <v>3106</v>
      </c>
      <c r="U3" s="1" t="s">
        <v>3107</v>
      </c>
      <c r="V3" s="1" t="s">
        <v>3108</v>
      </c>
      <c r="W3" s="1" t="s">
        <v>3109</v>
      </c>
      <c r="X3" s="1" t="s">
        <v>3110</v>
      </c>
      <c r="Y3" s="1" t="s">
        <v>3074</v>
      </c>
      <c r="Z3" s="1" t="s">
        <v>3111</v>
      </c>
    </row>
    <row r="4" spans="1:26" ht="38" customHeight="1" x14ac:dyDescent="0.2">
      <c r="A4" s="6"/>
      <c r="B4" s="6"/>
      <c r="C4" s="6"/>
      <c r="D4" s="6"/>
      <c r="E4" s="6"/>
      <c r="F4" s="6"/>
      <c r="G4" s="6"/>
      <c r="H4" s="6"/>
      <c r="I4" s="6"/>
      <c r="J4" s="6"/>
      <c r="K4" s="6"/>
      <c r="L4" s="6"/>
      <c r="M4" s="6"/>
      <c r="N4" s="6"/>
      <c r="O4" s="6"/>
      <c r="P4" s="6"/>
      <c r="Q4" s="6"/>
      <c r="R4" s="6"/>
      <c r="S4" s="6"/>
      <c r="T4" s="6"/>
      <c r="U4" s="6"/>
      <c r="V4" s="6"/>
      <c r="W4" s="6"/>
      <c r="X4" s="6"/>
      <c r="Y4" s="5"/>
      <c r="Z4" s="6"/>
    </row>
    <row r="5" spans="1:26" ht="38" customHeight="1" x14ac:dyDescent="0.2">
      <c r="A5" s="6"/>
      <c r="B5" s="6"/>
      <c r="C5" s="6"/>
      <c r="D5" s="6"/>
      <c r="E5" s="6"/>
      <c r="F5" s="6"/>
      <c r="G5" s="6"/>
      <c r="H5" s="6"/>
      <c r="I5" s="6"/>
      <c r="J5" s="6"/>
      <c r="K5" s="6"/>
      <c r="L5" s="6"/>
      <c r="M5" s="6"/>
      <c r="N5" s="6"/>
      <c r="O5" s="6"/>
      <c r="P5" s="6"/>
      <c r="Q5" s="6"/>
      <c r="R5" s="6"/>
      <c r="S5" s="6"/>
      <c r="T5" s="6"/>
      <c r="U5" s="6"/>
      <c r="V5" s="6"/>
      <c r="W5" s="6"/>
      <c r="X5" s="6"/>
      <c r="Y5" s="5"/>
      <c r="Z5" s="6"/>
    </row>
    <row r="6" spans="1:26" ht="38" customHeight="1" x14ac:dyDescent="0.2">
      <c r="A6" s="6"/>
      <c r="B6" s="6"/>
      <c r="C6" s="6"/>
      <c r="D6" s="6"/>
      <c r="E6" s="6"/>
      <c r="F6" s="6"/>
      <c r="G6" s="6"/>
      <c r="H6" s="6"/>
      <c r="I6" s="6"/>
      <c r="J6" s="6"/>
      <c r="K6" s="6"/>
      <c r="L6" s="6"/>
      <c r="M6" s="6"/>
      <c r="N6" s="6"/>
      <c r="O6" s="6"/>
      <c r="P6" s="6"/>
      <c r="Q6" s="6"/>
      <c r="R6" s="6"/>
      <c r="S6" s="6"/>
      <c r="T6" s="6"/>
      <c r="U6" s="6"/>
      <c r="V6" s="6"/>
      <c r="W6" s="6"/>
      <c r="X6" s="6"/>
      <c r="Y6" s="5"/>
      <c r="Z6" s="6"/>
    </row>
    <row r="7" spans="1:26" ht="38" customHeight="1" x14ac:dyDescent="0.2">
      <c r="A7" s="6"/>
      <c r="B7" s="6"/>
      <c r="C7" s="6"/>
      <c r="D7" s="6"/>
      <c r="E7" s="6"/>
      <c r="F7" s="6"/>
      <c r="G7" s="6"/>
      <c r="H7" s="6"/>
      <c r="I7" s="6"/>
      <c r="J7" s="6"/>
      <c r="K7" s="6"/>
      <c r="L7" s="6"/>
      <c r="M7" s="6"/>
      <c r="N7" s="6"/>
      <c r="O7" s="6"/>
      <c r="P7" s="6"/>
      <c r="Q7" s="6"/>
      <c r="R7" s="6"/>
      <c r="S7" s="6"/>
      <c r="T7" s="6"/>
      <c r="U7" s="6"/>
      <c r="V7" s="6"/>
      <c r="W7" s="6"/>
      <c r="X7" s="6"/>
      <c r="Y7" s="5"/>
      <c r="Z7" s="6"/>
    </row>
    <row r="8" spans="1:26" ht="38" customHeight="1" x14ac:dyDescent="0.2">
      <c r="A8" s="6"/>
      <c r="B8" s="6"/>
      <c r="C8" s="6"/>
      <c r="D8" s="6"/>
      <c r="E8" s="6"/>
      <c r="F8" s="6"/>
      <c r="G8" s="6"/>
      <c r="H8" s="6"/>
      <c r="I8" s="6"/>
      <c r="J8" s="6"/>
      <c r="K8" s="6"/>
      <c r="L8" s="6"/>
      <c r="M8" s="6"/>
      <c r="N8" s="6"/>
      <c r="O8" s="6"/>
      <c r="P8" s="6"/>
      <c r="Q8" s="6"/>
      <c r="R8" s="6"/>
      <c r="S8" s="6"/>
      <c r="T8" s="6"/>
      <c r="U8" s="6"/>
      <c r="V8" s="6"/>
      <c r="W8" s="6"/>
      <c r="X8" s="6"/>
      <c r="Y8" s="5"/>
      <c r="Z8" s="6"/>
    </row>
    <row r="9" spans="1:26" ht="38" customHeight="1" x14ac:dyDescent="0.2">
      <c r="A9" s="6"/>
      <c r="B9" s="6"/>
      <c r="C9" s="6"/>
      <c r="D9" s="6"/>
      <c r="E9" s="6"/>
      <c r="F9" s="6"/>
      <c r="G9" s="6"/>
      <c r="H9" s="6"/>
      <c r="I9" s="6"/>
      <c r="J9" s="6"/>
      <c r="K9" s="6"/>
      <c r="L9" s="6"/>
      <c r="M9" s="6"/>
      <c r="N9" s="6"/>
      <c r="O9" s="6"/>
      <c r="P9" s="6"/>
      <c r="Q9" s="6"/>
      <c r="R9" s="6"/>
      <c r="S9" s="6"/>
      <c r="T9" s="6"/>
      <c r="U9" s="6"/>
      <c r="V9" s="6"/>
      <c r="W9" s="6"/>
      <c r="X9" s="6"/>
      <c r="Y9" s="5"/>
      <c r="Z9" s="6"/>
    </row>
    <row r="10" spans="1:26" ht="38" customHeight="1" x14ac:dyDescent="0.2">
      <c r="A10" s="6"/>
      <c r="B10" s="6"/>
      <c r="C10" s="6"/>
      <c r="D10" s="6"/>
      <c r="E10" s="6"/>
      <c r="F10" s="6"/>
      <c r="G10" s="6"/>
      <c r="H10" s="6"/>
      <c r="I10" s="6"/>
      <c r="J10" s="6"/>
      <c r="K10" s="6"/>
      <c r="L10" s="6"/>
      <c r="M10" s="6"/>
      <c r="N10" s="6"/>
      <c r="O10" s="6"/>
      <c r="P10" s="6"/>
      <c r="Q10" s="6"/>
      <c r="R10" s="6"/>
      <c r="S10" s="6"/>
      <c r="T10" s="6"/>
      <c r="U10" s="6"/>
      <c r="V10" s="6"/>
      <c r="W10" s="6"/>
      <c r="X10" s="6"/>
      <c r="Y10" s="5"/>
      <c r="Z10" s="6"/>
    </row>
    <row r="11" spans="1:26" ht="38" customHeight="1" x14ac:dyDescent="0.2">
      <c r="A11" s="6"/>
      <c r="B11" s="6"/>
      <c r="C11" s="6"/>
      <c r="D11" s="6"/>
      <c r="E11" s="6"/>
      <c r="F11" s="6"/>
      <c r="G11" s="6"/>
      <c r="H11" s="6"/>
      <c r="I11" s="6"/>
      <c r="J11" s="6"/>
      <c r="K11" s="6"/>
      <c r="L11" s="6"/>
      <c r="M11" s="6"/>
      <c r="N11" s="6"/>
      <c r="O11" s="6"/>
      <c r="P11" s="6"/>
      <c r="Q11" s="6"/>
      <c r="R11" s="6"/>
      <c r="S11" s="6"/>
      <c r="T11" s="6"/>
      <c r="U11" s="6"/>
      <c r="V11" s="6"/>
      <c r="W11" s="6"/>
      <c r="X11" s="6"/>
      <c r="Y11" s="5"/>
      <c r="Z11" s="6"/>
    </row>
    <row r="12" spans="1:26" ht="38" customHeight="1" x14ac:dyDescent="0.2">
      <c r="A12" s="6"/>
      <c r="B12" s="6"/>
      <c r="C12" s="6"/>
      <c r="D12" s="6"/>
      <c r="E12" s="6"/>
      <c r="F12" s="6"/>
      <c r="G12" s="6"/>
      <c r="H12" s="6"/>
      <c r="I12" s="6"/>
      <c r="J12" s="6"/>
      <c r="K12" s="6"/>
      <c r="L12" s="6"/>
      <c r="M12" s="6"/>
      <c r="N12" s="6"/>
      <c r="O12" s="6"/>
      <c r="P12" s="6"/>
      <c r="Q12" s="6"/>
      <c r="R12" s="6"/>
      <c r="S12" s="6"/>
      <c r="T12" s="6"/>
      <c r="U12" s="6"/>
      <c r="V12" s="6"/>
      <c r="W12" s="6"/>
      <c r="X12" s="6"/>
      <c r="Y12" s="5"/>
      <c r="Z12" s="6"/>
    </row>
    <row r="13" spans="1:26" ht="38" customHeight="1" x14ac:dyDescent="0.2">
      <c r="A13" s="6"/>
      <c r="B13" s="6"/>
      <c r="C13" s="6"/>
      <c r="D13" s="6"/>
      <c r="E13" s="6"/>
      <c r="F13" s="6"/>
      <c r="G13" s="6"/>
      <c r="H13" s="6"/>
      <c r="I13" s="6"/>
      <c r="J13" s="6"/>
      <c r="K13" s="6"/>
      <c r="L13" s="6"/>
      <c r="M13" s="6"/>
      <c r="N13" s="6"/>
      <c r="O13" s="6"/>
      <c r="P13" s="6"/>
      <c r="Q13" s="6"/>
      <c r="R13" s="6"/>
      <c r="S13" s="6"/>
      <c r="T13" s="6"/>
      <c r="U13" s="6"/>
      <c r="V13" s="6"/>
      <c r="W13" s="6"/>
      <c r="X13" s="6"/>
      <c r="Y13" s="5"/>
      <c r="Z13" s="6"/>
    </row>
    <row r="14" spans="1:26" ht="38" customHeight="1" x14ac:dyDescent="0.2">
      <c r="A14" s="6"/>
      <c r="B14" s="6"/>
      <c r="C14" s="6"/>
      <c r="D14" s="6"/>
      <c r="E14" s="6"/>
      <c r="F14" s="6"/>
      <c r="G14" s="6"/>
      <c r="H14" s="6"/>
      <c r="I14" s="6"/>
      <c r="J14" s="6"/>
      <c r="K14" s="6"/>
      <c r="L14" s="6"/>
      <c r="M14" s="6"/>
      <c r="N14" s="6"/>
      <c r="O14" s="6"/>
      <c r="P14" s="6"/>
      <c r="Q14" s="6"/>
      <c r="R14" s="6"/>
      <c r="S14" s="6"/>
      <c r="T14" s="6"/>
      <c r="U14" s="6"/>
      <c r="V14" s="6"/>
      <c r="W14" s="6"/>
      <c r="X14" s="6"/>
      <c r="Y14" s="5"/>
      <c r="Z14" s="6"/>
    </row>
    <row r="15" spans="1:26" ht="38" customHeight="1" x14ac:dyDescent="0.2">
      <c r="A15" s="6"/>
      <c r="B15" s="6"/>
      <c r="C15" s="6"/>
      <c r="D15" s="6"/>
      <c r="E15" s="6"/>
      <c r="F15" s="6"/>
      <c r="G15" s="6"/>
      <c r="H15" s="6"/>
      <c r="I15" s="6"/>
      <c r="J15" s="6"/>
      <c r="K15" s="6"/>
      <c r="L15" s="6"/>
      <c r="M15" s="6"/>
      <c r="N15" s="6"/>
      <c r="O15" s="6"/>
      <c r="P15" s="6"/>
      <c r="Q15" s="6"/>
      <c r="R15" s="6"/>
      <c r="S15" s="6"/>
      <c r="T15" s="6"/>
      <c r="U15" s="6"/>
      <c r="V15" s="6"/>
      <c r="W15" s="6"/>
      <c r="X15" s="6"/>
      <c r="Y15" s="5"/>
      <c r="Z15" s="6"/>
    </row>
    <row r="16" spans="1:26" ht="38" customHeight="1" x14ac:dyDescent="0.2">
      <c r="A16" s="6"/>
      <c r="B16" s="6"/>
      <c r="C16" s="6"/>
      <c r="D16" s="6"/>
      <c r="E16" s="6"/>
      <c r="F16" s="6"/>
      <c r="G16" s="6"/>
      <c r="H16" s="6"/>
      <c r="I16" s="6"/>
      <c r="J16" s="6"/>
      <c r="K16" s="6"/>
      <c r="L16" s="6"/>
      <c r="M16" s="6"/>
      <c r="N16" s="6"/>
      <c r="O16" s="6"/>
      <c r="P16" s="6"/>
      <c r="Q16" s="6"/>
      <c r="R16" s="6"/>
      <c r="S16" s="6"/>
      <c r="T16" s="6"/>
      <c r="U16" s="6"/>
      <c r="V16" s="6"/>
      <c r="W16" s="6"/>
      <c r="X16" s="6"/>
      <c r="Y16" s="5"/>
      <c r="Z16" s="6"/>
    </row>
    <row r="17" spans="1:26" ht="38" customHeight="1" x14ac:dyDescent="0.2">
      <c r="A17" s="6"/>
      <c r="B17" s="6"/>
      <c r="C17" s="6"/>
      <c r="D17" s="6"/>
      <c r="E17" s="6"/>
      <c r="F17" s="6"/>
      <c r="G17" s="6"/>
      <c r="H17" s="6"/>
      <c r="I17" s="6"/>
      <c r="J17" s="6"/>
      <c r="K17" s="6"/>
      <c r="L17" s="6"/>
      <c r="M17" s="6"/>
      <c r="N17" s="6"/>
      <c r="O17" s="6"/>
      <c r="P17" s="6"/>
      <c r="Q17" s="6"/>
      <c r="R17" s="6"/>
      <c r="S17" s="6"/>
      <c r="T17" s="6"/>
      <c r="U17" s="6"/>
      <c r="V17" s="6"/>
      <c r="W17" s="6"/>
      <c r="X17" s="6"/>
      <c r="Y17" s="5"/>
      <c r="Z17" s="6"/>
    </row>
    <row r="18" spans="1:26" ht="38" customHeight="1" x14ac:dyDescent="0.2">
      <c r="A18" s="6"/>
      <c r="B18" s="6"/>
      <c r="C18" s="6"/>
      <c r="D18" s="6"/>
      <c r="E18" s="6"/>
      <c r="F18" s="6"/>
      <c r="G18" s="6"/>
      <c r="H18" s="6"/>
      <c r="I18" s="6"/>
      <c r="J18" s="6"/>
      <c r="K18" s="6"/>
      <c r="L18" s="6"/>
      <c r="M18" s="6"/>
      <c r="N18" s="6"/>
      <c r="O18" s="6"/>
      <c r="P18" s="6"/>
      <c r="Q18" s="6"/>
      <c r="R18" s="6"/>
      <c r="S18" s="6"/>
      <c r="T18" s="6"/>
      <c r="U18" s="6"/>
      <c r="V18" s="6"/>
      <c r="W18" s="6"/>
      <c r="X18" s="6"/>
      <c r="Y18" s="5"/>
      <c r="Z18" s="6"/>
    </row>
    <row r="19" spans="1:26" ht="38" customHeight="1" x14ac:dyDescent="0.2">
      <c r="A19" s="6"/>
      <c r="B19" s="6"/>
      <c r="C19" s="6"/>
      <c r="D19" s="6"/>
      <c r="E19" s="6"/>
      <c r="F19" s="6"/>
      <c r="G19" s="6"/>
      <c r="H19" s="6"/>
      <c r="I19" s="6"/>
      <c r="J19" s="6"/>
      <c r="K19" s="6"/>
      <c r="L19" s="6"/>
      <c r="M19" s="6"/>
      <c r="N19" s="6"/>
      <c r="O19" s="6"/>
      <c r="P19" s="6"/>
      <c r="Q19" s="6"/>
      <c r="R19" s="6"/>
      <c r="S19" s="6"/>
      <c r="T19" s="6"/>
      <c r="U19" s="6"/>
      <c r="V19" s="6"/>
      <c r="W19" s="6"/>
      <c r="X19" s="6"/>
      <c r="Y19" s="5"/>
      <c r="Z19" s="6"/>
    </row>
    <row r="20" spans="1:26" ht="38" customHeight="1" x14ac:dyDescent="0.2">
      <c r="A20" s="6"/>
      <c r="B20" s="6"/>
      <c r="C20" s="6"/>
      <c r="D20" s="6"/>
      <c r="E20" s="6"/>
      <c r="F20" s="6"/>
      <c r="G20" s="6"/>
      <c r="H20" s="6"/>
      <c r="I20" s="6"/>
      <c r="J20" s="6"/>
      <c r="K20" s="6"/>
      <c r="L20" s="6"/>
      <c r="M20" s="6"/>
      <c r="N20" s="6"/>
      <c r="O20" s="6"/>
      <c r="P20" s="6"/>
      <c r="Q20" s="6"/>
      <c r="R20" s="6"/>
      <c r="S20" s="6"/>
      <c r="T20" s="6"/>
      <c r="U20" s="6"/>
      <c r="V20" s="6"/>
      <c r="W20" s="6"/>
      <c r="X20" s="6"/>
      <c r="Y20" s="5"/>
      <c r="Z20" s="6"/>
    </row>
    <row r="21" spans="1:26" ht="38" customHeight="1" x14ac:dyDescent="0.2">
      <c r="A21" s="6"/>
      <c r="B21" s="6"/>
      <c r="C21" s="6"/>
      <c r="D21" s="6"/>
      <c r="E21" s="6"/>
      <c r="F21" s="6"/>
      <c r="G21" s="6"/>
      <c r="H21" s="6"/>
      <c r="I21" s="6"/>
      <c r="J21" s="6"/>
      <c r="K21" s="6"/>
      <c r="L21" s="6"/>
      <c r="M21" s="6"/>
      <c r="N21" s="6"/>
      <c r="O21" s="6"/>
      <c r="P21" s="6"/>
      <c r="Q21" s="6"/>
      <c r="R21" s="6"/>
      <c r="S21" s="6"/>
      <c r="T21" s="6"/>
      <c r="U21" s="6"/>
      <c r="V21" s="6"/>
      <c r="W21" s="6"/>
      <c r="X21" s="6"/>
      <c r="Y21" s="5"/>
      <c r="Z21" s="6"/>
    </row>
    <row r="22" spans="1:26" ht="38" customHeight="1" x14ac:dyDescent="0.2">
      <c r="A22" s="6"/>
      <c r="B22" s="6"/>
      <c r="C22" s="6"/>
      <c r="D22" s="6"/>
      <c r="E22" s="6"/>
      <c r="F22" s="6"/>
      <c r="G22" s="6"/>
      <c r="H22" s="6"/>
      <c r="I22" s="6"/>
      <c r="J22" s="6"/>
      <c r="K22" s="6"/>
      <c r="L22" s="6"/>
      <c r="M22" s="6"/>
      <c r="N22" s="6"/>
      <c r="O22" s="6"/>
      <c r="P22" s="6"/>
      <c r="Q22" s="6"/>
      <c r="R22" s="6"/>
      <c r="S22" s="6"/>
      <c r="T22" s="6"/>
      <c r="U22" s="6"/>
      <c r="V22" s="6"/>
      <c r="W22" s="6"/>
      <c r="X22" s="6"/>
      <c r="Y22" s="5"/>
      <c r="Z22" s="6"/>
    </row>
    <row r="23" spans="1:26" ht="38" customHeight="1" x14ac:dyDescent="0.2">
      <c r="A23" s="6"/>
      <c r="B23" s="6"/>
      <c r="C23" s="6"/>
      <c r="D23" s="6"/>
      <c r="E23" s="6"/>
      <c r="F23" s="6"/>
      <c r="G23" s="6"/>
      <c r="H23" s="6"/>
      <c r="I23" s="6"/>
      <c r="J23" s="6"/>
      <c r="K23" s="6"/>
      <c r="L23" s="6"/>
      <c r="M23" s="6"/>
      <c r="N23" s="6"/>
      <c r="O23" s="6"/>
      <c r="P23" s="6"/>
      <c r="Q23" s="6"/>
      <c r="R23" s="6"/>
      <c r="S23" s="6"/>
      <c r="T23" s="6"/>
      <c r="U23" s="6"/>
      <c r="V23" s="6"/>
      <c r="W23" s="6"/>
      <c r="X23" s="6"/>
      <c r="Y23" s="5"/>
      <c r="Z23" s="6"/>
    </row>
    <row r="24" spans="1:26" ht="38" customHeight="1" x14ac:dyDescent="0.2">
      <c r="A24" s="6"/>
      <c r="B24" s="6"/>
      <c r="C24" s="6"/>
      <c r="D24" s="6"/>
      <c r="E24" s="6"/>
      <c r="F24" s="6"/>
      <c r="G24" s="6"/>
      <c r="H24" s="6"/>
      <c r="I24" s="6"/>
      <c r="J24" s="6"/>
      <c r="K24" s="6"/>
      <c r="L24" s="6"/>
      <c r="M24" s="6"/>
      <c r="N24" s="6"/>
      <c r="O24" s="6"/>
      <c r="P24" s="6"/>
      <c r="Q24" s="6"/>
      <c r="R24" s="6"/>
      <c r="S24" s="6"/>
      <c r="T24" s="6"/>
      <c r="U24" s="6"/>
      <c r="V24" s="6"/>
      <c r="W24" s="6"/>
      <c r="X24" s="6"/>
      <c r="Y24" s="5"/>
      <c r="Z24" s="6"/>
    </row>
    <row r="25" spans="1:26" ht="38" customHeight="1" x14ac:dyDescent="0.2">
      <c r="A25" s="6"/>
      <c r="B25" s="6"/>
      <c r="C25" s="6"/>
      <c r="D25" s="6"/>
      <c r="E25" s="6"/>
      <c r="F25" s="6"/>
      <c r="G25" s="6"/>
      <c r="H25" s="6"/>
      <c r="I25" s="6"/>
      <c r="J25" s="6"/>
      <c r="K25" s="6"/>
      <c r="L25" s="6"/>
      <c r="M25" s="6"/>
      <c r="N25" s="6"/>
      <c r="O25" s="6"/>
      <c r="P25" s="6"/>
      <c r="Q25" s="6"/>
      <c r="R25" s="6"/>
      <c r="S25" s="6"/>
      <c r="T25" s="6"/>
      <c r="U25" s="6"/>
      <c r="V25" s="6"/>
      <c r="W25" s="6"/>
      <c r="X25" s="6"/>
      <c r="Y25" s="5"/>
      <c r="Z25" s="6"/>
    </row>
    <row r="26" spans="1:26" ht="38" customHeight="1" x14ac:dyDescent="0.2">
      <c r="A26" s="6"/>
      <c r="B26" s="6"/>
      <c r="C26" s="6"/>
      <c r="D26" s="6"/>
      <c r="E26" s="6"/>
      <c r="F26" s="6"/>
      <c r="G26" s="6"/>
      <c r="H26" s="6"/>
      <c r="I26" s="6"/>
      <c r="J26" s="6"/>
      <c r="K26" s="6"/>
      <c r="L26" s="6"/>
      <c r="M26" s="6"/>
      <c r="N26" s="6"/>
      <c r="O26" s="6"/>
      <c r="P26" s="6"/>
      <c r="Q26" s="6"/>
      <c r="R26" s="6"/>
      <c r="S26" s="6"/>
      <c r="T26" s="6"/>
      <c r="U26" s="6"/>
      <c r="V26" s="6"/>
      <c r="W26" s="6"/>
      <c r="X26" s="6"/>
      <c r="Y26" s="5"/>
      <c r="Z26" s="6"/>
    </row>
    <row r="27" spans="1:26" ht="38" customHeight="1" x14ac:dyDescent="0.2">
      <c r="A27" s="6"/>
      <c r="B27" s="6"/>
      <c r="C27" s="6"/>
      <c r="D27" s="6"/>
      <c r="E27" s="6"/>
      <c r="F27" s="6"/>
      <c r="G27" s="6"/>
      <c r="H27" s="6"/>
      <c r="I27" s="6"/>
      <c r="J27" s="6"/>
      <c r="K27" s="6"/>
      <c r="L27" s="6"/>
      <c r="M27" s="6"/>
      <c r="N27" s="6"/>
      <c r="O27" s="6"/>
      <c r="P27" s="6"/>
      <c r="Q27" s="6"/>
      <c r="R27" s="6"/>
      <c r="S27" s="6"/>
      <c r="T27" s="6"/>
      <c r="U27" s="6"/>
      <c r="V27" s="6"/>
      <c r="W27" s="6"/>
      <c r="X27" s="6"/>
      <c r="Y27" s="5"/>
      <c r="Z27" s="6"/>
    </row>
    <row r="28" spans="1:26" ht="38" customHeight="1" x14ac:dyDescent="0.2">
      <c r="A28" s="6"/>
      <c r="B28" s="6"/>
      <c r="C28" s="6"/>
      <c r="D28" s="6"/>
      <c r="E28" s="6"/>
      <c r="F28" s="6"/>
      <c r="G28" s="6"/>
      <c r="H28" s="6"/>
      <c r="I28" s="6"/>
      <c r="J28" s="6"/>
      <c r="K28" s="6"/>
      <c r="L28" s="6"/>
      <c r="M28" s="6"/>
      <c r="N28" s="6"/>
      <c r="O28" s="6"/>
      <c r="P28" s="6"/>
      <c r="Q28" s="6"/>
      <c r="R28" s="6"/>
      <c r="S28" s="6"/>
      <c r="T28" s="6"/>
      <c r="U28" s="6"/>
      <c r="V28" s="6"/>
      <c r="W28" s="6"/>
      <c r="X28" s="6"/>
      <c r="Y28" s="5"/>
      <c r="Z28" s="6"/>
    </row>
    <row r="29" spans="1:26" ht="38" customHeight="1" x14ac:dyDescent="0.2">
      <c r="A29" s="6"/>
      <c r="B29" s="6"/>
      <c r="C29" s="6"/>
      <c r="D29" s="6"/>
      <c r="E29" s="6"/>
      <c r="F29" s="6"/>
      <c r="G29" s="6"/>
      <c r="H29" s="6"/>
      <c r="I29" s="6"/>
      <c r="J29" s="6"/>
      <c r="K29" s="6"/>
      <c r="L29" s="6"/>
      <c r="M29" s="6"/>
      <c r="N29" s="6"/>
      <c r="O29" s="6"/>
      <c r="P29" s="6"/>
      <c r="Q29" s="6"/>
      <c r="R29" s="6"/>
      <c r="S29" s="6"/>
      <c r="T29" s="6"/>
      <c r="U29" s="6"/>
      <c r="V29" s="6"/>
      <c r="W29" s="6"/>
      <c r="X29" s="6"/>
      <c r="Y29" s="5"/>
      <c r="Z29" s="6"/>
    </row>
    <row r="30" spans="1:26" ht="38" customHeight="1" x14ac:dyDescent="0.2">
      <c r="A30" s="6"/>
      <c r="B30" s="6"/>
      <c r="C30" s="6"/>
      <c r="D30" s="6"/>
      <c r="E30" s="6"/>
      <c r="F30" s="6"/>
      <c r="G30" s="6"/>
      <c r="H30" s="6"/>
      <c r="I30" s="6"/>
      <c r="J30" s="6"/>
      <c r="K30" s="6"/>
      <c r="L30" s="6"/>
      <c r="M30" s="6"/>
      <c r="N30" s="6"/>
      <c r="O30" s="6"/>
      <c r="P30" s="6"/>
      <c r="Q30" s="6"/>
      <c r="R30" s="6"/>
      <c r="S30" s="6"/>
      <c r="T30" s="6"/>
      <c r="U30" s="6"/>
      <c r="V30" s="6"/>
      <c r="W30" s="6"/>
      <c r="X30" s="6"/>
      <c r="Y30" s="5"/>
      <c r="Z30" s="6"/>
    </row>
    <row r="31" spans="1:26" ht="38" customHeight="1" x14ac:dyDescent="0.2">
      <c r="A31" s="6"/>
      <c r="B31" s="6"/>
      <c r="C31" s="6"/>
      <c r="D31" s="6"/>
      <c r="E31" s="6"/>
      <c r="F31" s="6"/>
      <c r="G31" s="6"/>
      <c r="H31" s="6"/>
      <c r="I31" s="6"/>
      <c r="J31" s="6"/>
      <c r="K31" s="6"/>
      <c r="L31" s="6"/>
      <c r="M31" s="6"/>
      <c r="N31" s="6"/>
      <c r="O31" s="6"/>
      <c r="P31" s="6"/>
      <c r="Q31" s="6"/>
      <c r="R31" s="6"/>
      <c r="S31" s="6"/>
      <c r="T31" s="6"/>
      <c r="U31" s="6"/>
      <c r="V31" s="6"/>
      <c r="W31" s="6"/>
      <c r="X31" s="6"/>
      <c r="Y31" s="5"/>
      <c r="Z31" s="6"/>
    </row>
    <row r="32" spans="1:26" ht="38" customHeight="1" x14ac:dyDescent="0.2">
      <c r="A32" s="6"/>
      <c r="B32" s="6"/>
      <c r="C32" s="6"/>
      <c r="D32" s="6"/>
      <c r="E32" s="6"/>
      <c r="F32" s="6"/>
      <c r="G32" s="6"/>
      <c r="H32" s="6"/>
      <c r="I32" s="6"/>
      <c r="J32" s="6"/>
      <c r="K32" s="6"/>
      <c r="L32" s="6"/>
      <c r="M32" s="6"/>
      <c r="N32" s="6"/>
      <c r="O32" s="6"/>
      <c r="P32" s="6"/>
      <c r="Q32" s="6"/>
      <c r="R32" s="6"/>
      <c r="S32" s="6"/>
      <c r="T32" s="6"/>
      <c r="U32" s="6"/>
      <c r="V32" s="6"/>
      <c r="W32" s="6"/>
      <c r="X32" s="6"/>
      <c r="Y32" s="5"/>
      <c r="Z32" s="6"/>
    </row>
    <row r="33" spans="1:26" ht="38" customHeight="1" x14ac:dyDescent="0.2">
      <c r="A33" s="6"/>
      <c r="B33" s="6"/>
      <c r="C33" s="6"/>
      <c r="D33" s="6"/>
      <c r="E33" s="6"/>
      <c r="F33" s="6"/>
      <c r="G33" s="6"/>
      <c r="H33" s="6"/>
      <c r="I33" s="6"/>
      <c r="J33" s="6"/>
      <c r="K33" s="6"/>
      <c r="L33" s="6"/>
      <c r="M33" s="6"/>
      <c r="N33" s="6"/>
      <c r="O33" s="6"/>
      <c r="P33" s="6"/>
      <c r="Q33" s="6"/>
      <c r="R33" s="6"/>
      <c r="S33" s="6"/>
      <c r="T33" s="6"/>
      <c r="U33" s="6"/>
      <c r="V33" s="6"/>
      <c r="W33" s="6"/>
      <c r="X33" s="6"/>
      <c r="Y33" s="5"/>
      <c r="Z33" s="6"/>
    </row>
    <row r="34" spans="1:26" ht="38" customHeight="1" x14ac:dyDescent="0.2">
      <c r="A34" s="6"/>
      <c r="B34" s="6"/>
      <c r="C34" s="6"/>
      <c r="D34" s="6"/>
      <c r="E34" s="6"/>
      <c r="F34" s="6"/>
      <c r="G34" s="6"/>
      <c r="H34" s="6"/>
      <c r="I34" s="6"/>
      <c r="J34" s="6"/>
      <c r="K34" s="6"/>
      <c r="L34" s="6"/>
      <c r="M34" s="6"/>
      <c r="N34" s="6"/>
      <c r="O34" s="6"/>
      <c r="P34" s="6"/>
      <c r="Q34" s="6"/>
      <c r="R34" s="6"/>
      <c r="S34" s="6"/>
      <c r="T34" s="6"/>
      <c r="U34" s="6"/>
      <c r="V34" s="6"/>
      <c r="W34" s="6"/>
      <c r="X34" s="6"/>
      <c r="Y34" s="5"/>
      <c r="Z34" s="6"/>
    </row>
    <row r="35" spans="1:26" ht="38" customHeight="1" x14ac:dyDescent="0.2">
      <c r="A35" s="6"/>
      <c r="B35" s="6"/>
      <c r="C35" s="6"/>
      <c r="D35" s="6"/>
      <c r="E35" s="6"/>
      <c r="F35" s="6"/>
      <c r="G35" s="6"/>
      <c r="H35" s="6"/>
      <c r="I35" s="6"/>
      <c r="J35" s="6"/>
      <c r="K35" s="6"/>
      <c r="L35" s="6"/>
      <c r="M35" s="6"/>
      <c r="N35" s="6"/>
      <c r="O35" s="6"/>
      <c r="P35" s="6"/>
      <c r="Q35" s="6"/>
      <c r="R35" s="6"/>
      <c r="S35" s="6"/>
      <c r="T35" s="6"/>
      <c r="U35" s="6"/>
      <c r="V35" s="6"/>
      <c r="W35" s="6"/>
      <c r="X35" s="6"/>
      <c r="Y35" s="5"/>
      <c r="Z35" s="6"/>
    </row>
    <row r="36" spans="1:26" ht="38"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5"/>
      <c r="Z36" s="6"/>
    </row>
    <row r="37" spans="1:26" ht="38" customHeight="1" x14ac:dyDescent="0.2">
      <c r="A37" s="6"/>
      <c r="B37" s="6"/>
      <c r="C37" s="6"/>
      <c r="D37" s="6"/>
      <c r="E37" s="6"/>
      <c r="F37" s="6"/>
      <c r="G37" s="6"/>
      <c r="H37" s="6"/>
      <c r="I37" s="6"/>
      <c r="J37" s="6"/>
      <c r="K37" s="6"/>
      <c r="L37" s="6"/>
      <c r="M37" s="6"/>
      <c r="N37" s="6"/>
      <c r="O37" s="6"/>
      <c r="P37" s="6"/>
      <c r="Q37" s="6"/>
      <c r="R37" s="6"/>
      <c r="S37" s="6"/>
      <c r="T37" s="6"/>
      <c r="U37" s="6"/>
      <c r="V37" s="6"/>
      <c r="W37" s="6"/>
      <c r="X37" s="6"/>
      <c r="Y37" s="5"/>
      <c r="Z37" s="6"/>
    </row>
    <row r="38" spans="1:26" ht="38" customHeight="1" x14ac:dyDescent="0.2">
      <c r="A38" s="6"/>
      <c r="B38" s="6"/>
      <c r="C38" s="6"/>
      <c r="D38" s="6"/>
      <c r="E38" s="6"/>
      <c r="F38" s="6"/>
      <c r="G38" s="6"/>
      <c r="H38" s="6"/>
      <c r="I38" s="6"/>
      <c r="J38" s="6"/>
      <c r="K38" s="6"/>
      <c r="L38" s="6"/>
      <c r="M38" s="6"/>
      <c r="N38" s="6"/>
      <c r="O38" s="6"/>
      <c r="P38" s="6"/>
      <c r="Q38" s="6"/>
      <c r="R38" s="6"/>
      <c r="S38" s="6"/>
      <c r="T38" s="6"/>
      <c r="U38" s="6"/>
      <c r="V38" s="6"/>
      <c r="W38" s="6"/>
      <c r="X38" s="6"/>
      <c r="Y38" s="5"/>
      <c r="Z38" s="6"/>
    </row>
    <row r="39" spans="1:26" ht="38" customHeight="1" x14ac:dyDescent="0.2">
      <c r="A39" s="6"/>
      <c r="B39" s="6"/>
      <c r="C39" s="6"/>
      <c r="D39" s="6"/>
      <c r="E39" s="6"/>
      <c r="F39" s="6"/>
      <c r="G39" s="6"/>
      <c r="H39" s="6"/>
      <c r="I39" s="6"/>
      <c r="J39" s="6"/>
      <c r="K39" s="6"/>
      <c r="L39" s="6"/>
      <c r="M39" s="6"/>
      <c r="N39" s="6"/>
      <c r="O39" s="6"/>
      <c r="P39" s="6"/>
      <c r="Q39" s="6"/>
      <c r="R39" s="6"/>
      <c r="S39" s="6"/>
      <c r="T39" s="6"/>
      <c r="U39" s="6"/>
      <c r="V39" s="6"/>
      <c r="W39" s="6"/>
      <c r="X39" s="6"/>
      <c r="Y39" s="5"/>
      <c r="Z39" s="6"/>
    </row>
    <row r="40" spans="1:26" ht="38" customHeight="1" x14ac:dyDescent="0.2">
      <c r="A40" s="6"/>
      <c r="B40" s="6"/>
      <c r="C40" s="6"/>
      <c r="D40" s="6"/>
      <c r="E40" s="6"/>
      <c r="F40" s="6"/>
      <c r="G40" s="6"/>
      <c r="H40" s="6"/>
      <c r="I40" s="6"/>
      <c r="J40" s="6"/>
      <c r="K40" s="6"/>
      <c r="L40" s="6"/>
      <c r="M40" s="6"/>
      <c r="N40" s="6"/>
      <c r="O40" s="6"/>
      <c r="P40" s="6"/>
      <c r="Q40" s="6"/>
      <c r="R40" s="6"/>
      <c r="S40" s="6"/>
      <c r="T40" s="6"/>
      <c r="U40" s="6"/>
      <c r="V40" s="6"/>
      <c r="W40" s="6"/>
      <c r="X40" s="6"/>
      <c r="Y40" s="5"/>
      <c r="Z40" s="6"/>
    </row>
    <row r="41" spans="1:26" ht="38" customHeight="1" x14ac:dyDescent="0.2">
      <c r="A41" s="6"/>
      <c r="B41" s="6"/>
      <c r="C41" s="6"/>
      <c r="D41" s="6"/>
      <c r="E41" s="6"/>
      <c r="F41" s="6"/>
      <c r="G41" s="6"/>
      <c r="H41" s="6"/>
      <c r="I41" s="6"/>
      <c r="J41" s="6"/>
      <c r="K41" s="6"/>
      <c r="L41" s="6"/>
      <c r="M41" s="6"/>
      <c r="N41" s="6"/>
      <c r="O41" s="6"/>
      <c r="P41" s="6"/>
      <c r="Q41" s="6"/>
      <c r="R41" s="6"/>
      <c r="S41" s="6"/>
      <c r="T41" s="6"/>
      <c r="U41" s="6"/>
      <c r="V41" s="6"/>
      <c r="W41" s="6"/>
      <c r="X41" s="6"/>
      <c r="Y41" s="5"/>
      <c r="Z41" s="6"/>
    </row>
    <row r="42" spans="1:26" ht="38" customHeight="1" x14ac:dyDescent="0.2">
      <c r="A42" s="6"/>
      <c r="B42" s="6"/>
      <c r="C42" s="6"/>
      <c r="D42" s="6"/>
      <c r="E42" s="6"/>
      <c r="F42" s="6"/>
      <c r="G42" s="6"/>
      <c r="H42" s="6"/>
      <c r="I42" s="6"/>
      <c r="J42" s="6"/>
      <c r="K42" s="6"/>
      <c r="L42" s="6"/>
      <c r="M42" s="6"/>
      <c r="N42" s="6"/>
      <c r="O42" s="6"/>
      <c r="P42" s="6"/>
      <c r="Q42" s="6"/>
      <c r="R42" s="6"/>
      <c r="S42" s="6"/>
      <c r="T42" s="6"/>
      <c r="U42" s="6"/>
      <c r="V42" s="6"/>
      <c r="W42" s="6"/>
      <c r="X42" s="6"/>
      <c r="Y42" s="5"/>
      <c r="Z42" s="6"/>
    </row>
    <row r="43" spans="1:26" ht="38" customHeight="1" x14ac:dyDescent="0.2">
      <c r="A43" s="6"/>
      <c r="B43" s="6"/>
      <c r="C43" s="6"/>
      <c r="D43" s="6"/>
      <c r="E43" s="6"/>
      <c r="F43" s="6"/>
      <c r="G43" s="6"/>
      <c r="H43" s="6"/>
      <c r="I43" s="6"/>
      <c r="J43" s="6"/>
      <c r="K43" s="6"/>
      <c r="L43" s="6"/>
      <c r="M43" s="6"/>
      <c r="N43" s="6"/>
      <c r="O43" s="6"/>
      <c r="P43" s="6"/>
      <c r="Q43" s="6"/>
      <c r="R43" s="6"/>
      <c r="S43" s="6"/>
      <c r="T43" s="6"/>
      <c r="U43" s="6"/>
      <c r="V43" s="6"/>
      <c r="W43" s="6"/>
      <c r="X43" s="6"/>
      <c r="Y43" s="5"/>
      <c r="Z43" s="6"/>
    </row>
    <row r="47" spans="1:26" ht="30" customHeight="1" x14ac:dyDescent="0.2">
      <c r="A47" s="46" t="s">
        <v>3112</v>
      </c>
      <c r="B47" s="45"/>
      <c r="C47" s="45"/>
    </row>
    <row r="48" spans="1:26" ht="32" customHeight="1" x14ac:dyDescent="0.2">
      <c r="A48" s="1" t="s">
        <v>393</v>
      </c>
      <c r="B48" s="1" t="s">
        <v>3113</v>
      </c>
      <c r="C48" s="1" t="s">
        <v>3114</v>
      </c>
    </row>
    <row r="49" spans="1:26" ht="49" customHeight="1" x14ac:dyDescent="0.2">
      <c r="A49" s="2" t="s">
        <v>3115</v>
      </c>
      <c r="B49" s="2" t="s">
        <v>3116</v>
      </c>
      <c r="C49" s="2" t="s">
        <v>3117</v>
      </c>
      <c r="D49" s="2"/>
      <c r="E49" s="2"/>
      <c r="F49" s="2"/>
      <c r="G49" s="2"/>
      <c r="H49" s="2"/>
      <c r="I49" s="2"/>
      <c r="J49" s="2"/>
      <c r="K49" s="2"/>
      <c r="L49" s="2"/>
      <c r="M49" s="2"/>
      <c r="N49" s="2"/>
      <c r="O49" s="2"/>
      <c r="P49" s="2"/>
      <c r="Q49" s="2"/>
      <c r="R49" s="2"/>
      <c r="S49" s="2"/>
      <c r="T49" s="2"/>
      <c r="U49" s="2"/>
      <c r="V49" s="2"/>
      <c r="W49" s="2"/>
      <c r="X49" s="2"/>
      <c r="Y49" s="2"/>
      <c r="Z49" s="2"/>
    </row>
    <row r="50" spans="1:26" ht="49" customHeight="1" x14ac:dyDescent="0.2">
      <c r="A50" s="4" t="s">
        <v>3118</v>
      </c>
      <c r="B50" s="4" t="s">
        <v>3119</v>
      </c>
      <c r="C50" s="4" t="s">
        <v>3120</v>
      </c>
      <c r="D50" s="4"/>
      <c r="E50" s="4"/>
      <c r="F50" s="4"/>
      <c r="G50" s="4"/>
      <c r="H50" s="4"/>
      <c r="I50" s="4"/>
      <c r="J50" s="4"/>
      <c r="K50" s="4"/>
      <c r="L50" s="4"/>
      <c r="M50" s="4"/>
      <c r="N50" s="4"/>
      <c r="O50" s="4"/>
      <c r="P50" s="4"/>
      <c r="Q50" s="4"/>
      <c r="R50" s="4"/>
      <c r="S50" s="4"/>
      <c r="T50" s="4"/>
      <c r="U50" s="4"/>
      <c r="V50" s="4"/>
      <c r="W50" s="4"/>
      <c r="X50" s="4"/>
      <c r="Y50" s="4"/>
      <c r="Z50" s="4"/>
    </row>
    <row r="51" spans="1:26" ht="38" customHeight="1" x14ac:dyDescent="0.2">
      <c r="A51" s="2" t="s">
        <v>3121</v>
      </c>
      <c r="B51" s="2" t="s">
        <v>3122</v>
      </c>
      <c r="C51" s="2" t="s">
        <v>3123</v>
      </c>
      <c r="D51" s="2"/>
      <c r="E51" s="2"/>
      <c r="F51" s="2"/>
      <c r="G51" s="2"/>
      <c r="H51" s="2"/>
      <c r="I51" s="2"/>
      <c r="J51" s="2"/>
      <c r="K51" s="2"/>
      <c r="L51" s="2"/>
      <c r="M51" s="2"/>
      <c r="N51" s="2"/>
      <c r="O51" s="2"/>
      <c r="P51" s="2"/>
      <c r="Q51" s="2"/>
      <c r="R51" s="2"/>
      <c r="S51" s="2"/>
      <c r="T51" s="2"/>
      <c r="U51" s="2"/>
      <c r="V51" s="2"/>
      <c r="W51" s="2"/>
      <c r="X51" s="2"/>
      <c r="Y51" s="2"/>
      <c r="Z51" s="2"/>
    </row>
  </sheetData>
  <autoFilter ref="A3:Z43" xr:uid="{00000000-0009-0000-0000-00000B000000}"/>
  <mergeCells count="3">
    <mergeCell ref="A2:I2"/>
    <mergeCell ref="A1:G1"/>
    <mergeCell ref="A47:C47"/>
  </mergeCells>
  <phoneticPr fontId="12"/>
  <dataValidations count="4">
    <dataValidation type="list" allowBlank="1" showErrorMessage="1" errorTitle="入力値を確認" error="選択肢から入力してください。" sqref="B4:B43" xr:uid="{00000000-0002-0000-0B00-000000000000}">
      <formula1>"Model API,ローカルモデル,Cloud,MCP,Tool,Agent Skill,データ提供者,委託先,その他"</formula1>
    </dataValidation>
    <dataValidation type="list" allowBlank="1" showErrorMessage="1" errorTitle="入力値を確認" error="選択肢から入力してください。" sqref="C4:C43" xr:uid="{00000000-0002-0000-0B00-000001000000}">
      <formula1>"製品AI,開発AI,共通（別権限）"</formula1>
    </dataValidation>
    <dataValidation type="list" allowBlank="1" showErrorMessage="1" errorTitle="入力値を確認" error="選択肢から入力してください。" sqref="Z4:Z43" xr:uid="{00000000-0002-0000-0B00-000002000000}">
      <formula1>"未判定,審査中,利用承認,変更審査,利用停止,廃止"</formula1>
    </dataValidation>
    <dataValidation type="date" allowBlank="1" showErrorMessage="1" error="日付形式で入力してください。" sqref="Y4:Y43" xr:uid="{00000000-0002-0000-0B00-000003000000}">
      <formula1>DATE(2000,1,1)</formula1>
      <formula2>DATE(2100,12,31)</formula2>
    </dataValidation>
  </dataValidations>
  <pageMargins left="0.25" right="0.25" top="0.4" bottom="0.4" header="0.5" footer="0.5"/>
  <pageSetup paperSize="8" fitToHeight="0" orientation="landscape"/>
  <headerFooter>
    <oddFooter>&amp;CAI自社事業PJ v1.0 | &amp;A&amp;R&amp;P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3877F"/>
    <outlinePr summaryRight="0"/>
    <pageSetUpPr fitToPage="1"/>
  </sheetPr>
  <dimension ref="A1:N17"/>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2" customWidth="1"/>
    <col min="2" max="2" width="38" customWidth="1"/>
    <col min="3" max="3" width="34" customWidth="1"/>
    <col min="4" max="4" width="100" customWidth="1"/>
    <col min="5" max="5" width="14" customWidth="1"/>
    <col min="6" max="6" width="30" customWidth="1"/>
    <col min="7" max="7" width="21" customWidth="1"/>
    <col min="8" max="8" width="77" customWidth="1"/>
    <col min="9" max="9" width="27" customWidth="1"/>
    <col min="10" max="10" width="20" customWidth="1"/>
    <col min="11" max="11" width="62" customWidth="1"/>
    <col min="12" max="12" width="20" customWidth="1"/>
    <col min="13" max="13" width="29" customWidth="1"/>
    <col min="14" max="14" width="72" customWidth="1"/>
  </cols>
  <sheetData>
    <row r="1" spans="1:14" ht="34" customHeight="1" x14ac:dyDescent="0.55000000000000004">
      <c r="A1" s="44" t="s">
        <v>3124</v>
      </c>
      <c r="B1" s="45"/>
      <c r="C1" s="45"/>
      <c r="D1" s="45"/>
      <c r="E1" s="45"/>
      <c r="F1" s="45"/>
      <c r="G1" s="45"/>
    </row>
    <row r="2" spans="1:14" ht="43" customHeight="1" x14ac:dyDescent="0.2">
      <c r="A2" s="47" t="s">
        <v>3125</v>
      </c>
      <c r="B2" s="45"/>
      <c r="C2" s="45"/>
      <c r="D2" s="45"/>
      <c r="E2" s="45"/>
      <c r="F2" s="45"/>
      <c r="G2" s="45"/>
      <c r="H2" s="45"/>
      <c r="I2" s="45"/>
    </row>
    <row r="3" spans="1:14" ht="34" customHeight="1" x14ac:dyDescent="0.2">
      <c r="A3" s="1" t="s">
        <v>3126</v>
      </c>
      <c r="B3" s="1" t="s">
        <v>3127</v>
      </c>
      <c r="C3" s="1" t="s">
        <v>3128</v>
      </c>
      <c r="D3" s="1" t="s">
        <v>3129</v>
      </c>
      <c r="E3" s="1" t="s">
        <v>3130</v>
      </c>
      <c r="F3" s="1" t="s">
        <v>3131</v>
      </c>
      <c r="G3" s="1" t="s">
        <v>3132</v>
      </c>
      <c r="H3" s="1" t="s">
        <v>3133</v>
      </c>
      <c r="I3" s="1" t="s">
        <v>3134</v>
      </c>
      <c r="J3" s="1" t="s">
        <v>3135</v>
      </c>
      <c r="K3" s="1" t="s">
        <v>3073</v>
      </c>
      <c r="L3" s="1" t="s">
        <v>3136</v>
      </c>
      <c r="M3" s="1" t="s">
        <v>264</v>
      </c>
      <c r="N3" s="1" t="s">
        <v>3137</v>
      </c>
    </row>
    <row r="4" spans="1:14" ht="38" customHeight="1" x14ac:dyDescent="0.2">
      <c r="A4" s="2" t="s">
        <v>3138</v>
      </c>
      <c r="B4" s="2" t="s">
        <v>3139</v>
      </c>
      <c r="C4" s="2" t="s">
        <v>3140</v>
      </c>
      <c r="D4" s="2" t="s">
        <v>3141</v>
      </c>
      <c r="E4" s="2" t="s">
        <v>487</v>
      </c>
      <c r="F4" s="2" t="s">
        <v>3142</v>
      </c>
      <c r="G4" s="6" t="s">
        <v>1598</v>
      </c>
      <c r="H4" s="6"/>
      <c r="I4" s="6"/>
      <c r="J4" s="5"/>
      <c r="K4" s="6"/>
      <c r="L4" s="5"/>
      <c r="M4" s="2" t="s">
        <v>1449</v>
      </c>
      <c r="N4" s="2" t="s">
        <v>1450</v>
      </c>
    </row>
    <row r="5" spans="1:14" ht="38" customHeight="1" x14ac:dyDescent="0.2">
      <c r="A5" s="4" t="s">
        <v>3143</v>
      </c>
      <c r="B5" s="4" t="s">
        <v>3144</v>
      </c>
      <c r="C5" s="4" t="s">
        <v>3145</v>
      </c>
      <c r="D5" s="4" t="s">
        <v>3146</v>
      </c>
      <c r="E5" s="4" t="s">
        <v>487</v>
      </c>
      <c r="F5" s="4" t="s">
        <v>3147</v>
      </c>
      <c r="G5" s="6" t="s">
        <v>1598</v>
      </c>
      <c r="H5" s="6"/>
      <c r="I5" s="6"/>
      <c r="J5" s="5"/>
      <c r="K5" s="6"/>
      <c r="L5" s="5"/>
      <c r="M5" s="4" t="s">
        <v>290</v>
      </c>
      <c r="N5" s="4" t="s">
        <v>291</v>
      </c>
    </row>
    <row r="6" spans="1:14" ht="38" customHeight="1" x14ac:dyDescent="0.2">
      <c r="A6" s="2" t="s">
        <v>3148</v>
      </c>
      <c r="B6" s="2" t="s">
        <v>3149</v>
      </c>
      <c r="C6" s="2" t="s">
        <v>3150</v>
      </c>
      <c r="D6" s="2" t="s">
        <v>3151</v>
      </c>
      <c r="E6" s="2" t="s">
        <v>487</v>
      </c>
      <c r="F6" s="2" t="s">
        <v>3152</v>
      </c>
      <c r="G6" s="6" t="s">
        <v>1598</v>
      </c>
      <c r="H6" s="6"/>
      <c r="I6" s="6"/>
      <c r="J6" s="5"/>
      <c r="K6" s="6"/>
      <c r="L6" s="5"/>
      <c r="M6" s="2" t="s">
        <v>340</v>
      </c>
      <c r="N6" s="2" t="s">
        <v>341</v>
      </c>
    </row>
    <row r="7" spans="1:14" ht="38" customHeight="1" x14ac:dyDescent="0.2">
      <c r="A7" s="4" t="s">
        <v>3153</v>
      </c>
      <c r="B7" s="4" t="s">
        <v>3154</v>
      </c>
      <c r="C7" s="4" t="s">
        <v>3150</v>
      </c>
      <c r="D7" s="4" t="s">
        <v>3155</v>
      </c>
      <c r="E7" s="4" t="s">
        <v>487</v>
      </c>
      <c r="F7" s="4" t="s">
        <v>3156</v>
      </c>
      <c r="G7" s="6" t="s">
        <v>1598</v>
      </c>
      <c r="H7" s="6"/>
      <c r="I7" s="6"/>
      <c r="J7" s="5"/>
      <c r="K7" s="6"/>
      <c r="L7" s="5"/>
      <c r="M7" s="4" t="s">
        <v>3157</v>
      </c>
      <c r="N7" s="4" t="s">
        <v>3158</v>
      </c>
    </row>
    <row r="8" spans="1:14" ht="38" customHeight="1" x14ac:dyDescent="0.2">
      <c r="A8" s="2" t="s">
        <v>3159</v>
      </c>
      <c r="B8" s="2" t="s">
        <v>3160</v>
      </c>
      <c r="C8" s="2" t="s">
        <v>3150</v>
      </c>
      <c r="D8" s="2" t="s">
        <v>3161</v>
      </c>
      <c r="E8" s="2" t="s">
        <v>487</v>
      </c>
      <c r="F8" s="2" t="s">
        <v>3162</v>
      </c>
      <c r="G8" s="6" t="s">
        <v>1598</v>
      </c>
      <c r="H8" s="6"/>
      <c r="I8" s="6"/>
      <c r="J8" s="5"/>
      <c r="K8" s="6"/>
      <c r="L8" s="5"/>
      <c r="M8" s="2" t="s">
        <v>3163</v>
      </c>
      <c r="N8" s="2" t="s">
        <v>3164</v>
      </c>
    </row>
    <row r="9" spans="1:14" ht="38" customHeight="1" x14ac:dyDescent="0.2">
      <c r="A9" s="4" t="s">
        <v>3165</v>
      </c>
      <c r="B9" s="4" t="s">
        <v>3166</v>
      </c>
      <c r="C9" s="4" t="s">
        <v>3167</v>
      </c>
      <c r="D9" s="4" t="s">
        <v>3168</v>
      </c>
      <c r="E9" s="4" t="s">
        <v>487</v>
      </c>
      <c r="F9" s="4" t="s">
        <v>3169</v>
      </c>
      <c r="G9" s="6" t="s">
        <v>1598</v>
      </c>
      <c r="H9" s="6"/>
      <c r="I9" s="6"/>
      <c r="J9" s="5"/>
      <c r="K9" s="6"/>
      <c r="L9" s="5"/>
      <c r="M9" s="4" t="s">
        <v>301</v>
      </c>
      <c r="N9" s="4"/>
    </row>
    <row r="10" spans="1:14" ht="38" customHeight="1" x14ac:dyDescent="0.2">
      <c r="A10" s="2" t="s">
        <v>3170</v>
      </c>
      <c r="B10" s="2" t="s">
        <v>3171</v>
      </c>
      <c r="C10" s="2" t="s">
        <v>3172</v>
      </c>
      <c r="D10" s="2" t="s">
        <v>3173</v>
      </c>
      <c r="E10" s="2" t="s">
        <v>487</v>
      </c>
      <c r="F10" s="2" t="s">
        <v>3174</v>
      </c>
      <c r="G10" s="6" t="s">
        <v>1598</v>
      </c>
      <c r="H10" s="6"/>
      <c r="I10" s="6"/>
      <c r="J10" s="5"/>
      <c r="K10" s="6"/>
      <c r="L10" s="5"/>
      <c r="M10" s="2" t="s">
        <v>169</v>
      </c>
      <c r="N10" s="2"/>
    </row>
    <row r="11" spans="1:14" ht="38" customHeight="1" x14ac:dyDescent="0.2">
      <c r="A11" s="4" t="s">
        <v>3175</v>
      </c>
      <c r="B11" s="4" t="s">
        <v>3176</v>
      </c>
      <c r="C11" s="4" t="s">
        <v>3177</v>
      </c>
      <c r="D11" s="4" t="s">
        <v>3178</v>
      </c>
      <c r="E11" s="4" t="s">
        <v>487</v>
      </c>
      <c r="F11" s="4" t="s">
        <v>3179</v>
      </c>
      <c r="G11" s="6" t="s">
        <v>1598</v>
      </c>
      <c r="H11" s="6"/>
      <c r="I11" s="6"/>
      <c r="J11" s="5"/>
      <c r="K11" s="6"/>
      <c r="L11" s="5"/>
      <c r="M11" s="4" t="s">
        <v>169</v>
      </c>
      <c r="N11" s="4"/>
    </row>
    <row r="12" spans="1:14" ht="38" customHeight="1" x14ac:dyDescent="0.2">
      <c r="A12" s="2" t="s">
        <v>3180</v>
      </c>
      <c r="B12" s="2" t="s">
        <v>3181</v>
      </c>
      <c r="C12" s="2" t="s">
        <v>3182</v>
      </c>
      <c r="D12" s="2" t="s">
        <v>3183</v>
      </c>
      <c r="E12" s="2" t="s">
        <v>487</v>
      </c>
      <c r="F12" s="2" t="s">
        <v>3184</v>
      </c>
      <c r="G12" s="6" t="s">
        <v>1598</v>
      </c>
      <c r="H12" s="6"/>
      <c r="I12" s="6"/>
      <c r="J12" s="5"/>
      <c r="K12" s="6"/>
      <c r="L12" s="5"/>
      <c r="M12" s="2" t="s">
        <v>3185</v>
      </c>
      <c r="N12" s="2" t="s">
        <v>1450</v>
      </c>
    </row>
    <row r="13" spans="1:14" ht="38" customHeight="1" x14ac:dyDescent="0.2">
      <c r="A13" s="4" t="s">
        <v>3186</v>
      </c>
      <c r="B13" s="4" t="s">
        <v>3187</v>
      </c>
      <c r="C13" s="4" t="s">
        <v>3182</v>
      </c>
      <c r="D13" s="4" t="s">
        <v>3188</v>
      </c>
      <c r="E13" s="4" t="s">
        <v>487</v>
      </c>
      <c r="F13" s="4" t="s">
        <v>3189</v>
      </c>
      <c r="G13" s="6" t="s">
        <v>1598</v>
      </c>
      <c r="H13" s="6"/>
      <c r="I13" s="6"/>
      <c r="J13" s="5"/>
      <c r="K13" s="6"/>
      <c r="L13" s="5"/>
      <c r="M13" s="4" t="s">
        <v>301</v>
      </c>
      <c r="N13" s="4"/>
    </row>
    <row r="14" spans="1:14" ht="38" customHeight="1" x14ac:dyDescent="0.2">
      <c r="A14" s="2" t="s">
        <v>3190</v>
      </c>
      <c r="B14" s="2" t="s">
        <v>3191</v>
      </c>
      <c r="C14" s="2" t="s">
        <v>3192</v>
      </c>
      <c r="D14" s="2" t="s">
        <v>3193</v>
      </c>
      <c r="E14" s="2" t="s">
        <v>487</v>
      </c>
      <c r="F14" s="2" t="s">
        <v>3194</v>
      </c>
      <c r="G14" s="6" t="s">
        <v>1598</v>
      </c>
      <c r="H14" s="6"/>
      <c r="I14" s="6"/>
      <c r="J14" s="5"/>
      <c r="K14" s="6"/>
      <c r="L14" s="5"/>
      <c r="M14" s="2" t="s">
        <v>3195</v>
      </c>
      <c r="N14" s="2" t="s">
        <v>3196</v>
      </c>
    </row>
    <row r="15" spans="1:14" ht="109" customHeight="1" x14ac:dyDescent="0.2">
      <c r="A15" s="4" t="s">
        <v>3197</v>
      </c>
      <c r="B15" s="4" t="s">
        <v>3198</v>
      </c>
      <c r="C15" s="4" t="s">
        <v>3199</v>
      </c>
      <c r="D15" s="4" t="s">
        <v>3200</v>
      </c>
      <c r="E15" s="4" t="s">
        <v>714</v>
      </c>
      <c r="F15" s="4" t="s">
        <v>3201</v>
      </c>
      <c r="G15" s="6" t="s">
        <v>1598</v>
      </c>
      <c r="H15" s="6"/>
      <c r="I15" s="6"/>
      <c r="J15" s="5"/>
      <c r="K15" s="6"/>
      <c r="L15" s="5"/>
      <c r="M15" s="4" t="s">
        <v>3202</v>
      </c>
      <c r="N15" s="4" t="s">
        <v>3203</v>
      </c>
    </row>
    <row r="16" spans="1:14" ht="38" customHeight="1" x14ac:dyDescent="0.2">
      <c r="A16" s="2" t="s">
        <v>3204</v>
      </c>
      <c r="B16" s="2" t="s">
        <v>3205</v>
      </c>
      <c r="C16" s="2" t="s">
        <v>3206</v>
      </c>
      <c r="D16" s="2" t="s">
        <v>3207</v>
      </c>
      <c r="E16" s="2" t="s">
        <v>487</v>
      </c>
      <c r="F16" s="2" t="s">
        <v>3208</v>
      </c>
      <c r="G16" s="6" t="s">
        <v>1598</v>
      </c>
      <c r="H16" s="6"/>
      <c r="I16" s="6"/>
      <c r="J16" s="5"/>
      <c r="K16" s="6"/>
      <c r="L16" s="5"/>
      <c r="M16" s="2" t="s">
        <v>2752</v>
      </c>
      <c r="N16" s="2"/>
    </row>
    <row r="17" spans="1:14" ht="38" customHeight="1" x14ac:dyDescent="0.2">
      <c r="A17" s="4" t="s">
        <v>3209</v>
      </c>
      <c r="B17" s="4" t="s">
        <v>3210</v>
      </c>
      <c r="C17" s="4" t="s">
        <v>3211</v>
      </c>
      <c r="D17" s="4" t="s">
        <v>3212</v>
      </c>
      <c r="E17" s="4" t="s">
        <v>487</v>
      </c>
      <c r="F17" s="4" t="s">
        <v>3213</v>
      </c>
      <c r="G17" s="6" t="s">
        <v>1598</v>
      </c>
      <c r="H17" s="6"/>
      <c r="I17" s="6"/>
      <c r="J17" s="5"/>
      <c r="K17" s="6"/>
      <c r="L17" s="5"/>
      <c r="M17" s="4" t="s">
        <v>340</v>
      </c>
      <c r="N17" s="4" t="s">
        <v>341</v>
      </c>
    </row>
  </sheetData>
  <autoFilter ref="A3:N17" xr:uid="{00000000-0009-0000-0000-00000C000000}"/>
  <mergeCells count="2">
    <mergeCell ref="A2:I2"/>
    <mergeCell ref="A1:G1"/>
  </mergeCells>
  <phoneticPr fontId="12"/>
  <dataValidations count="2">
    <dataValidation type="list" allowBlank="1" showErrorMessage="1" errorTitle="入力値を確認" error="選択肢から入力してください。" sqref="G4:G17" xr:uid="{00000000-0002-0000-0C00-000000000000}">
      <formula1>"未判定,適用,条件付適用,対象外,禁止"</formula1>
    </dataValidation>
    <dataValidation type="date" allowBlank="1" showErrorMessage="1" error="日付形式で入力してください。" sqref="J4:J17 L4:L17" xr:uid="{00000000-0002-0000-0C00-000001000000}">
      <formula1>DATE(2000,1,1)</formula1>
      <formula2>DATE(2100,12,31)</formula2>
    </dataValidation>
  </dataValidations>
  <pageMargins left="0.25" right="0.25" top="0.4" bottom="0.4" header="0.5" footer="0.5"/>
  <pageSetup paperSize="8" fitToHeight="0" orientation="landscape"/>
  <headerFooter>
    <oddFooter>&amp;CAI自社事業PJ v1.0 | &amp;A&amp;R&amp;P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3877F"/>
    <outlinePr summaryRight="0"/>
    <pageSetUpPr fitToPage="1"/>
  </sheetPr>
  <dimension ref="A1:O15"/>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4" customWidth="1"/>
    <col min="2" max="2" width="36" customWidth="1"/>
    <col min="3" max="3" width="87" customWidth="1"/>
    <col min="4" max="4" width="30" customWidth="1"/>
    <col min="5" max="5" width="67" customWidth="1"/>
    <col min="6" max="6" width="70" customWidth="1"/>
    <col min="7" max="7" width="36" customWidth="1"/>
    <col min="8" max="8" width="50" customWidth="1"/>
    <col min="9" max="9" width="58" customWidth="1"/>
    <col min="10" max="10" width="59" customWidth="1"/>
    <col min="11" max="11" width="64" customWidth="1"/>
    <col min="12" max="12" width="25" customWidth="1"/>
    <col min="13" max="13" width="20" customWidth="1"/>
    <col min="14" max="14" width="64" customWidth="1"/>
    <col min="15" max="15" width="24" customWidth="1"/>
  </cols>
  <sheetData>
    <row r="1" spans="1:15" ht="34" customHeight="1" x14ac:dyDescent="0.55000000000000004">
      <c r="A1" s="44" t="s">
        <v>3214</v>
      </c>
      <c r="B1" s="45"/>
      <c r="C1" s="45"/>
      <c r="D1" s="45"/>
      <c r="E1" s="45"/>
      <c r="F1" s="45"/>
      <c r="G1" s="45"/>
    </row>
    <row r="2" spans="1:15" ht="43" customHeight="1" x14ac:dyDescent="0.2">
      <c r="A2" s="47" t="s">
        <v>3215</v>
      </c>
      <c r="B2" s="45"/>
      <c r="C2" s="45"/>
      <c r="D2" s="45"/>
      <c r="E2" s="45"/>
      <c r="F2" s="45"/>
      <c r="G2" s="45"/>
      <c r="H2" s="45"/>
      <c r="I2" s="45"/>
    </row>
    <row r="3" spans="1:15" ht="34" customHeight="1" x14ac:dyDescent="0.2">
      <c r="A3" s="1" t="s">
        <v>3216</v>
      </c>
      <c r="B3" s="1" t="s">
        <v>3217</v>
      </c>
      <c r="C3" s="1" t="s">
        <v>3218</v>
      </c>
      <c r="D3" s="1" t="s">
        <v>1921</v>
      </c>
      <c r="E3" s="1" t="s">
        <v>3219</v>
      </c>
      <c r="F3" s="1" t="s">
        <v>3220</v>
      </c>
      <c r="G3" s="1" t="s">
        <v>3221</v>
      </c>
      <c r="H3" s="1" t="s">
        <v>3222</v>
      </c>
      <c r="I3" s="1" t="s">
        <v>1612</v>
      </c>
      <c r="J3" s="1" t="s">
        <v>3223</v>
      </c>
      <c r="K3" s="1" t="s">
        <v>3224</v>
      </c>
      <c r="L3" s="1" t="s">
        <v>3225</v>
      </c>
      <c r="M3" s="1" t="s">
        <v>3226</v>
      </c>
      <c r="N3" s="1" t="s">
        <v>3227</v>
      </c>
      <c r="O3" s="1" t="s">
        <v>3111</v>
      </c>
    </row>
    <row r="4" spans="1:15" ht="38" customHeight="1" x14ac:dyDescent="0.2">
      <c r="A4" s="2" t="s">
        <v>3228</v>
      </c>
      <c r="B4" s="2" t="s">
        <v>3229</v>
      </c>
      <c r="C4" s="2" t="s">
        <v>3230</v>
      </c>
      <c r="D4" s="2" t="s">
        <v>3231</v>
      </c>
      <c r="E4" s="6"/>
      <c r="F4" s="6"/>
      <c r="G4" s="6"/>
      <c r="H4" s="6"/>
      <c r="I4" s="6"/>
      <c r="J4" s="6"/>
      <c r="K4" s="6"/>
      <c r="L4" s="6"/>
      <c r="M4" s="5"/>
      <c r="N4" s="6"/>
      <c r="O4" s="6" t="s">
        <v>3232</v>
      </c>
    </row>
    <row r="5" spans="1:15" ht="38" customHeight="1" x14ac:dyDescent="0.2">
      <c r="A5" s="4" t="s">
        <v>3233</v>
      </c>
      <c r="B5" s="4" t="s">
        <v>3234</v>
      </c>
      <c r="C5" s="4" t="s">
        <v>3235</v>
      </c>
      <c r="D5" s="4" t="s">
        <v>3236</v>
      </c>
      <c r="E5" s="6"/>
      <c r="F5" s="6"/>
      <c r="G5" s="6"/>
      <c r="H5" s="6"/>
      <c r="I5" s="6"/>
      <c r="J5" s="6"/>
      <c r="K5" s="6"/>
      <c r="L5" s="6"/>
      <c r="M5" s="5"/>
      <c r="N5" s="6"/>
      <c r="O5" s="6" t="s">
        <v>3232</v>
      </c>
    </row>
    <row r="6" spans="1:15" ht="38" customHeight="1" x14ac:dyDescent="0.2">
      <c r="A6" s="2" t="s">
        <v>3237</v>
      </c>
      <c r="B6" s="2" t="s">
        <v>3238</v>
      </c>
      <c r="C6" s="2" t="s">
        <v>3239</v>
      </c>
      <c r="D6" s="2" t="s">
        <v>3240</v>
      </c>
      <c r="E6" s="6"/>
      <c r="F6" s="6"/>
      <c r="G6" s="6"/>
      <c r="H6" s="6"/>
      <c r="I6" s="6"/>
      <c r="J6" s="6"/>
      <c r="K6" s="6"/>
      <c r="L6" s="6"/>
      <c r="M6" s="5"/>
      <c r="N6" s="6"/>
      <c r="O6" s="6" t="s">
        <v>3232</v>
      </c>
    </row>
    <row r="7" spans="1:15" ht="38" customHeight="1" x14ac:dyDescent="0.2">
      <c r="A7" s="4" t="s">
        <v>3241</v>
      </c>
      <c r="B7" s="4" t="s">
        <v>3242</v>
      </c>
      <c r="C7" s="4" t="s">
        <v>3243</v>
      </c>
      <c r="D7" s="4" t="s">
        <v>653</v>
      </c>
      <c r="E7" s="6"/>
      <c r="F7" s="6"/>
      <c r="G7" s="6"/>
      <c r="H7" s="6"/>
      <c r="I7" s="6"/>
      <c r="J7" s="6"/>
      <c r="K7" s="6"/>
      <c r="L7" s="6"/>
      <c r="M7" s="5"/>
      <c r="N7" s="6"/>
      <c r="O7" s="6" t="s">
        <v>3232</v>
      </c>
    </row>
    <row r="8" spans="1:15" ht="38" customHeight="1" x14ac:dyDescent="0.2">
      <c r="A8" s="2" t="s">
        <v>3244</v>
      </c>
      <c r="B8" s="2" t="s">
        <v>3245</v>
      </c>
      <c r="C8" s="2" t="s">
        <v>3246</v>
      </c>
      <c r="D8" s="2" t="s">
        <v>664</v>
      </c>
      <c r="E8" s="6"/>
      <c r="F8" s="6"/>
      <c r="G8" s="6"/>
      <c r="H8" s="6"/>
      <c r="I8" s="6"/>
      <c r="J8" s="6"/>
      <c r="K8" s="6"/>
      <c r="L8" s="6"/>
      <c r="M8" s="5"/>
      <c r="N8" s="6"/>
      <c r="O8" s="6" t="s">
        <v>3232</v>
      </c>
    </row>
    <row r="9" spans="1:15" ht="38" customHeight="1" x14ac:dyDescent="0.2">
      <c r="A9" s="4" t="s">
        <v>3247</v>
      </c>
      <c r="B9" s="4" t="s">
        <v>3248</v>
      </c>
      <c r="C9" s="4" t="s">
        <v>3249</v>
      </c>
      <c r="D9" s="4" t="s">
        <v>708</v>
      </c>
      <c r="E9" s="6"/>
      <c r="F9" s="6"/>
      <c r="G9" s="6"/>
      <c r="H9" s="6"/>
      <c r="I9" s="6"/>
      <c r="J9" s="6"/>
      <c r="K9" s="6"/>
      <c r="L9" s="6"/>
      <c r="M9" s="5"/>
      <c r="N9" s="6"/>
      <c r="O9" s="6" t="s">
        <v>3232</v>
      </c>
    </row>
    <row r="10" spans="1:15" ht="38" customHeight="1" x14ac:dyDescent="0.2">
      <c r="A10" s="2" t="s">
        <v>3250</v>
      </c>
      <c r="B10" s="2" t="s">
        <v>3251</v>
      </c>
      <c r="C10" s="2" t="s">
        <v>3252</v>
      </c>
      <c r="D10" s="2" t="s">
        <v>721</v>
      </c>
      <c r="E10" s="6"/>
      <c r="F10" s="6"/>
      <c r="G10" s="6"/>
      <c r="H10" s="6"/>
      <c r="I10" s="6"/>
      <c r="J10" s="6"/>
      <c r="K10" s="6"/>
      <c r="L10" s="6"/>
      <c r="M10" s="5"/>
      <c r="N10" s="6"/>
      <c r="O10" s="6" t="s">
        <v>3232</v>
      </c>
    </row>
    <row r="11" spans="1:15" ht="38" customHeight="1" x14ac:dyDescent="0.2">
      <c r="A11" s="4" t="s">
        <v>3253</v>
      </c>
      <c r="B11" s="4" t="s">
        <v>3254</v>
      </c>
      <c r="C11" s="4" t="s">
        <v>3255</v>
      </c>
      <c r="D11" s="4" t="s">
        <v>740</v>
      </c>
      <c r="E11" s="6"/>
      <c r="F11" s="6"/>
      <c r="G11" s="6"/>
      <c r="H11" s="6"/>
      <c r="I11" s="6"/>
      <c r="J11" s="6"/>
      <c r="K11" s="6"/>
      <c r="L11" s="6"/>
      <c r="M11" s="5"/>
      <c r="N11" s="6"/>
      <c r="O11" s="6" t="s">
        <v>3232</v>
      </c>
    </row>
    <row r="12" spans="1:15" ht="38" customHeight="1" x14ac:dyDescent="0.2">
      <c r="A12" s="2" t="s">
        <v>3256</v>
      </c>
      <c r="B12" s="2" t="s">
        <v>3257</v>
      </c>
      <c r="C12" s="2" t="s">
        <v>3258</v>
      </c>
      <c r="D12" s="2" t="s">
        <v>3259</v>
      </c>
      <c r="E12" s="6"/>
      <c r="F12" s="6"/>
      <c r="G12" s="6"/>
      <c r="H12" s="6"/>
      <c r="I12" s="6"/>
      <c r="J12" s="6"/>
      <c r="K12" s="6"/>
      <c r="L12" s="6"/>
      <c r="M12" s="5"/>
      <c r="N12" s="6"/>
      <c r="O12" s="6" t="s">
        <v>3232</v>
      </c>
    </row>
    <row r="13" spans="1:15" ht="38" customHeight="1" x14ac:dyDescent="0.2">
      <c r="A13" s="4" t="s">
        <v>3260</v>
      </c>
      <c r="B13" s="4" t="s">
        <v>3261</v>
      </c>
      <c r="C13" s="4" t="s">
        <v>3262</v>
      </c>
      <c r="D13" s="4" t="s">
        <v>3263</v>
      </c>
      <c r="E13" s="6"/>
      <c r="F13" s="6"/>
      <c r="G13" s="6"/>
      <c r="H13" s="6"/>
      <c r="I13" s="6"/>
      <c r="J13" s="6"/>
      <c r="K13" s="6"/>
      <c r="L13" s="6"/>
      <c r="M13" s="5"/>
      <c r="N13" s="6"/>
      <c r="O13" s="6" t="s">
        <v>3232</v>
      </c>
    </row>
    <row r="14" spans="1:15" ht="38" customHeight="1" x14ac:dyDescent="0.2">
      <c r="A14" s="2" t="s">
        <v>3264</v>
      </c>
      <c r="B14" s="2" t="s">
        <v>3265</v>
      </c>
      <c r="C14" s="2" t="s">
        <v>3266</v>
      </c>
      <c r="D14" s="2" t="s">
        <v>3267</v>
      </c>
      <c r="E14" s="6"/>
      <c r="F14" s="6"/>
      <c r="G14" s="6"/>
      <c r="H14" s="6"/>
      <c r="I14" s="6"/>
      <c r="J14" s="6"/>
      <c r="K14" s="6"/>
      <c r="L14" s="6"/>
      <c r="M14" s="5"/>
      <c r="N14" s="6"/>
      <c r="O14" s="6" t="s">
        <v>3232</v>
      </c>
    </row>
    <row r="15" spans="1:15" ht="38" customHeight="1" x14ac:dyDescent="0.2">
      <c r="A15" s="4" t="s">
        <v>3268</v>
      </c>
      <c r="B15" s="4" t="s">
        <v>3269</v>
      </c>
      <c r="C15" s="4" t="s">
        <v>3270</v>
      </c>
      <c r="D15" s="4" t="s">
        <v>3271</v>
      </c>
      <c r="E15" s="6"/>
      <c r="F15" s="6"/>
      <c r="G15" s="6"/>
      <c r="H15" s="6"/>
      <c r="I15" s="6"/>
      <c r="J15" s="6"/>
      <c r="K15" s="6"/>
      <c r="L15" s="6"/>
      <c r="M15" s="5"/>
      <c r="N15" s="6"/>
      <c r="O15" s="6" t="s">
        <v>3232</v>
      </c>
    </row>
  </sheetData>
  <autoFilter ref="A3:O15" xr:uid="{00000000-0009-0000-0000-00000D000000}"/>
  <mergeCells count="2">
    <mergeCell ref="A2:I2"/>
    <mergeCell ref="A1:G1"/>
  </mergeCells>
  <phoneticPr fontId="12"/>
  <dataValidations count="2">
    <dataValidation type="list" allowBlank="1" showErrorMessage="1" errorTitle="入力値を確認" error="選択肢から入力してください。" sqref="O4:O15" xr:uid="{00000000-0002-0000-0D00-000000000000}">
      <formula1>"未決定,検討中,承認,却下,廃止,再審査"</formula1>
    </dataValidation>
    <dataValidation type="date" allowBlank="1" showErrorMessage="1" error="日付形式で入力してください。" sqref="M4:M15" xr:uid="{00000000-0002-0000-0D00-000001000000}">
      <formula1>DATE(2000,1,1)</formula1>
      <formula2>DATE(2100,12,31)</formula2>
    </dataValidation>
  </dataValidations>
  <pageMargins left="0.25" right="0.25" top="0.4" bottom="0.4" header="0.5" footer="0.5"/>
  <pageSetup paperSize="8" fitToHeight="0" orientation="landscape"/>
  <headerFooter>
    <oddFooter>&amp;CAI自社事業PJ v1.0 | &amp;A&amp;R&amp;P /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3877F"/>
    <outlinePr summaryRight="0"/>
    <pageSetUpPr fitToPage="1"/>
  </sheetPr>
  <dimension ref="A1:I54"/>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3" customWidth="1"/>
    <col min="2" max="2" width="16" customWidth="1"/>
    <col min="3" max="3" width="39" customWidth="1"/>
    <col min="4" max="4" width="105" customWidth="1"/>
    <col min="5" max="5" width="14" customWidth="1"/>
    <col min="6" max="6" width="61" customWidth="1"/>
    <col min="7" max="7" width="31" customWidth="1"/>
    <col min="8" max="8" width="30" customWidth="1"/>
    <col min="9" max="9" width="72" customWidth="1"/>
  </cols>
  <sheetData>
    <row r="1" spans="1:9" ht="34" customHeight="1" x14ac:dyDescent="0.55000000000000004">
      <c r="A1" s="44" t="s">
        <v>3272</v>
      </c>
      <c r="B1" s="45"/>
      <c r="C1" s="45"/>
      <c r="D1" s="45"/>
      <c r="E1" s="45"/>
      <c r="F1" s="45"/>
      <c r="G1" s="45"/>
    </row>
    <row r="2" spans="1:9" ht="43" customHeight="1" x14ac:dyDescent="0.2">
      <c r="A2" s="47" t="s">
        <v>3273</v>
      </c>
      <c r="B2" s="45"/>
      <c r="C2" s="45"/>
      <c r="D2" s="45"/>
      <c r="E2" s="45"/>
      <c r="F2" s="45"/>
      <c r="G2" s="45"/>
      <c r="H2" s="45"/>
      <c r="I2" s="45"/>
    </row>
    <row r="3" spans="1:9" ht="34" customHeight="1" x14ac:dyDescent="0.2">
      <c r="A3" s="1" t="s">
        <v>3274</v>
      </c>
      <c r="B3" s="1" t="s">
        <v>3127</v>
      </c>
      <c r="C3" s="1" t="s">
        <v>3275</v>
      </c>
      <c r="D3" s="1" t="s">
        <v>3276</v>
      </c>
      <c r="E3" s="1" t="s">
        <v>3277</v>
      </c>
      <c r="F3" s="1" t="s">
        <v>3114</v>
      </c>
      <c r="G3" s="1" t="s">
        <v>3278</v>
      </c>
      <c r="H3" s="1" t="s">
        <v>264</v>
      </c>
      <c r="I3" s="1" t="s">
        <v>3279</v>
      </c>
    </row>
    <row r="4" spans="1:9" ht="38" customHeight="1" x14ac:dyDescent="0.2">
      <c r="A4" s="2" t="s">
        <v>3280</v>
      </c>
      <c r="B4" s="2" t="s">
        <v>274</v>
      </c>
      <c r="C4" s="2" t="s">
        <v>3281</v>
      </c>
      <c r="D4" s="2" t="s">
        <v>3282</v>
      </c>
      <c r="E4" s="2" t="s">
        <v>189</v>
      </c>
      <c r="F4" s="2" t="s">
        <v>3283</v>
      </c>
      <c r="G4" s="2" t="s">
        <v>3284</v>
      </c>
      <c r="H4" s="2" t="s">
        <v>868</v>
      </c>
      <c r="I4" s="2" t="s">
        <v>869</v>
      </c>
    </row>
    <row r="5" spans="1:9" ht="38" customHeight="1" x14ac:dyDescent="0.2">
      <c r="A5" s="4" t="s">
        <v>3285</v>
      </c>
      <c r="B5" s="4" t="s">
        <v>274</v>
      </c>
      <c r="C5" s="4" t="s">
        <v>3286</v>
      </c>
      <c r="D5" s="4" t="s">
        <v>3287</v>
      </c>
      <c r="E5" s="4" t="s">
        <v>714</v>
      </c>
      <c r="F5" s="4" t="s">
        <v>3288</v>
      </c>
      <c r="G5" s="4" t="s">
        <v>3289</v>
      </c>
      <c r="H5" s="4" t="s">
        <v>879</v>
      </c>
      <c r="I5" s="4" t="s">
        <v>880</v>
      </c>
    </row>
    <row r="6" spans="1:9" ht="50" customHeight="1" x14ac:dyDescent="0.2">
      <c r="A6" s="2" t="s">
        <v>3290</v>
      </c>
      <c r="B6" s="2" t="s">
        <v>274</v>
      </c>
      <c r="C6" s="2" t="s">
        <v>3291</v>
      </c>
      <c r="D6" s="2" t="s">
        <v>3292</v>
      </c>
      <c r="E6" s="2" t="s">
        <v>714</v>
      </c>
      <c r="F6" s="2" t="s">
        <v>3293</v>
      </c>
      <c r="G6" s="2" t="s">
        <v>3294</v>
      </c>
      <c r="H6" s="2" t="s">
        <v>969</v>
      </c>
      <c r="I6" s="2" t="s">
        <v>970</v>
      </c>
    </row>
    <row r="7" spans="1:9" ht="50" customHeight="1" x14ac:dyDescent="0.2">
      <c r="A7" s="4" t="s">
        <v>3295</v>
      </c>
      <c r="B7" s="4" t="s">
        <v>3296</v>
      </c>
      <c r="C7" s="4" t="s">
        <v>3297</v>
      </c>
      <c r="D7" s="4" t="s">
        <v>3298</v>
      </c>
      <c r="E7" s="4" t="s">
        <v>1271</v>
      </c>
      <c r="F7" s="4" t="s">
        <v>3299</v>
      </c>
      <c r="G7" s="4" t="s">
        <v>3300</v>
      </c>
      <c r="H7" s="4" t="s">
        <v>762</v>
      </c>
      <c r="I7" s="4" t="s">
        <v>763</v>
      </c>
    </row>
    <row r="8" spans="1:9" ht="50" customHeight="1" x14ac:dyDescent="0.2">
      <c r="A8" s="2" t="s">
        <v>3301</v>
      </c>
      <c r="B8" s="2" t="s">
        <v>274</v>
      </c>
      <c r="C8" s="2" t="s">
        <v>3302</v>
      </c>
      <c r="D8" s="2" t="s">
        <v>3303</v>
      </c>
      <c r="E8" s="2" t="s">
        <v>189</v>
      </c>
      <c r="F8" s="2" t="s">
        <v>3304</v>
      </c>
      <c r="G8" s="2" t="s">
        <v>3305</v>
      </c>
      <c r="H8" s="2" t="s">
        <v>796</v>
      </c>
      <c r="I8" s="2" t="s">
        <v>797</v>
      </c>
    </row>
    <row r="9" spans="1:9" ht="38" customHeight="1" x14ac:dyDescent="0.2">
      <c r="A9" s="4" t="s">
        <v>3306</v>
      </c>
      <c r="B9" s="4" t="s">
        <v>274</v>
      </c>
      <c r="C9" s="4" t="s">
        <v>3307</v>
      </c>
      <c r="D9" s="4" t="s">
        <v>3308</v>
      </c>
      <c r="E9" s="4" t="s">
        <v>197</v>
      </c>
      <c r="F9" s="4" t="s">
        <v>3309</v>
      </c>
      <c r="G9" s="4" t="s">
        <v>3310</v>
      </c>
      <c r="H9" s="4" t="s">
        <v>879</v>
      </c>
      <c r="I9" s="4" t="s">
        <v>880</v>
      </c>
    </row>
    <row r="10" spans="1:9" ht="38" customHeight="1" x14ac:dyDescent="0.2">
      <c r="A10" s="2" t="s">
        <v>3311</v>
      </c>
      <c r="B10" s="2" t="s">
        <v>274</v>
      </c>
      <c r="C10" s="2" t="s">
        <v>3312</v>
      </c>
      <c r="D10" s="2" t="s">
        <v>3313</v>
      </c>
      <c r="E10" s="2" t="s">
        <v>189</v>
      </c>
      <c r="F10" s="2" t="s">
        <v>3314</v>
      </c>
      <c r="G10" s="2" t="s">
        <v>3315</v>
      </c>
      <c r="H10" s="2" t="s">
        <v>3316</v>
      </c>
      <c r="I10" s="2" t="s">
        <v>775</v>
      </c>
    </row>
    <row r="11" spans="1:9" ht="38" customHeight="1" x14ac:dyDescent="0.2">
      <c r="A11" s="4" t="s">
        <v>3317</v>
      </c>
      <c r="B11" s="4" t="s">
        <v>274</v>
      </c>
      <c r="C11" s="4" t="s">
        <v>3318</v>
      </c>
      <c r="D11" s="4" t="s">
        <v>3319</v>
      </c>
      <c r="E11" s="4" t="s">
        <v>714</v>
      </c>
      <c r="F11" s="4" t="s">
        <v>3320</v>
      </c>
      <c r="G11" s="4" t="s">
        <v>3321</v>
      </c>
      <c r="H11" s="4" t="s">
        <v>3322</v>
      </c>
      <c r="I11" s="4" t="s">
        <v>775</v>
      </c>
    </row>
    <row r="12" spans="1:9" ht="38" customHeight="1" x14ac:dyDescent="0.2">
      <c r="A12" s="2" t="s">
        <v>3323</v>
      </c>
      <c r="B12" s="2" t="s">
        <v>274</v>
      </c>
      <c r="C12" s="2" t="s">
        <v>3324</v>
      </c>
      <c r="D12" s="2" t="s">
        <v>3325</v>
      </c>
      <c r="E12" s="2" t="s">
        <v>714</v>
      </c>
      <c r="F12" s="2" t="s">
        <v>3326</v>
      </c>
      <c r="G12" s="2" t="s">
        <v>3327</v>
      </c>
      <c r="H12" s="2" t="s">
        <v>3328</v>
      </c>
      <c r="I12" s="2" t="s">
        <v>775</v>
      </c>
    </row>
    <row r="13" spans="1:9" ht="38" customHeight="1" x14ac:dyDescent="0.2">
      <c r="A13" s="4" t="s">
        <v>3329</v>
      </c>
      <c r="B13" s="4" t="s">
        <v>274</v>
      </c>
      <c r="C13" s="4" t="s">
        <v>3330</v>
      </c>
      <c r="D13" s="4" t="s">
        <v>3331</v>
      </c>
      <c r="E13" s="4" t="s">
        <v>1830</v>
      </c>
      <c r="F13" s="4" t="s">
        <v>3332</v>
      </c>
      <c r="G13" s="4" t="s">
        <v>3333</v>
      </c>
      <c r="H13" s="4" t="s">
        <v>169</v>
      </c>
      <c r="I13" s="4"/>
    </row>
    <row r="14" spans="1:9" ht="38" customHeight="1" x14ac:dyDescent="0.2">
      <c r="A14" s="2" t="s">
        <v>3334</v>
      </c>
      <c r="B14" s="2" t="s">
        <v>3296</v>
      </c>
      <c r="C14" s="2" t="s">
        <v>3335</v>
      </c>
      <c r="D14" s="2" t="s">
        <v>3336</v>
      </c>
      <c r="E14" s="2" t="s">
        <v>1091</v>
      </c>
      <c r="F14" s="2" t="s">
        <v>3337</v>
      </c>
      <c r="G14" s="2" t="s">
        <v>1035</v>
      </c>
      <c r="H14" s="2" t="s">
        <v>868</v>
      </c>
      <c r="I14" s="2" t="s">
        <v>869</v>
      </c>
    </row>
    <row r="15" spans="1:9" ht="38" customHeight="1" x14ac:dyDescent="0.2">
      <c r="A15" s="4" t="s">
        <v>3338</v>
      </c>
      <c r="B15" s="4" t="s">
        <v>274</v>
      </c>
      <c r="C15" s="4" t="s">
        <v>3339</v>
      </c>
      <c r="D15" s="4" t="s">
        <v>3340</v>
      </c>
      <c r="E15" s="4" t="s">
        <v>516</v>
      </c>
      <c r="F15" s="4" t="s">
        <v>3341</v>
      </c>
      <c r="G15" s="4" t="s">
        <v>3342</v>
      </c>
      <c r="H15" s="4" t="s">
        <v>750</v>
      </c>
      <c r="I15" s="4" t="s">
        <v>751</v>
      </c>
    </row>
    <row r="16" spans="1:9" ht="38" customHeight="1" x14ac:dyDescent="0.2">
      <c r="A16" s="2" t="s">
        <v>3343</v>
      </c>
      <c r="B16" s="2" t="s">
        <v>3296</v>
      </c>
      <c r="C16" s="2" t="s">
        <v>3344</v>
      </c>
      <c r="D16" s="2" t="s">
        <v>3345</v>
      </c>
      <c r="E16" s="2" t="s">
        <v>189</v>
      </c>
      <c r="F16" s="2" t="s">
        <v>3346</v>
      </c>
      <c r="G16" s="2" t="s">
        <v>900</v>
      </c>
      <c r="H16" s="2" t="s">
        <v>909</v>
      </c>
      <c r="I16" s="2" t="s">
        <v>910</v>
      </c>
    </row>
    <row r="17" spans="1:9" ht="38" customHeight="1" x14ac:dyDescent="0.2">
      <c r="A17" s="4" t="s">
        <v>3347</v>
      </c>
      <c r="B17" s="4" t="s">
        <v>274</v>
      </c>
      <c r="C17" s="4" t="s">
        <v>3348</v>
      </c>
      <c r="D17" s="4" t="s">
        <v>3349</v>
      </c>
      <c r="E17" s="4" t="s">
        <v>1271</v>
      </c>
      <c r="F17" s="4" t="s">
        <v>3350</v>
      </c>
      <c r="G17" s="4" t="s">
        <v>3351</v>
      </c>
      <c r="H17" s="4" t="s">
        <v>808</v>
      </c>
      <c r="I17" s="4" t="s">
        <v>809</v>
      </c>
    </row>
    <row r="18" spans="1:9" ht="38" customHeight="1" x14ac:dyDescent="0.2">
      <c r="A18" s="2" t="s">
        <v>3352</v>
      </c>
      <c r="B18" s="2" t="s">
        <v>274</v>
      </c>
      <c r="C18" s="2" t="s">
        <v>3353</v>
      </c>
      <c r="D18" s="2" t="s">
        <v>3354</v>
      </c>
      <c r="E18" s="2" t="s">
        <v>197</v>
      </c>
      <c r="F18" s="2" t="s">
        <v>3355</v>
      </c>
      <c r="G18" s="2" t="s">
        <v>3356</v>
      </c>
      <c r="H18" s="2" t="s">
        <v>328</v>
      </c>
      <c r="I18" s="2" t="s">
        <v>329</v>
      </c>
    </row>
    <row r="19" spans="1:9" ht="38" customHeight="1" x14ac:dyDescent="0.2">
      <c r="A19" s="4" t="s">
        <v>3357</v>
      </c>
      <c r="B19" s="4" t="s">
        <v>3296</v>
      </c>
      <c r="C19" s="4" t="s">
        <v>3358</v>
      </c>
      <c r="D19" s="4" t="s">
        <v>3359</v>
      </c>
      <c r="E19" s="4" t="s">
        <v>1867</v>
      </c>
      <c r="F19" s="4" t="s">
        <v>3360</v>
      </c>
      <c r="G19" s="4" t="s">
        <v>3361</v>
      </c>
      <c r="H19" s="4" t="s">
        <v>633</v>
      </c>
      <c r="I19" s="4" t="s">
        <v>634</v>
      </c>
    </row>
    <row r="20" spans="1:9" ht="30" customHeight="1" x14ac:dyDescent="0.2"/>
    <row r="21" spans="1:9" ht="30" customHeight="1" x14ac:dyDescent="0.2"/>
    <row r="22" spans="1:9" ht="30" customHeight="1" x14ac:dyDescent="0.2"/>
    <row r="23" spans="1:9" ht="64" customHeight="1" x14ac:dyDescent="0.2">
      <c r="A23" s="46" t="s">
        <v>3362</v>
      </c>
      <c r="B23" s="45"/>
      <c r="C23" s="45"/>
      <c r="D23" s="45"/>
      <c r="E23" s="45"/>
      <c r="F23" s="45"/>
    </row>
    <row r="24" spans="1:9" ht="32" customHeight="1" x14ac:dyDescent="0.2">
      <c r="A24" s="1" t="s">
        <v>3363</v>
      </c>
      <c r="B24" s="1" t="s">
        <v>3364</v>
      </c>
      <c r="C24" s="1" t="s">
        <v>3365</v>
      </c>
      <c r="D24" s="1" t="s">
        <v>3366</v>
      </c>
      <c r="E24" s="1" t="s">
        <v>3367</v>
      </c>
      <c r="F24" s="1" t="s">
        <v>3368</v>
      </c>
    </row>
    <row r="25" spans="1:9" ht="38" customHeight="1" x14ac:dyDescent="0.2">
      <c r="A25" s="2" t="s">
        <v>3369</v>
      </c>
      <c r="B25" s="2" t="s">
        <v>3370</v>
      </c>
      <c r="C25" s="2" t="s">
        <v>3371</v>
      </c>
      <c r="D25" s="2" t="s">
        <v>3372</v>
      </c>
      <c r="E25" s="2" t="s">
        <v>3373</v>
      </c>
      <c r="F25" s="2" t="s">
        <v>3374</v>
      </c>
      <c r="G25" s="2"/>
      <c r="H25" s="2"/>
      <c r="I25" s="2"/>
    </row>
    <row r="26" spans="1:9" ht="50" customHeight="1" x14ac:dyDescent="0.2">
      <c r="A26" s="4" t="s">
        <v>3375</v>
      </c>
      <c r="B26" s="4" t="s">
        <v>3376</v>
      </c>
      <c r="C26" s="4" t="s">
        <v>3377</v>
      </c>
      <c r="D26" s="4" t="s">
        <v>3378</v>
      </c>
      <c r="E26" s="4" t="s">
        <v>3379</v>
      </c>
      <c r="F26" s="4" t="s">
        <v>3380</v>
      </c>
      <c r="G26" s="4"/>
      <c r="H26" s="4"/>
      <c r="I26" s="4"/>
    </row>
    <row r="27" spans="1:9" ht="38" customHeight="1" x14ac:dyDescent="0.2">
      <c r="A27" s="2" t="s">
        <v>3381</v>
      </c>
      <c r="B27" s="2" t="s">
        <v>3382</v>
      </c>
      <c r="C27" s="2" t="s">
        <v>3383</v>
      </c>
      <c r="D27" s="2" t="s">
        <v>3384</v>
      </c>
      <c r="E27" s="2" t="s">
        <v>3385</v>
      </c>
      <c r="F27" s="2" t="s">
        <v>3386</v>
      </c>
      <c r="G27" s="2"/>
      <c r="H27" s="2"/>
      <c r="I27" s="2"/>
    </row>
    <row r="28" spans="1:9" ht="50" customHeight="1" x14ac:dyDescent="0.2">
      <c r="A28" s="4" t="s">
        <v>3387</v>
      </c>
      <c r="B28" s="4" t="s">
        <v>3388</v>
      </c>
      <c r="C28" s="4" t="s">
        <v>3389</v>
      </c>
      <c r="D28" s="4" t="s">
        <v>3390</v>
      </c>
      <c r="E28" s="4" t="s">
        <v>3391</v>
      </c>
      <c r="F28" s="4" t="s">
        <v>3392</v>
      </c>
      <c r="G28" s="4"/>
      <c r="H28" s="4"/>
      <c r="I28" s="4"/>
    </row>
    <row r="29" spans="1:9" ht="50" customHeight="1" x14ac:dyDescent="0.2">
      <c r="A29" s="2" t="s">
        <v>3393</v>
      </c>
      <c r="B29" s="2" t="s">
        <v>3394</v>
      </c>
      <c r="C29" s="2" t="s">
        <v>3395</v>
      </c>
      <c r="D29" s="2" t="s">
        <v>3396</v>
      </c>
      <c r="E29" s="2" t="s">
        <v>3397</v>
      </c>
      <c r="F29" s="2" t="s">
        <v>3398</v>
      </c>
      <c r="G29" s="2"/>
      <c r="H29" s="2"/>
      <c r="I29" s="2"/>
    </row>
    <row r="30" spans="1:9" ht="50" customHeight="1" x14ac:dyDescent="0.2">
      <c r="A30" s="4" t="s">
        <v>3399</v>
      </c>
      <c r="B30" s="4" t="s">
        <v>3400</v>
      </c>
      <c r="C30" s="4" t="s">
        <v>3401</v>
      </c>
      <c r="D30" s="4" t="s">
        <v>3402</v>
      </c>
      <c r="E30" s="4" t="s">
        <v>3403</v>
      </c>
      <c r="F30" s="4" t="s">
        <v>3404</v>
      </c>
      <c r="G30" s="4"/>
      <c r="H30" s="4"/>
      <c r="I30" s="4"/>
    </row>
    <row r="31" spans="1:9" ht="38" customHeight="1" x14ac:dyDescent="0.2">
      <c r="A31" s="2" t="s">
        <v>3405</v>
      </c>
      <c r="B31" s="2" t="s">
        <v>3406</v>
      </c>
      <c r="C31" s="2" t="s">
        <v>3407</v>
      </c>
      <c r="D31" s="2" t="s">
        <v>3408</v>
      </c>
      <c r="E31" s="2" t="s">
        <v>3409</v>
      </c>
      <c r="F31" s="2" t="s">
        <v>3410</v>
      </c>
      <c r="G31" s="2"/>
      <c r="H31" s="2"/>
      <c r="I31" s="2"/>
    </row>
    <row r="32" spans="1:9" ht="50" customHeight="1" x14ac:dyDescent="0.2">
      <c r="A32" s="4" t="s">
        <v>3411</v>
      </c>
      <c r="B32" s="4" t="s">
        <v>3412</v>
      </c>
      <c r="C32" s="4" t="s">
        <v>3413</v>
      </c>
      <c r="D32" s="4" t="s">
        <v>3414</v>
      </c>
      <c r="E32" s="4" t="s">
        <v>3415</v>
      </c>
      <c r="F32" s="4" t="s">
        <v>3416</v>
      </c>
      <c r="G32" s="4"/>
      <c r="H32" s="4"/>
      <c r="I32" s="4"/>
    </row>
    <row r="33" spans="1:9" ht="30" customHeight="1" x14ac:dyDescent="0.2"/>
    <row r="34" spans="1:9" ht="30" customHeight="1" x14ac:dyDescent="0.2"/>
    <row r="35" spans="1:9" ht="64" customHeight="1" x14ac:dyDescent="0.2">
      <c r="A35" s="46" t="s">
        <v>3417</v>
      </c>
      <c r="B35" s="45"/>
      <c r="C35" s="45"/>
      <c r="D35" s="45"/>
      <c r="E35" s="45"/>
      <c r="F35" s="45"/>
    </row>
    <row r="36" spans="1:9" ht="36" customHeight="1" x14ac:dyDescent="0.2">
      <c r="A36" s="1" t="s">
        <v>3418</v>
      </c>
      <c r="B36" s="1" t="s">
        <v>3419</v>
      </c>
      <c r="C36" s="1" t="s">
        <v>1591</v>
      </c>
      <c r="D36" s="1" t="s">
        <v>3420</v>
      </c>
      <c r="E36" s="1" t="s">
        <v>3421</v>
      </c>
      <c r="F36" s="1" t="s">
        <v>3422</v>
      </c>
    </row>
    <row r="37" spans="1:9" ht="38" customHeight="1" x14ac:dyDescent="0.2">
      <c r="A37" s="2" t="s">
        <v>3423</v>
      </c>
      <c r="B37" s="6"/>
      <c r="C37" s="2" t="s">
        <v>3424</v>
      </c>
      <c r="D37" s="6"/>
      <c r="E37" s="6"/>
      <c r="F37" s="5"/>
      <c r="G37" s="2"/>
      <c r="H37" s="2"/>
      <c r="I37" s="2"/>
    </row>
    <row r="38" spans="1:9" ht="38" customHeight="1" x14ac:dyDescent="0.2">
      <c r="A38" s="4" t="s">
        <v>3425</v>
      </c>
      <c r="B38" s="6"/>
      <c r="C38" s="4" t="s">
        <v>3426</v>
      </c>
      <c r="D38" s="6"/>
      <c r="E38" s="6"/>
      <c r="F38" s="5"/>
      <c r="G38" s="4"/>
      <c r="H38" s="4"/>
      <c r="I38" s="4"/>
    </row>
    <row r="39" spans="1:9" ht="38" customHeight="1" x14ac:dyDescent="0.2">
      <c r="A39" s="2" t="s">
        <v>3427</v>
      </c>
      <c r="B39" s="6"/>
      <c r="C39" s="2" t="s">
        <v>3428</v>
      </c>
      <c r="D39" s="6"/>
      <c r="E39" s="6"/>
      <c r="F39" s="5"/>
      <c r="G39" s="2"/>
      <c r="H39" s="2"/>
      <c r="I39" s="2"/>
    </row>
    <row r="40" spans="1:9" ht="50" customHeight="1" x14ac:dyDescent="0.2">
      <c r="A40" s="4" t="s">
        <v>3429</v>
      </c>
      <c r="B40" s="6"/>
      <c r="C40" s="4" t="s">
        <v>3430</v>
      </c>
      <c r="D40" s="6"/>
      <c r="E40" s="6"/>
      <c r="F40" s="5"/>
      <c r="G40" s="4"/>
      <c r="H40" s="4"/>
      <c r="I40" s="4"/>
    </row>
    <row r="41" spans="1:9" ht="38" customHeight="1" x14ac:dyDescent="0.2">
      <c r="A41" s="2" t="s">
        <v>3431</v>
      </c>
      <c r="B41" s="6"/>
      <c r="C41" s="2" t="s">
        <v>3432</v>
      </c>
      <c r="D41" s="6"/>
      <c r="E41" s="6"/>
      <c r="F41" s="5"/>
      <c r="G41" s="2"/>
      <c r="H41" s="2"/>
      <c r="I41" s="2"/>
    </row>
    <row r="42" spans="1:9" ht="38" customHeight="1" x14ac:dyDescent="0.2">
      <c r="A42" s="4" t="s">
        <v>3433</v>
      </c>
      <c r="B42" s="6"/>
      <c r="C42" s="4" t="s">
        <v>3434</v>
      </c>
      <c r="D42" s="6"/>
      <c r="E42" s="6"/>
      <c r="F42" s="5"/>
      <c r="G42" s="4"/>
      <c r="H42" s="4"/>
      <c r="I42" s="4"/>
    </row>
    <row r="43" spans="1:9" ht="38" customHeight="1" x14ac:dyDescent="0.2">
      <c r="A43" s="2" t="s">
        <v>3435</v>
      </c>
      <c r="B43" s="6"/>
      <c r="C43" s="2" t="s">
        <v>3436</v>
      </c>
      <c r="D43" s="6"/>
      <c r="E43" s="6"/>
      <c r="F43" s="5"/>
      <c r="G43" s="2"/>
      <c r="H43" s="2"/>
      <c r="I43" s="2"/>
    </row>
    <row r="44" spans="1:9" ht="38" customHeight="1" x14ac:dyDescent="0.2">
      <c r="A44" s="4" t="s">
        <v>3437</v>
      </c>
      <c r="B44" s="6"/>
      <c r="C44" s="4" t="s">
        <v>3438</v>
      </c>
      <c r="D44" s="6"/>
      <c r="E44" s="6"/>
      <c r="F44" s="5"/>
      <c r="G44" s="4"/>
      <c r="H44" s="4"/>
      <c r="I44" s="4"/>
    </row>
    <row r="45" spans="1:9" ht="30" customHeight="1" x14ac:dyDescent="0.2"/>
    <row r="46" spans="1:9" ht="30" customHeight="1" x14ac:dyDescent="0.2"/>
    <row r="47" spans="1:9" ht="68" customHeight="1" x14ac:dyDescent="0.2">
      <c r="A47" s="1" t="s">
        <v>3439</v>
      </c>
      <c r="B47" s="1" t="s">
        <v>3440</v>
      </c>
      <c r="C47" s="1" t="s">
        <v>3441</v>
      </c>
      <c r="D47" s="1" t="s">
        <v>3442</v>
      </c>
      <c r="E47" s="1" t="s">
        <v>3277</v>
      </c>
      <c r="F47" s="1" t="s">
        <v>3443</v>
      </c>
      <c r="G47" s="1" t="s">
        <v>3278</v>
      </c>
      <c r="H47" s="1" t="s">
        <v>160</v>
      </c>
      <c r="I47" s="1" t="s">
        <v>3444</v>
      </c>
    </row>
    <row r="48" spans="1:9" ht="68" customHeight="1" x14ac:dyDescent="0.2">
      <c r="A48" s="28" t="s">
        <v>3445</v>
      </c>
      <c r="B48" s="28" t="s">
        <v>3446</v>
      </c>
      <c r="C48" s="28" t="s">
        <v>3447</v>
      </c>
      <c r="D48" s="28" t="s">
        <v>3448</v>
      </c>
      <c r="E48" s="28" t="s">
        <v>189</v>
      </c>
      <c r="F48" s="28" t="s">
        <v>3449</v>
      </c>
      <c r="G48" s="28" t="s">
        <v>3450</v>
      </c>
      <c r="H48" s="28" t="s">
        <v>3451</v>
      </c>
      <c r="I48" s="28" t="s">
        <v>3452</v>
      </c>
    </row>
    <row r="49" spans="1:9" ht="68" customHeight="1" x14ac:dyDescent="0.2">
      <c r="A49" s="28" t="s">
        <v>3453</v>
      </c>
      <c r="B49" s="28" t="s">
        <v>3446</v>
      </c>
      <c r="C49" s="28" t="s">
        <v>3454</v>
      </c>
      <c r="D49" s="28" t="s">
        <v>3455</v>
      </c>
      <c r="E49" s="28" t="s">
        <v>714</v>
      </c>
      <c r="F49" s="28" t="s">
        <v>3456</v>
      </c>
      <c r="G49" s="28" t="s">
        <v>3457</v>
      </c>
      <c r="H49" s="28" t="s">
        <v>3458</v>
      </c>
      <c r="I49" s="28" t="s">
        <v>3452</v>
      </c>
    </row>
    <row r="50" spans="1:9" ht="68" customHeight="1" x14ac:dyDescent="0.2">
      <c r="A50" s="28" t="s">
        <v>3459</v>
      </c>
      <c r="B50" s="28" t="s">
        <v>3446</v>
      </c>
      <c r="C50" s="28" t="s">
        <v>3460</v>
      </c>
      <c r="D50" s="28" t="s">
        <v>3461</v>
      </c>
      <c r="E50" s="28" t="s">
        <v>197</v>
      </c>
      <c r="F50" s="28" t="s">
        <v>3462</v>
      </c>
      <c r="G50" s="28" t="s">
        <v>3356</v>
      </c>
      <c r="H50" s="28" t="s">
        <v>3458</v>
      </c>
      <c r="I50" s="28" t="s">
        <v>3452</v>
      </c>
    </row>
    <row r="51" spans="1:9" ht="68" customHeight="1" x14ac:dyDescent="0.2">
      <c r="A51" s="28" t="s">
        <v>3463</v>
      </c>
      <c r="B51" s="28" t="s">
        <v>3464</v>
      </c>
      <c r="C51" s="28" t="s">
        <v>3465</v>
      </c>
      <c r="D51" s="28" t="s">
        <v>3466</v>
      </c>
      <c r="E51" s="28" t="s">
        <v>714</v>
      </c>
      <c r="F51" s="28" t="s">
        <v>3467</v>
      </c>
      <c r="G51" s="28" t="s">
        <v>3468</v>
      </c>
      <c r="H51" s="28" t="s">
        <v>3458</v>
      </c>
      <c r="I51" s="28" t="s">
        <v>3452</v>
      </c>
    </row>
    <row r="52" spans="1:9" ht="68" customHeight="1" x14ac:dyDescent="0.2">
      <c r="A52" s="28" t="s">
        <v>3469</v>
      </c>
      <c r="B52" s="28" t="s">
        <v>3470</v>
      </c>
      <c r="C52" s="28" t="s">
        <v>3471</v>
      </c>
      <c r="D52" s="28" t="s">
        <v>3472</v>
      </c>
      <c r="E52" s="28" t="s">
        <v>1830</v>
      </c>
      <c r="F52" s="28" t="s">
        <v>3473</v>
      </c>
      <c r="G52" s="28" t="s">
        <v>3474</v>
      </c>
      <c r="H52" s="28" t="s">
        <v>3475</v>
      </c>
      <c r="I52" s="28" t="s">
        <v>3452</v>
      </c>
    </row>
    <row r="53" spans="1:9" ht="68" customHeight="1" x14ac:dyDescent="0.2">
      <c r="A53" s="28" t="s">
        <v>3476</v>
      </c>
      <c r="B53" s="28" t="s">
        <v>3477</v>
      </c>
      <c r="C53" s="28" t="s">
        <v>3478</v>
      </c>
      <c r="D53" s="28" t="s">
        <v>3479</v>
      </c>
      <c r="E53" s="28" t="s">
        <v>1091</v>
      </c>
      <c r="F53" s="28" t="s">
        <v>3480</v>
      </c>
      <c r="G53" s="28" t="s">
        <v>3481</v>
      </c>
      <c r="H53" s="28" t="s">
        <v>3482</v>
      </c>
      <c r="I53" s="28" t="s">
        <v>3452</v>
      </c>
    </row>
    <row r="54" spans="1:9" ht="68" customHeight="1" x14ac:dyDescent="0.2">
      <c r="A54" s="28" t="s">
        <v>3483</v>
      </c>
      <c r="B54" s="28" t="s">
        <v>3484</v>
      </c>
      <c r="C54" s="28" t="s">
        <v>3485</v>
      </c>
      <c r="D54" s="28" t="s">
        <v>3486</v>
      </c>
      <c r="E54" s="28" t="s">
        <v>516</v>
      </c>
      <c r="F54" s="28" t="s">
        <v>3487</v>
      </c>
      <c r="G54" s="28" t="s">
        <v>3488</v>
      </c>
      <c r="H54" s="28" t="s">
        <v>3482</v>
      </c>
      <c r="I54" s="28" t="s">
        <v>3452</v>
      </c>
    </row>
  </sheetData>
  <autoFilter ref="A3:I19" xr:uid="{00000000-0009-0000-0000-00000E000000}"/>
  <mergeCells count="4">
    <mergeCell ref="A2:I2"/>
    <mergeCell ref="A23:F23"/>
    <mergeCell ref="A1:G1"/>
    <mergeCell ref="A35:F35"/>
  </mergeCells>
  <phoneticPr fontId="12"/>
  <dataValidations count="1">
    <dataValidation type="date" allowBlank="1" showErrorMessage="1" error="日付形式で入力してください。" sqref="F37:F44" xr:uid="{00000000-0002-0000-0E00-000000000000}">
      <formula1>DATE(2000,1,1)</formula1>
      <formula2>DATE(2100,12,31)</formula2>
    </dataValidation>
  </dataValidations>
  <pageMargins left="0.25" right="0.25" top="0.4" bottom="0.4" header="0.5" footer="0.5"/>
  <pageSetup paperSize="8" fitToHeight="0" orientation="landscape"/>
  <headerFooter>
    <oddFooter>&amp;CAI自社事業PJ v1.0 | &amp;A&amp;R&amp;P / &amp;N</oddFooter>
  </headerFooter>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B5E"/>
    <outlinePr summaryRight="0"/>
    <pageSetUpPr fitToPage="1"/>
  </sheetPr>
  <dimension ref="A1:Z103"/>
  <sheetViews>
    <sheetView showGridLines="0" zoomScale="80" workbookViewId="0">
      <pane xSplit="3" ySplit="3" topLeftCell="D4" activePane="bottomRight" state="frozen"/>
      <selection pane="topRight"/>
      <selection pane="bottomLeft"/>
      <selection pane="bottomRight"/>
    </sheetView>
  </sheetViews>
  <sheetFormatPr defaultRowHeight="13" x14ac:dyDescent="0.2"/>
  <cols>
    <col min="1" max="1" width="13" customWidth="1"/>
    <col min="2" max="2" width="30" customWidth="1"/>
    <col min="3" max="3" width="60" customWidth="1"/>
    <col min="4" max="4" width="85" customWidth="1"/>
    <col min="5" max="5" width="21" customWidth="1"/>
    <col min="6" max="6" width="23" customWidth="1"/>
    <col min="7" max="8" width="58" customWidth="1"/>
    <col min="9" max="9" width="43" customWidth="1"/>
    <col min="10" max="10" width="50" customWidth="1"/>
    <col min="11" max="11" width="64" customWidth="1"/>
    <col min="12" max="12" width="47" customWidth="1"/>
    <col min="13" max="13" width="58" customWidth="1"/>
    <col min="14" max="14" width="25" customWidth="1"/>
    <col min="15" max="15" width="65" customWidth="1"/>
    <col min="16" max="16" width="23" customWidth="1"/>
    <col min="17" max="17" width="26" customWidth="1"/>
    <col min="18" max="22" width="21" customWidth="1"/>
    <col min="23" max="24" width="26" customWidth="1"/>
    <col min="25" max="26" width="21" customWidth="1"/>
  </cols>
  <sheetData>
    <row r="1" spans="1:26" ht="34" customHeight="1" x14ac:dyDescent="0.55000000000000004">
      <c r="A1" s="44" t="s">
        <v>3489</v>
      </c>
      <c r="B1" s="45"/>
      <c r="C1" s="45"/>
      <c r="D1" s="45"/>
      <c r="E1" s="45"/>
      <c r="F1" s="45"/>
      <c r="G1" s="45"/>
    </row>
    <row r="2" spans="1:26" ht="43" customHeight="1" x14ac:dyDescent="0.2">
      <c r="A2" s="47" t="s">
        <v>3490</v>
      </c>
      <c r="B2" s="45"/>
      <c r="C2" s="45"/>
      <c r="D2" s="45"/>
      <c r="E2" s="45"/>
      <c r="F2" s="45"/>
      <c r="G2" s="45"/>
      <c r="H2" s="45"/>
      <c r="I2" s="45"/>
    </row>
    <row r="3" spans="1:26" ht="34" customHeight="1" x14ac:dyDescent="0.2">
      <c r="A3" s="1" t="s">
        <v>3491</v>
      </c>
      <c r="B3" s="1" t="s">
        <v>3492</v>
      </c>
      <c r="C3" s="1" t="s">
        <v>3493</v>
      </c>
      <c r="D3" s="1" t="s">
        <v>3494</v>
      </c>
      <c r="E3" s="1" t="s">
        <v>255</v>
      </c>
      <c r="F3" s="1" t="s">
        <v>3495</v>
      </c>
      <c r="G3" s="1" t="s">
        <v>3496</v>
      </c>
      <c r="H3" s="1" t="s">
        <v>3497</v>
      </c>
      <c r="I3" s="1" t="s">
        <v>3498</v>
      </c>
      <c r="J3" s="1" t="s">
        <v>3499</v>
      </c>
      <c r="K3" s="1" t="s">
        <v>3500</v>
      </c>
      <c r="L3" s="1" t="s">
        <v>3501</v>
      </c>
      <c r="M3" s="1" t="s">
        <v>3502</v>
      </c>
      <c r="N3" s="1" t="s">
        <v>3503</v>
      </c>
      <c r="O3" s="1" t="s">
        <v>3504</v>
      </c>
      <c r="P3" s="1" t="s">
        <v>3111</v>
      </c>
      <c r="Q3" s="1" t="s">
        <v>264</v>
      </c>
      <c r="R3" s="1" t="s">
        <v>3505</v>
      </c>
      <c r="S3" s="1" t="s">
        <v>3506</v>
      </c>
      <c r="T3" s="1" t="s">
        <v>3507</v>
      </c>
      <c r="U3" s="1" t="s">
        <v>3508</v>
      </c>
      <c r="V3" s="1" t="s">
        <v>3509</v>
      </c>
      <c r="W3" s="1" t="s">
        <v>3510</v>
      </c>
      <c r="X3" s="1" t="s">
        <v>3511</v>
      </c>
      <c r="Y3" s="1" t="s">
        <v>3512</v>
      </c>
      <c r="Z3" s="1" t="s">
        <v>3513</v>
      </c>
    </row>
    <row r="4" spans="1:26" ht="92" customHeight="1" x14ac:dyDescent="0.2">
      <c r="A4" s="2" t="s">
        <v>3514</v>
      </c>
      <c r="B4" s="28" t="str">
        <f>IF(A4="","",IF(COUNTIF('32_定義マスター'!$A$13:$A$30,A4)&lt;&gt;1,"参照ID不正",IF(INDEX('32_定義マスター'!$B$13:$B$30,MATCH(A4,'32_定義マスター'!$A$13:$A$30,0))="","",INDEX('32_定義マスター'!$B$13:$B$30,MATCH(A4,'32_定義マスター'!$A$13:$A$30,0)))))</f>
        <v>業務価値</v>
      </c>
      <c r="C4" s="28" t="str">
        <f>IF(A4="","",IF(COUNTIF('32_定義マスター'!$A$13:$A$30,A4)&lt;&gt;1,"参照ID不正",IF(INDEX('32_定義マスター'!$C$13:$C$30,MATCH(A4,'32_定義マスター'!$A$13:$A$30,0))="","",INDEX('32_定義マスター'!$C$13:$C$30,MATCH(A4,'32_定義マスター'!$A$13:$A$30,0)))))</f>
        <v>利用者が対象業務を正しく完了した割合</v>
      </c>
      <c r="D4" s="28" t="str">
        <f>IF(A4="","",IF(COUNTIF('32_定義マスター'!$A$13:$A$30,A4)&lt;&gt;1,"参照ID不正",IF(INDEX('32_定義マスター'!$D$13:$D$30,MATCH(A4,'32_定義マスター'!$A$13:$A$30,0))="","",INDEX('32_定義マスター'!$D$13:$D$30,MATCH(A4,'32_定義マスター'!$A$13:$A$30,0)))))</f>
        <v>非AI/現行と同条件で比較。手動補正/失敗の扱いを定義</v>
      </c>
      <c r="E4" s="28" t="str">
        <f>IF(A4="","",IF(COUNTIF('32_定義マスター'!$A$13:$A$30,A4)&lt;&gt;1,"参照ID不正",IF(INDEX('32_定義マスター'!$E$13:$E$30,MATCH(A4,'32_定義マスター'!$A$13:$A$30,0))="","",INDEX('32_定義マスター'!$E$13:$E$30,MATCH(A4,'32_定義マスター'!$A$13:$A$30,0)))))</f>
        <v>全</v>
      </c>
      <c r="F4" s="28" t="str">
        <f>IF(A4="","",IF(COUNTIF('32_定義マスター'!$A$13:$A$30,A4)&lt;&gt;1,"参照ID不正",IF(INDEX('32_定義マスター'!$F$13:$F$30,MATCH(A4,'32_定義マスター'!$A$13:$A$30,0))="","",INDEX('32_定義マスター'!$F$13:$F$30,MATCH(A4,'32_定義マスター'!$A$13:$A$30,0)))))</f>
        <v>R04,R11</v>
      </c>
      <c r="G4" s="6"/>
      <c r="H4" s="6"/>
      <c r="I4" s="6"/>
      <c r="J4" s="6"/>
      <c r="K4" s="6"/>
      <c r="L4" s="6"/>
      <c r="M4" s="6"/>
      <c r="N4" s="6"/>
      <c r="O4" s="6"/>
      <c r="P4" s="6" t="s">
        <v>3515</v>
      </c>
      <c r="Q4" s="28" t="str">
        <f>IF(A4="","",IF(COUNTIF('32_定義マスター'!$A$13:$A$30,A4)&lt;&gt;1,"参照ID不正",IF(INDEX('32_定義マスター'!$G$13:$G$30,MATCH(A4,'32_定義マスター'!$A$13:$A$30,0))="","",INDEX('32_定義マスター'!$G$13:$G$30,MATCH(A4,'32_定義マスター'!$A$13:$A$30,0)))))</f>
        <v>U01</v>
      </c>
      <c r="R4" s="29" t="s">
        <v>3516</v>
      </c>
      <c r="S4" s="29" t="s">
        <v>3517</v>
      </c>
      <c r="T4" s="29"/>
      <c r="U4" s="29"/>
      <c r="V4" s="28" t="str">
        <f t="shared" ref="V4:V35" si="0">IF(OR(R4="",S4=""),"",R4&amp;"@"&amp;S4)</f>
        <v>EP-001@1</v>
      </c>
      <c r="W4" s="28" t="str">
        <f>IF(A4="","",IF(COUNTIF('32_定義マスター'!$A$13:$A$30,A4)&lt;&gt;1,"EvalType不正",IF(OR(V4="",COUNTIF($V$4:$V$103,V4)&lt;&gt;1),"PlanKey不足・重複",IF(OR(P4="",P4="未設定",P4="設計中",P4="改訂中"),"計画未確定",IF(AND(P4&lt;&gt;"承認",P4&lt;&gt;"対象外承認"),"状態不正",IF(OR(T4="",U4="",O4=""),"計画対象・承認不足",IF(P4="対象外承認",IF(G4="","対象外理由不足","対象外計画記録"),IF(OR(G4="",H4="",I4="",J4="",K4="",L4="",M4="",N4=""),"評価設計不足",IF(AND(A4="E05",OR(X4="",Y4="",Z4="")),"試行状態・成功定義不足","計画記録あり")))))))))</f>
        <v>計画未確定</v>
      </c>
      <c r="X4" s="29"/>
      <c r="Y4" s="29"/>
      <c r="Z4" s="29"/>
    </row>
    <row r="5" spans="1:26" ht="92" customHeight="1" x14ac:dyDescent="0.2">
      <c r="A5" s="4" t="s">
        <v>3518</v>
      </c>
      <c r="B5" s="28" t="str">
        <f>IF(A5="","",IF(COUNTIF('32_定義マスター'!$A$13:$A$30,A5)&lt;&gt;1,"参照ID不正",IF(INDEX('32_定義マスター'!$B$13:$B$30,MATCH(A5,'32_定義マスター'!$A$13:$A$30,0))="","",INDEX('32_定義マスター'!$B$13:$B$30,MATCH(A5,'32_定義マスター'!$A$13:$A$30,0)))))</f>
        <v>AI出力</v>
      </c>
      <c r="C5" s="28" t="str">
        <f>IF(A5="","",IF(COUNTIF('32_定義マスター'!$A$13:$A$30,A5)&lt;&gt;1,"参照ID不正",IF(INDEX('32_定義マスター'!$C$13:$C$30,MATCH(A5,'32_定義マスター'!$A$13:$A$30,0))="","",INDEX('32_定義マスター'!$C$13:$C$30,MATCH(A5,'32_定義マスター'!$A$13:$A$30,0)))))</f>
        <v>正確性/適合性/業務別誤りコスト</v>
      </c>
      <c r="D5" s="28" t="str">
        <f>IF(A5="","",IF(COUNTIF('32_定義マスター'!$A$13:$A$30,A5)&lt;&gt;1,"参照ID不正",IF(INDEX('32_定義マスター'!$D$13:$D$30,MATCH(A5,'32_定義マスター'!$A$13:$A$30,0))="","",INDEX('32_定義マスター'!$D$13:$D$30,MATCH(A5,'32_定義マスター'!$A$13:$A$30,0)))))</f>
        <v>用途に応じAccuracy/F1等を選択。少数重大例を平均で隠さない</v>
      </c>
      <c r="E5" s="28" t="str">
        <f>IF(A5="","",IF(COUNTIF('32_定義マスター'!$A$13:$A$30,A5)&lt;&gt;1,"参照ID不正",IF(INDEX('32_定義マスター'!$E$13:$E$30,MATCH(A5,'32_定義マスター'!$A$13:$A$30,0))="","",INDEX('32_定義マスター'!$E$13:$E$30,MATCH(A5,'32_定義マスター'!$A$13:$A$30,0)))))</f>
        <v>AI</v>
      </c>
      <c r="F5" s="28" t="str">
        <f>IF(A5="","",IF(COUNTIF('32_定義マスター'!$A$13:$A$30,A5)&lt;&gt;1,"参照ID不正",IF(INDEX('32_定義マスター'!$F$13:$F$30,MATCH(A5,'32_定義マスター'!$A$13:$A$30,0))="","",INDEX('32_定義マスター'!$F$13:$F$30,MATCH(A5,'32_定義マスター'!$A$13:$A$30,0)))))</f>
        <v>R08,R11</v>
      </c>
      <c r="G5" s="6"/>
      <c r="H5" s="6"/>
      <c r="I5" s="6"/>
      <c r="J5" s="6"/>
      <c r="K5" s="6"/>
      <c r="L5" s="6"/>
      <c r="M5" s="6"/>
      <c r="N5" s="6"/>
      <c r="O5" s="6"/>
      <c r="P5" s="6" t="s">
        <v>3515</v>
      </c>
      <c r="Q5" s="28" t="str">
        <f>IF(A5="","",IF(COUNTIF('32_定義マスター'!$A$13:$A$30,A5)&lt;&gt;1,"参照ID不正",IF(INDEX('32_定義マスター'!$G$13:$G$30,MATCH(A5,'32_定義マスター'!$A$13:$A$30,0))="","",INDEX('32_定義マスター'!$G$13:$G$30,MATCH(A5,'32_定義マスター'!$A$13:$A$30,0)))))</f>
        <v>U01,W05</v>
      </c>
      <c r="R5" s="29" t="s">
        <v>3519</v>
      </c>
      <c r="S5" s="29" t="s">
        <v>3517</v>
      </c>
      <c r="T5" s="29"/>
      <c r="U5" s="29"/>
      <c r="V5" s="28" t="str">
        <f t="shared" si="0"/>
        <v>EP-002@1</v>
      </c>
      <c r="W5" s="28" t="str">
        <f>IF(A5="","",IF(COUNTIF('32_定義マスター'!$A$13:$A$30,A5)&lt;&gt;1,"EvalType不正",IF(OR(V5="",COUNTIF($V$4:$V$103,V5)&lt;&gt;1),"PlanKey不足・重複",IF(OR(P5="",P5="未設定",P5="設計中",P5="改訂中"),"計画未確定",IF(AND(P5&lt;&gt;"承認",P5&lt;&gt;"対象外承認"),"状態不正",IF(OR(T5="",U5="",O5=""),"計画対象・承認不足",IF(P5="対象外承認",IF(G5="","対象外理由不足","対象外計画記録"),IF(OR(G5="",H5="",I5="",J5="",K5="",L5="",M5="",N5=""),"評価設計不足",IF(AND(A5="E05",OR(X5="",Y5="",Z5="")),"試行状態・成功定義不足","計画記録あり")))))))))</f>
        <v>計画未確定</v>
      </c>
      <c r="X5" s="29"/>
      <c r="Y5" s="29"/>
      <c r="Z5" s="29"/>
    </row>
    <row r="6" spans="1:26" ht="92" customHeight="1" x14ac:dyDescent="0.2">
      <c r="A6" s="2" t="s">
        <v>3520</v>
      </c>
      <c r="B6" s="28" t="str">
        <f>IF(A6="","",IF(COUNTIF('32_定義マスター'!$A$13:$A$30,A6)&lt;&gt;1,"参照ID不正",IF(INDEX('32_定義マスター'!$B$13:$B$30,MATCH(A6,'32_定義マスター'!$A$13:$A$30,0))="","",INDEX('32_定義マスター'!$B$13:$B$30,MATCH(A6,'32_定義マスター'!$A$13:$A$30,0)))))</f>
        <v>RAG検索</v>
      </c>
      <c r="C6" s="28" t="str">
        <f>IF(A6="","",IF(COUNTIF('32_定義マスター'!$A$13:$A$30,A6)&lt;&gt;1,"参照ID不正",IF(INDEX('32_定義マスター'!$C$13:$C$30,MATCH(A6,'32_定義マスター'!$A$13:$A$30,0))="","",INDEX('32_定義マスター'!$C$13:$C$30,MATCH(A6,'32_定義マスター'!$A$13:$A$30,0)))))</f>
        <v>検索Recall/根拠到達/権限遵守</v>
      </c>
      <c r="D6" s="28" t="str">
        <f>IF(A6="","",IF(COUNTIF('32_定義マスター'!$A$13:$A$30,A6)&lt;&gt;1,"参照ID不正",IF(INDEX('32_定義マスター'!$D$13:$D$30,MATCH(A6,'32_定義マスター'!$A$13:$A$30,0))="","",INDEX('32_定義マスター'!$D$13:$D$30,MATCH(A6,'32_定義マスター'!$A$13:$A$30,0)))))</f>
        <v>正解文書ID・母集団・権限制御・更新鮮度</v>
      </c>
      <c r="E6" s="28" t="str">
        <f>IF(A6="","",IF(COUNTIF('32_定義マスター'!$A$13:$A$30,A6)&lt;&gt;1,"参照ID不正",IF(INDEX('32_定義マスター'!$E$13:$E$30,MATCH(A6,'32_定義マスター'!$A$13:$A$30,0))="","",INDEX('32_定義マスター'!$E$13:$E$30,MATCH(A6,'32_定義マスター'!$A$13:$A$30,0)))))</f>
        <v>RAG</v>
      </c>
      <c r="F6" s="28" t="str">
        <f>IF(A6="","",IF(COUNTIF('32_定義マスター'!$A$13:$A$30,A6)&lt;&gt;1,"参照ID不正",IF(INDEX('32_定義マスター'!$F$13:$F$30,MATCH(A6,'32_定義マスター'!$A$13:$A$30,0))="","",INDEX('32_定義マスター'!$F$13:$F$30,MATCH(A6,'32_定義マスター'!$A$13:$A$30,0)))))</f>
        <v>R09,R11</v>
      </c>
      <c r="G6" s="6"/>
      <c r="H6" s="6"/>
      <c r="I6" s="6"/>
      <c r="J6" s="6"/>
      <c r="K6" s="6"/>
      <c r="L6" s="6"/>
      <c r="M6" s="6"/>
      <c r="N6" s="6"/>
      <c r="O6" s="6"/>
      <c r="P6" s="6" t="s">
        <v>3515</v>
      </c>
      <c r="Q6" s="28" t="str">
        <f>IF(A6="","",IF(COUNTIF('32_定義マスター'!$A$13:$A$30,A6)&lt;&gt;1,"参照ID不正",IF(INDEX('32_定義マスター'!$G$13:$G$30,MATCH(A6,'32_定義マスター'!$A$13:$A$30,0))="","",INDEX('32_定義マスター'!$G$13:$G$30,MATCH(A6,'32_定義マスター'!$A$13:$A$30,0)))))</f>
        <v>U01</v>
      </c>
      <c r="R6" s="29" t="s">
        <v>3521</v>
      </c>
      <c r="S6" s="29" t="s">
        <v>3517</v>
      </c>
      <c r="T6" s="29"/>
      <c r="U6" s="29"/>
      <c r="V6" s="28" t="str">
        <f t="shared" si="0"/>
        <v>EP-003@1</v>
      </c>
      <c r="W6" s="28" t="str">
        <f>IF(A6="","",IF(COUNTIF('32_定義マスター'!$A$13:$A$30,A6)&lt;&gt;1,"EvalType不正",IF(OR(V6="",COUNTIF($V$4:$V$103,V6)&lt;&gt;1),"PlanKey不足・重複",IF(OR(P6="",P6="未設定",P6="設計中",P6="改訂中"),"計画未確定",IF(AND(P6&lt;&gt;"承認",P6&lt;&gt;"対象外承認"),"状態不正",IF(OR(T6="",U6="",O6=""),"計画対象・承認不足",IF(P6="対象外承認",IF(G6="","対象外理由不足","対象外計画記録"),IF(OR(G6="",H6="",I6="",J6="",K6="",L6="",M6="",N6=""),"評価設計不足",IF(AND(A6="E05",OR(X6="",Y6="",Z6="")),"試行状態・成功定義不足","計画記録あり")))))))))</f>
        <v>計画未確定</v>
      </c>
      <c r="X6" s="29"/>
      <c r="Y6" s="29"/>
      <c r="Z6" s="29"/>
    </row>
    <row r="7" spans="1:26" ht="92" customHeight="1" x14ac:dyDescent="0.2">
      <c r="A7" s="4" t="s">
        <v>3522</v>
      </c>
      <c r="B7" s="28" t="str">
        <f>IF(A7="","",IF(COUNTIF('32_定義マスター'!$A$13:$A$30,A7)&lt;&gt;1,"参照ID不正",IF(INDEX('32_定義マスター'!$B$13:$B$30,MATCH(A7,'32_定義マスター'!$A$13:$A$30,0))="","",INDEX('32_定義マスター'!$B$13:$B$30,MATCH(A7,'32_定義マスター'!$A$13:$A$30,0)))))</f>
        <v>RAG回答</v>
      </c>
      <c r="C7" s="28" t="str">
        <f>IF(A7="","",IF(COUNTIF('32_定義マスター'!$A$13:$A$30,A7)&lt;&gt;1,"参照ID不正",IF(INDEX('32_定義マスター'!$C$13:$C$30,MATCH(A7,'32_定義マスター'!$A$13:$A$30,0))="","",INDEX('32_定義マスター'!$C$13:$C$30,MATCH(A7,'32_定義マスター'!$A$13:$A$30,0)))))</f>
        <v>根拠整合/引用/回答保留</v>
      </c>
      <c r="D7" s="28" t="str">
        <f>IF(A7="","",IF(COUNTIF('32_定義マスター'!$A$13:$A$30,A7)&lt;&gt;1,"参照ID不正",IF(INDEX('32_定義マスター'!$D$13:$D$30,MATCH(A7,'32_定義マスター'!$A$13:$A$30,0))="","",INDEX('32_定義マスター'!$D$13:$D$30,MATCH(A7,'32_定義マスター'!$A$13:$A$30,0)))))</f>
        <v>検索と生成を分離。答えが存在しない/古い/矛盾する場合を含む</v>
      </c>
      <c r="E7" s="28" t="str">
        <f>IF(A7="","",IF(COUNTIF('32_定義マスター'!$A$13:$A$30,A7)&lt;&gt;1,"参照ID不正",IF(INDEX('32_定義マスター'!$E$13:$E$30,MATCH(A7,'32_定義マスター'!$A$13:$A$30,0))="","",INDEX('32_定義マスター'!$E$13:$E$30,MATCH(A7,'32_定義マスター'!$A$13:$A$30,0)))))</f>
        <v>RAG</v>
      </c>
      <c r="F7" s="28" t="str">
        <f>IF(A7="","",IF(COUNTIF('32_定義マスター'!$A$13:$A$30,A7)&lt;&gt;1,"参照ID不正",IF(INDEX('32_定義マスター'!$F$13:$F$30,MATCH(A7,'32_定義マスター'!$A$13:$A$30,0))="","",INDEX('32_定義マスター'!$F$13:$F$30,MATCH(A7,'32_定義マスター'!$A$13:$A$30,0)))))</f>
        <v>R04,R11</v>
      </c>
      <c r="G7" s="6"/>
      <c r="H7" s="6"/>
      <c r="I7" s="6"/>
      <c r="J7" s="6"/>
      <c r="K7" s="6"/>
      <c r="L7" s="6"/>
      <c r="M7" s="6"/>
      <c r="N7" s="6"/>
      <c r="O7" s="6"/>
      <c r="P7" s="6" t="s">
        <v>3515</v>
      </c>
      <c r="Q7" s="28" t="str">
        <f>IF(A7="","",IF(COUNTIF('32_定義マスター'!$A$13:$A$30,A7)&lt;&gt;1,"参照ID不正",IF(INDEX('32_定義マスター'!$G$13:$G$30,MATCH(A7,'32_定義マスター'!$A$13:$A$30,0))="","",INDEX('32_定義マスター'!$G$13:$G$30,MATCH(A7,'32_定義マスター'!$A$13:$A$30,0)))))</f>
        <v>U01</v>
      </c>
      <c r="R7" s="29" t="s">
        <v>3523</v>
      </c>
      <c r="S7" s="29" t="s">
        <v>3517</v>
      </c>
      <c r="T7" s="29"/>
      <c r="U7" s="29"/>
      <c r="V7" s="28" t="str">
        <f t="shared" si="0"/>
        <v>EP-004@1</v>
      </c>
      <c r="W7" s="28" t="str">
        <f>IF(A7="","",IF(COUNTIF('32_定義マスター'!$A$13:$A$30,A7)&lt;&gt;1,"EvalType不正",IF(OR(V7="",COUNTIF($V$4:$V$103,V7)&lt;&gt;1),"PlanKey不足・重複",IF(OR(P7="",P7="未設定",P7="設計中",P7="改訂中"),"計画未確定",IF(AND(P7&lt;&gt;"承認",P7&lt;&gt;"対象外承認"),"状態不正",IF(OR(T7="",U7="",O7=""),"計画対象・承認不足",IF(P7="対象外承認",IF(G7="","対象外理由不足","対象外計画記録"),IF(OR(G7="",H7="",I7="",J7="",K7="",L7="",M7="",N7=""),"評価設計不足",IF(AND(A7="E05",OR(X7="",Y7="",Z7="")),"試行状態・成功定義不足","計画記録あり")))))))))</f>
        <v>計画未確定</v>
      </c>
      <c r="X7" s="29"/>
      <c r="Y7" s="29"/>
      <c r="Z7" s="29"/>
    </row>
    <row r="8" spans="1:26" ht="92" customHeight="1" x14ac:dyDescent="0.2">
      <c r="A8" s="2" t="s">
        <v>3524</v>
      </c>
      <c r="B8" s="28" t="str">
        <f>IF(A8="","",IF(COUNTIF('32_定義マスター'!$A$13:$A$30,A8)&lt;&gt;1,"参照ID不正",IF(INDEX('32_定義マスター'!$B$13:$B$30,MATCH(A8,'32_定義マスター'!$A$13:$A$30,0))="","",INDEX('32_定義マスター'!$B$13:$B$30,MATCH(A8,'32_定義マスター'!$A$13:$A$30,0)))))</f>
        <v>Agent成否</v>
      </c>
      <c r="C8" s="28" t="str">
        <f>IF(A8="","",IF(COUNTIF('32_定義マスター'!$A$13:$A$30,A8)&lt;&gt;1,"参照ID不正",IF(INDEX('32_定義マスター'!$C$13:$C$30,MATCH(A8,'32_定義マスター'!$A$13:$A$30,0))="","",INDEX('32_定義マスター'!$C$13:$C$30,MATCH(A8,'32_定義マスター'!$A$13:$A$30,0)))))</f>
        <v>タスク成否と実世界の副作用</v>
      </c>
      <c r="D8" s="28" t="str">
        <f>IF(A8="","",IF(COUNTIF('32_定義マスター'!$A$13:$A$30,A8)&lt;&gt;1,"参照ID不正",IF(INDEX('32_定義マスター'!$D$13:$D$30,MATCH(A8,'32_定義マスター'!$A$13:$A$30,0))="","",INDEX('32_定義マスター'!$D$13:$D$30,MATCH(A8,'32_定義マスター'!$A$13:$A$30,0)))))</f>
        <v>単なる最終文の成功宣言ではなく外部状態を検証</v>
      </c>
      <c r="E8" s="28" t="str">
        <f>IF(A8="","",IF(COUNTIF('32_定義マスター'!$A$13:$A$30,A8)&lt;&gt;1,"参照ID不正",IF(INDEX('32_定義マスター'!$E$13:$E$30,MATCH(A8,'32_定義マスター'!$A$13:$A$30,0))="","",INDEX('32_定義マスター'!$E$13:$E$30,MATCH(A8,'32_定義マスター'!$A$13:$A$30,0)))))</f>
        <v>Agent</v>
      </c>
      <c r="F8" s="28" t="str">
        <f>IF(A8="","",IF(COUNTIF('32_定義マスター'!$A$13:$A$30,A8)&lt;&gt;1,"参照ID不正",IF(INDEX('32_定義マスター'!$F$13:$F$30,MATCH(A8,'32_定義マスター'!$A$13:$A$30,0))="","",INDEX('32_定義マスター'!$F$13:$F$30,MATCH(A8,'32_定義マスター'!$A$13:$A$30,0)))))</f>
        <v>R11</v>
      </c>
      <c r="G8" s="6"/>
      <c r="H8" s="6"/>
      <c r="I8" s="6"/>
      <c r="J8" s="6"/>
      <c r="K8" s="6"/>
      <c r="L8" s="6"/>
      <c r="M8" s="6"/>
      <c r="N8" s="6"/>
      <c r="O8" s="6"/>
      <c r="P8" s="6" t="s">
        <v>3515</v>
      </c>
      <c r="Q8" s="28" t="str">
        <f>IF(A8="","",IF(COUNTIF('32_定義マスター'!$A$13:$A$30,A8)&lt;&gt;1,"参照ID不正",IF(INDEX('32_定義マスター'!$G$13:$G$30,MATCH(A8,'32_定義マスター'!$A$13:$A$30,0))="","",INDEX('32_定義マスター'!$G$13:$G$30,MATCH(A8,'32_定義マスター'!$A$13:$A$30,0)))))</f>
        <v>W05</v>
      </c>
      <c r="R8" s="29" t="s">
        <v>3525</v>
      </c>
      <c r="S8" s="29" t="s">
        <v>3517</v>
      </c>
      <c r="T8" s="29"/>
      <c r="U8" s="29"/>
      <c r="V8" s="28" t="str">
        <f t="shared" si="0"/>
        <v>EP-005@1</v>
      </c>
      <c r="W8" s="28" t="str">
        <f>IF(A8="","",IF(COUNTIF('32_定義マスター'!$A$13:$A$30,A8)&lt;&gt;1,"EvalType不正",IF(OR(V8="",COUNTIF($V$4:$V$103,V8)&lt;&gt;1),"PlanKey不足・重複",IF(OR(P8="",P8="未設定",P8="設計中",P8="改訂中"),"計画未確定",IF(AND(P8&lt;&gt;"承認",P8&lt;&gt;"対象外承認"),"状態不正",IF(OR(T8="",U8="",O8=""),"計画対象・承認不足",IF(P8="対象外承認",IF(G8="","対象外理由不足","対象外計画記録"),IF(OR(G8="",H8="",I8="",J8="",K8="",L8="",M8="",N8=""),"評価設計不足",IF(AND(A8="E05",OR(X8="",Y8="",Z8="")),"試行状態・成功定義不足","計画記録あり")))))))))</f>
        <v>計画未確定</v>
      </c>
      <c r="X8" s="29"/>
      <c r="Y8" s="29"/>
      <c r="Z8" s="29"/>
    </row>
    <row r="9" spans="1:26" ht="92" customHeight="1" x14ac:dyDescent="0.2">
      <c r="A9" s="4" t="s">
        <v>3526</v>
      </c>
      <c r="B9" s="28" t="str">
        <f>IF(A9="","",IF(COUNTIF('32_定義マスター'!$A$13:$A$30,A9)&lt;&gt;1,"参照ID不正",IF(INDEX('32_定義マスター'!$B$13:$B$30,MATCH(A9,'32_定義マスター'!$A$13:$A$30,0))="","",INDEX('32_定義マスター'!$B$13:$B$30,MATCH(A9,'32_定義マスター'!$A$13:$A$30,0)))))</f>
        <v>安全性</v>
      </c>
      <c r="C9" s="28" t="str">
        <f>IF(A9="","",IF(COUNTIF('32_定義マスター'!$A$13:$A$30,A9)&lt;&gt;1,"参照ID不正",IF(INDEX('32_定義マスター'!$C$13:$C$30,MATCH(A9,'32_定義マスター'!$A$13:$A$30,0))="","",INDEX('32_定義マスター'!$C$13:$C$30,MATCH(A9,'32_定義マスター'!$A$13:$A$30,0)))))</f>
        <v>重大失敗・禁止操作・危険出力</v>
      </c>
      <c r="D9" s="28" t="str">
        <f>IF(A9="","",IF(COUNTIF('32_定義マスター'!$A$13:$A$30,A9)&lt;&gt;1,"参照ID不正",IF(INDEX('32_定義マスター'!$D$13:$D$30,MATCH(A9,'32_定義マスター'!$A$13:$A$30,0))="","",INDEX('32_定義マスター'!$D$13:$D$30,MATCH(A9,'32_定義マスター'!$A$13:$A$30,0)))))</f>
        <v>重大と定義した試験の失敗0を初期案。0件はリスク0の証明ではない</v>
      </c>
      <c r="E9" s="28" t="str">
        <f>IF(A9="","",IF(COUNTIF('32_定義マスター'!$A$13:$A$30,A9)&lt;&gt;1,"参照ID不正",IF(INDEX('32_定義マスター'!$E$13:$E$30,MATCH(A9,'32_定義マスター'!$A$13:$A$30,0))="","",INDEX('32_定義マスター'!$E$13:$E$30,MATCH(A9,'32_定義マスター'!$A$13:$A$30,0)))))</f>
        <v>全</v>
      </c>
      <c r="F9" s="28" t="str">
        <f>IF(A9="","",IF(COUNTIF('32_定義マスター'!$A$13:$A$30,A9)&lt;&gt;1,"参照ID不正",IF(INDEX('32_定義マスター'!$F$13:$F$30,MATCH(A9,'32_定義マスター'!$A$13:$A$30,0))="","",INDEX('32_定義マスター'!$F$13:$F$30,MATCH(A9,'32_定義マスター'!$A$13:$A$30,0)))))</f>
        <v>R19</v>
      </c>
      <c r="G9" s="6"/>
      <c r="H9" s="6"/>
      <c r="I9" s="6"/>
      <c r="J9" s="6"/>
      <c r="K9" s="6"/>
      <c r="L9" s="6"/>
      <c r="M9" s="6"/>
      <c r="N9" s="6"/>
      <c r="O9" s="6"/>
      <c r="P9" s="6" t="s">
        <v>3515</v>
      </c>
      <c r="Q9" s="28" t="str">
        <f>IF(A9="","",IF(COUNTIF('32_定義マスター'!$A$13:$A$30,A9)&lt;&gt;1,"参照ID不正",IF(INDEX('32_定義マスター'!$G$13:$G$30,MATCH(A9,'32_定義マスター'!$A$13:$A$30,0))="","",INDEX('32_定義マスター'!$G$13:$G$30,MATCH(A9,'32_定義マスター'!$A$13:$A$30,0)))))</f>
        <v>U01</v>
      </c>
      <c r="R9" s="29" t="s">
        <v>3527</v>
      </c>
      <c r="S9" s="29" t="s">
        <v>3517</v>
      </c>
      <c r="T9" s="29"/>
      <c r="U9" s="29"/>
      <c r="V9" s="28" t="str">
        <f t="shared" si="0"/>
        <v>EP-006@1</v>
      </c>
      <c r="W9" s="28" t="str">
        <f>IF(A9="","",IF(COUNTIF('32_定義マスター'!$A$13:$A$30,A9)&lt;&gt;1,"EvalType不正",IF(OR(V9="",COUNTIF($V$4:$V$103,V9)&lt;&gt;1),"PlanKey不足・重複",IF(OR(P9="",P9="未設定",P9="設計中",P9="改訂中"),"計画未確定",IF(AND(P9&lt;&gt;"承認",P9&lt;&gt;"対象外承認"),"状態不正",IF(OR(T9="",U9="",O9=""),"計画対象・承認不足",IF(P9="対象外承認",IF(G9="","対象外理由不足","対象外計画記録"),IF(OR(G9="",H9="",I9="",J9="",K9="",L9="",M9="",N9=""),"評価設計不足",IF(AND(A9="E05",OR(X9="",Y9="",Z9="")),"試行状態・成功定義不足","計画記録あり")))))))))</f>
        <v>計画未確定</v>
      </c>
      <c r="X9" s="29"/>
      <c r="Y9" s="29"/>
      <c r="Z9" s="29"/>
    </row>
    <row r="10" spans="1:26" ht="92" customHeight="1" x14ac:dyDescent="0.2">
      <c r="A10" s="2" t="s">
        <v>3528</v>
      </c>
      <c r="B10" s="28" t="str">
        <f>IF(A10="","",IF(COUNTIF('32_定義マスター'!$A$13:$A$30,A10)&lt;&gt;1,"参照ID不正",IF(INDEX('32_定義マスター'!$B$13:$B$30,MATCH(A10,'32_定義マスター'!$A$13:$A$30,0))="","",INDEX('32_定義マスター'!$B$13:$B$30,MATCH(A10,'32_定義マスター'!$A$13:$A$30,0)))))</f>
        <v>Security</v>
      </c>
      <c r="C10" s="28" t="str">
        <f>IF(A10="","",IF(COUNTIF('32_定義マスター'!$A$13:$A$30,A10)&lt;&gt;1,"参照ID不正",IF(INDEX('32_定義マスター'!$C$13:$C$30,MATCH(A10,'32_定義マスター'!$A$13:$A$30,0))="","",INDEX('32_定義マスター'!$C$13:$C$30,MATCH(A10,'32_定義マスター'!$A$13:$A$30,0)))))</f>
        <v>越権/秘密流出/injection/Tool悪用</v>
      </c>
      <c r="D10" s="28" t="str">
        <f>IF(A10="","",IF(COUNTIF('32_定義マスター'!$A$13:$A$30,A10)&lt;&gt;1,"参照ID不正",IF(INDEX('32_定義マスター'!$D$13:$D$30,MATCH(A10,'32_定義マスター'!$A$13:$A$30,0))="","",INDEX('32_定義マスター'!$D$13:$D$30,MATCH(A10,'32_定義マスター'!$A$13:$A$30,0)))))</f>
        <v>製品と開発の境界、ログ/MCP/sub-agentを含む</v>
      </c>
      <c r="E10" s="28" t="str">
        <f>IF(A10="","",IF(COUNTIF('32_定義マスター'!$A$13:$A$30,A10)&lt;&gt;1,"参照ID不正",IF(INDEX('32_定義マスター'!$E$13:$E$30,MATCH(A10,'32_定義マスター'!$A$13:$A$30,0))="","",INDEX('32_定義マスター'!$E$13:$E$30,MATCH(A10,'32_定義マスター'!$A$13:$A$30,0)))))</f>
        <v>全</v>
      </c>
      <c r="F10" s="28" t="str">
        <f>IF(A10="","",IF(COUNTIF('32_定義マスター'!$A$13:$A$30,A10)&lt;&gt;1,"参照ID不正",IF(INDEX('32_定義マスター'!$F$13:$F$30,MATCH(A10,'32_定義マスター'!$A$13:$A$30,0))="","",INDEX('32_定義マスター'!$F$13:$F$30,MATCH(A10,'32_定義マスター'!$A$13:$A$30,0)))))</f>
        <v>R13</v>
      </c>
      <c r="G10" s="6"/>
      <c r="H10" s="6"/>
      <c r="I10" s="6"/>
      <c r="J10" s="6"/>
      <c r="K10" s="6"/>
      <c r="L10" s="6"/>
      <c r="M10" s="6"/>
      <c r="N10" s="6"/>
      <c r="O10" s="6"/>
      <c r="P10" s="6" t="s">
        <v>3515</v>
      </c>
      <c r="Q10" s="28" t="str">
        <f>IF(A10="","",IF(COUNTIF('32_定義マスター'!$A$13:$A$30,A10)&lt;&gt;1,"参照ID不正",IF(INDEX('32_定義マスター'!$G$13:$G$30,MATCH(A10,'32_定義マスター'!$A$13:$A$30,0))="","",INDEX('32_定義マスター'!$G$13:$G$30,MATCH(A10,'32_定義マスター'!$A$13:$A$30,0)))))</f>
        <v>U01,W12,W17</v>
      </c>
      <c r="R10" s="29" t="s">
        <v>3529</v>
      </c>
      <c r="S10" s="29" t="s">
        <v>3517</v>
      </c>
      <c r="T10" s="29"/>
      <c r="U10" s="29"/>
      <c r="V10" s="28" t="str">
        <f t="shared" si="0"/>
        <v>EP-007@1</v>
      </c>
      <c r="W10" s="28" t="str">
        <f>IF(A10="","",IF(COUNTIF('32_定義マスター'!$A$13:$A$30,A10)&lt;&gt;1,"EvalType不正",IF(OR(V10="",COUNTIF($V$4:$V$103,V10)&lt;&gt;1),"PlanKey不足・重複",IF(OR(P10="",P10="未設定",P10="設計中",P10="改訂中"),"計画未確定",IF(AND(P10&lt;&gt;"承認",P10&lt;&gt;"対象外承認"),"状態不正",IF(OR(T10="",U10="",O10=""),"計画対象・承認不足",IF(P10="対象外承認",IF(G10="","対象外理由不足","対象外計画記録"),IF(OR(G10="",H10="",I10="",J10="",K10="",L10="",M10="",N10=""),"評価設計不足",IF(AND(A10="E05",OR(X10="",Y10="",Z10="")),"試行状態・成功定義不足","計画記録あり")))))))))</f>
        <v>計画未確定</v>
      </c>
      <c r="X10" s="29"/>
      <c r="Y10" s="29"/>
      <c r="Z10" s="29"/>
    </row>
    <row r="11" spans="1:26" ht="92" customHeight="1" x14ac:dyDescent="0.2">
      <c r="A11" s="4" t="s">
        <v>3530</v>
      </c>
      <c r="B11" s="28" t="str">
        <f>IF(A11="","",IF(COUNTIF('32_定義マスター'!$A$13:$A$30,A11)&lt;&gt;1,"参照ID不正",IF(INDEX('32_定義マスター'!$B$13:$B$30,MATCH(A11,'32_定義マスター'!$A$13:$A$30,0))="","",INDEX('32_定義マスター'!$B$13:$B$30,MATCH(A11,'32_定義マスター'!$A$13:$A$30,0)))))</f>
        <v>Privacy/権利</v>
      </c>
      <c r="C11" s="28" t="str">
        <f>IF(A11="","",IF(COUNTIF('32_定義マスター'!$A$13:$A$30,A11)&lt;&gt;1,"参照ID不正",IF(INDEX('32_定義マスター'!$C$13:$C$30,MATCH(A11,'32_定義マスター'!$A$13:$A$30,0))="","",INDEX('32_定義マスター'!$C$13:$C$30,MATCH(A11,'32_定義マスター'!$A$13:$A$30,0)))))</f>
        <v>無許可送信/利用/保持/削除失敗</v>
      </c>
      <c r="D11" s="28" t="str">
        <f>IF(A11="","",IF(COUNTIF('32_定義マスター'!$A$13:$A$30,A11)&lt;&gt;1,"参照ID不正",IF(INDEX('32_定義マスター'!$D$13:$D$30,MATCH(A11,'32_定義マスター'!$A$13:$A$30,0))="","",INDEX('32_定義マスター'!$D$13:$D$30,MATCH(A11,'32_定義マスター'!$A$13:$A$30,0)))))</f>
        <v>データ区分/利用目的/送信先/派生資産まで</v>
      </c>
      <c r="E11" s="28" t="str">
        <f>IF(A11="","",IF(COUNTIF('32_定義マスター'!$A$13:$A$30,A11)&lt;&gt;1,"参照ID不正",IF(INDEX('32_定義マスター'!$E$13:$E$30,MATCH(A11,'32_定義マスター'!$A$13:$A$30,0))="","",INDEX('32_定義マスター'!$E$13:$E$30,MATCH(A11,'32_定義マスター'!$A$13:$A$30,0)))))</f>
        <v>全</v>
      </c>
      <c r="F11" s="28" t="str">
        <f>IF(A11="","",IF(COUNTIF('32_定義マスター'!$A$13:$A$30,A11)&lt;&gt;1,"参照ID不正",IF(INDEX('32_定義マスター'!$F$13:$F$30,MATCH(A11,'32_定義マスター'!$A$13:$A$30,0))="","",INDEX('32_定義マスター'!$F$13:$F$30,MATCH(A11,'32_定義マスター'!$A$13:$A$30,0)))))</f>
        <v>R14,R10</v>
      </c>
      <c r="G11" s="6"/>
      <c r="H11" s="6"/>
      <c r="I11" s="6"/>
      <c r="J11" s="6"/>
      <c r="K11" s="6"/>
      <c r="L11" s="6"/>
      <c r="M11" s="6"/>
      <c r="N11" s="6"/>
      <c r="O11" s="6"/>
      <c r="P11" s="6" t="s">
        <v>3515</v>
      </c>
      <c r="Q11" s="28" t="str">
        <f>IF(A11="","",IF(COUNTIF('32_定義マスター'!$A$13:$A$30,A11)&lt;&gt;1,"参照ID不正",IF(INDEX('32_定義マスター'!$G$13:$G$30,MATCH(A11,'32_定義マスター'!$A$13:$A$30,0))="","",INDEX('32_定義マスター'!$G$13:$G$30,MATCH(A11,'32_定義マスター'!$A$13:$A$30,0)))))</f>
        <v>U01,W02,W03</v>
      </c>
      <c r="R11" s="29" t="s">
        <v>3531</v>
      </c>
      <c r="S11" s="29" t="s">
        <v>3517</v>
      </c>
      <c r="T11" s="29"/>
      <c r="U11" s="29"/>
      <c r="V11" s="28" t="str">
        <f t="shared" si="0"/>
        <v>EP-008@1</v>
      </c>
      <c r="W11" s="28" t="str">
        <f>IF(A11="","",IF(COUNTIF('32_定義マスター'!$A$13:$A$30,A11)&lt;&gt;1,"EvalType不正",IF(OR(V11="",COUNTIF($V$4:$V$103,V11)&lt;&gt;1),"PlanKey不足・重複",IF(OR(P11="",P11="未設定",P11="設計中",P11="改訂中"),"計画未確定",IF(AND(P11&lt;&gt;"承認",P11&lt;&gt;"対象外承認"),"状態不正",IF(OR(T11="",U11="",O11=""),"計画対象・承認不足",IF(P11="対象外承認",IF(G11="","対象外理由不足","対象外計画記録"),IF(OR(G11="",H11="",I11="",J11="",K11="",L11="",M11="",N11=""),"評価設計不足",IF(AND(A11="E05",OR(X11="",Y11="",Z11="")),"試行状態・成功定義不足","計画記録あり")))))))))</f>
        <v>計画未確定</v>
      </c>
      <c r="X11" s="29"/>
      <c r="Y11" s="29"/>
      <c r="Z11" s="29"/>
    </row>
    <row r="12" spans="1:26" ht="92" customHeight="1" x14ac:dyDescent="0.2">
      <c r="A12" s="2" t="s">
        <v>3532</v>
      </c>
      <c r="B12" s="28" t="str">
        <f>IF(A12="","",IF(COUNTIF('32_定義マスター'!$A$13:$A$30,A12)&lt;&gt;1,"参照ID不正",IF(INDEX('32_定義マスター'!$B$13:$B$30,MATCH(A12,'32_定義マスター'!$A$13:$A$30,0))="","",INDEX('32_定義マスター'!$B$13:$B$30,MATCH(A12,'32_定義マスター'!$A$13:$A$30,0)))))</f>
        <v>公平性・重要slice</v>
      </c>
      <c r="C12" s="28" t="str">
        <f>IF(A12="","",IF(COUNTIF('32_定義マスター'!$A$13:$A$30,A12)&lt;&gt;1,"参照ID不正",IF(INDEX('32_定義マスター'!$C$13:$C$30,MATCH(A12,'32_定義マスター'!$A$13:$A$30,0))="","",INDEX('32_定義マスター'!$C$13:$C$30,MATCH(A12,'32_定義マスター'!$A$13:$A$30,0)))))</f>
        <v>群別性能と被害の差</v>
      </c>
      <c r="D12" s="28" t="str">
        <f>IF(A12="","",IF(COUNTIF('32_定義マスター'!$A$13:$A$30,A12)&lt;&gt;1,"参照ID不正",IF(INDEX('32_定義マスター'!$D$13:$D$30,MATCH(A12,'32_定義マスター'!$A$13:$A$30,0))="","",INDEX('32_定義マスター'!$D$13:$D$30,MATCH(A12,'32_定義マスター'!$A$13:$A$30,0)))))</f>
        <v>用途上の重要slice/サンプル数/信頼区間・採取可否を定義</v>
      </c>
      <c r="E12" s="28" t="str">
        <f>IF(A12="","",IF(COUNTIF('32_定義マスター'!$A$13:$A$30,A12)&lt;&gt;1,"参照ID不正",IF(INDEX('32_定義マスター'!$E$13:$E$30,MATCH(A12,'32_定義マスター'!$A$13:$A$30,0))="","",INDEX('32_定義マスター'!$E$13:$E$30,MATCH(A12,'32_定義マスター'!$A$13:$A$30,0)))))</f>
        <v>条件付</v>
      </c>
      <c r="F12" s="28" t="str">
        <f>IF(A12="","",IF(COUNTIF('32_定義マスター'!$A$13:$A$30,A12)&lt;&gt;1,"参照ID不正",IF(INDEX('32_定義マスター'!$F$13:$F$30,MATCH(A12,'32_定義マスター'!$A$13:$A$30,0))="","",INDEX('32_定義マスター'!$F$13:$F$30,MATCH(A12,'32_定義マスター'!$A$13:$A$30,0)))))</f>
        <v>R11,R04</v>
      </c>
      <c r="G12" s="6"/>
      <c r="H12" s="6"/>
      <c r="I12" s="6"/>
      <c r="J12" s="6"/>
      <c r="K12" s="6"/>
      <c r="L12" s="6"/>
      <c r="M12" s="6"/>
      <c r="N12" s="6"/>
      <c r="O12" s="6"/>
      <c r="P12" s="6" t="s">
        <v>3515</v>
      </c>
      <c r="Q12" s="28" t="str">
        <f>IF(A12="","",IF(COUNTIF('32_定義マスター'!$A$13:$A$30,A12)&lt;&gt;1,"参照ID不正",IF(INDEX('32_定義マスター'!$G$13:$G$30,MATCH(A12,'32_定義マスター'!$A$13:$A$30,0))="","",INDEX('32_定義マスター'!$G$13:$G$30,MATCH(A12,'32_定義マスター'!$A$13:$A$30,0)))))</f>
        <v>U01</v>
      </c>
      <c r="R12" s="29" t="s">
        <v>3533</v>
      </c>
      <c r="S12" s="29" t="s">
        <v>3517</v>
      </c>
      <c r="T12" s="29"/>
      <c r="U12" s="29"/>
      <c r="V12" s="28" t="str">
        <f t="shared" si="0"/>
        <v>EP-009@1</v>
      </c>
      <c r="W12" s="28" t="str">
        <f>IF(A12="","",IF(COUNTIF('32_定義マスター'!$A$13:$A$30,A12)&lt;&gt;1,"EvalType不正",IF(OR(V12="",COUNTIF($V$4:$V$103,V12)&lt;&gt;1),"PlanKey不足・重複",IF(OR(P12="",P12="未設定",P12="設計中",P12="改訂中"),"計画未確定",IF(AND(P12&lt;&gt;"承認",P12&lt;&gt;"対象外承認"),"状態不正",IF(OR(T12="",U12="",O12=""),"計画対象・承認不足",IF(P12="対象外承認",IF(G12="","対象外理由不足","対象外計画記録"),IF(OR(G12="",H12="",I12="",J12="",K12="",L12="",M12="",N12=""),"評価設計不足",IF(AND(A12="E05",OR(X12="",Y12="",Z12="")),"試行状態・成功定義不足","計画記録あり")))))))))</f>
        <v>計画未確定</v>
      </c>
      <c r="X12" s="29"/>
      <c r="Y12" s="29"/>
      <c r="Z12" s="29"/>
    </row>
    <row r="13" spans="1:26" ht="92" customHeight="1" x14ac:dyDescent="0.2">
      <c r="A13" s="4" t="s">
        <v>3534</v>
      </c>
      <c r="B13" s="28" t="str">
        <f>IF(A13="","",IF(COUNTIF('32_定義マスター'!$A$13:$A$30,A13)&lt;&gt;1,"参照ID不正",IF(INDEX('32_定義マスター'!$B$13:$B$30,MATCH(A13,'32_定義マスター'!$A$13:$A$30,0))="","",INDEX('32_定義マスター'!$B$13:$B$30,MATCH(A13,'32_定義マスター'!$A$13:$A$30,0)))))</f>
        <v>UX・透明性</v>
      </c>
      <c r="C13" s="28" t="str">
        <f>IF(A13="","",IF(COUNTIF('32_定義マスター'!$A$13:$A$30,A13)&lt;&gt;1,"参照ID不正",IF(INDEX('32_定義マスター'!$C$13:$C$30,MATCH(A13,'32_定義マスター'!$A$13:$A$30,0))="","",INDEX('32_定義マスター'!$C$13:$C$30,MATCH(A13,'32_定義マスター'!$A$13:$A$30,0)))))</f>
        <v>理解/誤信/介入/訂正・救済</v>
      </c>
      <c r="D13" s="28" t="str">
        <f>IF(A13="","",IF(COUNTIF('32_定義マスター'!$A$13:$A$30,A13)&lt;&gt;1,"参照ID不正",IF(INDEX('32_定義マスター'!$D$13:$D$30,MATCH(A13,'32_定義マスター'!$A$13:$A$30,0))="","",INDEX('32_定義マスター'!$D$13:$D$30,MATCH(A13,'32_定義マスター'!$A$13:$A$30,0)))))</f>
        <v>実ユーザー試験、アクセシビリティ、失敗時行動</v>
      </c>
      <c r="E13" s="28" t="str">
        <f>IF(A13="","",IF(COUNTIF('32_定義マスター'!$A$13:$A$30,A13)&lt;&gt;1,"参照ID不正",IF(INDEX('32_定義マスター'!$E$13:$E$30,MATCH(A13,'32_定義マスター'!$A$13:$A$30,0))="","",INDEX('32_定義マスター'!$E$13:$E$30,MATCH(A13,'32_定義マスター'!$A$13:$A$30,0)))))</f>
        <v>全</v>
      </c>
      <c r="F13" s="28" t="str">
        <f>IF(A13="","",IF(COUNTIF('32_定義マスター'!$A$13:$A$30,A13)&lt;&gt;1,"参照ID不正",IF(INDEX('32_定義マスター'!$F$13:$F$30,MATCH(A13,'32_定義マスター'!$A$13:$A$30,0))="","",INDEX('32_定義マスター'!$F$13:$F$30,MATCH(A13,'32_定義マスター'!$A$13:$A$30,0)))))</f>
        <v>R05,R11</v>
      </c>
      <c r="G13" s="6"/>
      <c r="H13" s="6"/>
      <c r="I13" s="6"/>
      <c r="J13" s="6"/>
      <c r="K13" s="6"/>
      <c r="L13" s="6"/>
      <c r="M13" s="6"/>
      <c r="N13" s="6"/>
      <c r="O13" s="6"/>
      <c r="P13" s="6" t="s">
        <v>3515</v>
      </c>
      <c r="Q13" s="28" t="str">
        <f>IF(A13="","",IF(COUNTIF('32_定義マスター'!$A$13:$A$30,A13)&lt;&gt;1,"参照ID不正",IF(INDEX('32_定義マスター'!$G$13:$G$30,MATCH(A13,'32_定義マスター'!$A$13:$A$30,0))="","",INDEX('32_定義マスター'!$G$13:$G$30,MATCH(A13,'32_定義マスター'!$A$13:$A$30,0)))))</f>
        <v>U01</v>
      </c>
      <c r="R13" s="29" t="s">
        <v>3535</v>
      </c>
      <c r="S13" s="29" t="s">
        <v>3517</v>
      </c>
      <c r="T13" s="29"/>
      <c r="U13" s="29"/>
      <c r="V13" s="28" t="str">
        <f t="shared" si="0"/>
        <v>EP-010@1</v>
      </c>
      <c r="W13" s="28" t="str">
        <f>IF(A13="","",IF(COUNTIF('32_定義マスター'!$A$13:$A$30,A13)&lt;&gt;1,"EvalType不正",IF(OR(V13="",COUNTIF($V$4:$V$103,V13)&lt;&gt;1),"PlanKey不足・重複",IF(OR(P13="",P13="未設定",P13="設計中",P13="改訂中"),"計画未確定",IF(AND(P13&lt;&gt;"承認",P13&lt;&gt;"対象外承認"),"状態不正",IF(OR(T13="",U13="",O13=""),"計画対象・承認不足",IF(P13="対象外承認",IF(G13="","対象外理由不足","対象外計画記録"),IF(OR(G13="",H13="",I13="",J13="",K13="",L13="",M13="",N13=""),"評価設計不足",IF(AND(A13="E05",OR(X13="",Y13="",Z13="")),"試行状態・成功定義不足","計画記録あり")))))))))</f>
        <v>計画未確定</v>
      </c>
      <c r="X13" s="29"/>
      <c r="Y13" s="29"/>
      <c r="Z13" s="29"/>
    </row>
    <row r="14" spans="1:26" ht="92" customHeight="1" x14ac:dyDescent="0.2">
      <c r="A14" s="2" t="s">
        <v>3536</v>
      </c>
      <c r="B14" s="28" t="str">
        <f>IF(A14="","",IF(COUNTIF('32_定義マスター'!$A$13:$A$30,A14)&lt;&gt;1,"参照ID不正",IF(INDEX('32_定義マスター'!$B$13:$B$30,MATCH(A14,'32_定義マスター'!$A$13:$A$30,0))="","",INDEX('32_定義マスター'!$B$13:$B$30,MATCH(A14,'32_定義マスター'!$A$13:$A$30,0)))))</f>
        <v>信頼性/性能</v>
      </c>
      <c r="C14" s="28" t="str">
        <f>IF(A14="","",IF(COUNTIF('32_定義マスター'!$A$13:$A$30,A14)&lt;&gt;1,"参照ID不正",IF(INDEX('32_定義マスター'!$C$13:$C$30,MATCH(A14,'32_定義マスター'!$A$13:$A$30,0))="","",INDEX('32_定義マスター'!$C$13:$C$30,MATCH(A14,'32_定義マスター'!$A$13:$A$30,0)))))</f>
        <v>p95/p99/可用性/timeout</v>
      </c>
      <c r="D14" s="28" t="str">
        <f>IF(A14="","",IF(COUNTIF('32_定義マスター'!$A$13:$A$30,A14)&lt;&gt;1,"参照ID不正",IF(INDEX('32_定義マスター'!$D$13:$D$30,MATCH(A14,'32_定義マスター'!$A$13:$A$30,0))="","",INDEX('32_定義マスター'!$D$13:$D$30,MATCH(A14,'32_定義マスター'!$A$13:$A$30,0)))))</f>
        <v>同時実行・負荷分布・依存障害を定義</v>
      </c>
      <c r="E14" s="28" t="str">
        <f>IF(A14="","",IF(COUNTIF('32_定義マスター'!$A$13:$A$30,A14)&lt;&gt;1,"参照ID不正",IF(INDEX('32_定義マスター'!$E$13:$E$30,MATCH(A14,'32_定義マスター'!$A$13:$A$30,0))="","",INDEX('32_定義マスター'!$E$13:$E$30,MATCH(A14,'32_定義マスター'!$A$13:$A$30,0)))))</f>
        <v>全</v>
      </c>
      <c r="F14" s="28" t="str">
        <f>IF(A14="","",IF(COUNTIF('32_定義マスター'!$A$13:$A$30,A14)&lt;&gt;1,"参照ID不正",IF(INDEX('32_定義マスター'!$F$13:$F$30,MATCH(A14,'32_定義マスター'!$A$13:$A$30,0))="","",INDEX('32_定義マスター'!$F$13:$F$30,MATCH(A14,'32_定義マスター'!$A$13:$A$30,0)))))</f>
        <v>R12</v>
      </c>
      <c r="G14" s="6"/>
      <c r="H14" s="6"/>
      <c r="I14" s="6"/>
      <c r="J14" s="6"/>
      <c r="K14" s="6"/>
      <c r="L14" s="6"/>
      <c r="M14" s="6"/>
      <c r="N14" s="6"/>
      <c r="O14" s="6"/>
      <c r="P14" s="6" t="s">
        <v>3515</v>
      </c>
      <c r="Q14" s="28" t="str">
        <f>IF(A14="","",IF(COUNTIF('32_定義マスター'!$A$13:$A$30,A14)&lt;&gt;1,"参照ID不正",IF(INDEX('32_定義マスター'!$G$13:$G$30,MATCH(A14,'32_定義マスター'!$A$13:$A$30,0))="","",INDEX('32_定義マスター'!$G$13:$G$30,MATCH(A14,'32_定義マスター'!$A$13:$A$30,0)))))</f>
        <v>U01</v>
      </c>
      <c r="R14" s="29" t="s">
        <v>3537</v>
      </c>
      <c r="S14" s="29" t="s">
        <v>3517</v>
      </c>
      <c r="T14" s="29"/>
      <c r="U14" s="29"/>
      <c r="V14" s="28" t="str">
        <f t="shared" si="0"/>
        <v>EP-011@1</v>
      </c>
      <c r="W14" s="28" t="str">
        <f>IF(A14="","",IF(COUNTIF('32_定義マスター'!$A$13:$A$30,A14)&lt;&gt;1,"EvalType不正",IF(OR(V14="",COUNTIF($V$4:$V$103,V14)&lt;&gt;1),"PlanKey不足・重複",IF(OR(P14="",P14="未設定",P14="設計中",P14="改訂中"),"計画未確定",IF(AND(P14&lt;&gt;"承認",P14&lt;&gt;"対象外承認"),"状態不正",IF(OR(T14="",U14="",O14=""),"計画対象・承認不足",IF(P14="対象外承認",IF(G14="","対象外理由不足","対象外計画記録"),IF(OR(G14="",H14="",I14="",J14="",K14="",L14="",M14="",N14=""),"評価設計不足",IF(AND(A14="E05",OR(X14="",Y14="",Z14="")),"試行状態・成功定義不足","計画記録あり")))))))))</f>
        <v>計画未確定</v>
      </c>
      <c r="X14" s="29"/>
      <c r="Y14" s="29"/>
      <c r="Z14" s="29"/>
    </row>
    <row r="15" spans="1:26" ht="92" customHeight="1" x14ac:dyDescent="0.2">
      <c r="A15" s="4" t="s">
        <v>3538</v>
      </c>
      <c r="B15" s="28" t="str">
        <f>IF(A15="","",IF(COUNTIF('32_定義マスター'!$A$13:$A$30,A15)&lt;&gt;1,"参照ID不正",IF(INDEX('32_定義マスター'!$B$13:$B$30,MATCH(A15,'32_定義マスター'!$A$13:$A$30,0))="","",INDEX('32_定義マスター'!$B$13:$B$30,MATCH(A15,'32_定義マスター'!$A$13:$A$30,0)))))</f>
        <v>復旧・縮退</v>
      </c>
      <c r="C15" s="28" t="str">
        <f>IF(A15="","",IF(COUNTIF('32_定義マスター'!$A$13:$A$30,A15)&lt;&gt;1,"参照ID不正",IF(INDEX('32_定義マスター'!$C$13:$C$30,MATCH(A15,'32_定義マスター'!$A$13:$A$30,0))="","",INDEX('32_定義マスター'!$C$13:$C$30,MATCH(A15,'32_定義マスター'!$A$13:$A$30,0)))))</f>
        <v>RTO/RPO/停止/部分失敗復旧</v>
      </c>
      <c r="D15" s="28" t="str">
        <f>IF(A15="","",IF(COUNTIF('32_定義マスター'!$A$13:$A$30,A15)&lt;&gt;1,"参照ID不正",IF(INDEX('32_定義マスター'!$D$13:$D$30,MATCH(A15,'32_定義マスター'!$A$13:$A$30,0))="","",INDEX('32_定義マスター'!$D$13:$D$30,MATCH(A15,'32_定義マスター'!$A$13:$A$30,0)))))</f>
        <v>モデルだけでなくPrompt/Data/Tool/権限版を復元</v>
      </c>
      <c r="E15" s="28" t="str">
        <f>IF(A15="","",IF(COUNTIF('32_定義マスター'!$A$13:$A$30,A15)&lt;&gt;1,"参照ID不正",IF(INDEX('32_定義マスター'!$E$13:$E$30,MATCH(A15,'32_定義マスター'!$A$13:$A$30,0))="","",INDEX('32_定義マスター'!$E$13:$E$30,MATCH(A15,'32_定義マスター'!$A$13:$A$30,0)))))</f>
        <v>全</v>
      </c>
      <c r="F15" s="28" t="str">
        <f>IF(A15="","",IF(COUNTIF('32_定義マスター'!$A$13:$A$30,A15)&lt;&gt;1,"参照ID不正",IF(INDEX('32_定義マスター'!$F$13:$F$30,MATCH(A15,'32_定義マスター'!$A$13:$A$30,0))="","",INDEX('32_定義マスター'!$F$13:$F$30,MATCH(A15,'32_定義マスター'!$A$13:$A$30,0)))))</f>
        <v>R12,R18</v>
      </c>
      <c r="G15" s="6"/>
      <c r="H15" s="6"/>
      <c r="I15" s="6"/>
      <c r="J15" s="6"/>
      <c r="K15" s="6"/>
      <c r="L15" s="6"/>
      <c r="M15" s="6"/>
      <c r="N15" s="6"/>
      <c r="O15" s="6"/>
      <c r="P15" s="6" t="s">
        <v>3515</v>
      </c>
      <c r="Q15" s="28" t="str">
        <f>IF(A15="","",IF(COUNTIF('32_定義マスター'!$A$13:$A$30,A15)&lt;&gt;1,"参照ID不正",IF(INDEX('32_定義マスター'!$G$13:$G$30,MATCH(A15,'32_定義マスター'!$A$13:$A$30,0))="","",INDEX('32_定義マスター'!$G$13:$G$30,MATCH(A15,'32_定義マスター'!$A$13:$A$30,0)))))</f>
        <v>U01</v>
      </c>
      <c r="R15" s="29" t="s">
        <v>3539</v>
      </c>
      <c r="S15" s="29" t="s">
        <v>3517</v>
      </c>
      <c r="T15" s="29"/>
      <c r="U15" s="29"/>
      <c r="V15" s="28" t="str">
        <f t="shared" si="0"/>
        <v>EP-012@1</v>
      </c>
      <c r="W15" s="28" t="str">
        <f>IF(A15="","",IF(COUNTIF('32_定義マスター'!$A$13:$A$30,A15)&lt;&gt;1,"EvalType不正",IF(OR(V15="",COUNTIF($V$4:$V$103,V15)&lt;&gt;1),"PlanKey不足・重複",IF(OR(P15="",P15="未設定",P15="設計中",P15="改訂中"),"計画未確定",IF(AND(P15&lt;&gt;"承認",P15&lt;&gt;"対象外承認"),"状態不正",IF(OR(T15="",U15="",O15=""),"計画対象・承認不足",IF(P15="対象外承認",IF(G15="","対象外理由不足","対象外計画記録"),IF(OR(G15="",H15="",I15="",J15="",K15="",L15="",M15="",N15=""),"評価設計不足",IF(AND(A15="E05",OR(X15="",Y15="",Z15="")),"試行状態・成功定義不足","計画記録あり")))))))))</f>
        <v>計画未確定</v>
      </c>
      <c r="X15" s="29"/>
      <c r="Y15" s="29"/>
      <c r="Z15" s="29"/>
    </row>
    <row r="16" spans="1:26" ht="92" customHeight="1" x14ac:dyDescent="0.2">
      <c r="A16" s="2" t="s">
        <v>3540</v>
      </c>
      <c r="B16" s="28" t="str">
        <f>IF(A16="","",IF(COUNTIF('32_定義マスター'!$A$13:$A$30,A16)&lt;&gt;1,"参照ID不正",IF(INDEX('32_定義マスター'!$B$13:$B$30,MATCH(A16,'32_定義マスター'!$A$13:$A$30,0))="","",INDEX('32_定義マスター'!$B$13:$B$30,MATCH(A16,'32_定義マスター'!$A$13:$A$30,0)))))</f>
        <v>費用</v>
      </c>
      <c r="C16" s="28" t="str">
        <f>IF(A16="","",IF(COUNTIF('32_定義マスター'!$A$13:$A$30,A16)&lt;&gt;1,"参照ID不正",IF(INDEX('32_定義マスター'!$C$13:$C$30,MATCH(A16,'32_定義マスター'!$A$13:$A$30,0))="","",INDEX('32_定義マスター'!$C$13:$C$30,MATCH(A16,'32_定義マスター'!$A$13:$A$30,0)))))</f>
        <v>cost/task、cost/success</v>
      </c>
      <c r="D16" s="28" t="str">
        <f>IF(A16="","",IF(COUNTIF('32_定義マスター'!$A$13:$A$30,A16)&lt;&gt;1,"参照ID不正",IF(INDEX('32_定義マスター'!$D$13:$D$30,MATCH(A16,'32_定義マスター'!$A$13:$A$30,0))="","",INDEX('32_定義マスター'!$D$13:$D$30,MATCH(A16,'32_定義マスター'!$A$13:$A$30,0)))))</f>
        <v>失敗・retry・人間介入・API/基盤費を含める</v>
      </c>
      <c r="E16" s="28" t="str">
        <f>IF(A16="","",IF(COUNTIF('32_定義マスター'!$A$13:$A$30,A16)&lt;&gt;1,"参照ID不正",IF(INDEX('32_定義マスター'!$E$13:$E$30,MATCH(A16,'32_定義マスター'!$A$13:$A$30,0))="","",INDEX('32_定義マスター'!$E$13:$E$30,MATCH(A16,'32_定義マスター'!$A$13:$A$30,0)))))</f>
        <v>全</v>
      </c>
      <c r="F16" s="28" t="str">
        <f>IF(A16="","",IF(COUNTIF('32_定義マスター'!$A$13:$A$30,A16)&lt;&gt;1,"参照ID不正",IF(INDEX('32_定義マスター'!$F$13:$F$30,MATCH(A16,'32_定義マスター'!$A$13:$A$30,0))="","",INDEX('32_定義マスター'!$F$13:$F$30,MATCH(A16,'32_定義マスター'!$A$13:$A$30,0)))))</f>
        <v>R15</v>
      </c>
      <c r="G16" s="6"/>
      <c r="H16" s="6"/>
      <c r="I16" s="6"/>
      <c r="J16" s="6"/>
      <c r="K16" s="6"/>
      <c r="L16" s="6"/>
      <c r="M16" s="6"/>
      <c r="N16" s="6"/>
      <c r="O16" s="6"/>
      <c r="P16" s="6" t="s">
        <v>3515</v>
      </c>
      <c r="Q16" s="28" t="str">
        <f>IF(A16="","",IF(COUNTIF('32_定義マスター'!$A$13:$A$30,A16)&lt;&gt;1,"参照ID不正",IF(INDEX('32_定義マスター'!$G$13:$G$30,MATCH(A16,'32_定義マスター'!$A$13:$A$30,0))="","",INDEX('32_定義マスター'!$G$13:$G$30,MATCH(A16,'32_定義マスター'!$A$13:$A$30,0)))))</f>
        <v>U01,W08</v>
      </c>
      <c r="R16" s="29" t="s">
        <v>3541</v>
      </c>
      <c r="S16" s="29" t="s">
        <v>3517</v>
      </c>
      <c r="T16" s="29"/>
      <c r="U16" s="29"/>
      <c r="V16" s="28" t="str">
        <f t="shared" si="0"/>
        <v>EP-013@1</v>
      </c>
      <c r="W16" s="28" t="str">
        <f>IF(A16="","",IF(COUNTIF('32_定義マスター'!$A$13:$A$30,A16)&lt;&gt;1,"EvalType不正",IF(OR(V16="",COUNTIF($V$4:$V$103,V16)&lt;&gt;1),"PlanKey不足・重複",IF(OR(P16="",P16="未設定",P16="設計中",P16="改訂中"),"計画未確定",IF(AND(P16&lt;&gt;"承認",P16&lt;&gt;"対象外承認"),"状態不正",IF(OR(T16="",U16="",O16=""),"計画対象・承認不足",IF(P16="対象外承認",IF(G16="","対象外理由不足","対象外計画記録"),IF(OR(G16="",H16="",I16="",J16="",K16="",L16="",M16="",N16=""),"評価設計不足",IF(AND(A16="E05",OR(X16="",Y16="",Z16="")),"試行状態・成功定義不足","計画記録あり")))))))))</f>
        <v>計画未確定</v>
      </c>
      <c r="X16" s="29"/>
      <c r="Y16" s="29"/>
      <c r="Z16" s="29"/>
    </row>
    <row r="17" spans="1:26" ht="92" customHeight="1" x14ac:dyDescent="0.2">
      <c r="A17" s="4" t="s">
        <v>3542</v>
      </c>
      <c r="B17" s="28" t="str">
        <f>IF(A17="","",IF(COUNTIF('32_定義マスター'!$A$13:$A$30,A17)&lt;&gt;1,"参照ID不正",IF(INDEX('32_定義マスター'!$B$13:$B$30,MATCH(A17,'32_定義マスター'!$A$13:$A$30,0))="","",INDEX('32_定義マスター'!$B$13:$B$30,MATCH(A17,'32_定義マスター'!$A$13:$A$30,0)))))</f>
        <v>grader較正</v>
      </c>
      <c r="C17" s="28" t="str">
        <f>IF(A17="","",IF(COUNTIF('32_定義マスター'!$A$13:$A$30,A17)&lt;&gt;1,"参照ID不正",IF(INDEX('32_定義マスター'!$C$13:$C$30,MATCH(A17,'32_定義マスター'!$A$13:$A$30,0))="","",INDEX('32_定義マスター'!$C$13:$C$30,MATCH(A17,'32_定義マスター'!$A$13:$A$30,0)))))</f>
        <v>人の採点との一致・重要誤判定</v>
      </c>
      <c r="D17" s="28" t="str">
        <f>IF(A17="","",IF(COUNTIF('32_定義マスター'!$A$13:$A$30,A17)&lt;&gt;1,"参照ID不正",IF(INDEX('32_定義マスター'!$D$13:$D$30,MATCH(A17,'32_定義マスター'!$A$13:$A$30,0))="","",INDEX('32_定義マスター'!$D$13:$D$30,MATCH(A17,'32_定義マスター'!$A$13:$A$30,0)))))</f>
        <v>盲検/複数判定/不一致処理/版、特定モデルへの偏り</v>
      </c>
      <c r="E17" s="28" t="str">
        <f>IF(A17="","",IF(COUNTIF('32_定義マスター'!$A$13:$A$30,A17)&lt;&gt;1,"参照ID不正",IF(INDEX('32_定義マスター'!$E$13:$E$30,MATCH(A17,'32_定義マスター'!$A$13:$A$30,0))="","",INDEX('32_定義マスター'!$E$13:$E$30,MATCH(A17,'32_定義マスター'!$A$13:$A$30,0)))))</f>
        <v>採点AI</v>
      </c>
      <c r="F17" s="28" t="str">
        <f>IF(A17="","",IF(COUNTIF('32_定義マスター'!$A$13:$A$30,A17)&lt;&gt;1,"参照ID不正",IF(INDEX('32_定義マスター'!$F$13:$F$30,MATCH(A17,'32_定義マスター'!$A$13:$A$30,0))="","",INDEX('32_定義マスター'!$F$13:$F$30,MATCH(A17,'32_定義マスター'!$A$13:$A$30,0)))))</f>
        <v>R11,R19</v>
      </c>
      <c r="G17" s="6"/>
      <c r="H17" s="6"/>
      <c r="I17" s="6"/>
      <c r="J17" s="6"/>
      <c r="K17" s="6"/>
      <c r="L17" s="6"/>
      <c r="M17" s="6"/>
      <c r="N17" s="6"/>
      <c r="O17" s="6"/>
      <c r="P17" s="6" t="s">
        <v>3515</v>
      </c>
      <c r="Q17" s="28" t="str">
        <f>IF(A17="","",IF(COUNTIF('32_定義マスター'!$A$13:$A$30,A17)&lt;&gt;1,"参照ID不正",IF(INDEX('32_定義マスター'!$G$13:$G$30,MATCH(A17,'32_定義マスター'!$A$13:$A$30,0))="","",INDEX('32_定義マスター'!$G$13:$G$30,MATCH(A17,'32_定義マスター'!$A$13:$A$30,0)))))</f>
        <v>W05</v>
      </c>
      <c r="R17" s="29" t="s">
        <v>3543</v>
      </c>
      <c r="S17" s="29" t="s">
        <v>3517</v>
      </c>
      <c r="T17" s="29"/>
      <c r="U17" s="29"/>
      <c r="V17" s="28" t="str">
        <f t="shared" si="0"/>
        <v>EP-014@1</v>
      </c>
      <c r="W17" s="28" t="str">
        <f>IF(A17="","",IF(COUNTIF('32_定義マスター'!$A$13:$A$30,A17)&lt;&gt;1,"EvalType不正",IF(OR(V17="",COUNTIF($V$4:$V$103,V17)&lt;&gt;1),"PlanKey不足・重複",IF(OR(P17="",P17="未設定",P17="設計中",P17="改訂中"),"計画未確定",IF(AND(P17&lt;&gt;"承認",P17&lt;&gt;"対象外承認"),"状態不正",IF(OR(T17="",U17="",O17=""),"計画対象・承認不足",IF(P17="対象外承認",IF(G17="","対象外理由不足","対象外計画記録"),IF(OR(G17="",H17="",I17="",J17="",K17="",L17="",M17="",N17=""),"評価設計不足",IF(AND(A17="E05",OR(X17="",Y17="",Z17="")),"試行状態・成功定義不足","計画記録あり")))))))))</f>
        <v>計画未確定</v>
      </c>
      <c r="X17" s="29"/>
      <c r="Y17" s="29"/>
      <c r="Z17" s="29"/>
    </row>
    <row r="18" spans="1:26" ht="92" customHeight="1" x14ac:dyDescent="0.2">
      <c r="A18" s="2" t="s">
        <v>3544</v>
      </c>
      <c r="B18" s="28" t="str">
        <f>IF(A18="","",IF(COUNTIF('32_定義マスター'!$A$13:$A$30,A18)&lt;&gt;1,"参照ID不正",IF(INDEX('32_定義マスター'!$B$13:$B$30,MATCH(A18,'32_定義マスター'!$A$13:$A$30,0))="","",INDEX('32_定義マスター'!$B$13:$B$30,MATCH(A18,'32_定義マスター'!$A$13:$A$30,0)))))</f>
        <v>Agent Skill</v>
      </c>
      <c r="C18" s="28" t="str">
        <f>IF(A18="","",IF(COUNTIF('32_定義マスター'!$A$13:$A$30,A18)&lt;&gt;1,"参照ID不正",IF(INDEX('32_定義マスター'!$C$13:$C$30,MATCH(A18,'32_定義マスター'!$A$13:$A$30,0))="","",INDEX('32_定義マスター'!$C$13:$C$30,MATCH(A18,'32_定義マスター'!$A$13:$A$30,0)))))</f>
        <v>trigger/non-trigger/回帰/権限拒否</v>
      </c>
      <c r="D18" s="28" t="str">
        <f>IF(A18="","",IF(COUNTIF('32_定義マスター'!$A$13:$A$30,A18)&lt;&gt;1,"参照ID不正",IF(INDEX('32_定義マスター'!$D$13:$D$30,MATCH(A18,'32_定義マスター'!$A$13:$A$30,0))="","",INDEX('32_定義マスター'!$D$13:$D$30,MATCH(A18,'32_定義マスター'!$A$13:$A$30,0)))))</f>
        <v>選ばれる条件と選ばれない条件、script依存の供給網を含む</v>
      </c>
      <c r="E18" s="28" t="str">
        <f>IF(A18="","",IF(COUNTIF('32_定義マスター'!$A$13:$A$30,A18)&lt;&gt;1,"参照ID不正",IF(INDEX('32_定義マスター'!$E$13:$E$30,MATCH(A18,'32_定義マスター'!$A$13:$A$30,0))="","",INDEX('32_定義マスター'!$E$13:$E$30,MATCH(A18,'32_定義マスター'!$A$13:$A$30,0)))))</f>
        <v>Skill</v>
      </c>
      <c r="F18" s="28" t="str">
        <f>IF(A18="","",IF(COUNTIF('32_定義マスター'!$A$13:$A$30,A18)&lt;&gt;1,"参照ID不正",IF(INDEX('32_定義マスター'!$F$13:$F$30,MATCH(A18,'32_定義マスター'!$A$13:$A$30,0))="","",INDEX('32_定義マスター'!$F$13:$F$30,MATCH(A18,'32_定義マスター'!$A$13:$A$30,0)))))</f>
        <v>R06,R11</v>
      </c>
      <c r="G18" s="6"/>
      <c r="H18" s="6"/>
      <c r="I18" s="6"/>
      <c r="J18" s="6"/>
      <c r="K18" s="6"/>
      <c r="L18" s="6"/>
      <c r="M18" s="6"/>
      <c r="N18" s="6"/>
      <c r="O18" s="6"/>
      <c r="P18" s="6" t="s">
        <v>3515</v>
      </c>
      <c r="Q18" s="28" t="str">
        <f>IF(A18="","",IF(COUNTIF('32_定義マスター'!$A$13:$A$30,A18)&lt;&gt;1,"参照ID不正",IF(INDEX('32_定義マスター'!$G$13:$G$30,MATCH(A18,'32_定義マスター'!$A$13:$A$30,0))="","",INDEX('32_定義マスター'!$G$13:$G$30,MATCH(A18,'32_定義マスター'!$A$13:$A$30,0)))))</f>
        <v>W14,U03</v>
      </c>
      <c r="R18" s="29" t="s">
        <v>3545</v>
      </c>
      <c r="S18" s="29" t="s">
        <v>3517</v>
      </c>
      <c r="T18" s="29"/>
      <c r="U18" s="29"/>
      <c r="V18" s="28" t="str">
        <f t="shared" si="0"/>
        <v>EP-015@1</v>
      </c>
      <c r="W18" s="28" t="str">
        <f>IF(A18="","",IF(COUNTIF('32_定義マスター'!$A$13:$A$30,A18)&lt;&gt;1,"EvalType不正",IF(OR(V18="",COUNTIF($V$4:$V$103,V18)&lt;&gt;1),"PlanKey不足・重複",IF(OR(P18="",P18="未設定",P18="設計中",P18="改訂中"),"計画未確定",IF(AND(P18&lt;&gt;"承認",P18&lt;&gt;"対象外承認"),"状態不正",IF(OR(T18="",U18="",O18=""),"計画対象・承認不足",IF(P18="対象外承認",IF(G18="","対象外理由不足","対象外計画記録"),IF(OR(G18="",H18="",I18="",J18="",K18="",L18="",M18="",N18=""),"評価設計不足",IF(AND(A18="E05",OR(X18="",Y18="",Z18="")),"試行状態・成功定義不足","計画記録あり")))))))))</f>
        <v>計画未確定</v>
      </c>
      <c r="X18" s="29"/>
      <c r="Y18" s="29"/>
      <c r="Z18" s="29"/>
    </row>
    <row r="19" spans="1:26" ht="92" customHeight="1" x14ac:dyDescent="0.2">
      <c r="A19" s="4" t="s">
        <v>3546</v>
      </c>
      <c r="B19" s="28" t="str">
        <f>IF(A19="","",IF(COUNTIF('32_定義マスター'!$A$13:$A$30,A19)&lt;&gt;1,"参照ID不正",IF(INDEX('32_定義マスター'!$B$13:$B$30,MATCH(A19,'32_定義マスター'!$A$13:$A$30,0))="","",INDEX('32_定義マスター'!$B$13:$B$30,MATCH(A19,'32_定義マスター'!$A$13:$A$30,0)))))</f>
        <v>変更回帰</v>
      </c>
      <c r="C19" s="28" t="str">
        <f>IF(A19="","",IF(COUNTIF('32_定義マスター'!$A$13:$A$30,A19)&lt;&gt;1,"参照ID不正",IF(INDEX('32_定義マスター'!$C$13:$C$30,MATCH(A19,'32_定義マスター'!$A$13:$A$30,0))="","",INDEX('32_定義マスター'!$C$13:$C$30,MATCH(A19,'32_定義マスター'!$A$13:$A$30,0)))))</f>
        <v>変更前後差分・予期せぬ劣化</v>
      </c>
      <c r="D19" s="28" t="str">
        <f>IF(A19="","",IF(COUNTIF('32_定義マスター'!$A$13:$A$30,A19)&lt;&gt;1,"参照ID不正",IF(INDEX('32_定義マスター'!$D$13:$D$30,MATCH(A19,'32_定義マスター'!$A$13:$A$30,0))="","",INDEX('32_定義マスター'!$D$13:$D$30,MATCH(A19,'32_定義マスター'!$A$13:$A$30,0)))))</f>
        <v>旧/新構成、既知失敗、本番slice、再評価範囲</v>
      </c>
      <c r="E19" s="28" t="str">
        <f>IF(A19="","",IF(COUNTIF('32_定義マスター'!$A$13:$A$30,A19)&lt;&gt;1,"参照ID不正",IF(INDEX('32_定義マスター'!$E$13:$E$30,MATCH(A19,'32_定義マスター'!$A$13:$A$30,0))="","",INDEX('32_定義マスター'!$E$13:$E$30,MATCH(A19,'32_定義マスター'!$A$13:$A$30,0)))))</f>
        <v>全</v>
      </c>
      <c r="F19" s="28" t="str">
        <f>IF(A19="","",IF(COUNTIF('32_定義マスター'!$A$13:$A$30,A19)&lt;&gt;1,"参照ID不正",IF(INDEX('32_定義マスター'!$F$13:$F$30,MATCH(A19,'32_定義マスター'!$A$13:$A$30,0))="","",INDEX('32_定義マスター'!$F$13:$F$30,MATCH(A19,'32_定義マスター'!$A$13:$A$30,0)))))</f>
        <v>R11</v>
      </c>
      <c r="G19" s="6"/>
      <c r="H19" s="6"/>
      <c r="I19" s="6"/>
      <c r="J19" s="6"/>
      <c r="K19" s="6"/>
      <c r="L19" s="6"/>
      <c r="M19" s="6"/>
      <c r="N19" s="6"/>
      <c r="O19" s="6"/>
      <c r="P19" s="6" t="s">
        <v>3515</v>
      </c>
      <c r="Q19" s="28" t="str">
        <f>IF(A19="","",IF(COUNTIF('32_定義マスター'!$A$13:$A$30,A19)&lt;&gt;1,"参照ID不正",IF(INDEX('32_定義マスター'!$G$13:$G$30,MATCH(A19,'32_定義マスター'!$A$13:$A$30,0))="","",INDEX('32_定義マスター'!$G$13:$G$30,MATCH(A19,'32_定義マスター'!$A$13:$A$30,0)))))</f>
        <v>U01,W05</v>
      </c>
      <c r="R19" s="29" t="s">
        <v>3547</v>
      </c>
      <c r="S19" s="29" t="s">
        <v>3517</v>
      </c>
      <c r="T19" s="29"/>
      <c r="U19" s="29"/>
      <c r="V19" s="28" t="str">
        <f t="shared" si="0"/>
        <v>EP-016@1</v>
      </c>
      <c r="W19" s="28" t="str">
        <f>IF(A19="","",IF(COUNTIF('32_定義マスター'!$A$13:$A$30,A19)&lt;&gt;1,"EvalType不正",IF(OR(V19="",COUNTIF($V$4:$V$103,V19)&lt;&gt;1),"PlanKey不足・重複",IF(OR(P19="",P19="未設定",P19="設計中",P19="改訂中"),"計画未確定",IF(AND(P19&lt;&gt;"承認",P19&lt;&gt;"対象外承認"),"状態不正",IF(OR(T19="",U19="",O19=""),"計画対象・承認不足",IF(P19="対象外承認",IF(G19="","対象外理由不足","対象外計画記録"),IF(OR(G19="",H19="",I19="",J19="",K19="",L19="",M19="",N19=""),"評価設計不足",IF(AND(A19="E05",OR(X19="",Y19="",Z19="")),"試行状態・成功定義不足","計画記録あり")))))))))</f>
        <v>計画未確定</v>
      </c>
      <c r="X19" s="29"/>
      <c r="Y19" s="29"/>
      <c r="Z19" s="29"/>
    </row>
    <row r="20" spans="1:26" ht="92" customHeight="1" x14ac:dyDescent="0.2">
      <c r="A20" s="2" t="s">
        <v>3548</v>
      </c>
      <c r="B20" s="28" t="str">
        <f>IF(A20="","",IF(COUNTIF('32_定義マスター'!$A$13:$A$30,A20)&lt;&gt;1,"参照ID不正",IF(INDEX('32_定義マスター'!$B$13:$B$30,MATCH(A20,'32_定義マスター'!$A$13:$A$30,0))="","",INDEX('32_定義マスター'!$B$13:$B$30,MATCH(A20,'32_定義マスター'!$A$13:$A$30,0)))))</f>
        <v>請求・計測</v>
      </c>
      <c r="C20" s="28" t="str">
        <f>IF(A20="","",IF(COUNTIF('32_定義マスター'!$A$13:$A$30,A20)&lt;&gt;1,"参照ID不正",IF(INDEX('32_定義マスター'!$C$13:$C$30,MATCH(A20,'32_定義マスター'!$A$13:$A$30,0))="","",INDEX('32_定義マスター'!$C$13:$C$30,MATCH(A20,'32_定義マスター'!$A$13:$A$30,0)))))</f>
        <v>課金の正確性・二重計上・返金</v>
      </c>
      <c r="D20" s="28" t="str">
        <f>IF(A20="","",IF(COUNTIF('32_定義マスター'!$A$13:$A$30,A20)&lt;&gt;1,"参照ID不正",IF(INDEX('32_定義マスター'!$D$13:$D$30,MATCH(A20,'32_定義マスター'!$A$13:$A$30,0))="","",INDEX('32_定義マスター'!$D$13:$D$30,MATCH(A20,'32_定義マスター'!$A$13:$A$30,0)))))</f>
        <v>成功/失敗/重複イベントと税・契約条件を照合</v>
      </c>
      <c r="E20" s="28" t="str">
        <f>IF(A20="","",IF(COUNTIF('32_定義マスター'!$A$13:$A$30,A20)&lt;&gt;1,"参照ID不正",IF(INDEX('32_定義マスター'!$E$13:$E$30,MATCH(A20,'32_定義マスター'!$A$13:$A$30,0))="","",INDEX('32_定義マスター'!$E$13:$E$30,MATCH(A20,'32_定義マスター'!$A$13:$A$30,0)))))</f>
        <v>外販課金</v>
      </c>
      <c r="F20" s="28" t="str">
        <f>IF(A20="","",IF(COUNTIF('32_定義マスター'!$A$13:$A$30,A20)&lt;&gt;1,"参照ID不正",IF(INDEX('32_定義マスター'!$F$13:$F$30,MATCH(A20,'32_定義マスター'!$A$13:$A$30,0))="","",INDEX('32_定義マスター'!$F$13:$F$30,MATCH(A20,'32_定義マスター'!$A$13:$A$30,0)))))</f>
        <v>R15,R11</v>
      </c>
      <c r="G20" s="6"/>
      <c r="H20" s="6"/>
      <c r="I20" s="6"/>
      <c r="J20" s="6"/>
      <c r="K20" s="6"/>
      <c r="L20" s="6"/>
      <c r="M20" s="6"/>
      <c r="N20" s="6"/>
      <c r="O20" s="6"/>
      <c r="P20" s="6" t="s">
        <v>3515</v>
      </c>
      <c r="Q20" s="28" t="str">
        <f>IF(A20="","",IF(COUNTIF('32_定義マスター'!$A$13:$A$30,A20)&lt;&gt;1,"参照ID不正",IF(INDEX('32_定義マスター'!$G$13:$G$30,MATCH(A20,'32_定義マスター'!$A$13:$A$30,0))="","",INDEX('32_定義マスター'!$G$13:$G$30,MATCH(A20,'32_定義マスター'!$A$13:$A$30,0)))))</f>
        <v>U03</v>
      </c>
      <c r="R20" s="29" t="s">
        <v>3549</v>
      </c>
      <c r="S20" s="29" t="s">
        <v>3517</v>
      </c>
      <c r="T20" s="29"/>
      <c r="U20" s="29"/>
      <c r="V20" s="28" t="str">
        <f t="shared" si="0"/>
        <v>EP-017@1</v>
      </c>
      <c r="W20" s="28" t="str">
        <f>IF(A20="","",IF(COUNTIF('32_定義マスター'!$A$13:$A$30,A20)&lt;&gt;1,"EvalType不正",IF(OR(V20="",COUNTIF($V$4:$V$103,V20)&lt;&gt;1),"PlanKey不足・重複",IF(OR(P20="",P20="未設定",P20="設計中",P20="改訂中"),"計画未確定",IF(AND(P20&lt;&gt;"承認",P20&lt;&gt;"対象外承認"),"状態不正",IF(OR(T20="",U20="",O20=""),"計画対象・承認不足",IF(P20="対象外承認",IF(G20="","対象外理由不足","対象外計画記録"),IF(OR(G20="",H20="",I20="",J20="",K20="",L20="",M20="",N20=""),"評価設計不足",IF(AND(A20="E05",OR(X20="",Y20="",Z20="")),"試行状態・成功定義不足","計画記録あり")))))))))</f>
        <v>計画未確定</v>
      </c>
      <c r="X20" s="29"/>
      <c r="Y20" s="29"/>
      <c r="Z20" s="29"/>
    </row>
    <row r="21" spans="1:26" ht="92" customHeight="1" x14ac:dyDescent="0.2">
      <c r="A21" s="4" t="s">
        <v>3550</v>
      </c>
      <c r="B21" s="28" t="str">
        <f>IF(A21="","",IF(COUNTIF('32_定義マスター'!$A$13:$A$30,A21)&lt;&gt;1,"参照ID不正",IF(INDEX('32_定義マスター'!$B$13:$B$30,MATCH(A21,'32_定義マスター'!$A$13:$A$30,0))="","",INDEX('32_定義マスター'!$B$13:$B$30,MATCH(A21,'32_定義マスター'!$A$13:$A$30,0)))))</f>
        <v>公開準備</v>
      </c>
      <c r="C21" s="28" t="str">
        <f>IF(A21="","",IF(COUNTIF('32_定義マスター'!$A$13:$A$30,A21)&lt;&gt;1,"参照ID不正",IF(INDEX('32_定義マスター'!$C$13:$C$30,MATCH(A21,'32_定義マスター'!$A$13:$A$30,0))="","",INDEX('32_定義マスター'!$C$13:$C$30,MATCH(A21,'32_定義マスター'!$A$13:$A$30,0)))))</f>
        <v>未解決リスク・運用・支援の充足</v>
      </c>
      <c r="D21" s="28" t="str">
        <f>IF(A21="","",IF(COUNTIF('32_定義マスター'!$A$13:$A$30,A21)&lt;&gt;1,"参照ID不正",IF(INDEX('32_定義マスター'!$D$13:$D$30,MATCH(A21,'32_定義マスター'!$A$13:$A$30,0))="","",INDEX('32_定義マスター'!$D$13:$D$30,MATCH(A21,'32_定義マスター'!$A$13:$A$30,0)))))</f>
        <v>独立評価・公開対象版・承認・条件期限を照合</v>
      </c>
      <c r="E21" s="28" t="str">
        <f>IF(A21="","",IF(COUNTIF('32_定義マスター'!$A$13:$A$30,A21)&lt;&gt;1,"参照ID不正",IF(INDEX('32_定義マスター'!$E$13:$E$30,MATCH(A21,'32_定義マスター'!$A$13:$A$30,0))="","",INDEX('32_定義マスター'!$E$13:$E$30,MATCH(A21,'32_定義マスター'!$A$13:$A$30,0)))))</f>
        <v>全</v>
      </c>
      <c r="F21" s="28" t="str">
        <f>IF(A21="","",IF(COUNTIF('32_定義マスター'!$A$13:$A$30,A21)&lt;&gt;1,"参照ID不正",IF(INDEX('32_定義マスター'!$F$13:$F$30,MATCH(A21,'32_定義マスター'!$A$13:$A$30,0))="","",INDEX('32_定義マスター'!$F$13:$F$30,MATCH(A21,'32_定義マスター'!$A$13:$A$30,0)))))</f>
        <v>R19,R18</v>
      </c>
      <c r="G21" s="6"/>
      <c r="H21" s="6"/>
      <c r="I21" s="6"/>
      <c r="J21" s="6"/>
      <c r="K21" s="6"/>
      <c r="L21" s="6"/>
      <c r="M21" s="6"/>
      <c r="N21" s="6"/>
      <c r="O21" s="6"/>
      <c r="P21" s="6" t="s">
        <v>3515</v>
      </c>
      <c r="Q21" s="28" t="str">
        <f>IF(A21="","",IF(COUNTIF('32_定義マスター'!$A$13:$A$30,A21)&lt;&gt;1,"参照ID不正",IF(INDEX('32_定義マスター'!$G$13:$G$30,MATCH(A21,'32_定義マスター'!$A$13:$A$30,0))="","",INDEX('32_定義マスター'!$G$13:$G$30,MATCH(A21,'32_定義マスター'!$A$13:$A$30,0)))))</f>
        <v>U01</v>
      </c>
      <c r="R21" s="29" t="s">
        <v>3551</v>
      </c>
      <c r="S21" s="29" t="s">
        <v>3517</v>
      </c>
      <c r="T21" s="29"/>
      <c r="U21" s="29"/>
      <c r="V21" s="28" t="str">
        <f t="shared" si="0"/>
        <v>EP-018@1</v>
      </c>
      <c r="W21" s="28" t="str">
        <f>IF(A21="","",IF(COUNTIF('32_定義マスター'!$A$13:$A$30,A21)&lt;&gt;1,"EvalType不正",IF(OR(V21="",COUNTIF($V$4:$V$103,V21)&lt;&gt;1),"PlanKey不足・重複",IF(OR(P21="",P21="未設定",P21="設計中",P21="改訂中"),"計画未確定",IF(AND(P21&lt;&gt;"承認",P21&lt;&gt;"対象外承認"),"状態不正",IF(OR(T21="",U21="",O21=""),"計画対象・承認不足",IF(P21="対象外承認",IF(G21="","対象外理由不足","対象外計画記録"),IF(OR(G21="",H21="",I21="",J21="",K21="",L21="",M21="",N21=""),"評価設計不足",IF(AND(A21="E05",OR(X21="",Y21="",Z21="")),"試行状態・成功定義不足","計画記録あり")))))))))</f>
        <v>計画未確定</v>
      </c>
      <c r="X21" s="29"/>
      <c r="Y21" s="29"/>
      <c r="Z21" s="29"/>
    </row>
    <row r="22" spans="1:26" ht="64" customHeight="1" x14ac:dyDescent="0.2">
      <c r="A22" s="29"/>
      <c r="B22" s="28" t="str">
        <f>IF(A22="","",IF(COUNTIF('32_定義マスター'!$A$13:$A$30,A22)&lt;&gt;1,"参照ID不正",IF(INDEX('32_定義マスター'!$B$13:$B$30,MATCH(A22,'32_定義マスター'!$A$13:$A$30,0))="","",INDEX('32_定義マスター'!$B$13:$B$30,MATCH(A22,'32_定義マスター'!$A$13:$A$30,0)))))</f>
        <v/>
      </c>
      <c r="C22" s="28" t="str">
        <f>IF(A22="","",IF(COUNTIF('32_定義マスター'!$A$13:$A$30,A22)&lt;&gt;1,"参照ID不正",IF(INDEX('32_定義マスター'!$C$13:$C$30,MATCH(A22,'32_定義マスター'!$A$13:$A$30,0))="","",INDEX('32_定義マスター'!$C$13:$C$30,MATCH(A22,'32_定義マスター'!$A$13:$A$30,0)))))</f>
        <v/>
      </c>
      <c r="D22" s="28" t="str">
        <f>IF(A22="","",IF(COUNTIF('32_定義マスター'!$A$13:$A$30,A22)&lt;&gt;1,"参照ID不正",IF(INDEX('32_定義マスター'!$D$13:$D$30,MATCH(A22,'32_定義マスター'!$A$13:$A$30,0))="","",INDEX('32_定義マスター'!$D$13:$D$30,MATCH(A22,'32_定義マスター'!$A$13:$A$30,0)))))</f>
        <v/>
      </c>
      <c r="E22" s="28" t="str">
        <f>IF(A22="","",IF(COUNTIF('32_定義マスター'!$A$13:$A$30,A22)&lt;&gt;1,"参照ID不正",IF(INDEX('32_定義マスター'!$E$13:$E$30,MATCH(A22,'32_定義マスター'!$A$13:$A$30,0))="","",INDEX('32_定義マスター'!$E$13:$E$30,MATCH(A22,'32_定義マスター'!$A$13:$A$30,0)))))</f>
        <v/>
      </c>
      <c r="F22" s="28" t="str">
        <f>IF(A22="","",IF(COUNTIF('32_定義マスター'!$A$13:$A$30,A22)&lt;&gt;1,"参照ID不正",IF(INDEX('32_定義マスター'!$F$13:$F$30,MATCH(A22,'32_定義マスター'!$A$13:$A$30,0))="","",INDEX('32_定義マスター'!$F$13:$F$30,MATCH(A22,'32_定義マスター'!$A$13:$A$30,0)))))</f>
        <v/>
      </c>
      <c r="G22" s="29"/>
      <c r="H22" s="29"/>
      <c r="I22" s="29"/>
      <c r="J22" s="29"/>
      <c r="K22" s="29"/>
      <c r="L22" s="29"/>
      <c r="M22" s="29"/>
      <c r="N22" s="29"/>
      <c r="O22" s="29"/>
      <c r="P22" s="29"/>
      <c r="Q22" s="28" t="str">
        <f>IF(A22="","",IF(COUNTIF('32_定義マスター'!$A$13:$A$30,A22)&lt;&gt;1,"参照ID不正",IF(INDEX('32_定義マスター'!$G$13:$G$30,MATCH(A22,'32_定義マスター'!$A$13:$A$30,0))="","",INDEX('32_定義マスター'!$G$13:$G$30,MATCH(A22,'32_定義マスター'!$A$13:$A$30,0)))))</f>
        <v/>
      </c>
      <c r="R22" s="29"/>
      <c r="S22" s="29"/>
      <c r="T22" s="29"/>
      <c r="U22" s="29"/>
      <c r="V22" s="28" t="str">
        <f t="shared" si="0"/>
        <v/>
      </c>
      <c r="W22" s="28" t="str">
        <f>IF(A22="","",IF(COUNTIF('32_定義マスター'!$A$13:$A$30,A22)&lt;&gt;1,"EvalType不正",IF(OR(V22="",COUNTIF($V$4:$V$103,V22)&lt;&gt;1),"PlanKey不足・重複",IF(OR(P22="",P22="未設定",P22="設計中",P22="改訂中"),"計画未確定",IF(AND(P22&lt;&gt;"承認",P22&lt;&gt;"対象外承認"),"状態不正",IF(OR(T22="",U22="",O22=""),"計画対象・承認不足",IF(P22="対象外承認",IF(G22="","対象外理由不足","対象外計画記録"),IF(OR(G22="",H22="",I22="",J22="",K22="",L22="",M22="",N22=""),"評価設計不足",IF(AND(A22="E05",OR(X22="",Y22="",Z22="")),"試行状態・成功定義不足","計画記録あり")))))))))</f>
        <v/>
      </c>
      <c r="X22" s="29"/>
      <c r="Y22" s="29"/>
      <c r="Z22" s="29"/>
    </row>
    <row r="23" spans="1:26" ht="64" customHeight="1" x14ac:dyDescent="0.2">
      <c r="A23" s="29"/>
      <c r="B23" s="28" t="str">
        <f>IF(A23="","",IF(COUNTIF('32_定義マスター'!$A$13:$A$30,A23)&lt;&gt;1,"参照ID不正",IF(INDEX('32_定義マスター'!$B$13:$B$30,MATCH(A23,'32_定義マスター'!$A$13:$A$30,0))="","",INDEX('32_定義マスター'!$B$13:$B$30,MATCH(A23,'32_定義マスター'!$A$13:$A$30,0)))))</f>
        <v/>
      </c>
      <c r="C23" s="28" t="str">
        <f>IF(A23="","",IF(COUNTIF('32_定義マスター'!$A$13:$A$30,A23)&lt;&gt;1,"参照ID不正",IF(INDEX('32_定義マスター'!$C$13:$C$30,MATCH(A23,'32_定義マスター'!$A$13:$A$30,0))="","",INDEX('32_定義マスター'!$C$13:$C$30,MATCH(A23,'32_定義マスター'!$A$13:$A$30,0)))))</f>
        <v/>
      </c>
      <c r="D23" s="28" t="str">
        <f>IF(A23="","",IF(COUNTIF('32_定義マスター'!$A$13:$A$30,A23)&lt;&gt;1,"参照ID不正",IF(INDEX('32_定義マスター'!$D$13:$D$30,MATCH(A23,'32_定義マスター'!$A$13:$A$30,0))="","",INDEX('32_定義マスター'!$D$13:$D$30,MATCH(A23,'32_定義マスター'!$A$13:$A$30,0)))))</f>
        <v/>
      </c>
      <c r="E23" s="28" t="str">
        <f>IF(A23="","",IF(COUNTIF('32_定義マスター'!$A$13:$A$30,A23)&lt;&gt;1,"参照ID不正",IF(INDEX('32_定義マスター'!$E$13:$E$30,MATCH(A23,'32_定義マスター'!$A$13:$A$30,0))="","",INDEX('32_定義マスター'!$E$13:$E$30,MATCH(A23,'32_定義マスター'!$A$13:$A$30,0)))))</f>
        <v/>
      </c>
      <c r="F23" s="28" t="str">
        <f>IF(A23="","",IF(COUNTIF('32_定義マスター'!$A$13:$A$30,A23)&lt;&gt;1,"参照ID不正",IF(INDEX('32_定義マスター'!$F$13:$F$30,MATCH(A23,'32_定義マスター'!$A$13:$A$30,0))="","",INDEX('32_定義マスター'!$F$13:$F$30,MATCH(A23,'32_定義マスター'!$A$13:$A$30,0)))))</f>
        <v/>
      </c>
      <c r="G23" s="29"/>
      <c r="H23" s="29"/>
      <c r="I23" s="29"/>
      <c r="J23" s="29"/>
      <c r="K23" s="29"/>
      <c r="L23" s="29"/>
      <c r="M23" s="29"/>
      <c r="N23" s="29"/>
      <c r="O23" s="29"/>
      <c r="P23" s="29"/>
      <c r="Q23" s="28" t="str">
        <f>IF(A23="","",IF(COUNTIF('32_定義マスター'!$A$13:$A$30,A23)&lt;&gt;1,"参照ID不正",IF(INDEX('32_定義マスター'!$G$13:$G$30,MATCH(A23,'32_定義マスター'!$A$13:$A$30,0))="","",INDEX('32_定義マスター'!$G$13:$G$30,MATCH(A23,'32_定義マスター'!$A$13:$A$30,0)))))</f>
        <v/>
      </c>
      <c r="R23" s="29"/>
      <c r="S23" s="29"/>
      <c r="T23" s="29"/>
      <c r="U23" s="29"/>
      <c r="V23" s="28" t="str">
        <f t="shared" si="0"/>
        <v/>
      </c>
      <c r="W23" s="28" t="str">
        <f>IF(A23="","",IF(COUNTIF('32_定義マスター'!$A$13:$A$30,A23)&lt;&gt;1,"EvalType不正",IF(OR(V23="",COUNTIF($V$4:$V$103,V23)&lt;&gt;1),"PlanKey不足・重複",IF(OR(P23="",P23="未設定",P23="設計中",P23="改訂中"),"計画未確定",IF(AND(P23&lt;&gt;"承認",P23&lt;&gt;"対象外承認"),"状態不正",IF(OR(T23="",U23="",O23=""),"計画対象・承認不足",IF(P23="対象外承認",IF(G23="","対象外理由不足","対象外計画記録"),IF(OR(G23="",H23="",I23="",J23="",K23="",L23="",M23="",N23=""),"評価設計不足",IF(AND(A23="E05",OR(X23="",Y23="",Z23="")),"試行状態・成功定義不足","計画記録あり")))))))))</f>
        <v/>
      </c>
      <c r="X23" s="29"/>
      <c r="Y23" s="29"/>
      <c r="Z23" s="29"/>
    </row>
    <row r="24" spans="1:26" ht="64" customHeight="1" x14ac:dyDescent="0.2">
      <c r="A24" s="29"/>
      <c r="B24" s="28" t="str">
        <f>IF(A24="","",IF(COUNTIF('32_定義マスター'!$A$13:$A$30,A24)&lt;&gt;1,"参照ID不正",IF(INDEX('32_定義マスター'!$B$13:$B$30,MATCH(A24,'32_定義マスター'!$A$13:$A$30,0))="","",INDEX('32_定義マスター'!$B$13:$B$30,MATCH(A24,'32_定義マスター'!$A$13:$A$30,0)))))</f>
        <v/>
      </c>
      <c r="C24" s="28" t="str">
        <f>IF(A24="","",IF(COUNTIF('32_定義マスター'!$A$13:$A$30,A24)&lt;&gt;1,"参照ID不正",IF(INDEX('32_定義マスター'!$C$13:$C$30,MATCH(A24,'32_定義マスター'!$A$13:$A$30,0))="","",INDEX('32_定義マスター'!$C$13:$C$30,MATCH(A24,'32_定義マスター'!$A$13:$A$30,0)))))</f>
        <v/>
      </c>
      <c r="D24" s="28" t="str">
        <f>IF(A24="","",IF(COUNTIF('32_定義マスター'!$A$13:$A$30,A24)&lt;&gt;1,"参照ID不正",IF(INDEX('32_定義マスター'!$D$13:$D$30,MATCH(A24,'32_定義マスター'!$A$13:$A$30,0))="","",INDEX('32_定義マスター'!$D$13:$D$30,MATCH(A24,'32_定義マスター'!$A$13:$A$30,0)))))</f>
        <v/>
      </c>
      <c r="E24" s="28" t="str">
        <f>IF(A24="","",IF(COUNTIF('32_定義マスター'!$A$13:$A$30,A24)&lt;&gt;1,"参照ID不正",IF(INDEX('32_定義マスター'!$E$13:$E$30,MATCH(A24,'32_定義マスター'!$A$13:$A$30,0))="","",INDEX('32_定義マスター'!$E$13:$E$30,MATCH(A24,'32_定義マスター'!$A$13:$A$30,0)))))</f>
        <v/>
      </c>
      <c r="F24" s="28" t="str">
        <f>IF(A24="","",IF(COUNTIF('32_定義マスター'!$A$13:$A$30,A24)&lt;&gt;1,"参照ID不正",IF(INDEX('32_定義マスター'!$F$13:$F$30,MATCH(A24,'32_定義マスター'!$A$13:$A$30,0))="","",INDEX('32_定義マスター'!$F$13:$F$30,MATCH(A24,'32_定義マスター'!$A$13:$A$30,0)))))</f>
        <v/>
      </c>
      <c r="G24" s="29"/>
      <c r="H24" s="29"/>
      <c r="I24" s="29"/>
      <c r="J24" s="29"/>
      <c r="K24" s="29"/>
      <c r="L24" s="29"/>
      <c r="M24" s="29"/>
      <c r="N24" s="29"/>
      <c r="O24" s="29"/>
      <c r="P24" s="29"/>
      <c r="Q24" s="28" t="str">
        <f>IF(A24="","",IF(COUNTIF('32_定義マスター'!$A$13:$A$30,A24)&lt;&gt;1,"参照ID不正",IF(INDEX('32_定義マスター'!$G$13:$G$30,MATCH(A24,'32_定義マスター'!$A$13:$A$30,0))="","",INDEX('32_定義マスター'!$G$13:$G$30,MATCH(A24,'32_定義マスター'!$A$13:$A$30,0)))))</f>
        <v/>
      </c>
      <c r="R24" s="29"/>
      <c r="S24" s="29"/>
      <c r="T24" s="29"/>
      <c r="U24" s="29"/>
      <c r="V24" s="28" t="str">
        <f t="shared" si="0"/>
        <v/>
      </c>
      <c r="W24" s="28" t="str">
        <f>IF(A24="","",IF(COUNTIF('32_定義マスター'!$A$13:$A$30,A24)&lt;&gt;1,"EvalType不正",IF(OR(V24="",COUNTIF($V$4:$V$103,V24)&lt;&gt;1),"PlanKey不足・重複",IF(OR(P24="",P24="未設定",P24="設計中",P24="改訂中"),"計画未確定",IF(AND(P24&lt;&gt;"承認",P24&lt;&gt;"対象外承認"),"状態不正",IF(OR(T24="",U24="",O24=""),"計画対象・承認不足",IF(P24="対象外承認",IF(G24="","対象外理由不足","対象外計画記録"),IF(OR(G24="",H24="",I24="",J24="",K24="",L24="",M24="",N24=""),"評価設計不足",IF(AND(A24="E05",OR(X24="",Y24="",Z24="")),"試行状態・成功定義不足","計画記録あり")))))))))</f>
        <v/>
      </c>
      <c r="X24" s="29"/>
      <c r="Y24" s="29"/>
      <c r="Z24" s="29"/>
    </row>
    <row r="25" spans="1:26" ht="64" customHeight="1" x14ac:dyDescent="0.2">
      <c r="A25" s="29"/>
      <c r="B25" s="28" t="str">
        <f>IF(A25="","",IF(COUNTIF('32_定義マスター'!$A$13:$A$30,A25)&lt;&gt;1,"参照ID不正",IF(INDEX('32_定義マスター'!$B$13:$B$30,MATCH(A25,'32_定義マスター'!$A$13:$A$30,0))="","",INDEX('32_定義マスター'!$B$13:$B$30,MATCH(A25,'32_定義マスター'!$A$13:$A$30,0)))))</f>
        <v/>
      </c>
      <c r="C25" s="28" t="str">
        <f>IF(A25="","",IF(COUNTIF('32_定義マスター'!$A$13:$A$30,A25)&lt;&gt;1,"参照ID不正",IF(INDEX('32_定義マスター'!$C$13:$C$30,MATCH(A25,'32_定義マスター'!$A$13:$A$30,0))="","",INDEX('32_定義マスター'!$C$13:$C$30,MATCH(A25,'32_定義マスター'!$A$13:$A$30,0)))))</f>
        <v/>
      </c>
      <c r="D25" s="28" t="str">
        <f>IF(A25="","",IF(COUNTIF('32_定義マスター'!$A$13:$A$30,A25)&lt;&gt;1,"参照ID不正",IF(INDEX('32_定義マスター'!$D$13:$D$30,MATCH(A25,'32_定義マスター'!$A$13:$A$30,0))="","",INDEX('32_定義マスター'!$D$13:$D$30,MATCH(A25,'32_定義マスター'!$A$13:$A$30,0)))))</f>
        <v/>
      </c>
      <c r="E25" s="28" t="str">
        <f>IF(A25="","",IF(COUNTIF('32_定義マスター'!$A$13:$A$30,A25)&lt;&gt;1,"参照ID不正",IF(INDEX('32_定義マスター'!$E$13:$E$30,MATCH(A25,'32_定義マスター'!$A$13:$A$30,0))="","",INDEX('32_定義マスター'!$E$13:$E$30,MATCH(A25,'32_定義マスター'!$A$13:$A$30,0)))))</f>
        <v/>
      </c>
      <c r="F25" s="28" t="str">
        <f>IF(A25="","",IF(COUNTIF('32_定義マスター'!$A$13:$A$30,A25)&lt;&gt;1,"参照ID不正",IF(INDEX('32_定義マスター'!$F$13:$F$30,MATCH(A25,'32_定義マスター'!$A$13:$A$30,0))="","",INDEX('32_定義マスター'!$F$13:$F$30,MATCH(A25,'32_定義マスター'!$A$13:$A$30,0)))))</f>
        <v/>
      </c>
      <c r="G25" s="29"/>
      <c r="H25" s="29"/>
      <c r="I25" s="29"/>
      <c r="J25" s="29"/>
      <c r="K25" s="29"/>
      <c r="L25" s="29"/>
      <c r="M25" s="29"/>
      <c r="N25" s="29"/>
      <c r="O25" s="29"/>
      <c r="P25" s="29"/>
      <c r="Q25" s="28" t="str">
        <f>IF(A25="","",IF(COUNTIF('32_定義マスター'!$A$13:$A$30,A25)&lt;&gt;1,"参照ID不正",IF(INDEX('32_定義マスター'!$G$13:$G$30,MATCH(A25,'32_定義マスター'!$A$13:$A$30,0))="","",INDEX('32_定義マスター'!$G$13:$G$30,MATCH(A25,'32_定義マスター'!$A$13:$A$30,0)))))</f>
        <v/>
      </c>
      <c r="R25" s="29"/>
      <c r="S25" s="29"/>
      <c r="T25" s="29"/>
      <c r="U25" s="29"/>
      <c r="V25" s="28" t="str">
        <f t="shared" si="0"/>
        <v/>
      </c>
      <c r="W25" s="28" t="str">
        <f>IF(A25="","",IF(COUNTIF('32_定義マスター'!$A$13:$A$30,A25)&lt;&gt;1,"EvalType不正",IF(OR(V25="",COUNTIF($V$4:$V$103,V25)&lt;&gt;1),"PlanKey不足・重複",IF(OR(P25="",P25="未設定",P25="設計中",P25="改訂中"),"計画未確定",IF(AND(P25&lt;&gt;"承認",P25&lt;&gt;"対象外承認"),"状態不正",IF(OR(T25="",U25="",O25=""),"計画対象・承認不足",IF(P25="対象外承認",IF(G25="","対象外理由不足","対象外計画記録"),IF(OR(G25="",H25="",I25="",J25="",K25="",L25="",M25="",N25=""),"評価設計不足",IF(AND(A25="E05",OR(X25="",Y25="",Z25="")),"試行状態・成功定義不足","計画記録あり")))))))))</f>
        <v/>
      </c>
      <c r="X25" s="29"/>
      <c r="Y25" s="29"/>
      <c r="Z25" s="29"/>
    </row>
    <row r="26" spans="1:26" ht="64" customHeight="1" x14ac:dyDescent="0.2">
      <c r="A26" s="29"/>
      <c r="B26" s="28" t="str">
        <f>IF(A26="","",IF(COUNTIF('32_定義マスター'!$A$13:$A$30,A26)&lt;&gt;1,"参照ID不正",IF(INDEX('32_定義マスター'!$B$13:$B$30,MATCH(A26,'32_定義マスター'!$A$13:$A$30,0))="","",INDEX('32_定義マスター'!$B$13:$B$30,MATCH(A26,'32_定義マスター'!$A$13:$A$30,0)))))</f>
        <v/>
      </c>
      <c r="C26" s="28" t="str">
        <f>IF(A26="","",IF(COUNTIF('32_定義マスター'!$A$13:$A$30,A26)&lt;&gt;1,"参照ID不正",IF(INDEX('32_定義マスター'!$C$13:$C$30,MATCH(A26,'32_定義マスター'!$A$13:$A$30,0))="","",INDEX('32_定義マスター'!$C$13:$C$30,MATCH(A26,'32_定義マスター'!$A$13:$A$30,0)))))</f>
        <v/>
      </c>
      <c r="D26" s="28" t="str">
        <f>IF(A26="","",IF(COUNTIF('32_定義マスター'!$A$13:$A$30,A26)&lt;&gt;1,"参照ID不正",IF(INDEX('32_定義マスター'!$D$13:$D$30,MATCH(A26,'32_定義マスター'!$A$13:$A$30,0))="","",INDEX('32_定義マスター'!$D$13:$D$30,MATCH(A26,'32_定義マスター'!$A$13:$A$30,0)))))</f>
        <v/>
      </c>
      <c r="E26" s="28" t="str">
        <f>IF(A26="","",IF(COUNTIF('32_定義マスター'!$A$13:$A$30,A26)&lt;&gt;1,"参照ID不正",IF(INDEX('32_定義マスター'!$E$13:$E$30,MATCH(A26,'32_定義マスター'!$A$13:$A$30,0))="","",INDEX('32_定義マスター'!$E$13:$E$30,MATCH(A26,'32_定義マスター'!$A$13:$A$30,0)))))</f>
        <v/>
      </c>
      <c r="F26" s="28" t="str">
        <f>IF(A26="","",IF(COUNTIF('32_定義マスター'!$A$13:$A$30,A26)&lt;&gt;1,"参照ID不正",IF(INDEX('32_定義マスター'!$F$13:$F$30,MATCH(A26,'32_定義マスター'!$A$13:$A$30,0))="","",INDEX('32_定義マスター'!$F$13:$F$30,MATCH(A26,'32_定義マスター'!$A$13:$A$30,0)))))</f>
        <v/>
      </c>
      <c r="G26" s="29"/>
      <c r="H26" s="29"/>
      <c r="I26" s="29"/>
      <c r="J26" s="29"/>
      <c r="K26" s="29"/>
      <c r="L26" s="29"/>
      <c r="M26" s="29"/>
      <c r="N26" s="29"/>
      <c r="O26" s="29"/>
      <c r="P26" s="29"/>
      <c r="Q26" s="28" t="str">
        <f>IF(A26="","",IF(COUNTIF('32_定義マスター'!$A$13:$A$30,A26)&lt;&gt;1,"参照ID不正",IF(INDEX('32_定義マスター'!$G$13:$G$30,MATCH(A26,'32_定義マスター'!$A$13:$A$30,0))="","",INDEX('32_定義マスター'!$G$13:$G$30,MATCH(A26,'32_定義マスター'!$A$13:$A$30,0)))))</f>
        <v/>
      </c>
      <c r="R26" s="29"/>
      <c r="S26" s="29"/>
      <c r="T26" s="29"/>
      <c r="U26" s="29"/>
      <c r="V26" s="28" t="str">
        <f t="shared" si="0"/>
        <v/>
      </c>
      <c r="W26" s="28" t="str">
        <f>IF(A26="","",IF(COUNTIF('32_定義マスター'!$A$13:$A$30,A26)&lt;&gt;1,"EvalType不正",IF(OR(V26="",COUNTIF($V$4:$V$103,V26)&lt;&gt;1),"PlanKey不足・重複",IF(OR(P26="",P26="未設定",P26="設計中",P26="改訂中"),"計画未確定",IF(AND(P26&lt;&gt;"承認",P26&lt;&gt;"対象外承認"),"状態不正",IF(OR(T26="",U26="",O26=""),"計画対象・承認不足",IF(P26="対象外承認",IF(G26="","対象外理由不足","対象外計画記録"),IF(OR(G26="",H26="",I26="",J26="",K26="",L26="",M26="",N26=""),"評価設計不足",IF(AND(A26="E05",OR(X26="",Y26="",Z26="")),"試行状態・成功定義不足","計画記録あり")))))))))</f>
        <v/>
      </c>
      <c r="X26" s="29"/>
      <c r="Y26" s="29"/>
      <c r="Z26" s="29"/>
    </row>
    <row r="27" spans="1:26" ht="64" customHeight="1" x14ac:dyDescent="0.2">
      <c r="A27" s="29"/>
      <c r="B27" s="28" t="str">
        <f>IF(A27="","",IF(COUNTIF('32_定義マスター'!$A$13:$A$30,A27)&lt;&gt;1,"参照ID不正",IF(INDEX('32_定義マスター'!$B$13:$B$30,MATCH(A27,'32_定義マスター'!$A$13:$A$30,0))="","",INDEX('32_定義マスター'!$B$13:$B$30,MATCH(A27,'32_定義マスター'!$A$13:$A$30,0)))))</f>
        <v/>
      </c>
      <c r="C27" s="28" t="str">
        <f>IF(A27="","",IF(COUNTIF('32_定義マスター'!$A$13:$A$30,A27)&lt;&gt;1,"参照ID不正",IF(INDEX('32_定義マスター'!$C$13:$C$30,MATCH(A27,'32_定義マスター'!$A$13:$A$30,0))="","",INDEX('32_定義マスター'!$C$13:$C$30,MATCH(A27,'32_定義マスター'!$A$13:$A$30,0)))))</f>
        <v/>
      </c>
      <c r="D27" s="28" t="str">
        <f>IF(A27="","",IF(COUNTIF('32_定義マスター'!$A$13:$A$30,A27)&lt;&gt;1,"参照ID不正",IF(INDEX('32_定義マスター'!$D$13:$D$30,MATCH(A27,'32_定義マスター'!$A$13:$A$30,0))="","",INDEX('32_定義マスター'!$D$13:$D$30,MATCH(A27,'32_定義マスター'!$A$13:$A$30,0)))))</f>
        <v/>
      </c>
      <c r="E27" s="28" t="str">
        <f>IF(A27="","",IF(COUNTIF('32_定義マスター'!$A$13:$A$30,A27)&lt;&gt;1,"参照ID不正",IF(INDEX('32_定義マスター'!$E$13:$E$30,MATCH(A27,'32_定義マスター'!$A$13:$A$30,0))="","",INDEX('32_定義マスター'!$E$13:$E$30,MATCH(A27,'32_定義マスター'!$A$13:$A$30,0)))))</f>
        <v/>
      </c>
      <c r="F27" s="28" t="str">
        <f>IF(A27="","",IF(COUNTIF('32_定義マスター'!$A$13:$A$30,A27)&lt;&gt;1,"参照ID不正",IF(INDEX('32_定義マスター'!$F$13:$F$30,MATCH(A27,'32_定義マスター'!$A$13:$A$30,0))="","",INDEX('32_定義マスター'!$F$13:$F$30,MATCH(A27,'32_定義マスター'!$A$13:$A$30,0)))))</f>
        <v/>
      </c>
      <c r="G27" s="29"/>
      <c r="H27" s="29"/>
      <c r="I27" s="29"/>
      <c r="J27" s="29"/>
      <c r="K27" s="29"/>
      <c r="L27" s="29"/>
      <c r="M27" s="29"/>
      <c r="N27" s="29"/>
      <c r="O27" s="29"/>
      <c r="P27" s="29"/>
      <c r="Q27" s="28" t="str">
        <f>IF(A27="","",IF(COUNTIF('32_定義マスター'!$A$13:$A$30,A27)&lt;&gt;1,"参照ID不正",IF(INDEX('32_定義マスター'!$G$13:$G$30,MATCH(A27,'32_定義マスター'!$A$13:$A$30,0))="","",INDEX('32_定義マスター'!$G$13:$G$30,MATCH(A27,'32_定義マスター'!$A$13:$A$30,0)))))</f>
        <v/>
      </c>
      <c r="R27" s="29"/>
      <c r="S27" s="29"/>
      <c r="T27" s="29"/>
      <c r="U27" s="29"/>
      <c r="V27" s="28" t="str">
        <f t="shared" si="0"/>
        <v/>
      </c>
      <c r="W27" s="28" t="str">
        <f>IF(A27="","",IF(COUNTIF('32_定義マスター'!$A$13:$A$30,A27)&lt;&gt;1,"EvalType不正",IF(OR(V27="",COUNTIF($V$4:$V$103,V27)&lt;&gt;1),"PlanKey不足・重複",IF(OR(P27="",P27="未設定",P27="設計中",P27="改訂中"),"計画未確定",IF(AND(P27&lt;&gt;"承認",P27&lt;&gt;"対象外承認"),"状態不正",IF(OR(T27="",U27="",O27=""),"計画対象・承認不足",IF(P27="対象外承認",IF(G27="","対象外理由不足","対象外計画記録"),IF(OR(G27="",H27="",I27="",J27="",K27="",L27="",M27="",N27=""),"評価設計不足",IF(AND(A27="E05",OR(X27="",Y27="",Z27="")),"試行状態・成功定義不足","計画記録あり")))))))))</f>
        <v/>
      </c>
      <c r="X27" s="29"/>
      <c r="Y27" s="29"/>
      <c r="Z27" s="29"/>
    </row>
    <row r="28" spans="1:26" ht="64" customHeight="1" x14ac:dyDescent="0.2">
      <c r="A28" s="29"/>
      <c r="B28" s="28" t="str">
        <f>IF(A28="","",IF(COUNTIF('32_定義マスター'!$A$13:$A$30,A28)&lt;&gt;1,"参照ID不正",IF(INDEX('32_定義マスター'!$B$13:$B$30,MATCH(A28,'32_定義マスター'!$A$13:$A$30,0))="","",INDEX('32_定義マスター'!$B$13:$B$30,MATCH(A28,'32_定義マスター'!$A$13:$A$30,0)))))</f>
        <v/>
      </c>
      <c r="C28" s="28" t="str">
        <f>IF(A28="","",IF(COUNTIF('32_定義マスター'!$A$13:$A$30,A28)&lt;&gt;1,"参照ID不正",IF(INDEX('32_定義マスター'!$C$13:$C$30,MATCH(A28,'32_定義マスター'!$A$13:$A$30,0))="","",INDEX('32_定義マスター'!$C$13:$C$30,MATCH(A28,'32_定義マスター'!$A$13:$A$30,0)))))</f>
        <v/>
      </c>
      <c r="D28" s="28" t="str">
        <f>IF(A28="","",IF(COUNTIF('32_定義マスター'!$A$13:$A$30,A28)&lt;&gt;1,"参照ID不正",IF(INDEX('32_定義マスター'!$D$13:$D$30,MATCH(A28,'32_定義マスター'!$A$13:$A$30,0))="","",INDEX('32_定義マスター'!$D$13:$D$30,MATCH(A28,'32_定義マスター'!$A$13:$A$30,0)))))</f>
        <v/>
      </c>
      <c r="E28" s="28" t="str">
        <f>IF(A28="","",IF(COUNTIF('32_定義マスター'!$A$13:$A$30,A28)&lt;&gt;1,"参照ID不正",IF(INDEX('32_定義マスター'!$E$13:$E$30,MATCH(A28,'32_定義マスター'!$A$13:$A$30,0))="","",INDEX('32_定義マスター'!$E$13:$E$30,MATCH(A28,'32_定義マスター'!$A$13:$A$30,0)))))</f>
        <v/>
      </c>
      <c r="F28" s="28" t="str">
        <f>IF(A28="","",IF(COUNTIF('32_定義マスター'!$A$13:$A$30,A28)&lt;&gt;1,"参照ID不正",IF(INDEX('32_定義マスター'!$F$13:$F$30,MATCH(A28,'32_定義マスター'!$A$13:$A$30,0))="","",INDEX('32_定義マスター'!$F$13:$F$30,MATCH(A28,'32_定義マスター'!$A$13:$A$30,0)))))</f>
        <v/>
      </c>
      <c r="G28" s="29"/>
      <c r="H28" s="29"/>
      <c r="I28" s="29"/>
      <c r="J28" s="29"/>
      <c r="K28" s="29"/>
      <c r="L28" s="29"/>
      <c r="M28" s="29"/>
      <c r="N28" s="29"/>
      <c r="O28" s="29"/>
      <c r="P28" s="29"/>
      <c r="Q28" s="28" t="str">
        <f>IF(A28="","",IF(COUNTIF('32_定義マスター'!$A$13:$A$30,A28)&lt;&gt;1,"参照ID不正",IF(INDEX('32_定義マスター'!$G$13:$G$30,MATCH(A28,'32_定義マスター'!$A$13:$A$30,0))="","",INDEX('32_定義マスター'!$G$13:$G$30,MATCH(A28,'32_定義マスター'!$A$13:$A$30,0)))))</f>
        <v/>
      </c>
      <c r="R28" s="29"/>
      <c r="S28" s="29"/>
      <c r="T28" s="29"/>
      <c r="U28" s="29"/>
      <c r="V28" s="28" t="str">
        <f t="shared" si="0"/>
        <v/>
      </c>
      <c r="W28" s="28" t="str">
        <f>IF(A28="","",IF(COUNTIF('32_定義マスター'!$A$13:$A$30,A28)&lt;&gt;1,"EvalType不正",IF(OR(V28="",COUNTIF($V$4:$V$103,V28)&lt;&gt;1),"PlanKey不足・重複",IF(OR(P28="",P28="未設定",P28="設計中",P28="改訂中"),"計画未確定",IF(AND(P28&lt;&gt;"承認",P28&lt;&gt;"対象外承認"),"状態不正",IF(OR(T28="",U28="",O28=""),"計画対象・承認不足",IF(P28="対象外承認",IF(G28="","対象外理由不足","対象外計画記録"),IF(OR(G28="",H28="",I28="",J28="",K28="",L28="",M28="",N28=""),"評価設計不足",IF(AND(A28="E05",OR(X28="",Y28="",Z28="")),"試行状態・成功定義不足","計画記録あり")))))))))</f>
        <v/>
      </c>
      <c r="X28" s="29"/>
      <c r="Y28" s="29"/>
      <c r="Z28" s="29"/>
    </row>
    <row r="29" spans="1:26" ht="64" customHeight="1" x14ac:dyDescent="0.2">
      <c r="A29" s="29"/>
      <c r="B29" s="28" t="str">
        <f>IF(A29="","",IF(COUNTIF('32_定義マスター'!$A$13:$A$30,A29)&lt;&gt;1,"参照ID不正",IF(INDEX('32_定義マスター'!$B$13:$B$30,MATCH(A29,'32_定義マスター'!$A$13:$A$30,0))="","",INDEX('32_定義マスター'!$B$13:$B$30,MATCH(A29,'32_定義マスター'!$A$13:$A$30,0)))))</f>
        <v/>
      </c>
      <c r="C29" s="28" t="str">
        <f>IF(A29="","",IF(COUNTIF('32_定義マスター'!$A$13:$A$30,A29)&lt;&gt;1,"参照ID不正",IF(INDEX('32_定義マスター'!$C$13:$C$30,MATCH(A29,'32_定義マスター'!$A$13:$A$30,0))="","",INDEX('32_定義マスター'!$C$13:$C$30,MATCH(A29,'32_定義マスター'!$A$13:$A$30,0)))))</f>
        <v/>
      </c>
      <c r="D29" s="28" t="str">
        <f>IF(A29="","",IF(COUNTIF('32_定義マスター'!$A$13:$A$30,A29)&lt;&gt;1,"参照ID不正",IF(INDEX('32_定義マスター'!$D$13:$D$30,MATCH(A29,'32_定義マスター'!$A$13:$A$30,0))="","",INDEX('32_定義マスター'!$D$13:$D$30,MATCH(A29,'32_定義マスター'!$A$13:$A$30,0)))))</f>
        <v/>
      </c>
      <c r="E29" s="28" t="str">
        <f>IF(A29="","",IF(COUNTIF('32_定義マスター'!$A$13:$A$30,A29)&lt;&gt;1,"参照ID不正",IF(INDEX('32_定義マスター'!$E$13:$E$30,MATCH(A29,'32_定義マスター'!$A$13:$A$30,0))="","",INDEX('32_定義マスター'!$E$13:$E$30,MATCH(A29,'32_定義マスター'!$A$13:$A$30,0)))))</f>
        <v/>
      </c>
      <c r="F29" s="28" t="str">
        <f>IF(A29="","",IF(COUNTIF('32_定義マスター'!$A$13:$A$30,A29)&lt;&gt;1,"参照ID不正",IF(INDEX('32_定義マスター'!$F$13:$F$30,MATCH(A29,'32_定義マスター'!$A$13:$A$30,0))="","",INDEX('32_定義マスター'!$F$13:$F$30,MATCH(A29,'32_定義マスター'!$A$13:$A$30,0)))))</f>
        <v/>
      </c>
      <c r="G29" s="29"/>
      <c r="H29" s="29"/>
      <c r="I29" s="29"/>
      <c r="J29" s="29"/>
      <c r="K29" s="29"/>
      <c r="L29" s="29"/>
      <c r="M29" s="29"/>
      <c r="N29" s="29"/>
      <c r="O29" s="29"/>
      <c r="P29" s="29"/>
      <c r="Q29" s="28" t="str">
        <f>IF(A29="","",IF(COUNTIF('32_定義マスター'!$A$13:$A$30,A29)&lt;&gt;1,"参照ID不正",IF(INDEX('32_定義マスター'!$G$13:$G$30,MATCH(A29,'32_定義マスター'!$A$13:$A$30,0))="","",INDEX('32_定義マスター'!$G$13:$G$30,MATCH(A29,'32_定義マスター'!$A$13:$A$30,0)))))</f>
        <v/>
      </c>
      <c r="R29" s="29"/>
      <c r="S29" s="29"/>
      <c r="T29" s="29"/>
      <c r="U29" s="29"/>
      <c r="V29" s="28" t="str">
        <f t="shared" si="0"/>
        <v/>
      </c>
      <c r="W29" s="28" t="str">
        <f>IF(A29="","",IF(COUNTIF('32_定義マスター'!$A$13:$A$30,A29)&lt;&gt;1,"EvalType不正",IF(OR(V29="",COUNTIF($V$4:$V$103,V29)&lt;&gt;1),"PlanKey不足・重複",IF(OR(P29="",P29="未設定",P29="設計中",P29="改訂中"),"計画未確定",IF(AND(P29&lt;&gt;"承認",P29&lt;&gt;"対象外承認"),"状態不正",IF(OR(T29="",U29="",O29=""),"計画対象・承認不足",IF(P29="対象外承認",IF(G29="","対象外理由不足","対象外計画記録"),IF(OR(G29="",H29="",I29="",J29="",K29="",L29="",M29="",N29=""),"評価設計不足",IF(AND(A29="E05",OR(X29="",Y29="",Z29="")),"試行状態・成功定義不足","計画記録あり")))))))))</f>
        <v/>
      </c>
      <c r="X29" s="29"/>
      <c r="Y29" s="29"/>
      <c r="Z29" s="29"/>
    </row>
    <row r="30" spans="1:26" ht="64" customHeight="1" x14ac:dyDescent="0.2">
      <c r="A30" s="29"/>
      <c r="B30" s="28" t="str">
        <f>IF(A30="","",IF(COUNTIF('32_定義マスター'!$A$13:$A$30,A30)&lt;&gt;1,"参照ID不正",IF(INDEX('32_定義マスター'!$B$13:$B$30,MATCH(A30,'32_定義マスター'!$A$13:$A$30,0))="","",INDEX('32_定義マスター'!$B$13:$B$30,MATCH(A30,'32_定義マスター'!$A$13:$A$30,0)))))</f>
        <v/>
      </c>
      <c r="C30" s="28" t="str">
        <f>IF(A30="","",IF(COUNTIF('32_定義マスター'!$A$13:$A$30,A30)&lt;&gt;1,"参照ID不正",IF(INDEX('32_定義マスター'!$C$13:$C$30,MATCH(A30,'32_定義マスター'!$A$13:$A$30,0))="","",INDEX('32_定義マスター'!$C$13:$C$30,MATCH(A30,'32_定義マスター'!$A$13:$A$30,0)))))</f>
        <v/>
      </c>
      <c r="D30" s="28" t="str">
        <f>IF(A30="","",IF(COUNTIF('32_定義マスター'!$A$13:$A$30,A30)&lt;&gt;1,"参照ID不正",IF(INDEX('32_定義マスター'!$D$13:$D$30,MATCH(A30,'32_定義マスター'!$A$13:$A$30,0))="","",INDEX('32_定義マスター'!$D$13:$D$30,MATCH(A30,'32_定義マスター'!$A$13:$A$30,0)))))</f>
        <v/>
      </c>
      <c r="E30" s="28" t="str">
        <f>IF(A30="","",IF(COUNTIF('32_定義マスター'!$A$13:$A$30,A30)&lt;&gt;1,"参照ID不正",IF(INDEX('32_定義マスター'!$E$13:$E$30,MATCH(A30,'32_定義マスター'!$A$13:$A$30,0))="","",INDEX('32_定義マスター'!$E$13:$E$30,MATCH(A30,'32_定義マスター'!$A$13:$A$30,0)))))</f>
        <v/>
      </c>
      <c r="F30" s="28" t="str">
        <f>IF(A30="","",IF(COUNTIF('32_定義マスター'!$A$13:$A$30,A30)&lt;&gt;1,"参照ID不正",IF(INDEX('32_定義マスター'!$F$13:$F$30,MATCH(A30,'32_定義マスター'!$A$13:$A$30,0))="","",INDEX('32_定義マスター'!$F$13:$F$30,MATCH(A30,'32_定義マスター'!$A$13:$A$30,0)))))</f>
        <v/>
      </c>
      <c r="G30" s="29"/>
      <c r="H30" s="29"/>
      <c r="I30" s="29"/>
      <c r="J30" s="29"/>
      <c r="K30" s="29"/>
      <c r="L30" s="29"/>
      <c r="M30" s="29"/>
      <c r="N30" s="29"/>
      <c r="O30" s="29"/>
      <c r="P30" s="29"/>
      <c r="Q30" s="28" t="str">
        <f>IF(A30="","",IF(COUNTIF('32_定義マスター'!$A$13:$A$30,A30)&lt;&gt;1,"参照ID不正",IF(INDEX('32_定義マスター'!$G$13:$G$30,MATCH(A30,'32_定義マスター'!$A$13:$A$30,0))="","",INDEX('32_定義マスター'!$G$13:$G$30,MATCH(A30,'32_定義マスター'!$A$13:$A$30,0)))))</f>
        <v/>
      </c>
      <c r="R30" s="29"/>
      <c r="S30" s="29"/>
      <c r="T30" s="29"/>
      <c r="U30" s="29"/>
      <c r="V30" s="28" t="str">
        <f t="shared" si="0"/>
        <v/>
      </c>
      <c r="W30" s="28" t="str">
        <f>IF(A30="","",IF(COUNTIF('32_定義マスター'!$A$13:$A$30,A30)&lt;&gt;1,"EvalType不正",IF(OR(V30="",COUNTIF($V$4:$V$103,V30)&lt;&gt;1),"PlanKey不足・重複",IF(OR(P30="",P30="未設定",P30="設計中",P30="改訂中"),"計画未確定",IF(AND(P30&lt;&gt;"承認",P30&lt;&gt;"対象外承認"),"状態不正",IF(OR(T30="",U30="",O30=""),"計画対象・承認不足",IF(P30="対象外承認",IF(G30="","対象外理由不足","対象外計画記録"),IF(OR(G30="",H30="",I30="",J30="",K30="",L30="",M30="",N30=""),"評価設計不足",IF(AND(A30="E05",OR(X30="",Y30="",Z30="")),"試行状態・成功定義不足","計画記録あり")))))))))</f>
        <v/>
      </c>
      <c r="X30" s="29"/>
      <c r="Y30" s="29"/>
      <c r="Z30" s="29"/>
    </row>
    <row r="31" spans="1:26" ht="64" customHeight="1" x14ac:dyDescent="0.2">
      <c r="A31" s="29"/>
      <c r="B31" s="28" t="str">
        <f>IF(A31="","",IF(COUNTIF('32_定義マスター'!$A$13:$A$30,A31)&lt;&gt;1,"参照ID不正",IF(INDEX('32_定義マスター'!$B$13:$B$30,MATCH(A31,'32_定義マスター'!$A$13:$A$30,0))="","",INDEX('32_定義マスター'!$B$13:$B$30,MATCH(A31,'32_定義マスター'!$A$13:$A$30,0)))))</f>
        <v/>
      </c>
      <c r="C31" s="28" t="str">
        <f>IF(A31="","",IF(COUNTIF('32_定義マスター'!$A$13:$A$30,A31)&lt;&gt;1,"参照ID不正",IF(INDEX('32_定義マスター'!$C$13:$C$30,MATCH(A31,'32_定義マスター'!$A$13:$A$30,0))="","",INDEX('32_定義マスター'!$C$13:$C$30,MATCH(A31,'32_定義マスター'!$A$13:$A$30,0)))))</f>
        <v/>
      </c>
      <c r="D31" s="28" t="str">
        <f>IF(A31="","",IF(COUNTIF('32_定義マスター'!$A$13:$A$30,A31)&lt;&gt;1,"参照ID不正",IF(INDEX('32_定義マスター'!$D$13:$D$30,MATCH(A31,'32_定義マスター'!$A$13:$A$30,0))="","",INDEX('32_定義マスター'!$D$13:$D$30,MATCH(A31,'32_定義マスター'!$A$13:$A$30,0)))))</f>
        <v/>
      </c>
      <c r="E31" s="28" t="str">
        <f>IF(A31="","",IF(COUNTIF('32_定義マスター'!$A$13:$A$30,A31)&lt;&gt;1,"参照ID不正",IF(INDEX('32_定義マスター'!$E$13:$E$30,MATCH(A31,'32_定義マスター'!$A$13:$A$30,0))="","",INDEX('32_定義マスター'!$E$13:$E$30,MATCH(A31,'32_定義マスター'!$A$13:$A$30,0)))))</f>
        <v/>
      </c>
      <c r="F31" s="28" t="str">
        <f>IF(A31="","",IF(COUNTIF('32_定義マスター'!$A$13:$A$30,A31)&lt;&gt;1,"参照ID不正",IF(INDEX('32_定義マスター'!$F$13:$F$30,MATCH(A31,'32_定義マスター'!$A$13:$A$30,0))="","",INDEX('32_定義マスター'!$F$13:$F$30,MATCH(A31,'32_定義マスター'!$A$13:$A$30,0)))))</f>
        <v/>
      </c>
      <c r="G31" s="29"/>
      <c r="H31" s="29"/>
      <c r="I31" s="29"/>
      <c r="J31" s="29"/>
      <c r="K31" s="29"/>
      <c r="L31" s="29"/>
      <c r="M31" s="29"/>
      <c r="N31" s="29"/>
      <c r="O31" s="29"/>
      <c r="P31" s="29"/>
      <c r="Q31" s="28" t="str">
        <f>IF(A31="","",IF(COUNTIF('32_定義マスター'!$A$13:$A$30,A31)&lt;&gt;1,"参照ID不正",IF(INDEX('32_定義マスター'!$G$13:$G$30,MATCH(A31,'32_定義マスター'!$A$13:$A$30,0))="","",INDEX('32_定義マスター'!$G$13:$G$30,MATCH(A31,'32_定義マスター'!$A$13:$A$30,0)))))</f>
        <v/>
      </c>
      <c r="R31" s="29"/>
      <c r="S31" s="29"/>
      <c r="T31" s="29"/>
      <c r="U31" s="29"/>
      <c r="V31" s="28" t="str">
        <f t="shared" si="0"/>
        <v/>
      </c>
      <c r="W31" s="28" t="str">
        <f>IF(A31="","",IF(COUNTIF('32_定義マスター'!$A$13:$A$30,A31)&lt;&gt;1,"EvalType不正",IF(OR(V31="",COUNTIF($V$4:$V$103,V31)&lt;&gt;1),"PlanKey不足・重複",IF(OR(P31="",P31="未設定",P31="設計中",P31="改訂中"),"計画未確定",IF(AND(P31&lt;&gt;"承認",P31&lt;&gt;"対象外承認"),"状態不正",IF(OR(T31="",U31="",O31=""),"計画対象・承認不足",IF(P31="対象外承認",IF(G31="","対象外理由不足","対象外計画記録"),IF(OR(G31="",H31="",I31="",J31="",K31="",L31="",M31="",N31=""),"評価設計不足",IF(AND(A31="E05",OR(X31="",Y31="",Z31="")),"試行状態・成功定義不足","計画記録あり")))))))))</f>
        <v/>
      </c>
      <c r="X31" s="29"/>
      <c r="Y31" s="29"/>
      <c r="Z31" s="29"/>
    </row>
    <row r="32" spans="1:26" ht="64" customHeight="1" x14ac:dyDescent="0.2">
      <c r="A32" s="29"/>
      <c r="B32" s="28" t="str">
        <f>IF(A32="","",IF(COUNTIF('32_定義マスター'!$A$13:$A$30,A32)&lt;&gt;1,"参照ID不正",IF(INDEX('32_定義マスター'!$B$13:$B$30,MATCH(A32,'32_定義マスター'!$A$13:$A$30,0))="","",INDEX('32_定義マスター'!$B$13:$B$30,MATCH(A32,'32_定義マスター'!$A$13:$A$30,0)))))</f>
        <v/>
      </c>
      <c r="C32" s="28" t="str">
        <f>IF(A32="","",IF(COUNTIF('32_定義マスター'!$A$13:$A$30,A32)&lt;&gt;1,"参照ID不正",IF(INDEX('32_定義マスター'!$C$13:$C$30,MATCH(A32,'32_定義マスター'!$A$13:$A$30,0))="","",INDEX('32_定義マスター'!$C$13:$C$30,MATCH(A32,'32_定義マスター'!$A$13:$A$30,0)))))</f>
        <v/>
      </c>
      <c r="D32" s="28" t="str">
        <f>IF(A32="","",IF(COUNTIF('32_定義マスター'!$A$13:$A$30,A32)&lt;&gt;1,"参照ID不正",IF(INDEX('32_定義マスター'!$D$13:$D$30,MATCH(A32,'32_定義マスター'!$A$13:$A$30,0))="","",INDEX('32_定義マスター'!$D$13:$D$30,MATCH(A32,'32_定義マスター'!$A$13:$A$30,0)))))</f>
        <v/>
      </c>
      <c r="E32" s="28" t="str">
        <f>IF(A32="","",IF(COUNTIF('32_定義マスター'!$A$13:$A$30,A32)&lt;&gt;1,"参照ID不正",IF(INDEX('32_定義マスター'!$E$13:$E$30,MATCH(A32,'32_定義マスター'!$A$13:$A$30,0))="","",INDEX('32_定義マスター'!$E$13:$E$30,MATCH(A32,'32_定義マスター'!$A$13:$A$30,0)))))</f>
        <v/>
      </c>
      <c r="F32" s="28" t="str">
        <f>IF(A32="","",IF(COUNTIF('32_定義マスター'!$A$13:$A$30,A32)&lt;&gt;1,"参照ID不正",IF(INDEX('32_定義マスター'!$F$13:$F$30,MATCH(A32,'32_定義マスター'!$A$13:$A$30,0))="","",INDEX('32_定義マスター'!$F$13:$F$30,MATCH(A32,'32_定義マスター'!$A$13:$A$30,0)))))</f>
        <v/>
      </c>
      <c r="G32" s="29"/>
      <c r="H32" s="29"/>
      <c r="I32" s="29"/>
      <c r="J32" s="29"/>
      <c r="K32" s="29"/>
      <c r="L32" s="29"/>
      <c r="M32" s="29"/>
      <c r="N32" s="29"/>
      <c r="O32" s="29"/>
      <c r="P32" s="29"/>
      <c r="Q32" s="28" t="str">
        <f>IF(A32="","",IF(COUNTIF('32_定義マスター'!$A$13:$A$30,A32)&lt;&gt;1,"参照ID不正",IF(INDEX('32_定義マスター'!$G$13:$G$30,MATCH(A32,'32_定義マスター'!$A$13:$A$30,0))="","",INDEX('32_定義マスター'!$G$13:$G$30,MATCH(A32,'32_定義マスター'!$A$13:$A$30,0)))))</f>
        <v/>
      </c>
      <c r="R32" s="29"/>
      <c r="S32" s="29"/>
      <c r="T32" s="29"/>
      <c r="U32" s="29"/>
      <c r="V32" s="28" t="str">
        <f t="shared" si="0"/>
        <v/>
      </c>
      <c r="W32" s="28" t="str">
        <f>IF(A32="","",IF(COUNTIF('32_定義マスター'!$A$13:$A$30,A32)&lt;&gt;1,"EvalType不正",IF(OR(V32="",COUNTIF($V$4:$V$103,V32)&lt;&gt;1),"PlanKey不足・重複",IF(OR(P32="",P32="未設定",P32="設計中",P32="改訂中"),"計画未確定",IF(AND(P32&lt;&gt;"承認",P32&lt;&gt;"対象外承認"),"状態不正",IF(OR(T32="",U32="",O32=""),"計画対象・承認不足",IF(P32="対象外承認",IF(G32="","対象外理由不足","対象外計画記録"),IF(OR(G32="",H32="",I32="",J32="",K32="",L32="",M32="",N32=""),"評価設計不足",IF(AND(A32="E05",OR(X32="",Y32="",Z32="")),"試行状態・成功定義不足","計画記録あり")))))))))</f>
        <v/>
      </c>
      <c r="X32" s="29"/>
      <c r="Y32" s="29"/>
      <c r="Z32" s="29"/>
    </row>
    <row r="33" spans="1:26" ht="64" customHeight="1" x14ac:dyDescent="0.2">
      <c r="A33" s="29"/>
      <c r="B33" s="28" t="str">
        <f>IF(A33="","",IF(COUNTIF('32_定義マスター'!$A$13:$A$30,A33)&lt;&gt;1,"参照ID不正",IF(INDEX('32_定義マスター'!$B$13:$B$30,MATCH(A33,'32_定義マスター'!$A$13:$A$30,0))="","",INDEX('32_定義マスター'!$B$13:$B$30,MATCH(A33,'32_定義マスター'!$A$13:$A$30,0)))))</f>
        <v/>
      </c>
      <c r="C33" s="28" t="str">
        <f>IF(A33="","",IF(COUNTIF('32_定義マスター'!$A$13:$A$30,A33)&lt;&gt;1,"参照ID不正",IF(INDEX('32_定義マスター'!$C$13:$C$30,MATCH(A33,'32_定義マスター'!$A$13:$A$30,0))="","",INDEX('32_定義マスター'!$C$13:$C$30,MATCH(A33,'32_定義マスター'!$A$13:$A$30,0)))))</f>
        <v/>
      </c>
      <c r="D33" s="28" t="str">
        <f>IF(A33="","",IF(COUNTIF('32_定義マスター'!$A$13:$A$30,A33)&lt;&gt;1,"参照ID不正",IF(INDEX('32_定義マスター'!$D$13:$D$30,MATCH(A33,'32_定義マスター'!$A$13:$A$30,0))="","",INDEX('32_定義マスター'!$D$13:$D$30,MATCH(A33,'32_定義マスター'!$A$13:$A$30,0)))))</f>
        <v/>
      </c>
      <c r="E33" s="28" t="str">
        <f>IF(A33="","",IF(COUNTIF('32_定義マスター'!$A$13:$A$30,A33)&lt;&gt;1,"参照ID不正",IF(INDEX('32_定義マスター'!$E$13:$E$30,MATCH(A33,'32_定義マスター'!$A$13:$A$30,0))="","",INDEX('32_定義マスター'!$E$13:$E$30,MATCH(A33,'32_定義マスター'!$A$13:$A$30,0)))))</f>
        <v/>
      </c>
      <c r="F33" s="28" t="str">
        <f>IF(A33="","",IF(COUNTIF('32_定義マスター'!$A$13:$A$30,A33)&lt;&gt;1,"参照ID不正",IF(INDEX('32_定義マスター'!$F$13:$F$30,MATCH(A33,'32_定義マスター'!$A$13:$A$30,0))="","",INDEX('32_定義マスター'!$F$13:$F$30,MATCH(A33,'32_定義マスター'!$A$13:$A$30,0)))))</f>
        <v/>
      </c>
      <c r="G33" s="29"/>
      <c r="H33" s="29"/>
      <c r="I33" s="29"/>
      <c r="J33" s="29"/>
      <c r="K33" s="29"/>
      <c r="L33" s="29"/>
      <c r="M33" s="29"/>
      <c r="N33" s="29"/>
      <c r="O33" s="29"/>
      <c r="P33" s="29"/>
      <c r="Q33" s="28" t="str">
        <f>IF(A33="","",IF(COUNTIF('32_定義マスター'!$A$13:$A$30,A33)&lt;&gt;1,"参照ID不正",IF(INDEX('32_定義マスター'!$G$13:$G$30,MATCH(A33,'32_定義マスター'!$A$13:$A$30,0))="","",INDEX('32_定義マスター'!$G$13:$G$30,MATCH(A33,'32_定義マスター'!$A$13:$A$30,0)))))</f>
        <v/>
      </c>
      <c r="R33" s="29"/>
      <c r="S33" s="29"/>
      <c r="T33" s="29"/>
      <c r="U33" s="29"/>
      <c r="V33" s="28" t="str">
        <f t="shared" si="0"/>
        <v/>
      </c>
      <c r="W33" s="28" t="str">
        <f>IF(A33="","",IF(COUNTIF('32_定義マスター'!$A$13:$A$30,A33)&lt;&gt;1,"EvalType不正",IF(OR(V33="",COUNTIF($V$4:$V$103,V33)&lt;&gt;1),"PlanKey不足・重複",IF(OR(P33="",P33="未設定",P33="設計中",P33="改訂中"),"計画未確定",IF(AND(P33&lt;&gt;"承認",P33&lt;&gt;"対象外承認"),"状態不正",IF(OR(T33="",U33="",O33=""),"計画対象・承認不足",IF(P33="対象外承認",IF(G33="","対象外理由不足","対象外計画記録"),IF(OR(G33="",H33="",I33="",J33="",K33="",L33="",M33="",N33=""),"評価設計不足",IF(AND(A33="E05",OR(X33="",Y33="",Z33="")),"試行状態・成功定義不足","計画記録あり")))))))))</f>
        <v/>
      </c>
      <c r="X33" s="29"/>
      <c r="Y33" s="29"/>
      <c r="Z33" s="29"/>
    </row>
    <row r="34" spans="1:26" ht="64" customHeight="1" x14ac:dyDescent="0.2">
      <c r="A34" s="29"/>
      <c r="B34" s="28" t="str">
        <f>IF(A34="","",IF(COUNTIF('32_定義マスター'!$A$13:$A$30,A34)&lt;&gt;1,"参照ID不正",IF(INDEX('32_定義マスター'!$B$13:$B$30,MATCH(A34,'32_定義マスター'!$A$13:$A$30,0))="","",INDEX('32_定義マスター'!$B$13:$B$30,MATCH(A34,'32_定義マスター'!$A$13:$A$30,0)))))</f>
        <v/>
      </c>
      <c r="C34" s="28" t="str">
        <f>IF(A34="","",IF(COUNTIF('32_定義マスター'!$A$13:$A$30,A34)&lt;&gt;1,"参照ID不正",IF(INDEX('32_定義マスター'!$C$13:$C$30,MATCH(A34,'32_定義マスター'!$A$13:$A$30,0))="","",INDEX('32_定義マスター'!$C$13:$C$30,MATCH(A34,'32_定義マスター'!$A$13:$A$30,0)))))</f>
        <v/>
      </c>
      <c r="D34" s="28" t="str">
        <f>IF(A34="","",IF(COUNTIF('32_定義マスター'!$A$13:$A$30,A34)&lt;&gt;1,"参照ID不正",IF(INDEX('32_定義マスター'!$D$13:$D$30,MATCH(A34,'32_定義マスター'!$A$13:$A$30,0))="","",INDEX('32_定義マスター'!$D$13:$D$30,MATCH(A34,'32_定義マスター'!$A$13:$A$30,0)))))</f>
        <v/>
      </c>
      <c r="E34" s="28" t="str">
        <f>IF(A34="","",IF(COUNTIF('32_定義マスター'!$A$13:$A$30,A34)&lt;&gt;1,"参照ID不正",IF(INDEX('32_定義マスター'!$E$13:$E$30,MATCH(A34,'32_定義マスター'!$A$13:$A$30,0))="","",INDEX('32_定義マスター'!$E$13:$E$30,MATCH(A34,'32_定義マスター'!$A$13:$A$30,0)))))</f>
        <v/>
      </c>
      <c r="F34" s="28" t="str">
        <f>IF(A34="","",IF(COUNTIF('32_定義マスター'!$A$13:$A$30,A34)&lt;&gt;1,"参照ID不正",IF(INDEX('32_定義マスター'!$F$13:$F$30,MATCH(A34,'32_定義マスター'!$A$13:$A$30,0))="","",INDEX('32_定義マスター'!$F$13:$F$30,MATCH(A34,'32_定義マスター'!$A$13:$A$30,0)))))</f>
        <v/>
      </c>
      <c r="G34" s="29"/>
      <c r="H34" s="29"/>
      <c r="I34" s="29"/>
      <c r="J34" s="29"/>
      <c r="K34" s="29"/>
      <c r="L34" s="29"/>
      <c r="M34" s="29"/>
      <c r="N34" s="29"/>
      <c r="O34" s="29"/>
      <c r="P34" s="29"/>
      <c r="Q34" s="28" t="str">
        <f>IF(A34="","",IF(COUNTIF('32_定義マスター'!$A$13:$A$30,A34)&lt;&gt;1,"参照ID不正",IF(INDEX('32_定義マスター'!$G$13:$G$30,MATCH(A34,'32_定義マスター'!$A$13:$A$30,0))="","",INDEX('32_定義マスター'!$G$13:$G$30,MATCH(A34,'32_定義マスター'!$A$13:$A$30,0)))))</f>
        <v/>
      </c>
      <c r="R34" s="29"/>
      <c r="S34" s="29"/>
      <c r="T34" s="29"/>
      <c r="U34" s="29"/>
      <c r="V34" s="28" t="str">
        <f t="shared" si="0"/>
        <v/>
      </c>
      <c r="W34" s="28" t="str">
        <f>IF(A34="","",IF(COUNTIF('32_定義マスター'!$A$13:$A$30,A34)&lt;&gt;1,"EvalType不正",IF(OR(V34="",COUNTIF($V$4:$V$103,V34)&lt;&gt;1),"PlanKey不足・重複",IF(OR(P34="",P34="未設定",P34="設計中",P34="改訂中"),"計画未確定",IF(AND(P34&lt;&gt;"承認",P34&lt;&gt;"対象外承認"),"状態不正",IF(OR(T34="",U34="",O34=""),"計画対象・承認不足",IF(P34="対象外承認",IF(G34="","対象外理由不足","対象外計画記録"),IF(OR(G34="",H34="",I34="",J34="",K34="",L34="",M34="",N34=""),"評価設計不足",IF(AND(A34="E05",OR(X34="",Y34="",Z34="")),"試行状態・成功定義不足","計画記録あり")))))))))</f>
        <v/>
      </c>
      <c r="X34" s="29"/>
      <c r="Y34" s="29"/>
      <c r="Z34" s="29"/>
    </row>
    <row r="35" spans="1:26" ht="64" customHeight="1" x14ac:dyDescent="0.2">
      <c r="A35" s="29"/>
      <c r="B35" s="28" t="str">
        <f>IF(A35="","",IF(COUNTIF('32_定義マスター'!$A$13:$A$30,A35)&lt;&gt;1,"参照ID不正",IF(INDEX('32_定義マスター'!$B$13:$B$30,MATCH(A35,'32_定義マスター'!$A$13:$A$30,0))="","",INDEX('32_定義マスター'!$B$13:$B$30,MATCH(A35,'32_定義マスター'!$A$13:$A$30,0)))))</f>
        <v/>
      </c>
      <c r="C35" s="28" t="str">
        <f>IF(A35="","",IF(COUNTIF('32_定義マスター'!$A$13:$A$30,A35)&lt;&gt;1,"参照ID不正",IF(INDEX('32_定義マスター'!$C$13:$C$30,MATCH(A35,'32_定義マスター'!$A$13:$A$30,0))="","",INDEX('32_定義マスター'!$C$13:$C$30,MATCH(A35,'32_定義マスター'!$A$13:$A$30,0)))))</f>
        <v/>
      </c>
      <c r="D35" s="28" t="str">
        <f>IF(A35="","",IF(COUNTIF('32_定義マスター'!$A$13:$A$30,A35)&lt;&gt;1,"参照ID不正",IF(INDEX('32_定義マスター'!$D$13:$D$30,MATCH(A35,'32_定義マスター'!$A$13:$A$30,0))="","",INDEX('32_定義マスター'!$D$13:$D$30,MATCH(A35,'32_定義マスター'!$A$13:$A$30,0)))))</f>
        <v/>
      </c>
      <c r="E35" s="28" t="str">
        <f>IF(A35="","",IF(COUNTIF('32_定義マスター'!$A$13:$A$30,A35)&lt;&gt;1,"参照ID不正",IF(INDEX('32_定義マスター'!$E$13:$E$30,MATCH(A35,'32_定義マスター'!$A$13:$A$30,0))="","",INDEX('32_定義マスター'!$E$13:$E$30,MATCH(A35,'32_定義マスター'!$A$13:$A$30,0)))))</f>
        <v/>
      </c>
      <c r="F35" s="28" t="str">
        <f>IF(A35="","",IF(COUNTIF('32_定義マスター'!$A$13:$A$30,A35)&lt;&gt;1,"参照ID不正",IF(INDEX('32_定義マスター'!$F$13:$F$30,MATCH(A35,'32_定義マスター'!$A$13:$A$30,0))="","",INDEX('32_定義マスター'!$F$13:$F$30,MATCH(A35,'32_定義マスター'!$A$13:$A$30,0)))))</f>
        <v/>
      </c>
      <c r="G35" s="29"/>
      <c r="H35" s="29"/>
      <c r="I35" s="29"/>
      <c r="J35" s="29"/>
      <c r="K35" s="29"/>
      <c r="L35" s="29"/>
      <c r="M35" s="29"/>
      <c r="N35" s="29"/>
      <c r="O35" s="29"/>
      <c r="P35" s="29"/>
      <c r="Q35" s="28" t="str">
        <f>IF(A35="","",IF(COUNTIF('32_定義マスター'!$A$13:$A$30,A35)&lt;&gt;1,"参照ID不正",IF(INDEX('32_定義マスター'!$G$13:$G$30,MATCH(A35,'32_定義マスター'!$A$13:$A$30,0))="","",INDEX('32_定義マスター'!$G$13:$G$30,MATCH(A35,'32_定義マスター'!$A$13:$A$30,0)))))</f>
        <v/>
      </c>
      <c r="R35" s="29"/>
      <c r="S35" s="29"/>
      <c r="T35" s="29"/>
      <c r="U35" s="29"/>
      <c r="V35" s="28" t="str">
        <f t="shared" si="0"/>
        <v/>
      </c>
      <c r="W35" s="28" t="str">
        <f>IF(A35="","",IF(COUNTIF('32_定義マスター'!$A$13:$A$30,A35)&lt;&gt;1,"EvalType不正",IF(OR(V35="",COUNTIF($V$4:$V$103,V35)&lt;&gt;1),"PlanKey不足・重複",IF(OR(P35="",P35="未設定",P35="設計中",P35="改訂中"),"計画未確定",IF(AND(P35&lt;&gt;"承認",P35&lt;&gt;"対象外承認"),"状態不正",IF(OR(T35="",U35="",O35=""),"計画対象・承認不足",IF(P35="対象外承認",IF(G35="","対象外理由不足","対象外計画記録"),IF(OR(G35="",H35="",I35="",J35="",K35="",L35="",M35="",N35=""),"評価設計不足",IF(AND(A35="E05",OR(X35="",Y35="",Z35="")),"試行状態・成功定義不足","計画記録あり")))))))))</f>
        <v/>
      </c>
      <c r="X35" s="29"/>
      <c r="Y35" s="29"/>
      <c r="Z35" s="29"/>
    </row>
    <row r="36" spans="1:26" ht="64" customHeight="1" x14ac:dyDescent="0.2">
      <c r="A36" s="29"/>
      <c r="B36" s="28" t="str">
        <f>IF(A36="","",IF(COUNTIF('32_定義マスター'!$A$13:$A$30,A36)&lt;&gt;1,"参照ID不正",IF(INDEX('32_定義マスター'!$B$13:$B$30,MATCH(A36,'32_定義マスター'!$A$13:$A$30,0))="","",INDEX('32_定義マスター'!$B$13:$B$30,MATCH(A36,'32_定義マスター'!$A$13:$A$30,0)))))</f>
        <v/>
      </c>
      <c r="C36" s="28" t="str">
        <f>IF(A36="","",IF(COUNTIF('32_定義マスター'!$A$13:$A$30,A36)&lt;&gt;1,"参照ID不正",IF(INDEX('32_定義マスター'!$C$13:$C$30,MATCH(A36,'32_定義マスター'!$A$13:$A$30,0))="","",INDEX('32_定義マスター'!$C$13:$C$30,MATCH(A36,'32_定義マスター'!$A$13:$A$30,0)))))</f>
        <v/>
      </c>
      <c r="D36" s="28" t="str">
        <f>IF(A36="","",IF(COUNTIF('32_定義マスター'!$A$13:$A$30,A36)&lt;&gt;1,"参照ID不正",IF(INDEX('32_定義マスター'!$D$13:$D$30,MATCH(A36,'32_定義マスター'!$A$13:$A$30,0))="","",INDEX('32_定義マスター'!$D$13:$D$30,MATCH(A36,'32_定義マスター'!$A$13:$A$30,0)))))</f>
        <v/>
      </c>
      <c r="E36" s="28" t="str">
        <f>IF(A36="","",IF(COUNTIF('32_定義マスター'!$A$13:$A$30,A36)&lt;&gt;1,"参照ID不正",IF(INDEX('32_定義マスター'!$E$13:$E$30,MATCH(A36,'32_定義マスター'!$A$13:$A$30,0))="","",INDEX('32_定義マスター'!$E$13:$E$30,MATCH(A36,'32_定義マスター'!$A$13:$A$30,0)))))</f>
        <v/>
      </c>
      <c r="F36" s="28" t="str">
        <f>IF(A36="","",IF(COUNTIF('32_定義マスター'!$A$13:$A$30,A36)&lt;&gt;1,"参照ID不正",IF(INDEX('32_定義マスター'!$F$13:$F$30,MATCH(A36,'32_定義マスター'!$A$13:$A$30,0))="","",INDEX('32_定義マスター'!$F$13:$F$30,MATCH(A36,'32_定義マスター'!$A$13:$A$30,0)))))</f>
        <v/>
      </c>
      <c r="G36" s="29"/>
      <c r="H36" s="29"/>
      <c r="I36" s="29"/>
      <c r="J36" s="29"/>
      <c r="K36" s="29"/>
      <c r="L36" s="29"/>
      <c r="M36" s="29"/>
      <c r="N36" s="29"/>
      <c r="O36" s="29"/>
      <c r="P36" s="29"/>
      <c r="Q36" s="28" t="str">
        <f>IF(A36="","",IF(COUNTIF('32_定義マスター'!$A$13:$A$30,A36)&lt;&gt;1,"参照ID不正",IF(INDEX('32_定義マスター'!$G$13:$G$30,MATCH(A36,'32_定義マスター'!$A$13:$A$30,0))="","",INDEX('32_定義マスター'!$G$13:$G$30,MATCH(A36,'32_定義マスター'!$A$13:$A$30,0)))))</f>
        <v/>
      </c>
      <c r="R36" s="29"/>
      <c r="S36" s="29"/>
      <c r="T36" s="29"/>
      <c r="U36" s="29"/>
      <c r="V36" s="28" t="str">
        <f t="shared" ref="V36:V67" si="1">IF(OR(R36="",S36=""),"",R36&amp;"@"&amp;S36)</f>
        <v/>
      </c>
      <c r="W36" s="28" t="str">
        <f>IF(A36="","",IF(COUNTIF('32_定義マスター'!$A$13:$A$30,A36)&lt;&gt;1,"EvalType不正",IF(OR(V36="",COUNTIF($V$4:$V$103,V36)&lt;&gt;1),"PlanKey不足・重複",IF(OR(P36="",P36="未設定",P36="設計中",P36="改訂中"),"計画未確定",IF(AND(P36&lt;&gt;"承認",P36&lt;&gt;"対象外承認"),"状態不正",IF(OR(T36="",U36="",O36=""),"計画対象・承認不足",IF(P36="対象外承認",IF(G36="","対象外理由不足","対象外計画記録"),IF(OR(G36="",H36="",I36="",J36="",K36="",L36="",M36="",N36=""),"評価設計不足",IF(AND(A36="E05",OR(X36="",Y36="",Z36="")),"試行状態・成功定義不足","計画記録あり")))))))))</f>
        <v/>
      </c>
      <c r="X36" s="29"/>
      <c r="Y36" s="29"/>
      <c r="Z36" s="29"/>
    </row>
    <row r="37" spans="1:26" ht="64" customHeight="1" x14ac:dyDescent="0.2">
      <c r="A37" s="29"/>
      <c r="B37" s="28" t="str">
        <f>IF(A37="","",IF(COUNTIF('32_定義マスター'!$A$13:$A$30,A37)&lt;&gt;1,"参照ID不正",IF(INDEX('32_定義マスター'!$B$13:$B$30,MATCH(A37,'32_定義マスター'!$A$13:$A$30,0))="","",INDEX('32_定義マスター'!$B$13:$B$30,MATCH(A37,'32_定義マスター'!$A$13:$A$30,0)))))</f>
        <v/>
      </c>
      <c r="C37" s="28" t="str">
        <f>IF(A37="","",IF(COUNTIF('32_定義マスター'!$A$13:$A$30,A37)&lt;&gt;1,"参照ID不正",IF(INDEX('32_定義マスター'!$C$13:$C$30,MATCH(A37,'32_定義マスター'!$A$13:$A$30,0))="","",INDEX('32_定義マスター'!$C$13:$C$30,MATCH(A37,'32_定義マスター'!$A$13:$A$30,0)))))</f>
        <v/>
      </c>
      <c r="D37" s="28" t="str">
        <f>IF(A37="","",IF(COUNTIF('32_定義マスター'!$A$13:$A$30,A37)&lt;&gt;1,"参照ID不正",IF(INDEX('32_定義マスター'!$D$13:$D$30,MATCH(A37,'32_定義マスター'!$A$13:$A$30,0))="","",INDEX('32_定義マスター'!$D$13:$D$30,MATCH(A37,'32_定義マスター'!$A$13:$A$30,0)))))</f>
        <v/>
      </c>
      <c r="E37" s="28" t="str">
        <f>IF(A37="","",IF(COUNTIF('32_定義マスター'!$A$13:$A$30,A37)&lt;&gt;1,"参照ID不正",IF(INDEX('32_定義マスター'!$E$13:$E$30,MATCH(A37,'32_定義マスター'!$A$13:$A$30,0))="","",INDEX('32_定義マスター'!$E$13:$E$30,MATCH(A37,'32_定義マスター'!$A$13:$A$30,0)))))</f>
        <v/>
      </c>
      <c r="F37" s="28" t="str">
        <f>IF(A37="","",IF(COUNTIF('32_定義マスター'!$A$13:$A$30,A37)&lt;&gt;1,"参照ID不正",IF(INDEX('32_定義マスター'!$F$13:$F$30,MATCH(A37,'32_定義マスター'!$A$13:$A$30,0))="","",INDEX('32_定義マスター'!$F$13:$F$30,MATCH(A37,'32_定義マスター'!$A$13:$A$30,0)))))</f>
        <v/>
      </c>
      <c r="G37" s="29"/>
      <c r="H37" s="29"/>
      <c r="I37" s="29"/>
      <c r="J37" s="29"/>
      <c r="K37" s="29"/>
      <c r="L37" s="29"/>
      <c r="M37" s="29"/>
      <c r="N37" s="29"/>
      <c r="O37" s="29"/>
      <c r="P37" s="29"/>
      <c r="Q37" s="28" t="str">
        <f>IF(A37="","",IF(COUNTIF('32_定義マスター'!$A$13:$A$30,A37)&lt;&gt;1,"参照ID不正",IF(INDEX('32_定義マスター'!$G$13:$G$30,MATCH(A37,'32_定義マスター'!$A$13:$A$30,0))="","",INDEX('32_定義マスター'!$G$13:$G$30,MATCH(A37,'32_定義マスター'!$A$13:$A$30,0)))))</f>
        <v/>
      </c>
      <c r="R37" s="29"/>
      <c r="S37" s="29"/>
      <c r="T37" s="29"/>
      <c r="U37" s="29"/>
      <c r="V37" s="28" t="str">
        <f t="shared" si="1"/>
        <v/>
      </c>
      <c r="W37" s="28" t="str">
        <f>IF(A37="","",IF(COUNTIF('32_定義マスター'!$A$13:$A$30,A37)&lt;&gt;1,"EvalType不正",IF(OR(V37="",COUNTIF($V$4:$V$103,V37)&lt;&gt;1),"PlanKey不足・重複",IF(OR(P37="",P37="未設定",P37="設計中",P37="改訂中"),"計画未確定",IF(AND(P37&lt;&gt;"承認",P37&lt;&gt;"対象外承認"),"状態不正",IF(OR(T37="",U37="",O37=""),"計画対象・承認不足",IF(P37="対象外承認",IF(G37="","対象外理由不足","対象外計画記録"),IF(OR(G37="",H37="",I37="",J37="",K37="",L37="",M37="",N37=""),"評価設計不足",IF(AND(A37="E05",OR(X37="",Y37="",Z37="")),"試行状態・成功定義不足","計画記録あり")))))))))</f>
        <v/>
      </c>
      <c r="X37" s="29"/>
      <c r="Y37" s="29"/>
      <c r="Z37" s="29"/>
    </row>
    <row r="38" spans="1:26" ht="64" customHeight="1" x14ac:dyDescent="0.2">
      <c r="A38" s="29"/>
      <c r="B38" s="28" t="str">
        <f>IF(A38="","",IF(COUNTIF('32_定義マスター'!$A$13:$A$30,A38)&lt;&gt;1,"参照ID不正",IF(INDEX('32_定義マスター'!$B$13:$B$30,MATCH(A38,'32_定義マスター'!$A$13:$A$30,0))="","",INDEX('32_定義マスター'!$B$13:$B$30,MATCH(A38,'32_定義マスター'!$A$13:$A$30,0)))))</f>
        <v/>
      </c>
      <c r="C38" s="28" t="str">
        <f>IF(A38="","",IF(COUNTIF('32_定義マスター'!$A$13:$A$30,A38)&lt;&gt;1,"参照ID不正",IF(INDEX('32_定義マスター'!$C$13:$C$30,MATCH(A38,'32_定義マスター'!$A$13:$A$30,0))="","",INDEX('32_定義マスター'!$C$13:$C$30,MATCH(A38,'32_定義マスター'!$A$13:$A$30,0)))))</f>
        <v/>
      </c>
      <c r="D38" s="28" t="str">
        <f>IF(A38="","",IF(COUNTIF('32_定義マスター'!$A$13:$A$30,A38)&lt;&gt;1,"参照ID不正",IF(INDEX('32_定義マスター'!$D$13:$D$30,MATCH(A38,'32_定義マスター'!$A$13:$A$30,0))="","",INDEX('32_定義マスター'!$D$13:$D$30,MATCH(A38,'32_定義マスター'!$A$13:$A$30,0)))))</f>
        <v/>
      </c>
      <c r="E38" s="28" t="str">
        <f>IF(A38="","",IF(COUNTIF('32_定義マスター'!$A$13:$A$30,A38)&lt;&gt;1,"参照ID不正",IF(INDEX('32_定義マスター'!$E$13:$E$30,MATCH(A38,'32_定義マスター'!$A$13:$A$30,0))="","",INDEX('32_定義マスター'!$E$13:$E$30,MATCH(A38,'32_定義マスター'!$A$13:$A$30,0)))))</f>
        <v/>
      </c>
      <c r="F38" s="28" t="str">
        <f>IF(A38="","",IF(COUNTIF('32_定義マスター'!$A$13:$A$30,A38)&lt;&gt;1,"参照ID不正",IF(INDEX('32_定義マスター'!$F$13:$F$30,MATCH(A38,'32_定義マスター'!$A$13:$A$30,0))="","",INDEX('32_定義マスター'!$F$13:$F$30,MATCH(A38,'32_定義マスター'!$A$13:$A$30,0)))))</f>
        <v/>
      </c>
      <c r="G38" s="29"/>
      <c r="H38" s="29"/>
      <c r="I38" s="29"/>
      <c r="J38" s="29"/>
      <c r="K38" s="29"/>
      <c r="L38" s="29"/>
      <c r="M38" s="29"/>
      <c r="N38" s="29"/>
      <c r="O38" s="29"/>
      <c r="P38" s="29"/>
      <c r="Q38" s="28" t="str">
        <f>IF(A38="","",IF(COUNTIF('32_定義マスター'!$A$13:$A$30,A38)&lt;&gt;1,"参照ID不正",IF(INDEX('32_定義マスター'!$G$13:$G$30,MATCH(A38,'32_定義マスター'!$A$13:$A$30,0))="","",INDEX('32_定義マスター'!$G$13:$G$30,MATCH(A38,'32_定義マスター'!$A$13:$A$30,0)))))</f>
        <v/>
      </c>
      <c r="R38" s="29"/>
      <c r="S38" s="29"/>
      <c r="T38" s="29"/>
      <c r="U38" s="29"/>
      <c r="V38" s="28" t="str">
        <f t="shared" si="1"/>
        <v/>
      </c>
      <c r="W38" s="28" t="str">
        <f>IF(A38="","",IF(COUNTIF('32_定義マスター'!$A$13:$A$30,A38)&lt;&gt;1,"EvalType不正",IF(OR(V38="",COUNTIF($V$4:$V$103,V38)&lt;&gt;1),"PlanKey不足・重複",IF(OR(P38="",P38="未設定",P38="設計中",P38="改訂中"),"計画未確定",IF(AND(P38&lt;&gt;"承認",P38&lt;&gt;"対象外承認"),"状態不正",IF(OR(T38="",U38="",O38=""),"計画対象・承認不足",IF(P38="対象外承認",IF(G38="","対象外理由不足","対象外計画記録"),IF(OR(G38="",H38="",I38="",J38="",K38="",L38="",M38="",N38=""),"評価設計不足",IF(AND(A38="E05",OR(X38="",Y38="",Z38="")),"試行状態・成功定義不足","計画記録あり")))))))))</f>
        <v/>
      </c>
      <c r="X38" s="29"/>
      <c r="Y38" s="29"/>
      <c r="Z38" s="29"/>
    </row>
    <row r="39" spans="1:26" ht="64" customHeight="1" x14ac:dyDescent="0.2">
      <c r="A39" s="29"/>
      <c r="B39" s="28" t="str">
        <f>IF(A39="","",IF(COUNTIF('32_定義マスター'!$A$13:$A$30,A39)&lt;&gt;1,"参照ID不正",IF(INDEX('32_定義マスター'!$B$13:$B$30,MATCH(A39,'32_定義マスター'!$A$13:$A$30,0))="","",INDEX('32_定義マスター'!$B$13:$B$30,MATCH(A39,'32_定義マスター'!$A$13:$A$30,0)))))</f>
        <v/>
      </c>
      <c r="C39" s="28" t="str">
        <f>IF(A39="","",IF(COUNTIF('32_定義マスター'!$A$13:$A$30,A39)&lt;&gt;1,"参照ID不正",IF(INDEX('32_定義マスター'!$C$13:$C$30,MATCH(A39,'32_定義マスター'!$A$13:$A$30,0))="","",INDEX('32_定義マスター'!$C$13:$C$30,MATCH(A39,'32_定義マスター'!$A$13:$A$30,0)))))</f>
        <v/>
      </c>
      <c r="D39" s="28" t="str">
        <f>IF(A39="","",IF(COUNTIF('32_定義マスター'!$A$13:$A$30,A39)&lt;&gt;1,"参照ID不正",IF(INDEX('32_定義マスター'!$D$13:$D$30,MATCH(A39,'32_定義マスター'!$A$13:$A$30,0))="","",INDEX('32_定義マスター'!$D$13:$D$30,MATCH(A39,'32_定義マスター'!$A$13:$A$30,0)))))</f>
        <v/>
      </c>
      <c r="E39" s="28" t="str">
        <f>IF(A39="","",IF(COUNTIF('32_定義マスター'!$A$13:$A$30,A39)&lt;&gt;1,"参照ID不正",IF(INDEX('32_定義マスター'!$E$13:$E$30,MATCH(A39,'32_定義マスター'!$A$13:$A$30,0))="","",INDEX('32_定義マスター'!$E$13:$E$30,MATCH(A39,'32_定義マスター'!$A$13:$A$30,0)))))</f>
        <v/>
      </c>
      <c r="F39" s="28" t="str">
        <f>IF(A39="","",IF(COUNTIF('32_定義マスター'!$A$13:$A$30,A39)&lt;&gt;1,"参照ID不正",IF(INDEX('32_定義マスター'!$F$13:$F$30,MATCH(A39,'32_定義マスター'!$A$13:$A$30,0))="","",INDEX('32_定義マスター'!$F$13:$F$30,MATCH(A39,'32_定義マスター'!$A$13:$A$30,0)))))</f>
        <v/>
      </c>
      <c r="G39" s="29"/>
      <c r="H39" s="29"/>
      <c r="I39" s="29"/>
      <c r="J39" s="29"/>
      <c r="K39" s="29"/>
      <c r="L39" s="29"/>
      <c r="M39" s="29"/>
      <c r="N39" s="29"/>
      <c r="O39" s="29"/>
      <c r="P39" s="29"/>
      <c r="Q39" s="28" t="str">
        <f>IF(A39="","",IF(COUNTIF('32_定義マスター'!$A$13:$A$30,A39)&lt;&gt;1,"参照ID不正",IF(INDEX('32_定義マスター'!$G$13:$G$30,MATCH(A39,'32_定義マスター'!$A$13:$A$30,0))="","",INDEX('32_定義マスター'!$G$13:$G$30,MATCH(A39,'32_定義マスター'!$A$13:$A$30,0)))))</f>
        <v/>
      </c>
      <c r="R39" s="29"/>
      <c r="S39" s="29"/>
      <c r="T39" s="29"/>
      <c r="U39" s="29"/>
      <c r="V39" s="28" t="str">
        <f t="shared" si="1"/>
        <v/>
      </c>
      <c r="W39" s="28" t="str">
        <f>IF(A39="","",IF(COUNTIF('32_定義マスター'!$A$13:$A$30,A39)&lt;&gt;1,"EvalType不正",IF(OR(V39="",COUNTIF($V$4:$V$103,V39)&lt;&gt;1),"PlanKey不足・重複",IF(OR(P39="",P39="未設定",P39="設計中",P39="改訂中"),"計画未確定",IF(AND(P39&lt;&gt;"承認",P39&lt;&gt;"対象外承認"),"状態不正",IF(OR(T39="",U39="",O39=""),"計画対象・承認不足",IF(P39="対象外承認",IF(G39="","対象外理由不足","対象外計画記録"),IF(OR(G39="",H39="",I39="",J39="",K39="",L39="",M39="",N39=""),"評価設計不足",IF(AND(A39="E05",OR(X39="",Y39="",Z39="")),"試行状態・成功定義不足","計画記録あり")))))))))</f>
        <v/>
      </c>
      <c r="X39" s="29"/>
      <c r="Y39" s="29"/>
      <c r="Z39" s="29"/>
    </row>
    <row r="40" spans="1:26" ht="64" customHeight="1" x14ac:dyDescent="0.2">
      <c r="A40" s="29"/>
      <c r="B40" s="28" t="str">
        <f>IF(A40="","",IF(COUNTIF('32_定義マスター'!$A$13:$A$30,A40)&lt;&gt;1,"参照ID不正",IF(INDEX('32_定義マスター'!$B$13:$B$30,MATCH(A40,'32_定義マスター'!$A$13:$A$30,0))="","",INDEX('32_定義マスター'!$B$13:$B$30,MATCH(A40,'32_定義マスター'!$A$13:$A$30,0)))))</f>
        <v/>
      </c>
      <c r="C40" s="28" t="str">
        <f>IF(A40="","",IF(COUNTIF('32_定義マスター'!$A$13:$A$30,A40)&lt;&gt;1,"参照ID不正",IF(INDEX('32_定義マスター'!$C$13:$C$30,MATCH(A40,'32_定義マスター'!$A$13:$A$30,0))="","",INDEX('32_定義マスター'!$C$13:$C$30,MATCH(A40,'32_定義マスター'!$A$13:$A$30,0)))))</f>
        <v/>
      </c>
      <c r="D40" s="28" t="str">
        <f>IF(A40="","",IF(COUNTIF('32_定義マスター'!$A$13:$A$30,A40)&lt;&gt;1,"参照ID不正",IF(INDEX('32_定義マスター'!$D$13:$D$30,MATCH(A40,'32_定義マスター'!$A$13:$A$30,0))="","",INDEX('32_定義マスター'!$D$13:$D$30,MATCH(A40,'32_定義マスター'!$A$13:$A$30,0)))))</f>
        <v/>
      </c>
      <c r="E40" s="28" t="str">
        <f>IF(A40="","",IF(COUNTIF('32_定義マスター'!$A$13:$A$30,A40)&lt;&gt;1,"参照ID不正",IF(INDEX('32_定義マスター'!$E$13:$E$30,MATCH(A40,'32_定義マスター'!$A$13:$A$30,0))="","",INDEX('32_定義マスター'!$E$13:$E$30,MATCH(A40,'32_定義マスター'!$A$13:$A$30,0)))))</f>
        <v/>
      </c>
      <c r="F40" s="28" t="str">
        <f>IF(A40="","",IF(COUNTIF('32_定義マスター'!$A$13:$A$30,A40)&lt;&gt;1,"参照ID不正",IF(INDEX('32_定義マスター'!$F$13:$F$30,MATCH(A40,'32_定義マスター'!$A$13:$A$30,0))="","",INDEX('32_定義マスター'!$F$13:$F$30,MATCH(A40,'32_定義マスター'!$A$13:$A$30,0)))))</f>
        <v/>
      </c>
      <c r="G40" s="29"/>
      <c r="H40" s="29"/>
      <c r="I40" s="29"/>
      <c r="J40" s="29"/>
      <c r="K40" s="29"/>
      <c r="L40" s="29"/>
      <c r="M40" s="29"/>
      <c r="N40" s="29"/>
      <c r="O40" s="29"/>
      <c r="P40" s="29"/>
      <c r="Q40" s="28" t="str">
        <f>IF(A40="","",IF(COUNTIF('32_定義マスター'!$A$13:$A$30,A40)&lt;&gt;1,"参照ID不正",IF(INDEX('32_定義マスター'!$G$13:$G$30,MATCH(A40,'32_定義マスター'!$A$13:$A$30,0))="","",INDEX('32_定義マスター'!$G$13:$G$30,MATCH(A40,'32_定義マスター'!$A$13:$A$30,0)))))</f>
        <v/>
      </c>
      <c r="R40" s="29"/>
      <c r="S40" s="29"/>
      <c r="T40" s="29"/>
      <c r="U40" s="29"/>
      <c r="V40" s="28" t="str">
        <f t="shared" si="1"/>
        <v/>
      </c>
      <c r="W40" s="28" t="str">
        <f>IF(A40="","",IF(COUNTIF('32_定義マスター'!$A$13:$A$30,A40)&lt;&gt;1,"EvalType不正",IF(OR(V40="",COUNTIF($V$4:$V$103,V40)&lt;&gt;1),"PlanKey不足・重複",IF(OR(P40="",P40="未設定",P40="設計中",P40="改訂中"),"計画未確定",IF(AND(P40&lt;&gt;"承認",P40&lt;&gt;"対象外承認"),"状態不正",IF(OR(T40="",U40="",O40=""),"計画対象・承認不足",IF(P40="対象外承認",IF(G40="","対象外理由不足","対象外計画記録"),IF(OR(G40="",H40="",I40="",J40="",K40="",L40="",M40="",N40=""),"評価設計不足",IF(AND(A40="E05",OR(X40="",Y40="",Z40="")),"試行状態・成功定義不足","計画記録あり")))))))))</f>
        <v/>
      </c>
      <c r="X40" s="29"/>
      <c r="Y40" s="29"/>
      <c r="Z40" s="29"/>
    </row>
    <row r="41" spans="1:26" ht="64" customHeight="1" x14ac:dyDescent="0.2">
      <c r="A41" s="29"/>
      <c r="B41" s="28" t="str">
        <f>IF(A41="","",IF(COUNTIF('32_定義マスター'!$A$13:$A$30,A41)&lt;&gt;1,"参照ID不正",IF(INDEX('32_定義マスター'!$B$13:$B$30,MATCH(A41,'32_定義マスター'!$A$13:$A$30,0))="","",INDEX('32_定義マスター'!$B$13:$B$30,MATCH(A41,'32_定義マスター'!$A$13:$A$30,0)))))</f>
        <v/>
      </c>
      <c r="C41" s="28" t="str">
        <f>IF(A41="","",IF(COUNTIF('32_定義マスター'!$A$13:$A$30,A41)&lt;&gt;1,"参照ID不正",IF(INDEX('32_定義マスター'!$C$13:$C$30,MATCH(A41,'32_定義マスター'!$A$13:$A$30,0))="","",INDEX('32_定義マスター'!$C$13:$C$30,MATCH(A41,'32_定義マスター'!$A$13:$A$30,0)))))</f>
        <v/>
      </c>
      <c r="D41" s="28" t="str">
        <f>IF(A41="","",IF(COUNTIF('32_定義マスター'!$A$13:$A$30,A41)&lt;&gt;1,"参照ID不正",IF(INDEX('32_定義マスター'!$D$13:$D$30,MATCH(A41,'32_定義マスター'!$A$13:$A$30,0))="","",INDEX('32_定義マスター'!$D$13:$D$30,MATCH(A41,'32_定義マスター'!$A$13:$A$30,0)))))</f>
        <v/>
      </c>
      <c r="E41" s="28" t="str">
        <f>IF(A41="","",IF(COUNTIF('32_定義マスター'!$A$13:$A$30,A41)&lt;&gt;1,"参照ID不正",IF(INDEX('32_定義マスター'!$E$13:$E$30,MATCH(A41,'32_定義マスター'!$A$13:$A$30,0))="","",INDEX('32_定義マスター'!$E$13:$E$30,MATCH(A41,'32_定義マスター'!$A$13:$A$30,0)))))</f>
        <v/>
      </c>
      <c r="F41" s="28" t="str">
        <f>IF(A41="","",IF(COUNTIF('32_定義マスター'!$A$13:$A$30,A41)&lt;&gt;1,"参照ID不正",IF(INDEX('32_定義マスター'!$F$13:$F$30,MATCH(A41,'32_定義マスター'!$A$13:$A$30,0))="","",INDEX('32_定義マスター'!$F$13:$F$30,MATCH(A41,'32_定義マスター'!$A$13:$A$30,0)))))</f>
        <v/>
      </c>
      <c r="G41" s="29"/>
      <c r="H41" s="29"/>
      <c r="I41" s="29"/>
      <c r="J41" s="29"/>
      <c r="K41" s="29"/>
      <c r="L41" s="29"/>
      <c r="M41" s="29"/>
      <c r="N41" s="29"/>
      <c r="O41" s="29"/>
      <c r="P41" s="29"/>
      <c r="Q41" s="28" t="str">
        <f>IF(A41="","",IF(COUNTIF('32_定義マスター'!$A$13:$A$30,A41)&lt;&gt;1,"参照ID不正",IF(INDEX('32_定義マスター'!$G$13:$G$30,MATCH(A41,'32_定義マスター'!$A$13:$A$30,0))="","",INDEX('32_定義マスター'!$G$13:$G$30,MATCH(A41,'32_定義マスター'!$A$13:$A$30,0)))))</f>
        <v/>
      </c>
      <c r="R41" s="29"/>
      <c r="S41" s="29"/>
      <c r="T41" s="29"/>
      <c r="U41" s="29"/>
      <c r="V41" s="28" t="str">
        <f t="shared" si="1"/>
        <v/>
      </c>
      <c r="W41" s="28" t="str">
        <f>IF(A41="","",IF(COUNTIF('32_定義マスター'!$A$13:$A$30,A41)&lt;&gt;1,"EvalType不正",IF(OR(V41="",COUNTIF($V$4:$V$103,V41)&lt;&gt;1),"PlanKey不足・重複",IF(OR(P41="",P41="未設定",P41="設計中",P41="改訂中"),"計画未確定",IF(AND(P41&lt;&gt;"承認",P41&lt;&gt;"対象外承認"),"状態不正",IF(OR(T41="",U41="",O41=""),"計画対象・承認不足",IF(P41="対象外承認",IF(G41="","対象外理由不足","対象外計画記録"),IF(OR(G41="",H41="",I41="",J41="",K41="",L41="",M41="",N41=""),"評価設計不足",IF(AND(A41="E05",OR(X41="",Y41="",Z41="")),"試行状態・成功定義不足","計画記録あり")))))))))</f>
        <v/>
      </c>
      <c r="X41" s="29"/>
      <c r="Y41" s="29"/>
      <c r="Z41" s="29"/>
    </row>
    <row r="42" spans="1:26" ht="64" customHeight="1" x14ac:dyDescent="0.2">
      <c r="A42" s="29"/>
      <c r="B42" s="28" t="str">
        <f>IF(A42="","",IF(COUNTIF('32_定義マスター'!$A$13:$A$30,A42)&lt;&gt;1,"参照ID不正",IF(INDEX('32_定義マスター'!$B$13:$B$30,MATCH(A42,'32_定義マスター'!$A$13:$A$30,0))="","",INDEX('32_定義マスター'!$B$13:$B$30,MATCH(A42,'32_定義マスター'!$A$13:$A$30,0)))))</f>
        <v/>
      </c>
      <c r="C42" s="28" t="str">
        <f>IF(A42="","",IF(COUNTIF('32_定義マスター'!$A$13:$A$30,A42)&lt;&gt;1,"参照ID不正",IF(INDEX('32_定義マスター'!$C$13:$C$30,MATCH(A42,'32_定義マスター'!$A$13:$A$30,0))="","",INDEX('32_定義マスター'!$C$13:$C$30,MATCH(A42,'32_定義マスター'!$A$13:$A$30,0)))))</f>
        <v/>
      </c>
      <c r="D42" s="28" t="str">
        <f>IF(A42="","",IF(COUNTIF('32_定義マスター'!$A$13:$A$30,A42)&lt;&gt;1,"参照ID不正",IF(INDEX('32_定義マスター'!$D$13:$D$30,MATCH(A42,'32_定義マスター'!$A$13:$A$30,0))="","",INDEX('32_定義マスター'!$D$13:$D$30,MATCH(A42,'32_定義マスター'!$A$13:$A$30,0)))))</f>
        <v/>
      </c>
      <c r="E42" s="28" t="str">
        <f>IF(A42="","",IF(COUNTIF('32_定義マスター'!$A$13:$A$30,A42)&lt;&gt;1,"参照ID不正",IF(INDEX('32_定義マスター'!$E$13:$E$30,MATCH(A42,'32_定義マスター'!$A$13:$A$30,0))="","",INDEX('32_定義マスター'!$E$13:$E$30,MATCH(A42,'32_定義マスター'!$A$13:$A$30,0)))))</f>
        <v/>
      </c>
      <c r="F42" s="28" t="str">
        <f>IF(A42="","",IF(COUNTIF('32_定義マスター'!$A$13:$A$30,A42)&lt;&gt;1,"参照ID不正",IF(INDEX('32_定義マスター'!$F$13:$F$30,MATCH(A42,'32_定義マスター'!$A$13:$A$30,0))="","",INDEX('32_定義マスター'!$F$13:$F$30,MATCH(A42,'32_定義マスター'!$A$13:$A$30,0)))))</f>
        <v/>
      </c>
      <c r="G42" s="29"/>
      <c r="H42" s="29"/>
      <c r="I42" s="29"/>
      <c r="J42" s="29"/>
      <c r="K42" s="29"/>
      <c r="L42" s="29"/>
      <c r="M42" s="29"/>
      <c r="N42" s="29"/>
      <c r="O42" s="29"/>
      <c r="P42" s="29"/>
      <c r="Q42" s="28" t="str">
        <f>IF(A42="","",IF(COUNTIF('32_定義マスター'!$A$13:$A$30,A42)&lt;&gt;1,"参照ID不正",IF(INDEX('32_定義マスター'!$G$13:$G$30,MATCH(A42,'32_定義マスター'!$A$13:$A$30,0))="","",INDEX('32_定義マスター'!$G$13:$G$30,MATCH(A42,'32_定義マスター'!$A$13:$A$30,0)))))</f>
        <v/>
      </c>
      <c r="R42" s="29"/>
      <c r="S42" s="29"/>
      <c r="T42" s="29"/>
      <c r="U42" s="29"/>
      <c r="V42" s="28" t="str">
        <f t="shared" si="1"/>
        <v/>
      </c>
      <c r="W42" s="28" t="str">
        <f>IF(A42="","",IF(COUNTIF('32_定義マスター'!$A$13:$A$30,A42)&lt;&gt;1,"EvalType不正",IF(OR(V42="",COUNTIF($V$4:$V$103,V42)&lt;&gt;1),"PlanKey不足・重複",IF(OR(P42="",P42="未設定",P42="設計中",P42="改訂中"),"計画未確定",IF(AND(P42&lt;&gt;"承認",P42&lt;&gt;"対象外承認"),"状態不正",IF(OR(T42="",U42="",O42=""),"計画対象・承認不足",IF(P42="対象外承認",IF(G42="","対象外理由不足","対象外計画記録"),IF(OR(G42="",H42="",I42="",J42="",K42="",L42="",M42="",N42=""),"評価設計不足",IF(AND(A42="E05",OR(X42="",Y42="",Z42="")),"試行状態・成功定義不足","計画記録あり")))))))))</f>
        <v/>
      </c>
      <c r="X42" s="29"/>
      <c r="Y42" s="29"/>
      <c r="Z42" s="29"/>
    </row>
    <row r="43" spans="1:26" ht="64" customHeight="1" x14ac:dyDescent="0.2">
      <c r="A43" s="29"/>
      <c r="B43" s="28" t="str">
        <f>IF(A43="","",IF(COUNTIF('32_定義マスター'!$A$13:$A$30,A43)&lt;&gt;1,"参照ID不正",IF(INDEX('32_定義マスター'!$B$13:$B$30,MATCH(A43,'32_定義マスター'!$A$13:$A$30,0))="","",INDEX('32_定義マスター'!$B$13:$B$30,MATCH(A43,'32_定義マスター'!$A$13:$A$30,0)))))</f>
        <v/>
      </c>
      <c r="C43" s="28" t="str">
        <f>IF(A43="","",IF(COUNTIF('32_定義マスター'!$A$13:$A$30,A43)&lt;&gt;1,"参照ID不正",IF(INDEX('32_定義マスター'!$C$13:$C$30,MATCH(A43,'32_定義マスター'!$A$13:$A$30,0))="","",INDEX('32_定義マスター'!$C$13:$C$30,MATCH(A43,'32_定義マスター'!$A$13:$A$30,0)))))</f>
        <v/>
      </c>
      <c r="D43" s="28" t="str">
        <f>IF(A43="","",IF(COUNTIF('32_定義マスター'!$A$13:$A$30,A43)&lt;&gt;1,"参照ID不正",IF(INDEX('32_定義マスター'!$D$13:$D$30,MATCH(A43,'32_定義マスター'!$A$13:$A$30,0))="","",INDEX('32_定義マスター'!$D$13:$D$30,MATCH(A43,'32_定義マスター'!$A$13:$A$30,0)))))</f>
        <v/>
      </c>
      <c r="E43" s="28" t="str">
        <f>IF(A43="","",IF(COUNTIF('32_定義マスター'!$A$13:$A$30,A43)&lt;&gt;1,"参照ID不正",IF(INDEX('32_定義マスター'!$E$13:$E$30,MATCH(A43,'32_定義マスター'!$A$13:$A$30,0))="","",INDEX('32_定義マスター'!$E$13:$E$30,MATCH(A43,'32_定義マスター'!$A$13:$A$30,0)))))</f>
        <v/>
      </c>
      <c r="F43" s="28" t="str">
        <f>IF(A43="","",IF(COUNTIF('32_定義マスター'!$A$13:$A$30,A43)&lt;&gt;1,"参照ID不正",IF(INDEX('32_定義マスター'!$F$13:$F$30,MATCH(A43,'32_定義マスター'!$A$13:$A$30,0))="","",INDEX('32_定義マスター'!$F$13:$F$30,MATCH(A43,'32_定義マスター'!$A$13:$A$30,0)))))</f>
        <v/>
      </c>
      <c r="G43" s="29"/>
      <c r="H43" s="29"/>
      <c r="I43" s="29"/>
      <c r="J43" s="29"/>
      <c r="K43" s="29"/>
      <c r="L43" s="29"/>
      <c r="M43" s="29"/>
      <c r="N43" s="29"/>
      <c r="O43" s="29"/>
      <c r="P43" s="29"/>
      <c r="Q43" s="28" t="str">
        <f>IF(A43="","",IF(COUNTIF('32_定義マスター'!$A$13:$A$30,A43)&lt;&gt;1,"参照ID不正",IF(INDEX('32_定義マスター'!$G$13:$G$30,MATCH(A43,'32_定義マスター'!$A$13:$A$30,0))="","",INDEX('32_定義マスター'!$G$13:$G$30,MATCH(A43,'32_定義マスター'!$A$13:$A$30,0)))))</f>
        <v/>
      </c>
      <c r="R43" s="29"/>
      <c r="S43" s="29"/>
      <c r="T43" s="29"/>
      <c r="U43" s="29"/>
      <c r="V43" s="28" t="str">
        <f t="shared" si="1"/>
        <v/>
      </c>
      <c r="W43" s="28" t="str">
        <f>IF(A43="","",IF(COUNTIF('32_定義マスター'!$A$13:$A$30,A43)&lt;&gt;1,"EvalType不正",IF(OR(V43="",COUNTIF($V$4:$V$103,V43)&lt;&gt;1),"PlanKey不足・重複",IF(OR(P43="",P43="未設定",P43="設計中",P43="改訂中"),"計画未確定",IF(AND(P43&lt;&gt;"承認",P43&lt;&gt;"対象外承認"),"状態不正",IF(OR(T43="",U43="",O43=""),"計画対象・承認不足",IF(P43="対象外承認",IF(G43="","対象外理由不足","対象外計画記録"),IF(OR(G43="",H43="",I43="",J43="",K43="",L43="",M43="",N43=""),"評価設計不足",IF(AND(A43="E05",OR(X43="",Y43="",Z43="")),"試行状態・成功定義不足","計画記録あり")))))))))</f>
        <v/>
      </c>
      <c r="X43" s="29"/>
      <c r="Y43" s="29"/>
      <c r="Z43" s="29"/>
    </row>
    <row r="44" spans="1:26" ht="64" customHeight="1" x14ac:dyDescent="0.2">
      <c r="A44" s="29"/>
      <c r="B44" s="28" t="str">
        <f>IF(A44="","",IF(COUNTIF('32_定義マスター'!$A$13:$A$30,A44)&lt;&gt;1,"参照ID不正",IF(INDEX('32_定義マスター'!$B$13:$B$30,MATCH(A44,'32_定義マスター'!$A$13:$A$30,0))="","",INDEX('32_定義マスター'!$B$13:$B$30,MATCH(A44,'32_定義マスター'!$A$13:$A$30,0)))))</f>
        <v/>
      </c>
      <c r="C44" s="28" t="str">
        <f>IF(A44="","",IF(COUNTIF('32_定義マスター'!$A$13:$A$30,A44)&lt;&gt;1,"参照ID不正",IF(INDEX('32_定義マスター'!$C$13:$C$30,MATCH(A44,'32_定義マスター'!$A$13:$A$30,0))="","",INDEX('32_定義マスター'!$C$13:$C$30,MATCH(A44,'32_定義マスター'!$A$13:$A$30,0)))))</f>
        <v/>
      </c>
      <c r="D44" s="28" t="str">
        <f>IF(A44="","",IF(COUNTIF('32_定義マスター'!$A$13:$A$30,A44)&lt;&gt;1,"参照ID不正",IF(INDEX('32_定義マスター'!$D$13:$D$30,MATCH(A44,'32_定義マスター'!$A$13:$A$30,0))="","",INDEX('32_定義マスター'!$D$13:$D$30,MATCH(A44,'32_定義マスター'!$A$13:$A$30,0)))))</f>
        <v/>
      </c>
      <c r="E44" s="28" t="str">
        <f>IF(A44="","",IF(COUNTIF('32_定義マスター'!$A$13:$A$30,A44)&lt;&gt;1,"参照ID不正",IF(INDEX('32_定義マスター'!$E$13:$E$30,MATCH(A44,'32_定義マスター'!$A$13:$A$30,0))="","",INDEX('32_定義マスター'!$E$13:$E$30,MATCH(A44,'32_定義マスター'!$A$13:$A$30,0)))))</f>
        <v/>
      </c>
      <c r="F44" s="28" t="str">
        <f>IF(A44="","",IF(COUNTIF('32_定義マスター'!$A$13:$A$30,A44)&lt;&gt;1,"参照ID不正",IF(INDEX('32_定義マスター'!$F$13:$F$30,MATCH(A44,'32_定義マスター'!$A$13:$A$30,0))="","",INDEX('32_定義マスター'!$F$13:$F$30,MATCH(A44,'32_定義マスター'!$A$13:$A$30,0)))))</f>
        <v/>
      </c>
      <c r="G44" s="29"/>
      <c r="H44" s="29"/>
      <c r="I44" s="29"/>
      <c r="J44" s="29"/>
      <c r="K44" s="29"/>
      <c r="L44" s="29"/>
      <c r="M44" s="29"/>
      <c r="N44" s="29"/>
      <c r="O44" s="29"/>
      <c r="P44" s="29"/>
      <c r="Q44" s="28" t="str">
        <f>IF(A44="","",IF(COUNTIF('32_定義マスター'!$A$13:$A$30,A44)&lt;&gt;1,"参照ID不正",IF(INDEX('32_定義マスター'!$G$13:$G$30,MATCH(A44,'32_定義マスター'!$A$13:$A$30,0))="","",INDEX('32_定義マスター'!$G$13:$G$30,MATCH(A44,'32_定義マスター'!$A$13:$A$30,0)))))</f>
        <v/>
      </c>
      <c r="R44" s="29"/>
      <c r="S44" s="29"/>
      <c r="T44" s="29"/>
      <c r="U44" s="29"/>
      <c r="V44" s="28" t="str">
        <f t="shared" si="1"/>
        <v/>
      </c>
      <c r="W44" s="28" t="str">
        <f>IF(A44="","",IF(COUNTIF('32_定義マスター'!$A$13:$A$30,A44)&lt;&gt;1,"EvalType不正",IF(OR(V44="",COUNTIF($V$4:$V$103,V44)&lt;&gt;1),"PlanKey不足・重複",IF(OR(P44="",P44="未設定",P44="設計中",P44="改訂中"),"計画未確定",IF(AND(P44&lt;&gt;"承認",P44&lt;&gt;"対象外承認"),"状態不正",IF(OR(T44="",U44="",O44=""),"計画対象・承認不足",IF(P44="対象外承認",IF(G44="","対象外理由不足","対象外計画記録"),IF(OR(G44="",H44="",I44="",J44="",K44="",L44="",M44="",N44=""),"評価設計不足",IF(AND(A44="E05",OR(X44="",Y44="",Z44="")),"試行状態・成功定義不足","計画記録あり")))))))))</f>
        <v/>
      </c>
      <c r="X44" s="29"/>
      <c r="Y44" s="29"/>
      <c r="Z44" s="29"/>
    </row>
    <row r="45" spans="1:26" ht="64" customHeight="1" x14ac:dyDescent="0.2">
      <c r="A45" s="29"/>
      <c r="B45" s="28" t="str">
        <f>IF(A45="","",IF(COUNTIF('32_定義マスター'!$A$13:$A$30,A45)&lt;&gt;1,"参照ID不正",IF(INDEX('32_定義マスター'!$B$13:$B$30,MATCH(A45,'32_定義マスター'!$A$13:$A$30,0))="","",INDEX('32_定義マスター'!$B$13:$B$30,MATCH(A45,'32_定義マスター'!$A$13:$A$30,0)))))</f>
        <v/>
      </c>
      <c r="C45" s="28" t="str">
        <f>IF(A45="","",IF(COUNTIF('32_定義マスター'!$A$13:$A$30,A45)&lt;&gt;1,"参照ID不正",IF(INDEX('32_定義マスター'!$C$13:$C$30,MATCH(A45,'32_定義マスター'!$A$13:$A$30,0))="","",INDEX('32_定義マスター'!$C$13:$C$30,MATCH(A45,'32_定義マスター'!$A$13:$A$30,0)))))</f>
        <v/>
      </c>
      <c r="D45" s="28" t="str">
        <f>IF(A45="","",IF(COUNTIF('32_定義マスター'!$A$13:$A$30,A45)&lt;&gt;1,"参照ID不正",IF(INDEX('32_定義マスター'!$D$13:$D$30,MATCH(A45,'32_定義マスター'!$A$13:$A$30,0))="","",INDEX('32_定義マスター'!$D$13:$D$30,MATCH(A45,'32_定義マスター'!$A$13:$A$30,0)))))</f>
        <v/>
      </c>
      <c r="E45" s="28" t="str">
        <f>IF(A45="","",IF(COUNTIF('32_定義マスター'!$A$13:$A$30,A45)&lt;&gt;1,"参照ID不正",IF(INDEX('32_定義マスター'!$E$13:$E$30,MATCH(A45,'32_定義マスター'!$A$13:$A$30,0))="","",INDEX('32_定義マスター'!$E$13:$E$30,MATCH(A45,'32_定義マスター'!$A$13:$A$30,0)))))</f>
        <v/>
      </c>
      <c r="F45" s="28" t="str">
        <f>IF(A45="","",IF(COUNTIF('32_定義マスター'!$A$13:$A$30,A45)&lt;&gt;1,"参照ID不正",IF(INDEX('32_定義マスター'!$F$13:$F$30,MATCH(A45,'32_定義マスター'!$A$13:$A$30,0))="","",INDEX('32_定義マスター'!$F$13:$F$30,MATCH(A45,'32_定義マスター'!$A$13:$A$30,0)))))</f>
        <v/>
      </c>
      <c r="G45" s="29"/>
      <c r="H45" s="29"/>
      <c r="I45" s="29"/>
      <c r="J45" s="29"/>
      <c r="K45" s="29"/>
      <c r="L45" s="29"/>
      <c r="M45" s="29"/>
      <c r="N45" s="29"/>
      <c r="O45" s="29"/>
      <c r="P45" s="29"/>
      <c r="Q45" s="28" t="str">
        <f>IF(A45="","",IF(COUNTIF('32_定義マスター'!$A$13:$A$30,A45)&lt;&gt;1,"参照ID不正",IF(INDEX('32_定義マスター'!$G$13:$G$30,MATCH(A45,'32_定義マスター'!$A$13:$A$30,0))="","",INDEX('32_定義マスター'!$G$13:$G$30,MATCH(A45,'32_定義マスター'!$A$13:$A$30,0)))))</f>
        <v/>
      </c>
      <c r="R45" s="29"/>
      <c r="S45" s="29"/>
      <c r="T45" s="29"/>
      <c r="U45" s="29"/>
      <c r="V45" s="28" t="str">
        <f t="shared" si="1"/>
        <v/>
      </c>
      <c r="W45" s="28" t="str">
        <f>IF(A45="","",IF(COUNTIF('32_定義マスター'!$A$13:$A$30,A45)&lt;&gt;1,"EvalType不正",IF(OR(V45="",COUNTIF($V$4:$V$103,V45)&lt;&gt;1),"PlanKey不足・重複",IF(OR(P45="",P45="未設定",P45="設計中",P45="改訂中"),"計画未確定",IF(AND(P45&lt;&gt;"承認",P45&lt;&gt;"対象外承認"),"状態不正",IF(OR(T45="",U45="",O45=""),"計画対象・承認不足",IF(P45="対象外承認",IF(G45="","対象外理由不足","対象外計画記録"),IF(OR(G45="",H45="",I45="",J45="",K45="",L45="",M45="",N45=""),"評価設計不足",IF(AND(A45="E05",OR(X45="",Y45="",Z45="")),"試行状態・成功定義不足","計画記録あり")))))))))</f>
        <v/>
      </c>
      <c r="X45" s="29"/>
      <c r="Y45" s="29"/>
      <c r="Z45" s="29"/>
    </row>
    <row r="46" spans="1:26" ht="64" customHeight="1" x14ac:dyDescent="0.2">
      <c r="A46" s="29"/>
      <c r="B46" s="28" t="str">
        <f>IF(A46="","",IF(COUNTIF('32_定義マスター'!$A$13:$A$30,A46)&lt;&gt;1,"参照ID不正",IF(INDEX('32_定義マスター'!$B$13:$B$30,MATCH(A46,'32_定義マスター'!$A$13:$A$30,0))="","",INDEX('32_定義マスター'!$B$13:$B$30,MATCH(A46,'32_定義マスター'!$A$13:$A$30,0)))))</f>
        <v/>
      </c>
      <c r="C46" s="28" t="str">
        <f>IF(A46="","",IF(COUNTIF('32_定義マスター'!$A$13:$A$30,A46)&lt;&gt;1,"参照ID不正",IF(INDEX('32_定義マスター'!$C$13:$C$30,MATCH(A46,'32_定義マスター'!$A$13:$A$30,0))="","",INDEX('32_定義マスター'!$C$13:$C$30,MATCH(A46,'32_定義マスター'!$A$13:$A$30,0)))))</f>
        <v/>
      </c>
      <c r="D46" s="28" t="str">
        <f>IF(A46="","",IF(COUNTIF('32_定義マスター'!$A$13:$A$30,A46)&lt;&gt;1,"参照ID不正",IF(INDEX('32_定義マスター'!$D$13:$D$30,MATCH(A46,'32_定義マスター'!$A$13:$A$30,0))="","",INDEX('32_定義マスター'!$D$13:$D$30,MATCH(A46,'32_定義マスター'!$A$13:$A$30,0)))))</f>
        <v/>
      </c>
      <c r="E46" s="28" t="str">
        <f>IF(A46="","",IF(COUNTIF('32_定義マスター'!$A$13:$A$30,A46)&lt;&gt;1,"参照ID不正",IF(INDEX('32_定義マスター'!$E$13:$E$30,MATCH(A46,'32_定義マスター'!$A$13:$A$30,0))="","",INDEX('32_定義マスター'!$E$13:$E$30,MATCH(A46,'32_定義マスター'!$A$13:$A$30,0)))))</f>
        <v/>
      </c>
      <c r="F46" s="28" t="str">
        <f>IF(A46="","",IF(COUNTIF('32_定義マスター'!$A$13:$A$30,A46)&lt;&gt;1,"参照ID不正",IF(INDEX('32_定義マスター'!$F$13:$F$30,MATCH(A46,'32_定義マスター'!$A$13:$A$30,0))="","",INDEX('32_定義マスター'!$F$13:$F$30,MATCH(A46,'32_定義マスター'!$A$13:$A$30,0)))))</f>
        <v/>
      </c>
      <c r="G46" s="29"/>
      <c r="H46" s="29"/>
      <c r="I46" s="29"/>
      <c r="J46" s="29"/>
      <c r="K46" s="29"/>
      <c r="L46" s="29"/>
      <c r="M46" s="29"/>
      <c r="N46" s="29"/>
      <c r="O46" s="29"/>
      <c r="P46" s="29"/>
      <c r="Q46" s="28" t="str">
        <f>IF(A46="","",IF(COUNTIF('32_定義マスター'!$A$13:$A$30,A46)&lt;&gt;1,"参照ID不正",IF(INDEX('32_定義マスター'!$G$13:$G$30,MATCH(A46,'32_定義マスター'!$A$13:$A$30,0))="","",INDEX('32_定義マスター'!$G$13:$G$30,MATCH(A46,'32_定義マスター'!$A$13:$A$30,0)))))</f>
        <v/>
      </c>
      <c r="R46" s="29"/>
      <c r="S46" s="29"/>
      <c r="T46" s="29"/>
      <c r="U46" s="29"/>
      <c r="V46" s="28" t="str">
        <f t="shared" si="1"/>
        <v/>
      </c>
      <c r="W46" s="28" t="str">
        <f>IF(A46="","",IF(COUNTIF('32_定義マスター'!$A$13:$A$30,A46)&lt;&gt;1,"EvalType不正",IF(OR(V46="",COUNTIF($V$4:$V$103,V46)&lt;&gt;1),"PlanKey不足・重複",IF(OR(P46="",P46="未設定",P46="設計中",P46="改訂中"),"計画未確定",IF(AND(P46&lt;&gt;"承認",P46&lt;&gt;"対象外承認"),"状態不正",IF(OR(T46="",U46="",O46=""),"計画対象・承認不足",IF(P46="対象外承認",IF(G46="","対象外理由不足","対象外計画記録"),IF(OR(G46="",H46="",I46="",J46="",K46="",L46="",M46="",N46=""),"評価設計不足",IF(AND(A46="E05",OR(X46="",Y46="",Z46="")),"試行状態・成功定義不足","計画記録あり")))))))))</f>
        <v/>
      </c>
      <c r="X46" s="29"/>
      <c r="Y46" s="29"/>
      <c r="Z46" s="29"/>
    </row>
    <row r="47" spans="1:26" ht="64" customHeight="1" x14ac:dyDescent="0.2">
      <c r="A47" s="29"/>
      <c r="B47" s="28" t="str">
        <f>IF(A47="","",IF(COUNTIF('32_定義マスター'!$A$13:$A$30,A47)&lt;&gt;1,"参照ID不正",IF(INDEX('32_定義マスター'!$B$13:$B$30,MATCH(A47,'32_定義マスター'!$A$13:$A$30,0))="","",INDEX('32_定義マスター'!$B$13:$B$30,MATCH(A47,'32_定義マスター'!$A$13:$A$30,0)))))</f>
        <v/>
      </c>
      <c r="C47" s="28" t="str">
        <f>IF(A47="","",IF(COUNTIF('32_定義マスター'!$A$13:$A$30,A47)&lt;&gt;1,"参照ID不正",IF(INDEX('32_定義マスター'!$C$13:$C$30,MATCH(A47,'32_定義マスター'!$A$13:$A$30,0))="","",INDEX('32_定義マスター'!$C$13:$C$30,MATCH(A47,'32_定義マスター'!$A$13:$A$30,0)))))</f>
        <v/>
      </c>
      <c r="D47" s="28" t="str">
        <f>IF(A47="","",IF(COUNTIF('32_定義マスター'!$A$13:$A$30,A47)&lt;&gt;1,"参照ID不正",IF(INDEX('32_定義マスター'!$D$13:$D$30,MATCH(A47,'32_定義マスター'!$A$13:$A$30,0))="","",INDEX('32_定義マスター'!$D$13:$D$30,MATCH(A47,'32_定義マスター'!$A$13:$A$30,0)))))</f>
        <v/>
      </c>
      <c r="E47" s="28" t="str">
        <f>IF(A47="","",IF(COUNTIF('32_定義マスター'!$A$13:$A$30,A47)&lt;&gt;1,"参照ID不正",IF(INDEX('32_定義マスター'!$E$13:$E$30,MATCH(A47,'32_定義マスター'!$A$13:$A$30,0))="","",INDEX('32_定義マスター'!$E$13:$E$30,MATCH(A47,'32_定義マスター'!$A$13:$A$30,0)))))</f>
        <v/>
      </c>
      <c r="F47" s="28" t="str">
        <f>IF(A47="","",IF(COUNTIF('32_定義マスター'!$A$13:$A$30,A47)&lt;&gt;1,"参照ID不正",IF(INDEX('32_定義マスター'!$F$13:$F$30,MATCH(A47,'32_定義マスター'!$A$13:$A$30,0))="","",INDEX('32_定義マスター'!$F$13:$F$30,MATCH(A47,'32_定義マスター'!$A$13:$A$30,0)))))</f>
        <v/>
      </c>
      <c r="G47" s="29"/>
      <c r="H47" s="29"/>
      <c r="I47" s="29"/>
      <c r="J47" s="29"/>
      <c r="K47" s="29"/>
      <c r="L47" s="29"/>
      <c r="M47" s="29"/>
      <c r="N47" s="29"/>
      <c r="O47" s="29"/>
      <c r="P47" s="29"/>
      <c r="Q47" s="28" t="str">
        <f>IF(A47="","",IF(COUNTIF('32_定義マスター'!$A$13:$A$30,A47)&lt;&gt;1,"参照ID不正",IF(INDEX('32_定義マスター'!$G$13:$G$30,MATCH(A47,'32_定義マスター'!$A$13:$A$30,0))="","",INDEX('32_定義マスター'!$G$13:$G$30,MATCH(A47,'32_定義マスター'!$A$13:$A$30,0)))))</f>
        <v/>
      </c>
      <c r="R47" s="29"/>
      <c r="S47" s="29"/>
      <c r="T47" s="29"/>
      <c r="U47" s="29"/>
      <c r="V47" s="28" t="str">
        <f t="shared" si="1"/>
        <v/>
      </c>
      <c r="W47" s="28" t="str">
        <f>IF(A47="","",IF(COUNTIF('32_定義マスター'!$A$13:$A$30,A47)&lt;&gt;1,"EvalType不正",IF(OR(V47="",COUNTIF($V$4:$V$103,V47)&lt;&gt;1),"PlanKey不足・重複",IF(OR(P47="",P47="未設定",P47="設計中",P47="改訂中"),"計画未確定",IF(AND(P47&lt;&gt;"承認",P47&lt;&gt;"対象外承認"),"状態不正",IF(OR(T47="",U47="",O47=""),"計画対象・承認不足",IF(P47="対象外承認",IF(G47="","対象外理由不足","対象外計画記録"),IF(OR(G47="",H47="",I47="",J47="",K47="",L47="",M47="",N47=""),"評価設計不足",IF(AND(A47="E05",OR(X47="",Y47="",Z47="")),"試行状態・成功定義不足","計画記録あり")))))))))</f>
        <v/>
      </c>
      <c r="X47" s="29"/>
      <c r="Y47" s="29"/>
      <c r="Z47" s="29"/>
    </row>
    <row r="48" spans="1:26" ht="64" customHeight="1" x14ac:dyDescent="0.2">
      <c r="A48" s="29"/>
      <c r="B48" s="28" t="str">
        <f>IF(A48="","",IF(COUNTIF('32_定義マスター'!$A$13:$A$30,A48)&lt;&gt;1,"参照ID不正",IF(INDEX('32_定義マスター'!$B$13:$B$30,MATCH(A48,'32_定義マスター'!$A$13:$A$30,0))="","",INDEX('32_定義マスター'!$B$13:$B$30,MATCH(A48,'32_定義マスター'!$A$13:$A$30,0)))))</f>
        <v/>
      </c>
      <c r="C48" s="28" t="str">
        <f>IF(A48="","",IF(COUNTIF('32_定義マスター'!$A$13:$A$30,A48)&lt;&gt;1,"参照ID不正",IF(INDEX('32_定義マスター'!$C$13:$C$30,MATCH(A48,'32_定義マスター'!$A$13:$A$30,0))="","",INDEX('32_定義マスター'!$C$13:$C$30,MATCH(A48,'32_定義マスター'!$A$13:$A$30,0)))))</f>
        <v/>
      </c>
      <c r="D48" s="28" t="str">
        <f>IF(A48="","",IF(COUNTIF('32_定義マスター'!$A$13:$A$30,A48)&lt;&gt;1,"参照ID不正",IF(INDEX('32_定義マスター'!$D$13:$D$30,MATCH(A48,'32_定義マスター'!$A$13:$A$30,0))="","",INDEX('32_定義マスター'!$D$13:$D$30,MATCH(A48,'32_定義マスター'!$A$13:$A$30,0)))))</f>
        <v/>
      </c>
      <c r="E48" s="28" t="str">
        <f>IF(A48="","",IF(COUNTIF('32_定義マスター'!$A$13:$A$30,A48)&lt;&gt;1,"参照ID不正",IF(INDEX('32_定義マスター'!$E$13:$E$30,MATCH(A48,'32_定義マスター'!$A$13:$A$30,0))="","",INDEX('32_定義マスター'!$E$13:$E$30,MATCH(A48,'32_定義マスター'!$A$13:$A$30,0)))))</f>
        <v/>
      </c>
      <c r="F48" s="28" t="str">
        <f>IF(A48="","",IF(COUNTIF('32_定義マスター'!$A$13:$A$30,A48)&lt;&gt;1,"参照ID不正",IF(INDEX('32_定義マスター'!$F$13:$F$30,MATCH(A48,'32_定義マスター'!$A$13:$A$30,0))="","",INDEX('32_定義マスター'!$F$13:$F$30,MATCH(A48,'32_定義マスター'!$A$13:$A$30,0)))))</f>
        <v/>
      </c>
      <c r="G48" s="29"/>
      <c r="H48" s="29"/>
      <c r="I48" s="29"/>
      <c r="J48" s="29"/>
      <c r="K48" s="29"/>
      <c r="L48" s="29"/>
      <c r="M48" s="29"/>
      <c r="N48" s="29"/>
      <c r="O48" s="29"/>
      <c r="P48" s="29"/>
      <c r="Q48" s="28" t="str">
        <f>IF(A48="","",IF(COUNTIF('32_定義マスター'!$A$13:$A$30,A48)&lt;&gt;1,"参照ID不正",IF(INDEX('32_定義マスター'!$G$13:$G$30,MATCH(A48,'32_定義マスター'!$A$13:$A$30,0))="","",INDEX('32_定義マスター'!$G$13:$G$30,MATCH(A48,'32_定義マスター'!$A$13:$A$30,0)))))</f>
        <v/>
      </c>
      <c r="R48" s="29"/>
      <c r="S48" s="29"/>
      <c r="T48" s="29"/>
      <c r="U48" s="29"/>
      <c r="V48" s="28" t="str">
        <f t="shared" si="1"/>
        <v/>
      </c>
      <c r="W48" s="28" t="str">
        <f>IF(A48="","",IF(COUNTIF('32_定義マスター'!$A$13:$A$30,A48)&lt;&gt;1,"EvalType不正",IF(OR(V48="",COUNTIF($V$4:$V$103,V48)&lt;&gt;1),"PlanKey不足・重複",IF(OR(P48="",P48="未設定",P48="設計中",P48="改訂中"),"計画未確定",IF(AND(P48&lt;&gt;"承認",P48&lt;&gt;"対象外承認"),"状態不正",IF(OR(T48="",U48="",O48=""),"計画対象・承認不足",IF(P48="対象外承認",IF(G48="","対象外理由不足","対象外計画記録"),IF(OR(G48="",H48="",I48="",J48="",K48="",L48="",M48="",N48=""),"評価設計不足",IF(AND(A48="E05",OR(X48="",Y48="",Z48="")),"試行状態・成功定義不足","計画記録あり")))))))))</f>
        <v/>
      </c>
      <c r="X48" s="29"/>
      <c r="Y48" s="29"/>
      <c r="Z48" s="29"/>
    </row>
    <row r="49" spans="1:26" ht="64" customHeight="1" x14ac:dyDescent="0.2">
      <c r="A49" s="29"/>
      <c r="B49" s="28" t="str">
        <f>IF(A49="","",IF(COUNTIF('32_定義マスター'!$A$13:$A$30,A49)&lt;&gt;1,"参照ID不正",IF(INDEX('32_定義マスター'!$B$13:$B$30,MATCH(A49,'32_定義マスター'!$A$13:$A$30,0))="","",INDEX('32_定義マスター'!$B$13:$B$30,MATCH(A49,'32_定義マスター'!$A$13:$A$30,0)))))</f>
        <v/>
      </c>
      <c r="C49" s="28" t="str">
        <f>IF(A49="","",IF(COUNTIF('32_定義マスター'!$A$13:$A$30,A49)&lt;&gt;1,"参照ID不正",IF(INDEX('32_定義マスター'!$C$13:$C$30,MATCH(A49,'32_定義マスター'!$A$13:$A$30,0))="","",INDEX('32_定義マスター'!$C$13:$C$30,MATCH(A49,'32_定義マスター'!$A$13:$A$30,0)))))</f>
        <v/>
      </c>
      <c r="D49" s="28" t="str">
        <f>IF(A49="","",IF(COUNTIF('32_定義マスター'!$A$13:$A$30,A49)&lt;&gt;1,"参照ID不正",IF(INDEX('32_定義マスター'!$D$13:$D$30,MATCH(A49,'32_定義マスター'!$A$13:$A$30,0))="","",INDEX('32_定義マスター'!$D$13:$D$30,MATCH(A49,'32_定義マスター'!$A$13:$A$30,0)))))</f>
        <v/>
      </c>
      <c r="E49" s="28" t="str">
        <f>IF(A49="","",IF(COUNTIF('32_定義マスター'!$A$13:$A$30,A49)&lt;&gt;1,"参照ID不正",IF(INDEX('32_定義マスター'!$E$13:$E$30,MATCH(A49,'32_定義マスター'!$A$13:$A$30,0))="","",INDEX('32_定義マスター'!$E$13:$E$30,MATCH(A49,'32_定義マスター'!$A$13:$A$30,0)))))</f>
        <v/>
      </c>
      <c r="F49" s="28" t="str">
        <f>IF(A49="","",IF(COUNTIF('32_定義マスター'!$A$13:$A$30,A49)&lt;&gt;1,"参照ID不正",IF(INDEX('32_定義マスター'!$F$13:$F$30,MATCH(A49,'32_定義マスター'!$A$13:$A$30,0))="","",INDEX('32_定義マスター'!$F$13:$F$30,MATCH(A49,'32_定義マスター'!$A$13:$A$30,0)))))</f>
        <v/>
      </c>
      <c r="G49" s="29"/>
      <c r="H49" s="29"/>
      <c r="I49" s="29"/>
      <c r="J49" s="29"/>
      <c r="K49" s="29"/>
      <c r="L49" s="29"/>
      <c r="M49" s="29"/>
      <c r="N49" s="29"/>
      <c r="O49" s="29"/>
      <c r="P49" s="29"/>
      <c r="Q49" s="28" t="str">
        <f>IF(A49="","",IF(COUNTIF('32_定義マスター'!$A$13:$A$30,A49)&lt;&gt;1,"参照ID不正",IF(INDEX('32_定義マスター'!$G$13:$G$30,MATCH(A49,'32_定義マスター'!$A$13:$A$30,0))="","",INDEX('32_定義マスター'!$G$13:$G$30,MATCH(A49,'32_定義マスター'!$A$13:$A$30,0)))))</f>
        <v/>
      </c>
      <c r="R49" s="29"/>
      <c r="S49" s="29"/>
      <c r="T49" s="29"/>
      <c r="U49" s="29"/>
      <c r="V49" s="28" t="str">
        <f t="shared" si="1"/>
        <v/>
      </c>
      <c r="W49" s="28" t="str">
        <f>IF(A49="","",IF(COUNTIF('32_定義マスター'!$A$13:$A$30,A49)&lt;&gt;1,"EvalType不正",IF(OR(V49="",COUNTIF($V$4:$V$103,V49)&lt;&gt;1),"PlanKey不足・重複",IF(OR(P49="",P49="未設定",P49="設計中",P49="改訂中"),"計画未確定",IF(AND(P49&lt;&gt;"承認",P49&lt;&gt;"対象外承認"),"状態不正",IF(OR(T49="",U49="",O49=""),"計画対象・承認不足",IF(P49="対象外承認",IF(G49="","対象外理由不足","対象外計画記録"),IF(OR(G49="",H49="",I49="",J49="",K49="",L49="",M49="",N49=""),"評価設計不足",IF(AND(A49="E05",OR(X49="",Y49="",Z49="")),"試行状態・成功定義不足","計画記録あり")))))))))</f>
        <v/>
      </c>
      <c r="X49" s="29"/>
      <c r="Y49" s="29"/>
      <c r="Z49" s="29"/>
    </row>
    <row r="50" spans="1:26" ht="64" customHeight="1" x14ac:dyDescent="0.2">
      <c r="A50" s="29"/>
      <c r="B50" s="28" t="str">
        <f>IF(A50="","",IF(COUNTIF('32_定義マスター'!$A$13:$A$30,A50)&lt;&gt;1,"参照ID不正",IF(INDEX('32_定義マスター'!$B$13:$B$30,MATCH(A50,'32_定義マスター'!$A$13:$A$30,0))="","",INDEX('32_定義マスター'!$B$13:$B$30,MATCH(A50,'32_定義マスター'!$A$13:$A$30,0)))))</f>
        <v/>
      </c>
      <c r="C50" s="28" t="str">
        <f>IF(A50="","",IF(COUNTIF('32_定義マスター'!$A$13:$A$30,A50)&lt;&gt;1,"参照ID不正",IF(INDEX('32_定義マスター'!$C$13:$C$30,MATCH(A50,'32_定義マスター'!$A$13:$A$30,0))="","",INDEX('32_定義マスター'!$C$13:$C$30,MATCH(A50,'32_定義マスター'!$A$13:$A$30,0)))))</f>
        <v/>
      </c>
      <c r="D50" s="28" t="str">
        <f>IF(A50="","",IF(COUNTIF('32_定義マスター'!$A$13:$A$30,A50)&lt;&gt;1,"参照ID不正",IF(INDEX('32_定義マスター'!$D$13:$D$30,MATCH(A50,'32_定義マスター'!$A$13:$A$30,0))="","",INDEX('32_定義マスター'!$D$13:$D$30,MATCH(A50,'32_定義マスター'!$A$13:$A$30,0)))))</f>
        <v/>
      </c>
      <c r="E50" s="28" t="str">
        <f>IF(A50="","",IF(COUNTIF('32_定義マスター'!$A$13:$A$30,A50)&lt;&gt;1,"参照ID不正",IF(INDEX('32_定義マスター'!$E$13:$E$30,MATCH(A50,'32_定義マスター'!$A$13:$A$30,0))="","",INDEX('32_定義マスター'!$E$13:$E$30,MATCH(A50,'32_定義マスター'!$A$13:$A$30,0)))))</f>
        <v/>
      </c>
      <c r="F50" s="28" t="str">
        <f>IF(A50="","",IF(COUNTIF('32_定義マスター'!$A$13:$A$30,A50)&lt;&gt;1,"参照ID不正",IF(INDEX('32_定義マスター'!$F$13:$F$30,MATCH(A50,'32_定義マスター'!$A$13:$A$30,0))="","",INDEX('32_定義マスター'!$F$13:$F$30,MATCH(A50,'32_定義マスター'!$A$13:$A$30,0)))))</f>
        <v/>
      </c>
      <c r="G50" s="29"/>
      <c r="H50" s="29"/>
      <c r="I50" s="29"/>
      <c r="J50" s="29"/>
      <c r="K50" s="29"/>
      <c r="L50" s="29"/>
      <c r="M50" s="29"/>
      <c r="N50" s="29"/>
      <c r="O50" s="29"/>
      <c r="P50" s="29"/>
      <c r="Q50" s="28" t="str">
        <f>IF(A50="","",IF(COUNTIF('32_定義マスター'!$A$13:$A$30,A50)&lt;&gt;1,"参照ID不正",IF(INDEX('32_定義マスター'!$G$13:$G$30,MATCH(A50,'32_定義マスター'!$A$13:$A$30,0))="","",INDEX('32_定義マスター'!$G$13:$G$30,MATCH(A50,'32_定義マスター'!$A$13:$A$30,0)))))</f>
        <v/>
      </c>
      <c r="R50" s="29"/>
      <c r="S50" s="29"/>
      <c r="T50" s="29"/>
      <c r="U50" s="29"/>
      <c r="V50" s="28" t="str">
        <f t="shared" si="1"/>
        <v/>
      </c>
      <c r="W50" s="28" t="str">
        <f>IF(A50="","",IF(COUNTIF('32_定義マスター'!$A$13:$A$30,A50)&lt;&gt;1,"EvalType不正",IF(OR(V50="",COUNTIF($V$4:$V$103,V50)&lt;&gt;1),"PlanKey不足・重複",IF(OR(P50="",P50="未設定",P50="設計中",P50="改訂中"),"計画未確定",IF(AND(P50&lt;&gt;"承認",P50&lt;&gt;"対象外承認"),"状態不正",IF(OR(T50="",U50="",O50=""),"計画対象・承認不足",IF(P50="対象外承認",IF(G50="","対象外理由不足","対象外計画記録"),IF(OR(G50="",H50="",I50="",J50="",K50="",L50="",M50="",N50=""),"評価設計不足",IF(AND(A50="E05",OR(X50="",Y50="",Z50="")),"試行状態・成功定義不足","計画記録あり")))))))))</f>
        <v/>
      </c>
      <c r="X50" s="29"/>
      <c r="Y50" s="29"/>
      <c r="Z50" s="29"/>
    </row>
    <row r="51" spans="1:26" ht="64" customHeight="1" x14ac:dyDescent="0.2">
      <c r="A51" s="29"/>
      <c r="B51" s="28" t="str">
        <f>IF(A51="","",IF(COUNTIF('32_定義マスター'!$A$13:$A$30,A51)&lt;&gt;1,"参照ID不正",IF(INDEX('32_定義マスター'!$B$13:$B$30,MATCH(A51,'32_定義マスター'!$A$13:$A$30,0))="","",INDEX('32_定義マスター'!$B$13:$B$30,MATCH(A51,'32_定義マスター'!$A$13:$A$30,0)))))</f>
        <v/>
      </c>
      <c r="C51" s="28" t="str">
        <f>IF(A51="","",IF(COUNTIF('32_定義マスター'!$A$13:$A$30,A51)&lt;&gt;1,"参照ID不正",IF(INDEX('32_定義マスター'!$C$13:$C$30,MATCH(A51,'32_定義マスター'!$A$13:$A$30,0))="","",INDEX('32_定義マスター'!$C$13:$C$30,MATCH(A51,'32_定義マスター'!$A$13:$A$30,0)))))</f>
        <v/>
      </c>
      <c r="D51" s="28" t="str">
        <f>IF(A51="","",IF(COUNTIF('32_定義マスター'!$A$13:$A$30,A51)&lt;&gt;1,"参照ID不正",IF(INDEX('32_定義マスター'!$D$13:$D$30,MATCH(A51,'32_定義マスター'!$A$13:$A$30,0))="","",INDEX('32_定義マスター'!$D$13:$D$30,MATCH(A51,'32_定義マスター'!$A$13:$A$30,0)))))</f>
        <v/>
      </c>
      <c r="E51" s="28" t="str">
        <f>IF(A51="","",IF(COUNTIF('32_定義マスター'!$A$13:$A$30,A51)&lt;&gt;1,"参照ID不正",IF(INDEX('32_定義マスター'!$E$13:$E$30,MATCH(A51,'32_定義マスター'!$A$13:$A$30,0))="","",INDEX('32_定義マスター'!$E$13:$E$30,MATCH(A51,'32_定義マスター'!$A$13:$A$30,0)))))</f>
        <v/>
      </c>
      <c r="F51" s="28" t="str">
        <f>IF(A51="","",IF(COUNTIF('32_定義マスター'!$A$13:$A$30,A51)&lt;&gt;1,"参照ID不正",IF(INDEX('32_定義マスター'!$F$13:$F$30,MATCH(A51,'32_定義マスター'!$A$13:$A$30,0))="","",INDEX('32_定義マスター'!$F$13:$F$30,MATCH(A51,'32_定義マスター'!$A$13:$A$30,0)))))</f>
        <v/>
      </c>
      <c r="G51" s="29"/>
      <c r="H51" s="29"/>
      <c r="I51" s="29"/>
      <c r="J51" s="29"/>
      <c r="K51" s="29"/>
      <c r="L51" s="29"/>
      <c r="M51" s="29"/>
      <c r="N51" s="29"/>
      <c r="O51" s="29"/>
      <c r="P51" s="29"/>
      <c r="Q51" s="28" t="str">
        <f>IF(A51="","",IF(COUNTIF('32_定義マスター'!$A$13:$A$30,A51)&lt;&gt;1,"参照ID不正",IF(INDEX('32_定義マスター'!$G$13:$G$30,MATCH(A51,'32_定義マスター'!$A$13:$A$30,0))="","",INDEX('32_定義マスター'!$G$13:$G$30,MATCH(A51,'32_定義マスター'!$A$13:$A$30,0)))))</f>
        <v/>
      </c>
      <c r="R51" s="29"/>
      <c r="S51" s="29"/>
      <c r="T51" s="29"/>
      <c r="U51" s="29"/>
      <c r="V51" s="28" t="str">
        <f t="shared" si="1"/>
        <v/>
      </c>
      <c r="W51" s="28" t="str">
        <f>IF(A51="","",IF(COUNTIF('32_定義マスター'!$A$13:$A$30,A51)&lt;&gt;1,"EvalType不正",IF(OR(V51="",COUNTIF($V$4:$V$103,V51)&lt;&gt;1),"PlanKey不足・重複",IF(OR(P51="",P51="未設定",P51="設計中",P51="改訂中"),"計画未確定",IF(AND(P51&lt;&gt;"承認",P51&lt;&gt;"対象外承認"),"状態不正",IF(OR(T51="",U51="",O51=""),"計画対象・承認不足",IF(P51="対象外承認",IF(G51="","対象外理由不足","対象外計画記録"),IF(OR(G51="",H51="",I51="",J51="",K51="",L51="",M51="",N51=""),"評価設計不足",IF(AND(A51="E05",OR(X51="",Y51="",Z51="")),"試行状態・成功定義不足","計画記録あり")))))))))</f>
        <v/>
      </c>
      <c r="X51" s="29"/>
      <c r="Y51" s="29"/>
      <c r="Z51" s="29"/>
    </row>
    <row r="52" spans="1:26" ht="64" customHeight="1" x14ac:dyDescent="0.2">
      <c r="A52" s="29"/>
      <c r="B52" s="28" t="str">
        <f>IF(A52="","",IF(COUNTIF('32_定義マスター'!$A$13:$A$30,A52)&lt;&gt;1,"参照ID不正",IF(INDEX('32_定義マスター'!$B$13:$B$30,MATCH(A52,'32_定義マスター'!$A$13:$A$30,0))="","",INDEX('32_定義マスター'!$B$13:$B$30,MATCH(A52,'32_定義マスター'!$A$13:$A$30,0)))))</f>
        <v/>
      </c>
      <c r="C52" s="28" t="str">
        <f>IF(A52="","",IF(COUNTIF('32_定義マスター'!$A$13:$A$30,A52)&lt;&gt;1,"参照ID不正",IF(INDEX('32_定義マスター'!$C$13:$C$30,MATCH(A52,'32_定義マスター'!$A$13:$A$30,0))="","",INDEX('32_定義マスター'!$C$13:$C$30,MATCH(A52,'32_定義マスター'!$A$13:$A$30,0)))))</f>
        <v/>
      </c>
      <c r="D52" s="28" t="str">
        <f>IF(A52="","",IF(COUNTIF('32_定義マスター'!$A$13:$A$30,A52)&lt;&gt;1,"参照ID不正",IF(INDEX('32_定義マスター'!$D$13:$D$30,MATCH(A52,'32_定義マスター'!$A$13:$A$30,0))="","",INDEX('32_定義マスター'!$D$13:$D$30,MATCH(A52,'32_定義マスター'!$A$13:$A$30,0)))))</f>
        <v/>
      </c>
      <c r="E52" s="28" t="str">
        <f>IF(A52="","",IF(COUNTIF('32_定義マスター'!$A$13:$A$30,A52)&lt;&gt;1,"参照ID不正",IF(INDEX('32_定義マスター'!$E$13:$E$30,MATCH(A52,'32_定義マスター'!$A$13:$A$30,0))="","",INDEX('32_定義マスター'!$E$13:$E$30,MATCH(A52,'32_定義マスター'!$A$13:$A$30,0)))))</f>
        <v/>
      </c>
      <c r="F52" s="28" t="str">
        <f>IF(A52="","",IF(COUNTIF('32_定義マスター'!$A$13:$A$30,A52)&lt;&gt;1,"参照ID不正",IF(INDEX('32_定義マスター'!$F$13:$F$30,MATCH(A52,'32_定義マスター'!$A$13:$A$30,0))="","",INDEX('32_定義マスター'!$F$13:$F$30,MATCH(A52,'32_定義マスター'!$A$13:$A$30,0)))))</f>
        <v/>
      </c>
      <c r="G52" s="29"/>
      <c r="H52" s="29"/>
      <c r="I52" s="29"/>
      <c r="J52" s="29"/>
      <c r="K52" s="29"/>
      <c r="L52" s="29"/>
      <c r="M52" s="29"/>
      <c r="N52" s="29"/>
      <c r="O52" s="29"/>
      <c r="P52" s="29"/>
      <c r="Q52" s="28" t="str">
        <f>IF(A52="","",IF(COUNTIF('32_定義マスター'!$A$13:$A$30,A52)&lt;&gt;1,"参照ID不正",IF(INDEX('32_定義マスター'!$G$13:$G$30,MATCH(A52,'32_定義マスター'!$A$13:$A$30,0))="","",INDEX('32_定義マスター'!$G$13:$G$30,MATCH(A52,'32_定義マスター'!$A$13:$A$30,0)))))</f>
        <v/>
      </c>
      <c r="R52" s="29"/>
      <c r="S52" s="29"/>
      <c r="T52" s="29"/>
      <c r="U52" s="29"/>
      <c r="V52" s="28" t="str">
        <f t="shared" si="1"/>
        <v/>
      </c>
      <c r="W52" s="28" t="str">
        <f>IF(A52="","",IF(COUNTIF('32_定義マスター'!$A$13:$A$30,A52)&lt;&gt;1,"EvalType不正",IF(OR(V52="",COUNTIF($V$4:$V$103,V52)&lt;&gt;1),"PlanKey不足・重複",IF(OR(P52="",P52="未設定",P52="設計中",P52="改訂中"),"計画未確定",IF(AND(P52&lt;&gt;"承認",P52&lt;&gt;"対象外承認"),"状態不正",IF(OR(T52="",U52="",O52=""),"計画対象・承認不足",IF(P52="対象外承認",IF(G52="","対象外理由不足","対象外計画記録"),IF(OR(G52="",H52="",I52="",J52="",K52="",L52="",M52="",N52=""),"評価設計不足",IF(AND(A52="E05",OR(X52="",Y52="",Z52="")),"試行状態・成功定義不足","計画記録あり")))))))))</f>
        <v/>
      </c>
      <c r="X52" s="29"/>
      <c r="Y52" s="29"/>
      <c r="Z52" s="29"/>
    </row>
    <row r="53" spans="1:26" ht="64" customHeight="1" x14ac:dyDescent="0.2">
      <c r="A53" s="29"/>
      <c r="B53" s="28" t="str">
        <f>IF(A53="","",IF(COUNTIF('32_定義マスター'!$A$13:$A$30,A53)&lt;&gt;1,"参照ID不正",IF(INDEX('32_定義マスター'!$B$13:$B$30,MATCH(A53,'32_定義マスター'!$A$13:$A$30,0))="","",INDEX('32_定義マスター'!$B$13:$B$30,MATCH(A53,'32_定義マスター'!$A$13:$A$30,0)))))</f>
        <v/>
      </c>
      <c r="C53" s="28" t="str">
        <f>IF(A53="","",IF(COUNTIF('32_定義マスター'!$A$13:$A$30,A53)&lt;&gt;1,"参照ID不正",IF(INDEX('32_定義マスター'!$C$13:$C$30,MATCH(A53,'32_定義マスター'!$A$13:$A$30,0))="","",INDEX('32_定義マスター'!$C$13:$C$30,MATCH(A53,'32_定義マスター'!$A$13:$A$30,0)))))</f>
        <v/>
      </c>
      <c r="D53" s="28" t="str">
        <f>IF(A53="","",IF(COUNTIF('32_定義マスター'!$A$13:$A$30,A53)&lt;&gt;1,"参照ID不正",IF(INDEX('32_定義マスター'!$D$13:$D$30,MATCH(A53,'32_定義マスター'!$A$13:$A$30,0))="","",INDEX('32_定義マスター'!$D$13:$D$30,MATCH(A53,'32_定義マスター'!$A$13:$A$30,0)))))</f>
        <v/>
      </c>
      <c r="E53" s="28" t="str">
        <f>IF(A53="","",IF(COUNTIF('32_定義マスター'!$A$13:$A$30,A53)&lt;&gt;1,"参照ID不正",IF(INDEX('32_定義マスター'!$E$13:$E$30,MATCH(A53,'32_定義マスター'!$A$13:$A$30,0))="","",INDEX('32_定義マスター'!$E$13:$E$30,MATCH(A53,'32_定義マスター'!$A$13:$A$30,0)))))</f>
        <v/>
      </c>
      <c r="F53" s="28" t="str">
        <f>IF(A53="","",IF(COUNTIF('32_定義マスター'!$A$13:$A$30,A53)&lt;&gt;1,"参照ID不正",IF(INDEX('32_定義マスター'!$F$13:$F$30,MATCH(A53,'32_定義マスター'!$A$13:$A$30,0))="","",INDEX('32_定義マスター'!$F$13:$F$30,MATCH(A53,'32_定義マスター'!$A$13:$A$30,0)))))</f>
        <v/>
      </c>
      <c r="G53" s="29"/>
      <c r="H53" s="29"/>
      <c r="I53" s="29"/>
      <c r="J53" s="29"/>
      <c r="K53" s="29"/>
      <c r="L53" s="29"/>
      <c r="M53" s="29"/>
      <c r="N53" s="29"/>
      <c r="O53" s="29"/>
      <c r="P53" s="29"/>
      <c r="Q53" s="28" t="str">
        <f>IF(A53="","",IF(COUNTIF('32_定義マスター'!$A$13:$A$30,A53)&lt;&gt;1,"参照ID不正",IF(INDEX('32_定義マスター'!$G$13:$G$30,MATCH(A53,'32_定義マスター'!$A$13:$A$30,0))="","",INDEX('32_定義マスター'!$G$13:$G$30,MATCH(A53,'32_定義マスター'!$A$13:$A$30,0)))))</f>
        <v/>
      </c>
      <c r="R53" s="29"/>
      <c r="S53" s="29"/>
      <c r="T53" s="29"/>
      <c r="U53" s="29"/>
      <c r="V53" s="28" t="str">
        <f t="shared" si="1"/>
        <v/>
      </c>
      <c r="W53" s="28" t="str">
        <f>IF(A53="","",IF(COUNTIF('32_定義マスター'!$A$13:$A$30,A53)&lt;&gt;1,"EvalType不正",IF(OR(V53="",COUNTIF($V$4:$V$103,V53)&lt;&gt;1),"PlanKey不足・重複",IF(OR(P53="",P53="未設定",P53="設計中",P53="改訂中"),"計画未確定",IF(AND(P53&lt;&gt;"承認",P53&lt;&gt;"対象外承認"),"状態不正",IF(OR(T53="",U53="",O53=""),"計画対象・承認不足",IF(P53="対象外承認",IF(G53="","対象外理由不足","対象外計画記録"),IF(OR(G53="",H53="",I53="",J53="",K53="",L53="",M53="",N53=""),"評価設計不足",IF(AND(A53="E05",OR(X53="",Y53="",Z53="")),"試行状態・成功定義不足","計画記録あり")))))))))</f>
        <v/>
      </c>
      <c r="X53" s="29"/>
      <c r="Y53" s="29"/>
      <c r="Z53" s="29"/>
    </row>
    <row r="54" spans="1:26" ht="64" customHeight="1" x14ac:dyDescent="0.2">
      <c r="A54" s="29"/>
      <c r="B54" s="28" t="str">
        <f>IF(A54="","",IF(COUNTIF('32_定義マスター'!$A$13:$A$30,A54)&lt;&gt;1,"参照ID不正",IF(INDEX('32_定義マスター'!$B$13:$B$30,MATCH(A54,'32_定義マスター'!$A$13:$A$30,0))="","",INDEX('32_定義マスター'!$B$13:$B$30,MATCH(A54,'32_定義マスター'!$A$13:$A$30,0)))))</f>
        <v/>
      </c>
      <c r="C54" s="28" t="str">
        <f>IF(A54="","",IF(COUNTIF('32_定義マスター'!$A$13:$A$30,A54)&lt;&gt;1,"参照ID不正",IF(INDEX('32_定義マスター'!$C$13:$C$30,MATCH(A54,'32_定義マスター'!$A$13:$A$30,0))="","",INDEX('32_定義マスター'!$C$13:$C$30,MATCH(A54,'32_定義マスター'!$A$13:$A$30,0)))))</f>
        <v/>
      </c>
      <c r="D54" s="28" t="str">
        <f>IF(A54="","",IF(COUNTIF('32_定義マスター'!$A$13:$A$30,A54)&lt;&gt;1,"参照ID不正",IF(INDEX('32_定義マスター'!$D$13:$D$30,MATCH(A54,'32_定義マスター'!$A$13:$A$30,0))="","",INDEX('32_定義マスター'!$D$13:$D$30,MATCH(A54,'32_定義マスター'!$A$13:$A$30,0)))))</f>
        <v/>
      </c>
      <c r="E54" s="28" t="str">
        <f>IF(A54="","",IF(COUNTIF('32_定義マスター'!$A$13:$A$30,A54)&lt;&gt;1,"参照ID不正",IF(INDEX('32_定義マスター'!$E$13:$E$30,MATCH(A54,'32_定義マスター'!$A$13:$A$30,0))="","",INDEX('32_定義マスター'!$E$13:$E$30,MATCH(A54,'32_定義マスター'!$A$13:$A$30,0)))))</f>
        <v/>
      </c>
      <c r="F54" s="28" t="str">
        <f>IF(A54="","",IF(COUNTIF('32_定義マスター'!$A$13:$A$30,A54)&lt;&gt;1,"参照ID不正",IF(INDEX('32_定義マスター'!$F$13:$F$30,MATCH(A54,'32_定義マスター'!$A$13:$A$30,0))="","",INDEX('32_定義マスター'!$F$13:$F$30,MATCH(A54,'32_定義マスター'!$A$13:$A$30,0)))))</f>
        <v/>
      </c>
      <c r="G54" s="29"/>
      <c r="H54" s="29"/>
      <c r="I54" s="29"/>
      <c r="J54" s="29"/>
      <c r="K54" s="29"/>
      <c r="L54" s="29"/>
      <c r="M54" s="29"/>
      <c r="N54" s="29"/>
      <c r="O54" s="29"/>
      <c r="P54" s="29"/>
      <c r="Q54" s="28" t="str">
        <f>IF(A54="","",IF(COUNTIF('32_定義マスター'!$A$13:$A$30,A54)&lt;&gt;1,"参照ID不正",IF(INDEX('32_定義マスター'!$G$13:$G$30,MATCH(A54,'32_定義マスター'!$A$13:$A$30,0))="","",INDEX('32_定義マスター'!$G$13:$G$30,MATCH(A54,'32_定義マスター'!$A$13:$A$30,0)))))</f>
        <v/>
      </c>
      <c r="R54" s="29"/>
      <c r="S54" s="29"/>
      <c r="T54" s="29"/>
      <c r="U54" s="29"/>
      <c r="V54" s="28" t="str">
        <f t="shared" si="1"/>
        <v/>
      </c>
      <c r="W54" s="28" t="str">
        <f>IF(A54="","",IF(COUNTIF('32_定義マスター'!$A$13:$A$30,A54)&lt;&gt;1,"EvalType不正",IF(OR(V54="",COUNTIF($V$4:$V$103,V54)&lt;&gt;1),"PlanKey不足・重複",IF(OR(P54="",P54="未設定",P54="設計中",P54="改訂中"),"計画未確定",IF(AND(P54&lt;&gt;"承認",P54&lt;&gt;"対象外承認"),"状態不正",IF(OR(T54="",U54="",O54=""),"計画対象・承認不足",IF(P54="対象外承認",IF(G54="","対象外理由不足","対象外計画記録"),IF(OR(G54="",H54="",I54="",J54="",K54="",L54="",M54="",N54=""),"評価設計不足",IF(AND(A54="E05",OR(X54="",Y54="",Z54="")),"試行状態・成功定義不足","計画記録あり")))))))))</f>
        <v/>
      </c>
      <c r="X54" s="29"/>
      <c r="Y54" s="29"/>
      <c r="Z54" s="29"/>
    </row>
    <row r="55" spans="1:26" ht="64" customHeight="1" x14ac:dyDescent="0.2">
      <c r="A55" s="29"/>
      <c r="B55" s="28" t="str">
        <f>IF(A55="","",IF(COUNTIF('32_定義マスター'!$A$13:$A$30,A55)&lt;&gt;1,"参照ID不正",IF(INDEX('32_定義マスター'!$B$13:$B$30,MATCH(A55,'32_定義マスター'!$A$13:$A$30,0))="","",INDEX('32_定義マスター'!$B$13:$B$30,MATCH(A55,'32_定義マスター'!$A$13:$A$30,0)))))</f>
        <v/>
      </c>
      <c r="C55" s="28" t="str">
        <f>IF(A55="","",IF(COUNTIF('32_定義マスター'!$A$13:$A$30,A55)&lt;&gt;1,"参照ID不正",IF(INDEX('32_定義マスター'!$C$13:$C$30,MATCH(A55,'32_定義マスター'!$A$13:$A$30,0))="","",INDEX('32_定義マスター'!$C$13:$C$30,MATCH(A55,'32_定義マスター'!$A$13:$A$30,0)))))</f>
        <v/>
      </c>
      <c r="D55" s="28" t="str">
        <f>IF(A55="","",IF(COUNTIF('32_定義マスター'!$A$13:$A$30,A55)&lt;&gt;1,"参照ID不正",IF(INDEX('32_定義マスター'!$D$13:$D$30,MATCH(A55,'32_定義マスター'!$A$13:$A$30,0))="","",INDEX('32_定義マスター'!$D$13:$D$30,MATCH(A55,'32_定義マスター'!$A$13:$A$30,0)))))</f>
        <v/>
      </c>
      <c r="E55" s="28" t="str">
        <f>IF(A55="","",IF(COUNTIF('32_定義マスター'!$A$13:$A$30,A55)&lt;&gt;1,"参照ID不正",IF(INDEX('32_定義マスター'!$E$13:$E$30,MATCH(A55,'32_定義マスター'!$A$13:$A$30,0))="","",INDEX('32_定義マスター'!$E$13:$E$30,MATCH(A55,'32_定義マスター'!$A$13:$A$30,0)))))</f>
        <v/>
      </c>
      <c r="F55" s="28" t="str">
        <f>IF(A55="","",IF(COUNTIF('32_定義マスター'!$A$13:$A$30,A55)&lt;&gt;1,"参照ID不正",IF(INDEX('32_定義マスター'!$F$13:$F$30,MATCH(A55,'32_定義マスター'!$A$13:$A$30,0))="","",INDEX('32_定義マスター'!$F$13:$F$30,MATCH(A55,'32_定義マスター'!$A$13:$A$30,0)))))</f>
        <v/>
      </c>
      <c r="G55" s="29"/>
      <c r="H55" s="29"/>
      <c r="I55" s="29"/>
      <c r="J55" s="29"/>
      <c r="K55" s="29"/>
      <c r="L55" s="29"/>
      <c r="M55" s="29"/>
      <c r="N55" s="29"/>
      <c r="O55" s="29"/>
      <c r="P55" s="29"/>
      <c r="Q55" s="28" t="str">
        <f>IF(A55="","",IF(COUNTIF('32_定義マスター'!$A$13:$A$30,A55)&lt;&gt;1,"参照ID不正",IF(INDEX('32_定義マスター'!$G$13:$G$30,MATCH(A55,'32_定義マスター'!$A$13:$A$30,0))="","",INDEX('32_定義マスター'!$G$13:$G$30,MATCH(A55,'32_定義マスター'!$A$13:$A$30,0)))))</f>
        <v/>
      </c>
      <c r="R55" s="29"/>
      <c r="S55" s="29"/>
      <c r="T55" s="29"/>
      <c r="U55" s="29"/>
      <c r="V55" s="28" t="str">
        <f t="shared" si="1"/>
        <v/>
      </c>
      <c r="W55" s="28" t="str">
        <f>IF(A55="","",IF(COUNTIF('32_定義マスター'!$A$13:$A$30,A55)&lt;&gt;1,"EvalType不正",IF(OR(V55="",COUNTIF($V$4:$V$103,V55)&lt;&gt;1),"PlanKey不足・重複",IF(OR(P55="",P55="未設定",P55="設計中",P55="改訂中"),"計画未確定",IF(AND(P55&lt;&gt;"承認",P55&lt;&gt;"対象外承認"),"状態不正",IF(OR(T55="",U55="",O55=""),"計画対象・承認不足",IF(P55="対象外承認",IF(G55="","対象外理由不足","対象外計画記録"),IF(OR(G55="",H55="",I55="",J55="",K55="",L55="",M55="",N55=""),"評価設計不足",IF(AND(A55="E05",OR(X55="",Y55="",Z55="")),"試行状態・成功定義不足","計画記録あり")))))))))</f>
        <v/>
      </c>
      <c r="X55" s="29"/>
      <c r="Y55" s="29"/>
      <c r="Z55" s="29"/>
    </row>
    <row r="56" spans="1:26" ht="64" customHeight="1" x14ac:dyDescent="0.2">
      <c r="A56" s="29"/>
      <c r="B56" s="28" t="str">
        <f>IF(A56="","",IF(COUNTIF('32_定義マスター'!$A$13:$A$30,A56)&lt;&gt;1,"参照ID不正",IF(INDEX('32_定義マスター'!$B$13:$B$30,MATCH(A56,'32_定義マスター'!$A$13:$A$30,0))="","",INDEX('32_定義マスター'!$B$13:$B$30,MATCH(A56,'32_定義マスター'!$A$13:$A$30,0)))))</f>
        <v/>
      </c>
      <c r="C56" s="28" t="str">
        <f>IF(A56="","",IF(COUNTIF('32_定義マスター'!$A$13:$A$30,A56)&lt;&gt;1,"参照ID不正",IF(INDEX('32_定義マスター'!$C$13:$C$30,MATCH(A56,'32_定義マスター'!$A$13:$A$30,0))="","",INDEX('32_定義マスター'!$C$13:$C$30,MATCH(A56,'32_定義マスター'!$A$13:$A$30,0)))))</f>
        <v/>
      </c>
      <c r="D56" s="28" t="str">
        <f>IF(A56="","",IF(COUNTIF('32_定義マスター'!$A$13:$A$30,A56)&lt;&gt;1,"参照ID不正",IF(INDEX('32_定義マスター'!$D$13:$D$30,MATCH(A56,'32_定義マスター'!$A$13:$A$30,0))="","",INDEX('32_定義マスター'!$D$13:$D$30,MATCH(A56,'32_定義マスター'!$A$13:$A$30,0)))))</f>
        <v/>
      </c>
      <c r="E56" s="28" t="str">
        <f>IF(A56="","",IF(COUNTIF('32_定義マスター'!$A$13:$A$30,A56)&lt;&gt;1,"参照ID不正",IF(INDEX('32_定義マスター'!$E$13:$E$30,MATCH(A56,'32_定義マスター'!$A$13:$A$30,0))="","",INDEX('32_定義マスター'!$E$13:$E$30,MATCH(A56,'32_定義マスター'!$A$13:$A$30,0)))))</f>
        <v/>
      </c>
      <c r="F56" s="28" t="str">
        <f>IF(A56="","",IF(COUNTIF('32_定義マスター'!$A$13:$A$30,A56)&lt;&gt;1,"参照ID不正",IF(INDEX('32_定義マスター'!$F$13:$F$30,MATCH(A56,'32_定義マスター'!$A$13:$A$30,0))="","",INDEX('32_定義マスター'!$F$13:$F$30,MATCH(A56,'32_定義マスター'!$A$13:$A$30,0)))))</f>
        <v/>
      </c>
      <c r="G56" s="29"/>
      <c r="H56" s="29"/>
      <c r="I56" s="29"/>
      <c r="J56" s="29"/>
      <c r="K56" s="29"/>
      <c r="L56" s="29"/>
      <c r="M56" s="29"/>
      <c r="N56" s="29"/>
      <c r="O56" s="29"/>
      <c r="P56" s="29"/>
      <c r="Q56" s="28" t="str">
        <f>IF(A56="","",IF(COUNTIF('32_定義マスター'!$A$13:$A$30,A56)&lt;&gt;1,"参照ID不正",IF(INDEX('32_定義マスター'!$G$13:$G$30,MATCH(A56,'32_定義マスター'!$A$13:$A$30,0))="","",INDEX('32_定義マスター'!$G$13:$G$30,MATCH(A56,'32_定義マスター'!$A$13:$A$30,0)))))</f>
        <v/>
      </c>
      <c r="R56" s="29"/>
      <c r="S56" s="29"/>
      <c r="T56" s="29"/>
      <c r="U56" s="29"/>
      <c r="V56" s="28" t="str">
        <f t="shared" si="1"/>
        <v/>
      </c>
      <c r="W56" s="28" t="str">
        <f>IF(A56="","",IF(COUNTIF('32_定義マスター'!$A$13:$A$30,A56)&lt;&gt;1,"EvalType不正",IF(OR(V56="",COUNTIF($V$4:$V$103,V56)&lt;&gt;1),"PlanKey不足・重複",IF(OR(P56="",P56="未設定",P56="設計中",P56="改訂中"),"計画未確定",IF(AND(P56&lt;&gt;"承認",P56&lt;&gt;"対象外承認"),"状態不正",IF(OR(T56="",U56="",O56=""),"計画対象・承認不足",IF(P56="対象外承認",IF(G56="","対象外理由不足","対象外計画記録"),IF(OR(G56="",H56="",I56="",J56="",K56="",L56="",M56="",N56=""),"評価設計不足",IF(AND(A56="E05",OR(X56="",Y56="",Z56="")),"試行状態・成功定義不足","計画記録あり")))))))))</f>
        <v/>
      </c>
      <c r="X56" s="29"/>
      <c r="Y56" s="29"/>
      <c r="Z56" s="29"/>
    </row>
    <row r="57" spans="1:26" ht="64" customHeight="1" x14ac:dyDescent="0.2">
      <c r="A57" s="29"/>
      <c r="B57" s="28" t="str">
        <f>IF(A57="","",IF(COUNTIF('32_定義マスター'!$A$13:$A$30,A57)&lt;&gt;1,"参照ID不正",IF(INDEX('32_定義マスター'!$B$13:$B$30,MATCH(A57,'32_定義マスター'!$A$13:$A$30,0))="","",INDEX('32_定義マスター'!$B$13:$B$30,MATCH(A57,'32_定義マスター'!$A$13:$A$30,0)))))</f>
        <v/>
      </c>
      <c r="C57" s="28" t="str">
        <f>IF(A57="","",IF(COUNTIF('32_定義マスター'!$A$13:$A$30,A57)&lt;&gt;1,"参照ID不正",IF(INDEX('32_定義マスター'!$C$13:$C$30,MATCH(A57,'32_定義マスター'!$A$13:$A$30,0))="","",INDEX('32_定義マスター'!$C$13:$C$30,MATCH(A57,'32_定義マスター'!$A$13:$A$30,0)))))</f>
        <v/>
      </c>
      <c r="D57" s="28" t="str">
        <f>IF(A57="","",IF(COUNTIF('32_定義マスター'!$A$13:$A$30,A57)&lt;&gt;1,"参照ID不正",IF(INDEX('32_定義マスター'!$D$13:$D$30,MATCH(A57,'32_定義マスター'!$A$13:$A$30,0))="","",INDEX('32_定義マスター'!$D$13:$D$30,MATCH(A57,'32_定義マスター'!$A$13:$A$30,0)))))</f>
        <v/>
      </c>
      <c r="E57" s="28" t="str">
        <f>IF(A57="","",IF(COUNTIF('32_定義マスター'!$A$13:$A$30,A57)&lt;&gt;1,"参照ID不正",IF(INDEX('32_定義マスター'!$E$13:$E$30,MATCH(A57,'32_定義マスター'!$A$13:$A$30,0))="","",INDEX('32_定義マスター'!$E$13:$E$30,MATCH(A57,'32_定義マスター'!$A$13:$A$30,0)))))</f>
        <v/>
      </c>
      <c r="F57" s="28" t="str">
        <f>IF(A57="","",IF(COUNTIF('32_定義マスター'!$A$13:$A$30,A57)&lt;&gt;1,"参照ID不正",IF(INDEX('32_定義マスター'!$F$13:$F$30,MATCH(A57,'32_定義マスター'!$A$13:$A$30,0))="","",INDEX('32_定義マスター'!$F$13:$F$30,MATCH(A57,'32_定義マスター'!$A$13:$A$30,0)))))</f>
        <v/>
      </c>
      <c r="G57" s="29"/>
      <c r="H57" s="29"/>
      <c r="I57" s="29"/>
      <c r="J57" s="29"/>
      <c r="K57" s="29"/>
      <c r="L57" s="29"/>
      <c r="M57" s="29"/>
      <c r="N57" s="29"/>
      <c r="O57" s="29"/>
      <c r="P57" s="29"/>
      <c r="Q57" s="28" t="str">
        <f>IF(A57="","",IF(COUNTIF('32_定義マスター'!$A$13:$A$30,A57)&lt;&gt;1,"参照ID不正",IF(INDEX('32_定義マスター'!$G$13:$G$30,MATCH(A57,'32_定義マスター'!$A$13:$A$30,0))="","",INDEX('32_定義マスター'!$G$13:$G$30,MATCH(A57,'32_定義マスター'!$A$13:$A$30,0)))))</f>
        <v/>
      </c>
      <c r="R57" s="29"/>
      <c r="S57" s="29"/>
      <c r="T57" s="29"/>
      <c r="U57" s="29"/>
      <c r="V57" s="28" t="str">
        <f t="shared" si="1"/>
        <v/>
      </c>
      <c r="W57" s="28" t="str">
        <f>IF(A57="","",IF(COUNTIF('32_定義マスター'!$A$13:$A$30,A57)&lt;&gt;1,"EvalType不正",IF(OR(V57="",COUNTIF($V$4:$V$103,V57)&lt;&gt;1),"PlanKey不足・重複",IF(OR(P57="",P57="未設定",P57="設計中",P57="改訂中"),"計画未確定",IF(AND(P57&lt;&gt;"承認",P57&lt;&gt;"対象外承認"),"状態不正",IF(OR(T57="",U57="",O57=""),"計画対象・承認不足",IF(P57="対象外承認",IF(G57="","対象外理由不足","対象外計画記録"),IF(OR(G57="",H57="",I57="",J57="",K57="",L57="",M57="",N57=""),"評価設計不足",IF(AND(A57="E05",OR(X57="",Y57="",Z57="")),"試行状態・成功定義不足","計画記録あり")))))))))</f>
        <v/>
      </c>
      <c r="X57" s="29"/>
      <c r="Y57" s="29"/>
      <c r="Z57" s="29"/>
    </row>
    <row r="58" spans="1:26" ht="64" customHeight="1" x14ac:dyDescent="0.2">
      <c r="A58" s="29"/>
      <c r="B58" s="28" t="str">
        <f>IF(A58="","",IF(COUNTIF('32_定義マスター'!$A$13:$A$30,A58)&lt;&gt;1,"参照ID不正",IF(INDEX('32_定義マスター'!$B$13:$B$30,MATCH(A58,'32_定義マスター'!$A$13:$A$30,0))="","",INDEX('32_定義マスター'!$B$13:$B$30,MATCH(A58,'32_定義マスター'!$A$13:$A$30,0)))))</f>
        <v/>
      </c>
      <c r="C58" s="28" t="str">
        <f>IF(A58="","",IF(COUNTIF('32_定義マスター'!$A$13:$A$30,A58)&lt;&gt;1,"参照ID不正",IF(INDEX('32_定義マスター'!$C$13:$C$30,MATCH(A58,'32_定義マスター'!$A$13:$A$30,0))="","",INDEX('32_定義マスター'!$C$13:$C$30,MATCH(A58,'32_定義マスター'!$A$13:$A$30,0)))))</f>
        <v/>
      </c>
      <c r="D58" s="28" t="str">
        <f>IF(A58="","",IF(COUNTIF('32_定義マスター'!$A$13:$A$30,A58)&lt;&gt;1,"参照ID不正",IF(INDEX('32_定義マスター'!$D$13:$D$30,MATCH(A58,'32_定義マスター'!$A$13:$A$30,0))="","",INDEX('32_定義マスター'!$D$13:$D$30,MATCH(A58,'32_定義マスター'!$A$13:$A$30,0)))))</f>
        <v/>
      </c>
      <c r="E58" s="28" t="str">
        <f>IF(A58="","",IF(COUNTIF('32_定義マスター'!$A$13:$A$30,A58)&lt;&gt;1,"参照ID不正",IF(INDEX('32_定義マスター'!$E$13:$E$30,MATCH(A58,'32_定義マスター'!$A$13:$A$30,0))="","",INDEX('32_定義マスター'!$E$13:$E$30,MATCH(A58,'32_定義マスター'!$A$13:$A$30,0)))))</f>
        <v/>
      </c>
      <c r="F58" s="28" t="str">
        <f>IF(A58="","",IF(COUNTIF('32_定義マスター'!$A$13:$A$30,A58)&lt;&gt;1,"参照ID不正",IF(INDEX('32_定義マスター'!$F$13:$F$30,MATCH(A58,'32_定義マスター'!$A$13:$A$30,0))="","",INDEX('32_定義マスター'!$F$13:$F$30,MATCH(A58,'32_定義マスター'!$A$13:$A$30,0)))))</f>
        <v/>
      </c>
      <c r="G58" s="29"/>
      <c r="H58" s="29"/>
      <c r="I58" s="29"/>
      <c r="J58" s="29"/>
      <c r="K58" s="29"/>
      <c r="L58" s="29"/>
      <c r="M58" s="29"/>
      <c r="N58" s="29"/>
      <c r="O58" s="29"/>
      <c r="P58" s="29"/>
      <c r="Q58" s="28" t="str">
        <f>IF(A58="","",IF(COUNTIF('32_定義マスター'!$A$13:$A$30,A58)&lt;&gt;1,"参照ID不正",IF(INDEX('32_定義マスター'!$G$13:$G$30,MATCH(A58,'32_定義マスター'!$A$13:$A$30,0))="","",INDEX('32_定義マスター'!$G$13:$G$30,MATCH(A58,'32_定義マスター'!$A$13:$A$30,0)))))</f>
        <v/>
      </c>
      <c r="R58" s="29"/>
      <c r="S58" s="29"/>
      <c r="T58" s="29"/>
      <c r="U58" s="29"/>
      <c r="V58" s="28" t="str">
        <f t="shared" si="1"/>
        <v/>
      </c>
      <c r="W58" s="28" t="str">
        <f>IF(A58="","",IF(COUNTIF('32_定義マスター'!$A$13:$A$30,A58)&lt;&gt;1,"EvalType不正",IF(OR(V58="",COUNTIF($V$4:$V$103,V58)&lt;&gt;1),"PlanKey不足・重複",IF(OR(P58="",P58="未設定",P58="設計中",P58="改訂中"),"計画未確定",IF(AND(P58&lt;&gt;"承認",P58&lt;&gt;"対象外承認"),"状態不正",IF(OR(T58="",U58="",O58=""),"計画対象・承認不足",IF(P58="対象外承認",IF(G58="","対象外理由不足","対象外計画記録"),IF(OR(G58="",H58="",I58="",J58="",K58="",L58="",M58="",N58=""),"評価設計不足",IF(AND(A58="E05",OR(X58="",Y58="",Z58="")),"試行状態・成功定義不足","計画記録あり")))))))))</f>
        <v/>
      </c>
      <c r="X58" s="29"/>
      <c r="Y58" s="29"/>
      <c r="Z58" s="29"/>
    </row>
    <row r="59" spans="1:26" ht="64" customHeight="1" x14ac:dyDescent="0.2">
      <c r="A59" s="29"/>
      <c r="B59" s="28" t="str">
        <f>IF(A59="","",IF(COUNTIF('32_定義マスター'!$A$13:$A$30,A59)&lt;&gt;1,"参照ID不正",IF(INDEX('32_定義マスター'!$B$13:$B$30,MATCH(A59,'32_定義マスター'!$A$13:$A$30,0))="","",INDEX('32_定義マスター'!$B$13:$B$30,MATCH(A59,'32_定義マスター'!$A$13:$A$30,0)))))</f>
        <v/>
      </c>
      <c r="C59" s="28" t="str">
        <f>IF(A59="","",IF(COUNTIF('32_定義マスター'!$A$13:$A$30,A59)&lt;&gt;1,"参照ID不正",IF(INDEX('32_定義マスター'!$C$13:$C$30,MATCH(A59,'32_定義マスター'!$A$13:$A$30,0))="","",INDEX('32_定義マスター'!$C$13:$C$30,MATCH(A59,'32_定義マスター'!$A$13:$A$30,0)))))</f>
        <v/>
      </c>
      <c r="D59" s="28" t="str">
        <f>IF(A59="","",IF(COUNTIF('32_定義マスター'!$A$13:$A$30,A59)&lt;&gt;1,"参照ID不正",IF(INDEX('32_定義マスター'!$D$13:$D$30,MATCH(A59,'32_定義マスター'!$A$13:$A$30,0))="","",INDEX('32_定義マスター'!$D$13:$D$30,MATCH(A59,'32_定義マスター'!$A$13:$A$30,0)))))</f>
        <v/>
      </c>
      <c r="E59" s="28" t="str">
        <f>IF(A59="","",IF(COUNTIF('32_定義マスター'!$A$13:$A$30,A59)&lt;&gt;1,"参照ID不正",IF(INDEX('32_定義マスター'!$E$13:$E$30,MATCH(A59,'32_定義マスター'!$A$13:$A$30,0))="","",INDEX('32_定義マスター'!$E$13:$E$30,MATCH(A59,'32_定義マスター'!$A$13:$A$30,0)))))</f>
        <v/>
      </c>
      <c r="F59" s="28" t="str">
        <f>IF(A59="","",IF(COUNTIF('32_定義マスター'!$A$13:$A$30,A59)&lt;&gt;1,"参照ID不正",IF(INDEX('32_定義マスター'!$F$13:$F$30,MATCH(A59,'32_定義マスター'!$A$13:$A$30,0))="","",INDEX('32_定義マスター'!$F$13:$F$30,MATCH(A59,'32_定義マスター'!$A$13:$A$30,0)))))</f>
        <v/>
      </c>
      <c r="G59" s="29"/>
      <c r="H59" s="29"/>
      <c r="I59" s="29"/>
      <c r="J59" s="29"/>
      <c r="K59" s="29"/>
      <c r="L59" s="29"/>
      <c r="M59" s="29"/>
      <c r="N59" s="29"/>
      <c r="O59" s="29"/>
      <c r="P59" s="29"/>
      <c r="Q59" s="28" t="str">
        <f>IF(A59="","",IF(COUNTIF('32_定義マスター'!$A$13:$A$30,A59)&lt;&gt;1,"参照ID不正",IF(INDEX('32_定義マスター'!$G$13:$G$30,MATCH(A59,'32_定義マスター'!$A$13:$A$30,0))="","",INDEX('32_定義マスター'!$G$13:$G$30,MATCH(A59,'32_定義マスター'!$A$13:$A$30,0)))))</f>
        <v/>
      </c>
      <c r="R59" s="29"/>
      <c r="S59" s="29"/>
      <c r="T59" s="29"/>
      <c r="U59" s="29"/>
      <c r="V59" s="28" t="str">
        <f t="shared" si="1"/>
        <v/>
      </c>
      <c r="W59" s="28" t="str">
        <f>IF(A59="","",IF(COUNTIF('32_定義マスター'!$A$13:$A$30,A59)&lt;&gt;1,"EvalType不正",IF(OR(V59="",COUNTIF($V$4:$V$103,V59)&lt;&gt;1),"PlanKey不足・重複",IF(OR(P59="",P59="未設定",P59="設計中",P59="改訂中"),"計画未確定",IF(AND(P59&lt;&gt;"承認",P59&lt;&gt;"対象外承認"),"状態不正",IF(OR(T59="",U59="",O59=""),"計画対象・承認不足",IF(P59="対象外承認",IF(G59="","対象外理由不足","対象外計画記録"),IF(OR(G59="",H59="",I59="",J59="",K59="",L59="",M59="",N59=""),"評価設計不足",IF(AND(A59="E05",OR(X59="",Y59="",Z59="")),"試行状態・成功定義不足","計画記録あり")))))))))</f>
        <v/>
      </c>
      <c r="X59" s="29"/>
      <c r="Y59" s="29"/>
      <c r="Z59" s="29"/>
    </row>
    <row r="60" spans="1:26" ht="64" customHeight="1" x14ac:dyDescent="0.2">
      <c r="A60" s="29"/>
      <c r="B60" s="28" t="str">
        <f>IF(A60="","",IF(COUNTIF('32_定義マスター'!$A$13:$A$30,A60)&lt;&gt;1,"参照ID不正",IF(INDEX('32_定義マスター'!$B$13:$B$30,MATCH(A60,'32_定義マスター'!$A$13:$A$30,0))="","",INDEX('32_定義マスター'!$B$13:$B$30,MATCH(A60,'32_定義マスター'!$A$13:$A$30,0)))))</f>
        <v/>
      </c>
      <c r="C60" s="28" t="str">
        <f>IF(A60="","",IF(COUNTIF('32_定義マスター'!$A$13:$A$30,A60)&lt;&gt;1,"参照ID不正",IF(INDEX('32_定義マスター'!$C$13:$C$30,MATCH(A60,'32_定義マスター'!$A$13:$A$30,0))="","",INDEX('32_定義マスター'!$C$13:$C$30,MATCH(A60,'32_定義マスター'!$A$13:$A$30,0)))))</f>
        <v/>
      </c>
      <c r="D60" s="28" t="str">
        <f>IF(A60="","",IF(COUNTIF('32_定義マスター'!$A$13:$A$30,A60)&lt;&gt;1,"参照ID不正",IF(INDEX('32_定義マスター'!$D$13:$D$30,MATCH(A60,'32_定義マスター'!$A$13:$A$30,0))="","",INDEX('32_定義マスター'!$D$13:$D$30,MATCH(A60,'32_定義マスター'!$A$13:$A$30,0)))))</f>
        <v/>
      </c>
      <c r="E60" s="28" t="str">
        <f>IF(A60="","",IF(COUNTIF('32_定義マスター'!$A$13:$A$30,A60)&lt;&gt;1,"参照ID不正",IF(INDEX('32_定義マスター'!$E$13:$E$30,MATCH(A60,'32_定義マスター'!$A$13:$A$30,0))="","",INDEX('32_定義マスター'!$E$13:$E$30,MATCH(A60,'32_定義マスター'!$A$13:$A$30,0)))))</f>
        <v/>
      </c>
      <c r="F60" s="28" t="str">
        <f>IF(A60="","",IF(COUNTIF('32_定義マスター'!$A$13:$A$30,A60)&lt;&gt;1,"参照ID不正",IF(INDEX('32_定義マスター'!$F$13:$F$30,MATCH(A60,'32_定義マスター'!$A$13:$A$30,0))="","",INDEX('32_定義マスター'!$F$13:$F$30,MATCH(A60,'32_定義マスター'!$A$13:$A$30,0)))))</f>
        <v/>
      </c>
      <c r="G60" s="29"/>
      <c r="H60" s="29"/>
      <c r="I60" s="29"/>
      <c r="J60" s="29"/>
      <c r="K60" s="29"/>
      <c r="L60" s="29"/>
      <c r="M60" s="29"/>
      <c r="N60" s="29"/>
      <c r="O60" s="29"/>
      <c r="P60" s="29"/>
      <c r="Q60" s="28" t="str">
        <f>IF(A60="","",IF(COUNTIF('32_定義マスター'!$A$13:$A$30,A60)&lt;&gt;1,"参照ID不正",IF(INDEX('32_定義マスター'!$G$13:$G$30,MATCH(A60,'32_定義マスター'!$A$13:$A$30,0))="","",INDEX('32_定義マスター'!$G$13:$G$30,MATCH(A60,'32_定義マスター'!$A$13:$A$30,0)))))</f>
        <v/>
      </c>
      <c r="R60" s="29"/>
      <c r="S60" s="29"/>
      <c r="T60" s="29"/>
      <c r="U60" s="29"/>
      <c r="V60" s="28" t="str">
        <f t="shared" si="1"/>
        <v/>
      </c>
      <c r="W60" s="28" t="str">
        <f>IF(A60="","",IF(COUNTIF('32_定義マスター'!$A$13:$A$30,A60)&lt;&gt;1,"EvalType不正",IF(OR(V60="",COUNTIF($V$4:$V$103,V60)&lt;&gt;1),"PlanKey不足・重複",IF(OR(P60="",P60="未設定",P60="設計中",P60="改訂中"),"計画未確定",IF(AND(P60&lt;&gt;"承認",P60&lt;&gt;"対象外承認"),"状態不正",IF(OR(T60="",U60="",O60=""),"計画対象・承認不足",IF(P60="対象外承認",IF(G60="","対象外理由不足","対象外計画記録"),IF(OR(G60="",H60="",I60="",J60="",K60="",L60="",M60="",N60=""),"評価設計不足",IF(AND(A60="E05",OR(X60="",Y60="",Z60="")),"試行状態・成功定義不足","計画記録あり")))))))))</f>
        <v/>
      </c>
      <c r="X60" s="29"/>
      <c r="Y60" s="29"/>
      <c r="Z60" s="29"/>
    </row>
    <row r="61" spans="1:26" ht="64" customHeight="1" x14ac:dyDescent="0.2">
      <c r="A61" s="29"/>
      <c r="B61" s="28" t="str">
        <f>IF(A61="","",IF(COUNTIF('32_定義マスター'!$A$13:$A$30,A61)&lt;&gt;1,"参照ID不正",IF(INDEX('32_定義マスター'!$B$13:$B$30,MATCH(A61,'32_定義マスター'!$A$13:$A$30,0))="","",INDEX('32_定義マスター'!$B$13:$B$30,MATCH(A61,'32_定義マスター'!$A$13:$A$30,0)))))</f>
        <v/>
      </c>
      <c r="C61" s="28" t="str">
        <f>IF(A61="","",IF(COUNTIF('32_定義マスター'!$A$13:$A$30,A61)&lt;&gt;1,"参照ID不正",IF(INDEX('32_定義マスター'!$C$13:$C$30,MATCH(A61,'32_定義マスター'!$A$13:$A$30,0))="","",INDEX('32_定義マスター'!$C$13:$C$30,MATCH(A61,'32_定義マスター'!$A$13:$A$30,0)))))</f>
        <v/>
      </c>
      <c r="D61" s="28" t="str">
        <f>IF(A61="","",IF(COUNTIF('32_定義マスター'!$A$13:$A$30,A61)&lt;&gt;1,"参照ID不正",IF(INDEX('32_定義マスター'!$D$13:$D$30,MATCH(A61,'32_定義マスター'!$A$13:$A$30,0))="","",INDEX('32_定義マスター'!$D$13:$D$30,MATCH(A61,'32_定義マスター'!$A$13:$A$30,0)))))</f>
        <v/>
      </c>
      <c r="E61" s="28" t="str">
        <f>IF(A61="","",IF(COUNTIF('32_定義マスター'!$A$13:$A$30,A61)&lt;&gt;1,"参照ID不正",IF(INDEX('32_定義マスター'!$E$13:$E$30,MATCH(A61,'32_定義マスター'!$A$13:$A$30,0))="","",INDEX('32_定義マスター'!$E$13:$E$30,MATCH(A61,'32_定義マスター'!$A$13:$A$30,0)))))</f>
        <v/>
      </c>
      <c r="F61" s="28" t="str">
        <f>IF(A61="","",IF(COUNTIF('32_定義マスター'!$A$13:$A$30,A61)&lt;&gt;1,"参照ID不正",IF(INDEX('32_定義マスター'!$F$13:$F$30,MATCH(A61,'32_定義マスター'!$A$13:$A$30,0))="","",INDEX('32_定義マスター'!$F$13:$F$30,MATCH(A61,'32_定義マスター'!$A$13:$A$30,0)))))</f>
        <v/>
      </c>
      <c r="G61" s="29"/>
      <c r="H61" s="29"/>
      <c r="I61" s="29"/>
      <c r="J61" s="29"/>
      <c r="K61" s="29"/>
      <c r="L61" s="29"/>
      <c r="M61" s="29"/>
      <c r="N61" s="29"/>
      <c r="O61" s="29"/>
      <c r="P61" s="29"/>
      <c r="Q61" s="28" t="str">
        <f>IF(A61="","",IF(COUNTIF('32_定義マスター'!$A$13:$A$30,A61)&lt;&gt;1,"参照ID不正",IF(INDEX('32_定義マスター'!$G$13:$G$30,MATCH(A61,'32_定義マスター'!$A$13:$A$30,0))="","",INDEX('32_定義マスター'!$G$13:$G$30,MATCH(A61,'32_定義マスター'!$A$13:$A$30,0)))))</f>
        <v/>
      </c>
      <c r="R61" s="29"/>
      <c r="S61" s="29"/>
      <c r="T61" s="29"/>
      <c r="U61" s="29"/>
      <c r="V61" s="28" t="str">
        <f t="shared" si="1"/>
        <v/>
      </c>
      <c r="W61" s="28" t="str">
        <f>IF(A61="","",IF(COUNTIF('32_定義マスター'!$A$13:$A$30,A61)&lt;&gt;1,"EvalType不正",IF(OR(V61="",COUNTIF($V$4:$V$103,V61)&lt;&gt;1),"PlanKey不足・重複",IF(OR(P61="",P61="未設定",P61="設計中",P61="改訂中"),"計画未確定",IF(AND(P61&lt;&gt;"承認",P61&lt;&gt;"対象外承認"),"状態不正",IF(OR(T61="",U61="",O61=""),"計画対象・承認不足",IF(P61="対象外承認",IF(G61="","対象外理由不足","対象外計画記録"),IF(OR(G61="",H61="",I61="",J61="",K61="",L61="",M61="",N61=""),"評価設計不足",IF(AND(A61="E05",OR(X61="",Y61="",Z61="")),"試行状態・成功定義不足","計画記録あり")))))))))</f>
        <v/>
      </c>
      <c r="X61" s="29"/>
      <c r="Y61" s="29"/>
      <c r="Z61" s="29"/>
    </row>
    <row r="62" spans="1:26" ht="64" customHeight="1" x14ac:dyDescent="0.2">
      <c r="A62" s="29"/>
      <c r="B62" s="28" t="str">
        <f>IF(A62="","",IF(COUNTIF('32_定義マスター'!$A$13:$A$30,A62)&lt;&gt;1,"参照ID不正",IF(INDEX('32_定義マスター'!$B$13:$B$30,MATCH(A62,'32_定義マスター'!$A$13:$A$30,0))="","",INDEX('32_定義マスター'!$B$13:$B$30,MATCH(A62,'32_定義マスター'!$A$13:$A$30,0)))))</f>
        <v/>
      </c>
      <c r="C62" s="28" t="str">
        <f>IF(A62="","",IF(COUNTIF('32_定義マスター'!$A$13:$A$30,A62)&lt;&gt;1,"参照ID不正",IF(INDEX('32_定義マスター'!$C$13:$C$30,MATCH(A62,'32_定義マスター'!$A$13:$A$30,0))="","",INDEX('32_定義マスター'!$C$13:$C$30,MATCH(A62,'32_定義マスター'!$A$13:$A$30,0)))))</f>
        <v/>
      </c>
      <c r="D62" s="28" t="str">
        <f>IF(A62="","",IF(COUNTIF('32_定義マスター'!$A$13:$A$30,A62)&lt;&gt;1,"参照ID不正",IF(INDEX('32_定義マスター'!$D$13:$D$30,MATCH(A62,'32_定義マスター'!$A$13:$A$30,0))="","",INDEX('32_定義マスター'!$D$13:$D$30,MATCH(A62,'32_定義マスター'!$A$13:$A$30,0)))))</f>
        <v/>
      </c>
      <c r="E62" s="28" t="str">
        <f>IF(A62="","",IF(COUNTIF('32_定義マスター'!$A$13:$A$30,A62)&lt;&gt;1,"参照ID不正",IF(INDEX('32_定義マスター'!$E$13:$E$30,MATCH(A62,'32_定義マスター'!$A$13:$A$30,0))="","",INDEX('32_定義マスター'!$E$13:$E$30,MATCH(A62,'32_定義マスター'!$A$13:$A$30,0)))))</f>
        <v/>
      </c>
      <c r="F62" s="28" t="str">
        <f>IF(A62="","",IF(COUNTIF('32_定義マスター'!$A$13:$A$30,A62)&lt;&gt;1,"参照ID不正",IF(INDEX('32_定義マスター'!$F$13:$F$30,MATCH(A62,'32_定義マスター'!$A$13:$A$30,0))="","",INDEX('32_定義マスター'!$F$13:$F$30,MATCH(A62,'32_定義マスター'!$A$13:$A$30,0)))))</f>
        <v/>
      </c>
      <c r="G62" s="29"/>
      <c r="H62" s="29"/>
      <c r="I62" s="29"/>
      <c r="J62" s="29"/>
      <c r="K62" s="29"/>
      <c r="L62" s="29"/>
      <c r="M62" s="29"/>
      <c r="N62" s="29"/>
      <c r="O62" s="29"/>
      <c r="P62" s="29"/>
      <c r="Q62" s="28" t="str">
        <f>IF(A62="","",IF(COUNTIF('32_定義マスター'!$A$13:$A$30,A62)&lt;&gt;1,"参照ID不正",IF(INDEX('32_定義マスター'!$G$13:$G$30,MATCH(A62,'32_定義マスター'!$A$13:$A$30,0))="","",INDEX('32_定義マスター'!$G$13:$G$30,MATCH(A62,'32_定義マスター'!$A$13:$A$30,0)))))</f>
        <v/>
      </c>
      <c r="R62" s="29"/>
      <c r="S62" s="29"/>
      <c r="T62" s="29"/>
      <c r="U62" s="29"/>
      <c r="V62" s="28" t="str">
        <f t="shared" si="1"/>
        <v/>
      </c>
      <c r="W62" s="28" t="str">
        <f>IF(A62="","",IF(COUNTIF('32_定義マスター'!$A$13:$A$30,A62)&lt;&gt;1,"EvalType不正",IF(OR(V62="",COUNTIF($V$4:$V$103,V62)&lt;&gt;1),"PlanKey不足・重複",IF(OR(P62="",P62="未設定",P62="設計中",P62="改訂中"),"計画未確定",IF(AND(P62&lt;&gt;"承認",P62&lt;&gt;"対象外承認"),"状態不正",IF(OR(T62="",U62="",O62=""),"計画対象・承認不足",IF(P62="対象外承認",IF(G62="","対象外理由不足","対象外計画記録"),IF(OR(G62="",H62="",I62="",J62="",K62="",L62="",M62="",N62=""),"評価設計不足",IF(AND(A62="E05",OR(X62="",Y62="",Z62="")),"試行状態・成功定義不足","計画記録あり")))))))))</f>
        <v/>
      </c>
      <c r="X62" s="29"/>
      <c r="Y62" s="29"/>
      <c r="Z62" s="29"/>
    </row>
    <row r="63" spans="1:26" ht="64" customHeight="1" x14ac:dyDescent="0.2">
      <c r="A63" s="29"/>
      <c r="B63" s="28" t="str">
        <f>IF(A63="","",IF(COUNTIF('32_定義マスター'!$A$13:$A$30,A63)&lt;&gt;1,"参照ID不正",IF(INDEX('32_定義マスター'!$B$13:$B$30,MATCH(A63,'32_定義マスター'!$A$13:$A$30,0))="","",INDEX('32_定義マスター'!$B$13:$B$30,MATCH(A63,'32_定義マスター'!$A$13:$A$30,0)))))</f>
        <v/>
      </c>
      <c r="C63" s="28" t="str">
        <f>IF(A63="","",IF(COUNTIF('32_定義マスター'!$A$13:$A$30,A63)&lt;&gt;1,"参照ID不正",IF(INDEX('32_定義マスター'!$C$13:$C$30,MATCH(A63,'32_定義マスター'!$A$13:$A$30,0))="","",INDEX('32_定義マスター'!$C$13:$C$30,MATCH(A63,'32_定義マスター'!$A$13:$A$30,0)))))</f>
        <v/>
      </c>
      <c r="D63" s="28" t="str">
        <f>IF(A63="","",IF(COUNTIF('32_定義マスター'!$A$13:$A$30,A63)&lt;&gt;1,"参照ID不正",IF(INDEX('32_定義マスター'!$D$13:$D$30,MATCH(A63,'32_定義マスター'!$A$13:$A$30,0))="","",INDEX('32_定義マスター'!$D$13:$D$30,MATCH(A63,'32_定義マスター'!$A$13:$A$30,0)))))</f>
        <v/>
      </c>
      <c r="E63" s="28" t="str">
        <f>IF(A63="","",IF(COUNTIF('32_定義マスター'!$A$13:$A$30,A63)&lt;&gt;1,"参照ID不正",IF(INDEX('32_定義マスター'!$E$13:$E$30,MATCH(A63,'32_定義マスター'!$A$13:$A$30,0))="","",INDEX('32_定義マスター'!$E$13:$E$30,MATCH(A63,'32_定義マスター'!$A$13:$A$30,0)))))</f>
        <v/>
      </c>
      <c r="F63" s="28" t="str">
        <f>IF(A63="","",IF(COUNTIF('32_定義マスター'!$A$13:$A$30,A63)&lt;&gt;1,"参照ID不正",IF(INDEX('32_定義マスター'!$F$13:$F$30,MATCH(A63,'32_定義マスター'!$A$13:$A$30,0))="","",INDEX('32_定義マスター'!$F$13:$F$30,MATCH(A63,'32_定義マスター'!$A$13:$A$30,0)))))</f>
        <v/>
      </c>
      <c r="G63" s="29"/>
      <c r="H63" s="29"/>
      <c r="I63" s="29"/>
      <c r="J63" s="29"/>
      <c r="K63" s="29"/>
      <c r="L63" s="29"/>
      <c r="M63" s="29"/>
      <c r="N63" s="29"/>
      <c r="O63" s="29"/>
      <c r="P63" s="29"/>
      <c r="Q63" s="28" t="str">
        <f>IF(A63="","",IF(COUNTIF('32_定義マスター'!$A$13:$A$30,A63)&lt;&gt;1,"参照ID不正",IF(INDEX('32_定義マスター'!$G$13:$G$30,MATCH(A63,'32_定義マスター'!$A$13:$A$30,0))="","",INDEX('32_定義マスター'!$G$13:$G$30,MATCH(A63,'32_定義マスター'!$A$13:$A$30,0)))))</f>
        <v/>
      </c>
      <c r="R63" s="29"/>
      <c r="S63" s="29"/>
      <c r="T63" s="29"/>
      <c r="U63" s="29"/>
      <c r="V63" s="28" t="str">
        <f t="shared" si="1"/>
        <v/>
      </c>
      <c r="W63" s="28" t="str">
        <f>IF(A63="","",IF(COUNTIF('32_定義マスター'!$A$13:$A$30,A63)&lt;&gt;1,"EvalType不正",IF(OR(V63="",COUNTIF($V$4:$V$103,V63)&lt;&gt;1),"PlanKey不足・重複",IF(OR(P63="",P63="未設定",P63="設計中",P63="改訂中"),"計画未確定",IF(AND(P63&lt;&gt;"承認",P63&lt;&gt;"対象外承認"),"状態不正",IF(OR(T63="",U63="",O63=""),"計画対象・承認不足",IF(P63="対象外承認",IF(G63="","対象外理由不足","対象外計画記録"),IF(OR(G63="",H63="",I63="",J63="",K63="",L63="",M63="",N63=""),"評価設計不足",IF(AND(A63="E05",OR(X63="",Y63="",Z63="")),"試行状態・成功定義不足","計画記録あり")))))))))</f>
        <v/>
      </c>
      <c r="X63" s="29"/>
      <c r="Y63" s="29"/>
      <c r="Z63" s="29"/>
    </row>
    <row r="64" spans="1:26" ht="64" customHeight="1" x14ac:dyDescent="0.2">
      <c r="A64" s="29"/>
      <c r="B64" s="28" t="str">
        <f>IF(A64="","",IF(COUNTIF('32_定義マスター'!$A$13:$A$30,A64)&lt;&gt;1,"参照ID不正",IF(INDEX('32_定義マスター'!$B$13:$B$30,MATCH(A64,'32_定義マスター'!$A$13:$A$30,0))="","",INDEX('32_定義マスター'!$B$13:$B$30,MATCH(A64,'32_定義マスター'!$A$13:$A$30,0)))))</f>
        <v/>
      </c>
      <c r="C64" s="28" t="str">
        <f>IF(A64="","",IF(COUNTIF('32_定義マスター'!$A$13:$A$30,A64)&lt;&gt;1,"参照ID不正",IF(INDEX('32_定義マスター'!$C$13:$C$30,MATCH(A64,'32_定義マスター'!$A$13:$A$30,0))="","",INDEX('32_定義マスター'!$C$13:$C$30,MATCH(A64,'32_定義マスター'!$A$13:$A$30,0)))))</f>
        <v/>
      </c>
      <c r="D64" s="28" t="str">
        <f>IF(A64="","",IF(COUNTIF('32_定義マスター'!$A$13:$A$30,A64)&lt;&gt;1,"参照ID不正",IF(INDEX('32_定義マスター'!$D$13:$D$30,MATCH(A64,'32_定義マスター'!$A$13:$A$30,0))="","",INDEX('32_定義マスター'!$D$13:$D$30,MATCH(A64,'32_定義マスター'!$A$13:$A$30,0)))))</f>
        <v/>
      </c>
      <c r="E64" s="28" t="str">
        <f>IF(A64="","",IF(COUNTIF('32_定義マスター'!$A$13:$A$30,A64)&lt;&gt;1,"参照ID不正",IF(INDEX('32_定義マスター'!$E$13:$E$30,MATCH(A64,'32_定義マスター'!$A$13:$A$30,0))="","",INDEX('32_定義マスター'!$E$13:$E$30,MATCH(A64,'32_定義マスター'!$A$13:$A$30,0)))))</f>
        <v/>
      </c>
      <c r="F64" s="28" t="str">
        <f>IF(A64="","",IF(COUNTIF('32_定義マスター'!$A$13:$A$30,A64)&lt;&gt;1,"参照ID不正",IF(INDEX('32_定義マスター'!$F$13:$F$30,MATCH(A64,'32_定義マスター'!$A$13:$A$30,0))="","",INDEX('32_定義マスター'!$F$13:$F$30,MATCH(A64,'32_定義マスター'!$A$13:$A$30,0)))))</f>
        <v/>
      </c>
      <c r="G64" s="29"/>
      <c r="H64" s="29"/>
      <c r="I64" s="29"/>
      <c r="J64" s="29"/>
      <c r="K64" s="29"/>
      <c r="L64" s="29"/>
      <c r="M64" s="29"/>
      <c r="N64" s="29"/>
      <c r="O64" s="29"/>
      <c r="P64" s="29"/>
      <c r="Q64" s="28" t="str">
        <f>IF(A64="","",IF(COUNTIF('32_定義マスター'!$A$13:$A$30,A64)&lt;&gt;1,"参照ID不正",IF(INDEX('32_定義マスター'!$G$13:$G$30,MATCH(A64,'32_定義マスター'!$A$13:$A$30,0))="","",INDEX('32_定義マスター'!$G$13:$G$30,MATCH(A64,'32_定義マスター'!$A$13:$A$30,0)))))</f>
        <v/>
      </c>
      <c r="R64" s="29"/>
      <c r="S64" s="29"/>
      <c r="T64" s="29"/>
      <c r="U64" s="29"/>
      <c r="V64" s="28" t="str">
        <f t="shared" si="1"/>
        <v/>
      </c>
      <c r="W64" s="28" t="str">
        <f>IF(A64="","",IF(COUNTIF('32_定義マスター'!$A$13:$A$30,A64)&lt;&gt;1,"EvalType不正",IF(OR(V64="",COUNTIF($V$4:$V$103,V64)&lt;&gt;1),"PlanKey不足・重複",IF(OR(P64="",P64="未設定",P64="設計中",P64="改訂中"),"計画未確定",IF(AND(P64&lt;&gt;"承認",P64&lt;&gt;"対象外承認"),"状態不正",IF(OR(T64="",U64="",O64=""),"計画対象・承認不足",IF(P64="対象外承認",IF(G64="","対象外理由不足","対象外計画記録"),IF(OR(G64="",H64="",I64="",J64="",K64="",L64="",M64="",N64=""),"評価設計不足",IF(AND(A64="E05",OR(X64="",Y64="",Z64="")),"試行状態・成功定義不足","計画記録あり")))))))))</f>
        <v/>
      </c>
      <c r="X64" s="29"/>
      <c r="Y64" s="29"/>
      <c r="Z64" s="29"/>
    </row>
    <row r="65" spans="1:26" ht="64" customHeight="1" x14ac:dyDescent="0.2">
      <c r="A65" s="29"/>
      <c r="B65" s="28" t="str">
        <f>IF(A65="","",IF(COUNTIF('32_定義マスター'!$A$13:$A$30,A65)&lt;&gt;1,"参照ID不正",IF(INDEX('32_定義マスター'!$B$13:$B$30,MATCH(A65,'32_定義マスター'!$A$13:$A$30,0))="","",INDEX('32_定義マスター'!$B$13:$B$30,MATCH(A65,'32_定義マスター'!$A$13:$A$30,0)))))</f>
        <v/>
      </c>
      <c r="C65" s="28" t="str">
        <f>IF(A65="","",IF(COUNTIF('32_定義マスター'!$A$13:$A$30,A65)&lt;&gt;1,"参照ID不正",IF(INDEX('32_定義マスター'!$C$13:$C$30,MATCH(A65,'32_定義マスター'!$A$13:$A$30,0))="","",INDEX('32_定義マスター'!$C$13:$C$30,MATCH(A65,'32_定義マスター'!$A$13:$A$30,0)))))</f>
        <v/>
      </c>
      <c r="D65" s="28" t="str">
        <f>IF(A65="","",IF(COUNTIF('32_定義マスター'!$A$13:$A$30,A65)&lt;&gt;1,"参照ID不正",IF(INDEX('32_定義マスター'!$D$13:$D$30,MATCH(A65,'32_定義マスター'!$A$13:$A$30,0))="","",INDEX('32_定義マスター'!$D$13:$D$30,MATCH(A65,'32_定義マスター'!$A$13:$A$30,0)))))</f>
        <v/>
      </c>
      <c r="E65" s="28" t="str">
        <f>IF(A65="","",IF(COUNTIF('32_定義マスター'!$A$13:$A$30,A65)&lt;&gt;1,"参照ID不正",IF(INDEX('32_定義マスター'!$E$13:$E$30,MATCH(A65,'32_定義マスター'!$A$13:$A$30,0))="","",INDEX('32_定義マスター'!$E$13:$E$30,MATCH(A65,'32_定義マスター'!$A$13:$A$30,0)))))</f>
        <v/>
      </c>
      <c r="F65" s="28" t="str">
        <f>IF(A65="","",IF(COUNTIF('32_定義マスター'!$A$13:$A$30,A65)&lt;&gt;1,"参照ID不正",IF(INDEX('32_定義マスター'!$F$13:$F$30,MATCH(A65,'32_定義マスター'!$A$13:$A$30,0))="","",INDEX('32_定義マスター'!$F$13:$F$30,MATCH(A65,'32_定義マスター'!$A$13:$A$30,0)))))</f>
        <v/>
      </c>
      <c r="G65" s="29"/>
      <c r="H65" s="29"/>
      <c r="I65" s="29"/>
      <c r="J65" s="29"/>
      <c r="K65" s="29"/>
      <c r="L65" s="29"/>
      <c r="M65" s="29"/>
      <c r="N65" s="29"/>
      <c r="O65" s="29"/>
      <c r="P65" s="29"/>
      <c r="Q65" s="28" t="str">
        <f>IF(A65="","",IF(COUNTIF('32_定義マスター'!$A$13:$A$30,A65)&lt;&gt;1,"参照ID不正",IF(INDEX('32_定義マスター'!$G$13:$G$30,MATCH(A65,'32_定義マスター'!$A$13:$A$30,0))="","",INDEX('32_定義マスター'!$G$13:$G$30,MATCH(A65,'32_定義マスター'!$A$13:$A$30,0)))))</f>
        <v/>
      </c>
      <c r="R65" s="29"/>
      <c r="S65" s="29"/>
      <c r="T65" s="29"/>
      <c r="U65" s="29"/>
      <c r="V65" s="28" t="str">
        <f t="shared" si="1"/>
        <v/>
      </c>
      <c r="W65" s="28" t="str">
        <f>IF(A65="","",IF(COUNTIF('32_定義マスター'!$A$13:$A$30,A65)&lt;&gt;1,"EvalType不正",IF(OR(V65="",COUNTIF($V$4:$V$103,V65)&lt;&gt;1),"PlanKey不足・重複",IF(OR(P65="",P65="未設定",P65="設計中",P65="改訂中"),"計画未確定",IF(AND(P65&lt;&gt;"承認",P65&lt;&gt;"対象外承認"),"状態不正",IF(OR(T65="",U65="",O65=""),"計画対象・承認不足",IF(P65="対象外承認",IF(G65="","対象外理由不足","対象外計画記録"),IF(OR(G65="",H65="",I65="",J65="",K65="",L65="",M65="",N65=""),"評価設計不足",IF(AND(A65="E05",OR(X65="",Y65="",Z65="")),"試行状態・成功定義不足","計画記録あり")))))))))</f>
        <v/>
      </c>
      <c r="X65" s="29"/>
      <c r="Y65" s="29"/>
      <c r="Z65" s="29"/>
    </row>
    <row r="66" spans="1:26" ht="64" customHeight="1" x14ac:dyDescent="0.2">
      <c r="A66" s="29"/>
      <c r="B66" s="28" t="str">
        <f>IF(A66="","",IF(COUNTIF('32_定義マスター'!$A$13:$A$30,A66)&lt;&gt;1,"参照ID不正",IF(INDEX('32_定義マスター'!$B$13:$B$30,MATCH(A66,'32_定義マスター'!$A$13:$A$30,0))="","",INDEX('32_定義マスター'!$B$13:$B$30,MATCH(A66,'32_定義マスター'!$A$13:$A$30,0)))))</f>
        <v/>
      </c>
      <c r="C66" s="28" t="str">
        <f>IF(A66="","",IF(COUNTIF('32_定義マスター'!$A$13:$A$30,A66)&lt;&gt;1,"参照ID不正",IF(INDEX('32_定義マスター'!$C$13:$C$30,MATCH(A66,'32_定義マスター'!$A$13:$A$30,0))="","",INDEX('32_定義マスター'!$C$13:$C$30,MATCH(A66,'32_定義マスター'!$A$13:$A$30,0)))))</f>
        <v/>
      </c>
      <c r="D66" s="28" t="str">
        <f>IF(A66="","",IF(COUNTIF('32_定義マスター'!$A$13:$A$30,A66)&lt;&gt;1,"参照ID不正",IF(INDEX('32_定義マスター'!$D$13:$D$30,MATCH(A66,'32_定義マスター'!$A$13:$A$30,0))="","",INDEX('32_定義マスター'!$D$13:$D$30,MATCH(A66,'32_定義マスター'!$A$13:$A$30,0)))))</f>
        <v/>
      </c>
      <c r="E66" s="28" t="str">
        <f>IF(A66="","",IF(COUNTIF('32_定義マスター'!$A$13:$A$30,A66)&lt;&gt;1,"参照ID不正",IF(INDEX('32_定義マスター'!$E$13:$E$30,MATCH(A66,'32_定義マスター'!$A$13:$A$30,0))="","",INDEX('32_定義マスター'!$E$13:$E$30,MATCH(A66,'32_定義マスター'!$A$13:$A$30,0)))))</f>
        <v/>
      </c>
      <c r="F66" s="28" t="str">
        <f>IF(A66="","",IF(COUNTIF('32_定義マスター'!$A$13:$A$30,A66)&lt;&gt;1,"参照ID不正",IF(INDEX('32_定義マスター'!$F$13:$F$30,MATCH(A66,'32_定義マスター'!$A$13:$A$30,0))="","",INDEX('32_定義マスター'!$F$13:$F$30,MATCH(A66,'32_定義マスター'!$A$13:$A$30,0)))))</f>
        <v/>
      </c>
      <c r="G66" s="29"/>
      <c r="H66" s="29"/>
      <c r="I66" s="29"/>
      <c r="J66" s="29"/>
      <c r="K66" s="29"/>
      <c r="L66" s="29"/>
      <c r="M66" s="29"/>
      <c r="N66" s="29"/>
      <c r="O66" s="29"/>
      <c r="P66" s="29"/>
      <c r="Q66" s="28" t="str">
        <f>IF(A66="","",IF(COUNTIF('32_定義マスター'!$A$13:$A$30,A66)&lt;&gt;1,"参照ID不正",IF(INDEX('32_定義マスター'!$G$13:$G$30,MATCH(A66,'32_定義マスター'!$A$13:$A$30,0))="","",INDEX('32_定義マスター'!$G$13:$G$30,MATCH(A66,'32_定義マスター'!$A$13:$A$30,0)))))</f>
        <v/>
      </c>
      <c r="R66" s="29"/>
      <c r="S66" s="29"/>
      <c r="T66" s="29"/>
      <c r="U66" s="29"/>
      <c r="V66" s="28" t="str">
        <f t="shared" si="1"/>
        <v/>
      </c>
      <c r="W66" s="28" t="str">
        <f>IF(A66="","",IF(COUNTIF('32_定義マスター'!$A$13:$A$30,A66)&lt;&gt;1,"EvalType不正",IF(OR(V66="",COUNTIF($V$4:$V$103,V66)&lt;&gt;1),"PlanKey不足・重複",IF(OR(P66="",P66="未設定",P66="設計中",P66="改訂中"),"計画未確定",IF(AND(P66&lt;&gt;"承認",P66&lt;&gt;"対象外承認"),"状態不正",IF(OR(T66="",U66="",O66=""),"計画対象・承認不足",IF(P66="対象外承認",IF(G66="","対象外理由不足","対象外計画記録"),IF(OR(G66="",H66="",I66="",J66="",K66="",L66="",M66="",N66=""),"評価設計不足",IF(AND(A66="E05",OR(X66="",Y66="",Z66="")),"試行状態・成功定義不足","計画記録あり")))))))))</f>
        <v/>
      </c>
      <c r="X66" s="29"/>
      <c r="Y66" s="29"/>
      <c r="Z66" s="29"/>
    </row>
    <row r="67" spans="1:26" ht="64" customHeight="1" x14ac:dyDescent="0.2">
      <c r="A67" s="29"/>
      <c r="B67" s="28" t="str">
        <f>IF(A67="","",IF(COUNTIF('32_定義マスター'!$A$13:$A$30,A67)&lt;&gt;1,"参照ID不正",IF(INDEX('32_定義マスター'!$B$13:$B$30,MATCH(A67,'32_定義マスター'!$A$13:$A$30,0))="","",INDEX('32_定義マスター'!$B$13:$B$30,MATCH(A67,'32_定義マスター'!$A$13:$A$30,0)))))</f>
        <v/>
      </c>
      <c r="C67" s="28" t="str">
        <f>IF(A67="","",IF(COUNTIF('32_定義マスター'!$A$13:$A$30,A67)&lt;&gt;1,"参照ID不正",IF(INDEX('32_定義マスター'!$C$13:$C$30,MATCH(A67,'32_定義マスター'!$A$13:$A$30,0))="","",INDEX('32_定義マスター'!$C$13:$C$30,MATCH(A67,'32_定義マスター'!$A$13:$A$30,0)))))</f>
        <v/>
      </c>
      <c r="D67" s="28" t="str">
        <f>IF(A67="","",IF(COUNTIF('32_定義マスター'!$A$13:$A$30,A67)&lt;&gt;1,"参照ID不正",IF(INDEX('32_定義マスター'!$D$13:$D$30,MATCH(A67,'32_定義マスター'!$A$13:$A$30,0))="","",INDEX('32_定義マスター'!$D$13:$D$30,MATCH(A67,'32_定義マスター'!$A$13:$A$30,0)))))</f>
        <v/>
      </c>
      <c r="E67" s="28" t="str">
        <f>IF(A67="","",IF(COUNTIF('32_定義マスター'!$A$13:$A$30,A67)&lt;&gt;1,"参照ID不正",IF(INDEX('32_定義マスター'!$E$13:$E$30,MATCH(A67,'32_定義マスター'!$A$13:$A$30,0))="","",INDEX('32_定義マスター'!$E$13:$E$30,MATCH(A67,'32_定義マスター'!$A$13:$A$30,0)))))</f>
        <v/>
      </c>
      <c r="F67" s="28" t="str">
        <f>IF(A67="","",IF(COUNTIF('32_定義マスター'!$A$13:$A$30,A67)&lt;&gt;1,"参照ID不正",IF(INDEX('32_定義マスター'!$F$13:$F$30,MATCH(A67,'32_定義マスター'!$A$13:$A$30,0))="","",INDEX('32_定義マスター'!$F$13:$F$30,MATCH(A67,'32_定義マスター'!$A$13:$A$30,0)))))</f>
        <v/>
      </c>
      <c r="G67" s="29"/>
      <c r="H67" s="29"/>
      <c r="I67" s="29"/>
      <c r="J67" s="29"/>
      <c r="K67" s="29"/>
      <c r="L67" s="29"/>
      <c r="M67" s="29"/>
      <c r="N67" s="29"/>
      <c r="O67" s="29"/>
      <c r="P67" s="29"/>
      <c r="Q67" s="28" t="str">
        <f>IF(A67="","",IF(COUNTIF('32_定義マスター'!$A$13:$A$30,A67)&lt;&gt;1,"参照ID不正",IF(INDEX('32_定義マスター'!$G$13:$G$30,MATCH(A67,'32_定義マスター'!$A$13:$A$30,0))="","",INDEX('32_定義マスター'!$G$13:$G$30,MATCH(A67,'32_定義マスター'!$A$13:$A$30,0)))))</f>
        <v/>
      </c>
      <c r="R67" s="29"/>
      <c r="S67" s="29"/>
      <c r="T67" s="29"/>
      <c r="U67" s="29"/>
      <c r="V67" s="28" t="str">
        <f t="shared" si="1"/>
        <v/>
      </c>
      <c r="W67" s="28" t="str">
        <f>IF(A67="","",IF(COUNTIF('32_定義マスター'!$A$13:$A$30,A67)&lt;&gt;1,"EvalType不正",IF(OR(V67="",COUNTIF($V$4:$V$103,V67)&lt;&gt;1),"PlanKey不足・重複",IF(OR(P67="",P67="未設定",P67="設計中",P67="改訂中"),"計画未確定",IF(AND(P67&lt;&gt;"承認",P67&lt;&gt;"対象外承認"),"状態不正",IF(OR(T67="",U67="",O67=""),"計画対象・承認不足",IF(P67="対象外承認",IF(G67="","対象外理由不足","対象外計画記録"),IF(OR(G67="",H67="",I67="",J67="",K67="",L67="",M67="",N67=""),"評価設計不足",IF(AND(A67="E05",OR(X67="",Y67="",Z67="")),"試行状態・成功定義不足","計画記録あり")))))))))</f>
        <v/>
      </c>
      <c r="X67" s="29"/>
      <c r="Y67" s="29"/>
      <c r="Z67" s="29"/>
    </row>
    <row r="68" spans="1:26" ht="64" customHeight="1" x14ac:dyDescent="0.2">
      <c r="A68" s="29"/>
      <c r="B68" s="28" t="str">
        <f>IF(A68="","",IF(COUNTIF('32_定義マスター'!$A$13:$A$30,A68)&lt;&gt;1,"参照ID不正",IF(INDEX('32_定義マスター'!$B$13:$B$30,MATCH(A68,'32_定義マスター'!$A$13:$A$30,0))="","",INDEX('32_定義マスター'!$B$13:$B$30,MATCH(A68,'32_定義マスター'!$A$13:$A$30,0)))))</f>
        <v/>
      </c>
      <c r="C68" s="28" t="str">
        <f>IF(A68="","",IF(COUNTIF('32_定義マスター'!$A$13:$A$30,A68)&lt;&gt;1,"参照ID不正",IF(INDEX('32_定義マスター'!$C$13:$C$30,MATCH(A68,'32_定義マスター'!$A$13:$A$30,0))="","",INDEX('32_定義マスター'!$C$13:$C$30,MATCH(A68,'32_定義マスター'!$A$13:$A$30,0)))))</f>
        <v/>
      </c>
      <c r="D68" s="28" t="str">
        <f>IF(A68="","",IF(COUNTIF('32_定義マスター'!$A$13:$A$30,A68)&lt;&gt;1,"参照ID不正",IF(INDEX('32_定義マスター'!$D$13:$D$30,MATCH(A68,'32_定義マスター'!$A$13:$A$30,0))="","",INDEX('32_定義マスター'!$D$13:$D$30,MATCH(A68,'32_定義マスター'!$A$13:$A$30,0)))))</f>
        <v/>
      </c>
      <c r="E68" s="28" t="str">
        <f>IF(A68="","",IF(COUNTIF('32_定義マスター'!$A$13:$A$30,A68)&lt;&gt;1,"参照ID不正",IF(INDEX('32_定義マスター'!$E$13:$E$30,MATCH(A68,'32_定義マスター'!$A$13:$A$30,0))="","",INDEX('32_定義マスター'!$E$13:$E$30,MATCH(A68,'32_定義マスター'!$A$13:$A$30,0)))))</f>
        <v/>
      </c>
      <c r="F68" s="28" t="str">
        <f>IF(A68="","",IF(COUNTIF('32_定義マスター'!$A$13:$A$30,A68)&lt;&gt;1,"参照ID不正",IF(INDEX('32_定義マスター'!$F$13:$F$30,MATCH(A68,'32_定義マスター'!$A$13:$A$30,0))="","",INDEX('32_定義マスター'!$F$13:$F$30,MATCH(A68,'32_定義マスター'!$A$13:$A$30,0)))))</f>
        <v/>
      </c>
      <c r="G68" s="29"/>
      <c r="H68" s="29"/>
      <c r="I68" s="29"/>
      <c r="J68" s="29"/>
      <c r="K68" s="29"/>
      <c r="L68" s="29"/>
      <c r="M68" s="29"/>
      <c r="N68" s="29"/>
      <c r="O68" s="29"/>
      <c r="P68" s="29"/>
      <c r="Q68" s="28" t="str">
        <f>IF(A68="","",IF(COUNTIF('32_定義マスター'!$A$13:$A$30,A68)&lt;&gt;1,"参照ID不正",IF(INDEX('32_定義マスター'!$G$13:$G$30,MATCH(A68,'32_定義マスター'!$A$13:$A$30,0))="","",INDEX('32_定義マスター'!$G$13:$G$30,MATCH(A68,'32_定義マスター'!$A$13:$A$30,0)))))</f>
        <v/>
      </c>
      <c r="R68" s="29"/>
      <c r="S68" s="29"/>
      <c r="T68" s="29"/>
      <c r="U68" s="29"/>
      <c r="V68" s="28" t="str">
        <f t="shared" ref="V68:V103" si="2">IF(OR(R68="",S68=""),"",R68&amp;"@"&amp;S68)</f>
        <v/>
      </c>
      <c r="W68" s="28" t="str">
        <f>IF(A68="","",IF(COUNTIF('32_定義マスター'!$A$13:$A$30,A68)&lt;&gt;1,"EvalType不正",IF(OR(V68="",COUNTIF($V$4:$V$103,V68)&lt;&gt;1),"PlanKey不足・重複",IF(OR(P68="",P68="未設定",P68="設計中",P68="改訂中"),"計画未確定",IF(AND(P68&lt;&gt;"承認",P68&lt;&gt;"対象外承認"),"状態不正",IF(OR(T68="",U68="",O68=""),"計画対象・承認不足",IF(P68="対象外承認",IF(G68="","対象外理由不足","対象外計画記録"),IF(OR(G68="",H68="",I68="",J68="",K68="",L68="",M68="",N68=""),"評価設計不足",IF(AND(A68="E05",OR(X68="",Y68="",Z68="")),"試行状態・成功定義不足","計画記録あり")))))))))</f>
        <v/>
      </c>
      <c r="X68" s="29"/>
      <c r="Y68" s="29"/>
      <c r="Z68" s="29"/>
    </row>
    <row r="69" spans="1:26" ht="64" customHeight="1" x14ac:dyDescent="0.2">
      <c r="A69" s="29"/>
      <c r="B69" s="28" t="str">
        <f>IF(A69="","",IF(COUNTIF('32_定義マスター'!$A$13:$A$30,A69)&lt;&gt;1,"参照ID不正",IF(INDEX('32_定義マスター'!$B$13:$B$30,MATCH(A69,'32_定義マスター'!$A$13:$A$30,0))="","",INDEX('32_定義マスター'!$B$13:$B$30,MATCH(A69,'32_定義マスター'!$A$13:$A$30,0)))))</f>
        <v/>
      </c>
      <c r="C69" s="28" t="str">
        <f>IF(A69="","",IF(COUNTIF('32_定義マスター'!$A$13:$A$30,A69)&lt;&gt;1,"参照ID不正",IF(INDEX('32_定義マスター'!$C$13:$C$30,MATCH(A69,'32_定義マスター'!$A$13:$A$30,0))="","",INDEX('32_定義マスター'!$C$13:$C$30,MATCH(A69,'32_定義マスター'!$A$13:$A$30,0)))))</f>
        <v/>
      </c>
      <c r="D69" s="28" t="str">
        <f>IF(A69="","",IF(COUNTIF('32_定義マスター'!$A$13:$A$30,A69)&lt;&gt;1,"参照ID不正",IF(INDEX('32_定義マスター'!$D$13:$D$30,MATCH(A69,'32_定義マスター'!$A$13:$A$30,0))="","",INDEX('32_定義マスター'!$D$13:$D$30,MATCH(A69,'32_定義マスター'!$A$13:$A$30,0)))))</f>
        <v/>
      </c>
      <c r="E69" s="28" t="str">
        <f>IF(A69="","",IF(COUNTIF('32_定義マスター'!$A$13:$A$30,A69)&lt;&gt;1,"参照ID不正",IF(INDEX('32_定義マスター'!$E$13:$E$30,MATCH(A69,'32_定義マスター'!$A$13:$A$30,0))="","",INDEX('32_定義マスター'!$E$13:$E$30,MATCH(A69,'32_定義マスター'!$A$13:$A$30,0)))))</f>
        <v/>
      </c>
      <c r="F69" s="28" t="str">
        <f>IF(A69="","",IF(COUNTIF('32_定義マスター'!$A$13:$A$30,A69)&lt;&gt;1,"参照ID不正",IF(INDEX('32_定義マスター'!$F$13:$F$30,MATCH(A69,'32_定義マスター'!$A$13:$A$30,0))="","",INDEX('32_定義マスター'!$F$13:$F$30,MATCH(A69,'32_定義マスター'!$A$13:$A$30,0)))))</f>
        <v/>
      </c>
      <c r="G69" s="29"/>
      <c r="H69" s="29"/>
      <c r="I69" s="29"/>
      <c r="J69" s="29"/>
      <c r="K69" s="29"/>
      <c r="L69" s="29"/>
      <c r="M69" s="29"/>
      <c r="N69" s="29"/>
      <c r="O69" s="29"/>
      <c r="P69" s="29"/>
      <c r="Q69" s="28" t="str">
        <f>IF(A69="","",IF(COUNTIF('32_定義マスター'!$A$13:$A$30,A69)&lt;&gt;1,"参照ID不正",IF(INDEX('32_定義マスター'!$G$13:$G$30,MATCH(A69,'32_定義マスター'!$A$13:$A$30,0))="","",INDEX('32_定義マスター'!$G$13:$G$30,MATCH(A69,'32_定義マスター'!$A$13:$A$30,0)))))</f>
        <v/>
      </c>
      <c r="R69" s="29"/>
      <c r="S69" s="29"/>
      <c r="T69" s="29"/>
      <c r="U69" s="29"/>
      <c r="V69" s="28" t="str">
        <f t="shared" si="2"/>
        <v/>
      </c>
      <c r="W69" s="28" t="str">
        <f>IF(A69="","",IF(COUNTIF('32_定義マスター'!$A$13:$A$30,A69)&lt;&gt;1,"EvalType不正",IF(OR(V69="",COUNTIF($V$4:$V$103,V69)&lt;&gt;1),"PlanKey不足・重複",IF(OR(P69="",P69="未設定",P69="設計中",P69="改訂中"),"計画未確定",IF(AND(P69&lt;&gt;"承認",P69&lt;&gt;"対象外承認"),"状態不正",IF(OR(T69="",U69="",O69=""),"計画対象・承認不足",IF(P69="対象外承認",IF(G69="","対象外理由不足","対象外計画記録"),IF(OR(G69="",H69="",I69="",J69="",K69="",L69="",M69="",N69=""),"評価設計不足",IF(AND(A69="E05",OR(X69="",Y69="",Z69="")),"試行状態・成功定義不足","計画記録あり")))))))))</f>
        <v/>
      </c>
      <c r="X69" s="29"/>
      <c r="Y69" s="29"/>
      <c r="Z69" s="29"/>
    </row>
    <row r="70" spans="1:26" ht="64" customHeight="1" x14ac:dyDescent="0.2">
      <c r="A70" s="29"/>
      <c r="B70" s="28" t="str">
        <f>IF(A70="","",IF(COUNTIF('32_定義マスター'!$A$13:$A$30,A70)&lt;&gt;1,"参照ID不正",IF(INDEX('32_定義マスター'!$B$13:$B$30,MATCH(A70,'32_定義マスター'!$A$13:$A$30,0))="","",INDEX('32_定義マスター'!$B$13:$B$30,MATCH(A70,'32_定義マスター'!$A$13:$A$30,0)))))</f>
        <v/>
      </c>
      <c r="C70" s="28" t="str">
        <f>IF(A70="","",IF(COUNTIF('32_定義マスター'!$A$13:$A$30,A70)&lt;&gt;1,"参照ID不正",IF(INDEX('32_定義マスター'!$C$13:$C$30,MATCH(A70,'32_定義マスター'!$A$13:$A$30,0))="","",INDEX('32_定義マスター'!$C$13:$C$30,MATCH(A70,'32_定義マスター'!$A$13:$A$30,0)))))</f>
        <v/>
      </c>
      <c r="D70" s="28" t="str">
        <f>IF(A70="","",IF(COUNTIF('32_定義マスター'!$A$13:$A$30,A70)&lt;&gt;1,"参照ID不正",IF(INDEX('32_定義マスター'!$D$13:$D$30,MATCH(A70,'32_定義マスター'!$A$13:$A$30,0))="","",INDEX('32_定義マスター'!$D$13:$D$30,MATCH(A70,'32_定義マスター'!$A$13:$A$30,0)))))</f>
        <v/>
      </c>
      <c r="E70" s="28" t="str">
        <f>IF(A70="","",IF(COUNTIF('32_定義マスター'!$A$13:$A$30,A70)&lt;&gt;1,"参照ID不正",IF(INDEX('32_定義マスター'!$E$13:$E$30,MATCH(A70,'32_定義マスター'!$A$13:$A$30,0))="","",INDEX('32_定義マスター'!$E$13:$E$30,MATCH(A70,'32_定義マスター'!$A$13:$A$30,0)))))</f>
        <v/>
      </c>
      <c r="F70" s="28" t="str">
        <f>IF(A70="","",IF(COUNTIF('32_定義マスター'!$A$13:$A$30,A70)&lt;&gt;1,"参照ID不正",IF(INDEX('32_定義マスター'!$F$13:$F$30,MATCH(A70,'32_定義マスター'!$A$13:$A$30,0))="","",INDEX('32_定義マスター'!$F$13:$F$30,MATCH(A70,'32_定義マスター'!$A$13:$A$30,0)))))</f>
        <v/>
      </c>
      <c r="G70" s="29"/>
      <c r="H70" s="29"/>
      <c r="I70" s="29"/>
      <c r="J70" s="29"/>
      <c r="K70" s="29"/>
      <c r="L70" s="29"/>
      <c r="M70" s="29"/>
      <c r="N70" s="29"/>
      <c r="O70" s="29"/>
      <c r="P70" s="29"/>
      <c r="Q70" s="28" t="str">
        <f>IF(A70="","",IF(COUNTIF('32_定義マスター'!$A$13:$A$30,A70)&lt;&gt;1,"参照ID不正",IF(INDEX('32_定義マスター'!$G$13:$G$30,MATCH(A70,'32_定義マスター'!$A$13:$A$30,0))="","",INDEX('32_定義マスター'!$G$13:$G$30,MATCH(A70,'32_定義マスター'!$A$13:$A$30,0)))))</f>
        <v/>
      </c>
      <c r="R70" s="29"/>
      <c r="S70" s="29"/>
      <c r="T70" s="29"/>
      <c r="U70" s="29"/>
      <c r="V70" s="28" t="str">
        <f t="shared" si="2"/>
        <v/>
      </c>
      <c r="W70" s="28" t="str">
        <f>IF(A70="","",IF(COUNTIF('32_定義マスター'!$A$13:$A$30,A70)&lt;&gt;1,"EvalType不正",IF(OR(V70="",COUNTIF($V$4:$V$103,V70)&lt;&gt;1),"PlanKey不足・重複",IF(OR(P70="",P70="未設定",P70="設計中",P70="改訂中"),"計画未確定",IF(AND(P70&lt;&gt;"承認",P70&lt;&gt;"対象外承認"),"状態不正",IF(OR(T70="",U70="",O70=""),"計画対象・承認不足",IF(P70="対象外承認",IF(G70="","対象外理由不足","対象外計画記録"),IF(OR(G70="",H70="",I70="",J70="",K70="",L70="",M70="",N70=""),"評価設計不足",IF(AND(A70="E05",OR(X70="",Y70="",Z70="")),"試行状態・成功定義不足","計画記録あり")))))))))</f>
        <v/>
      </c>
      <c r="X70" s="29"/>
      <c r="Y70" s="29"/>
      <c r="Z70" s="29"/>
    </row>
    <row r="71" spans="1:26" ht="64" customHeight="1" x14ac:dyDescent="0.2">
      <c r="A71" s="29"/>
      <c r="B71" s="28" t="str">
        <f>IF(A71="","",IF(COUNTIF('32_定義マスター'!$A$13:$A$30,A71)&lt;&gt;1,"参照ID不正",IF(INDEX('32_定義マスター'!$B$13:$B$30,MATCH(A71,'32_定義マスター'!$A$13:$A$30,0))="","",INDEX('32_定義マスター'!$B$13:$B$30,MATCH(A71,'32_定義マスター'!$A$13:$A$30,0)))))</f>
        <v/>
      </c>
      <c r="C71" s="28" t="str">
        <f>IF(A71="","",IF(COUNTIF('32_定義マスター'!$A$13:$A$30,A71)&lt;&gt;1,"参照ID不正",IF(INDEX('32_定義マスター'!$C$13:$C$30,MATCH(A71,'32_定義マスター'!$A$13:$A$30,0))="","",INDEX('32_定義マスター'!$C$13:$C$30,MATCH(A71,'32_定義マスター'!$A$13:$A$30,0)))))</f>
        <v/>
      </c>
      <c r="D71" s="28" t="str">
        <f>IF(A71="","",IF(COUNTIF('32_定義マスター'!$A$13:$A$30,A71)&lt;&gt;1,"参照ID不正",IF(INDEX('32_定義マスター'!$D$13:$D$30,MATCH(A71,'32_定義マスター'!$A$13:$A$30,0))="","",INDEX('32_定義マスター'!$D$13:$D$30,MATCH(A71,'32_定義マスター'!$A$13:$A$30,0)))))</f>
        <v/>
      </c>
      <c r="E71" s="28" t="str">
        <f>IF(A71="","",IF(COUNTIF('32_定義マスター'!$A$13:$A$30,A71)&lt;&gt;1,"参照ID不正",IF(INDEX('32_定義マスター'!$E$13:$E$30,MATCH(A71,'32_定義マスター'!$A$13:$A$30,0))="","",INDEX('32_定義マスター'!$E$13:$E$30,MATCH(A71,'32_定義マスター'!$A$13:$A$30,0)))))</f>
        <v/>
      </c>
      <c r="F71" s="28" t="str">
        <f>IF(A71="","",IF(COUNTIF('32_定義マスター'!$A$13:$A$30,A71)&lt;&gt;1,"参照ID不正",IF(INDEX('32_定義マスター'!$F$13:$F$30,MATCH(A71,'32_定義マスター'!$A$13:$A$30,0))="","",INDEX('32_定義マスター'!$F$13:$F$30,MATCH(A71,'32_定義マスター'!$A$13:$A$30,0)))))</f>
        <v/>
      </c>
      <c r="G71" s="29"/>
      <c r="H71" s="29"/>
      <c r="I71" s="29"/>
      <c r="J71" s="29"/>
      <c r="K71" s="29"/>
      <c r="L71" s="29"/>
      <c r="M71" s="29"/>
      <c r="N71" s="29"/>
      <c r="O71" s="29"/>
      <c r="P71" s="29"/>
      <c r="Q71" s="28" t="str">
        <f>IF(A71="","",IF(COUNTIF('32_定義マスター'!$A$13:$A$30,A71)&lt;&gt;1,"参照ID不正",IF(INDEX('32_定義マスター'!$G$13:$G$30,MATCH(A71,'32_定義マスター'!$A$13:$A$30,0))="","",INDEX('32_定義マスター'!$G$13:$G$30,MATCH(A71,'32_定義マスター'!$A$13:$A$30,0)))))</f>
        <v/>
      </c>
      <c r="R71" s="29"/>
      <c r="S71" s="29"/>
      <c r="T71" s="29"/>
      <c r="U71" s="29"/>
      <c r="V71" s="28" t="str">
        <f t="shared" si="2"/>
        <v/>
      </c>
      <c r="W71" s="28" t="str">
        <f>IF(A71="","",IF(COUNTIF('32_定義マスター'!$A$13:$A$30,A71)&lt;&gt;1,"EvalType不正",IF(OR(V71="",COUNTIF($V$4:$V$103,V71)&lt;&gt;1),"PlanKey不足・重複",IF(OR(P71="",P71="未設定",P71="設計中",P71="改訂中"),"計画未確定",IF(AND(P71&lt;&gt;"承認",P71&lt;&gt;"対象外承認"),"状態不正",IF(OR(T71="",U71="",O71=""),"計画対象・承認不足",IF(P71="対象外承認",IF(G71="","対象外理由不足","対象外計画記録"),IF(OR(G71="",H71="",I71="",J71="",K71="",L71="",M71="",N71=""),"評価設計不足",IF(AND(A71="E05",OR(X71="",Y71="",Z71="")),"試行状態・成功定義不足","計画記録あり")))))))))</f>
        <v/>
      </c>
      <c r="X71" s="29"/>
      <c r="Y71" s="29"/>
      <c r="Z71" s="29"/>
    </row>
    <row r="72" spans="1:26" ht="64" customHeight="1" x14ac:dyDescent="0.2">
      <c r="A72" s="29"/>
      <c r="B72" s="28" t="str">
        <f>IF(A72="","",IF(COUNTIF('32_定義マスター'!$A$13:$A$30,A72)&lt;&gt;1,"参照ID不正",IF(INDEX('32_定義マスター'!$B$13:$B$30,MATCH(A72,'32_定義マスター'!$A$13:$A$30,0))="","",INDEX('32_定義マスター'!$B$13:$B$30,MATCH(A72,'32_定義マスター'!$A$13:$A$30,0)))))</f>
        <v/>
      </c>
      <c r="C72" s="28" t="str">
        <f>IF(A72="","",IF(COUNTIF('32_定義マスター'!$A$13:$A$30,A72)&lt;&gt;1,"参照ID不正",IF(INDEX('32_定義マスター'!$C$13:$C$30,MATCH(A72,'32_定義マスター'!$A$13:$A$30,0))="","",INDEX('32_定義マスター'!$C$13:$C$30,MATCH(A72,'32_定義マスター'!$A$13:$A$30,0)))))</f>
        <v/>
      </c>
      <c r="D72" s="28" t="str">
        <f>IF(A72="","",IF(COUNTIF('32_定義マスター'!$A$13:$A$30,A72)&lt;&gt;1,"参照ID不正",IF(INDEX('32_定義マスター'!$D$13:$D$30,MATCH(A72,'32_定義マスター'!$A$13:$A$30,0))="","",INDEX('32_定義マスター'!$D$13:$D$30,MATCH(A72,'32_定義マスター'!$A$13:$A$30,0)))))</f>
        <v/>
      </c>
      <c r="E72" s="28" t="str">
        <f>IF(A72="","",IF(COUNTIF('32_定義マスター'!$A$13:$A$30,A72)&lt;&gt;1,"参照ID不正",IF(INDEX('32_定義マスター'!$E$13:$E$30,MATCH(A72,'32_定義マスター'!$A$13:$A$30,0))="","",INDEX('32_定義マスター'!$E$13:$E$30,MATCH(A72,'32_定義マスター'!$A$13:$A$30,0)))))</f>
        <v/>
      </c>
      <c r="F72" s="28" t="str">
        <f>IF(A72="","",IF(COUNTIF('32_定義マスター'!$A$13:$A$30,A72)&lt;&gt;1,"参照ID不正",IF(INDEX('32_定義マスター'!$F$13:$F$30,MATCH(A72,'32_定義マスター'!$A$13:$A$30,0))="","",INDEX('32_定義マスター'!$F$13:$F$30,MATCH(A72,'32_定義マスター'!$A$13:$A$30,0)))))</f>
        <v/>
      </c>
      <c r="G72" s="29"/>
      <c r="H72" s="29"/>
      <c r="I72" s="29"/>
      <c r="J72" s="29"/>
      <c r="K72" s="29"/>
      <c r="L72" s="29"/>
      <c r="M72" s="29"/>
      <c r="N72" s="29"/>
      <c r="O72" s="29"/>
      <c r="P72" s="29"/>
      <c r="Q72" s="28" t="str">
        <f>IF(A72="","",IF(COUNTIF('32_定義マスター'!$A$13:$A$30,A72)&lt;&gt;1,"参照ID不正",IF(INDEX('32_定義マスター'!$G$13:$G$30,MATCH(A72,'32_定義マスター'!$A$13:$A$30,0))="","",INDEX('32_定義マスター'!$G$13:$G$30,MATCH(A72,'32_定義マスター'!$A$13:$A$30,0)))))</f>
        <v/>
      </c>
      <c r="R72" s="29"/>
      <c r="S72" s="29"/>
      <c r="T72" s="29"/>
      <c r="U72" s="29"/>
      <c r="V72" s="28" t="str">
        <f t="shared" si="2"/>
        <v/>
      </c>
      <c r="W72" s="28" t="str">
        <f>IF(A72="","",IF(COUNTIF('32_定義マスター'!$A$13:$A$30,A72)&lt;&gt;1,"EvalType不正",IF(OR(V72="",COUNTIF($V$4:$V$103,V72)&lt;&gt;1),"PlanKey不足・重複",IF(OR(P72="",P72="未設定",P72="設計中",P72="改訂中"),"計画未確定",IF(AND(P72&lt;&gt;"承認",P72&lt;&gt;"対象外承認"),"状態不正",IF(OR(T72="",U72="",O72=""),"計画対象・承認不足",IF(P72="対象外承認",IF(G72="","対象外理由不足","対象外計画記録"),IF(OR(G72="",H72="",I72="",J72="",K72="",L72="",M72="",N72=""),"評価設計不足",IF(AND(A72="E05",OR(X72="",Y72="",Z72="")),"試行状態・成功定義不足","計画記録あり")))))))))</f>
        <v/>
      </c>
      <c r="X72" s="29"/>
      <c r="Y72" s="29"/>
      <c r="Z72" s="29"/>
    </row>
    <row r="73" spans="1:26" ht="64" customHeight="1" x14ac:dyDescent="0.2">
      <c r="A73" s="29"/>
      <c r="B73" s="28" t="str">
        <f>IF(A73="","",IF(COUNTIF('32_定義マスター'!$A$13:$A$30,A73)&lt;&gt;1,"参照ID不正",IF(INDEX('32_定義マスター'!$B$13:$B$30,MATCH(A73,'32_定義マスター'!$A$13:$A$30,0))="","",INDEX('32_定義マスター'!$B$13:$B$30,MATCH(A73,'32_定義マスター'!$A$13:$A$30,0)))))</f>
        <v/>
      </c>
      <c r="C73" s="28" t="str">
        <f>IF(A73="","",IF(COUNTIF('32_定義マスター'!$A$13:$A$30,A73)&lt;&gt;1,"参照ID不正",IF(INDEX('32_定義マスター'!$C$13:$C$30,MATCH(A73,'32_定義マスター'!$A$13:$A$30,0))="","",INDEX('32_定義マスター'!$C$13:$C$30,MATCH(A73,'32_定義マスター'!$A$13:$A$30,0)))))</f>
        <v/>
      </c>
      <c r="D73" s="28" t="str">
        <f>IF(A73="","",IF(COUNTIF('32_定義マスター'!$A$13:$A$30,A73)&lt;&gt;1,"参照ID不正",IF(INDEX('32_定義マスター'!$D$13:$D$30,MATCH(A73,'32_定義マスター'!$A$13:$A$30,0))="","",INDEX('32_定義マスター'!$D$13:$D$30,MATCH(A73,'32_定義マスター'!$A$13:$A$30,0)))))</f>
        <v/>
      </c>
      <c r="E73" s="28" t="str">
        <f>IF(A73="","",IF(COUNTIF('32_定義マスター'!$A$13:$A$30,A73)&lt;&gt;1,"参照ID不正",IF(INDEX('32_定義マスター'!$E$13:$E$30,MATCH(A73,'32_定義マスター'!$A$13:$A$30,0))="","",INDEX('32_定義マスター'!$E$13:$E$30,MATCH(A73,'32_定義マスター'!$A$13:$A$30,0)))))</f>
        <v/>
      </c>
      <c r="F73" s="28" t="str">
        <f>IF(A73="","",IF(COUNTIF('32_定義マスター'!$A$13:$A$30,A73)&lt;&gt;1,"参照ID不正",IF(INDEX('32_定義マスター'!$F$13:$F$30,MATCH(A73,'32_定義マスター'!$A$13:$A$30,0))="","",INDEX('32_定義マスター'!$F$13:$F$30,MATCH(A73,'32_定義マスター'!$A$13:$A$30,0)))))</f>
        <v/>
      </c>
      <c r="G73" s="29"/>
      <c r="H73" s="29"/>
      <c r="I73" s="29"/>
      <c r="J73" s="29"/>
      <c r="K73" s="29"/>
      <c r="L73" s="29"/>
      <c r="M73" s="29"/>
      <c r="N73" s="29"/>
      <c r="O73" s="29"/>
      <c r="P73" s="29"/>
      <c r="Q73" s="28" t="str">
        <f>IF(A73="","",IF(COUNTIF('32_定義マスター'!$A$13:$A$30,A73)&lt;&gt;1,"参照ID不正",IF(INDEX('32_定義マスター'!$G$13:$G$30,MATCH(A73,'32_定義マスター'!$A$13:$A$30,0))="","",INDEX('32_定義マスター'!$G$13:$G$30,MATCH(A73,'32_定義マスター'!$A$13:$A$30,0)))))</f>
        <v/>
      </c>
      <c r="R73" s="29"/>
      <c r="S73" s="29"/>
      <c r="T73" s="29"/>
      <c r="U73" s="29"/>
      <c r="V73" s="28" t="str">
        <f t="shared" si="2"/>
        <v/>
      </c>
      <c r="W73" s="28" t="str">
        <f>IF(A73="","",IF(COUNTIF('32_定義マスター'!$A$13:$A$30,A73)&lt;&gt;1,"EvalType不正",IF(OR(V73="",COUNTIF($V$4:$V$103,V73)&lt;&gt;1),"PlanKey不足・重複",IF(OR(P73="",P73="未設定",P73="設計中",P73="改訂中"),"計画未確定",IF(AND(P73&lt;&gt;"承認",P73&lt;&gt;"対象外承認"),"状態不正",IF(OR(T73="",U73="",O73=""),"計画対象・承認不足",IF(P73="対象外承認",IF(G73="","対象外理由不足","対象外計画記録"),IF(OR(G73="",H73="",I73="",J73="",K73="",L73="",M73="",N73=""),"評価設計不足",IF(AND(A73="E05",OR(X73="",Y73="",Z73="")),"試行状態・成功定義不足","計画記録あり")))))))))</f>
        <v/>
      </c>
      <c r="X73" s="29"/>
      <c r="Y73" s="29"/>
      <c r="Z73" s="29"/>
    </row>
    <row r="74" spans="1:26" ht="64" customHeight="1" x14ac:dyDescent="0.2">
      <c r="A74" s="29"/>
      <c r="B74" s="28" t="str">
        <f>IF(A74="","",IF(COUNTIF('32_定義マスター'!$A$13:$A$30,A74)&lt;&gt;1,"参照ID不正",IF(INDEX('32_定義マスター'!$B$13:$B$30,MATCH(A74,'32_定義マスター'!$A$13:$A$30,0))="","",INDEX('32_定義マスター'!$B$13:$B$30,MATCH(A74,'32_定義マスター'!$A$13:$A$30,0)))))</f>
        <v/>
      </c>
      <c r="C74" s="28" t="str">
        <f>IF(A74="","",IF(COUNTIF('32_定義マスター'!$A$13:$A$30,A74)&lt;&gt;1,"参照ID不正",IF(INDEX('32_定義マスター'!$C$13:$C$30,MATCH(A74,'32_定義マスター'!$A$13:$A$30,0))="","",INDEX('32_定義マスター'!$C$13:$C$30,MATCH(A74,'32_定義マスター'!$A$13:$A$30,0)))))</f>
        <v/>
      </c>
      <c r="D74" s="28" t="str">
        <f>IF(A74="","",IF(COUNTIF('32_定義マスター'!$A$13:$A$30,A74)&lt;&gt;1,"参照ID不正",IF(INDEX('32_定義マスター'!$D$13:$D$30,MATCH(A74,'32_定義マスター'!$A$13:$A$30,0))="","",INDEX('32_定義マスター'!$D$13:$D$30,MATCH(A74,'32_定義マスター'!$A$13:$A$30,0)))))</f>
        <v/>
      </c>
      <c r="E74" s="28" t="str">
        <f>IF(A74="","",IF(COUNTIF('32_定義マスター'!$A$13:$A$30,A74)&lt;&gt;1,"参照ID不正",IF(INDEX('32_定義マスター'!$E$13:$E$30,MATCH(A74,'32_定義マスター'!$A$13:$A$30,0))="","",INDEX('32_定義マスター'!$E$13:$E$30,MATCH(A74,'32_定義マスター'!$A$13:$A$30,0)))))</f>
        <v/>
      </c>
      <c r="F74" s="28" t="str">
        <f>IF(A74="","",IF(COUNTIF('32_定義マスター'!$A$13:$A$30,A74)&lt;&gt;1,"参照ID不正",IF(INDEX('32_定義マスター'!$F$13:$F$30,MATCH(A74,'32_定義マスター'!$A$13:$A$30,0))="","",INDEX('32_定義マスター'!$F$13:$F$30,MATCH(A74,'32_定義マスター'!$A$13:$A$30,0)))))</f>
        <v/>
      </c>
      <c r="G74" s="29"/>
      <c r="H74" s="29"/>
      <c r="I74" s="29"/>
      <c r="J74" s="29"/>
      <c r="K74" s="29"/>
      <c r="L74" s="29"/>
      <c r="M74" s="29"/>
      <c r="N74" s="29"/>
      <c r="O74" s="29"/>
      <c r="P74" s="29"/>
      <c r="Q74" s="28" t="str">
        <f>IF(A74="","",IF(COUNTIF('32_定義マスター'!$A$13:$A$30,A74)&lt;&gt;1,"参照ID不正",IF(INDEX('32_定義マスター'!$G$13:$G$30,MATCH(A74,'32_定義マスター'!$A$13:$A$30,0))="","",INDEX('32_定義マスター'!$G$13:$G$30,MATCH(A74,'32_定義マスター'!$A$13:$A$30,0)))))</f>
        <v/>
      </c>
      <c r="R74" s="29"/>
      <c r="S74" s="29"/>
      <c r="T74" s="29"/>
      <c r="U74" s="29"/>
      <c r="V74" s="28" t="str">
        <f t="shared" si="2"/>
        <v/>
      </c>
      <c r="W74" s="28" t="str">
        <f>IF(A74="","",IF(COUNTIF('32_定義マスター'!$A$13:$A$30,A74)&lt;&gt;1,"EvalType不正",IF(OR(V74="",COUNTIF($V$4:$V$103,V74)&lt;&gt;1),"PlanKey不足・重複",IF(OR(P74="",P74="未設定",P74="設計中",P74="改訂中"),"計画未確定",IF(AND(P74&lt;&gt;"承認",P74&lt;&gt;"対象外承認"),"状態不正",IF(OR(T74="",U74="",O74=""),"計画対象・承認不足",IF(P74="対象外承認",IF(G74="","対象外理由不足","対象外計画記録"),IF(OR(G74="",H74="",I74="",J74="",K74="",L74="",M74="",N74=""),"評価設計不足",IF(AND(A74="E05",OR(X74="",Y74="",Z74="")),"試行状態・成功定義不足","計画記録あり")))))))))</f>
        <v/>
      </c>
      <c r="X74" s="29"/>
      <c r="Y74" s="29"/>
      <c r="Z74" s="29"/>
    </row>
    <row r="75" spans="1:26" ht="64" customHeight="1" x14ac:dyDescent="0.2">
      <c r="A75" s="29"/>
      <c r="B75" s="28" t="str">
        <f>IF(A75="","",IF(COUNTIF('32_定義マスター'!$A$13:$A$30,A75)&lt;&gt;1,"参照ID不正",IF(INDEX('32_定義マスター'!$B$13:$B$30,MATCH(A75,'32_定義マスター'!$A$13:$A$30,0))="","",INDEX('32_定義マスター'!$B$13:$B$30,MATCH(A75,'32_定義マスター'!$A$13:$A$30,0)))))</f>
        <v/>
      </c>
      <c r="C75" s="28" t="str">
        <f>IF(A75="","",IF(COUNTIF('32_定義マスター'!$A$13:$A$30,A75)&lt;&gt;1,"参照ID不正",IF(INDEX('32_定義マスター'!$C$13:$C$30,MATCH(A75,'32_定義マスター'!$A$13:$A$30,0))="","",INDEX('32_定義マスター'!$C$13:$C$30,MATCH(A75,'32_定義マスター'!$A$13:$A$30,0)))))</f>
        <v/>
      </c>
      <c r="D75" s="28" t="str">
        <f>IF(A75="","",IF(COUNTIF('32_定義マスター'!$A$13:$A$30,A75)&lt;&gt;1,"参照ID不正",IF(INDEX('32_定義マスター'!$D$13:$D$30,MATCH(A75,'32_定義マスター'!$A$13:$A$30,0))="","",INDEX('32_定義マスター'!$D$13:$D$30,MATCH(A75,'32_定義マスター'!$A$13:$A$30,0)))))</f>
        <v/>
      </c>
      <c r="E75" s="28" t="str">
        <f>IF(A75="","",IF(COUNTIF('32_定義マスター'!$A$13:$A$30,A75)&lt;&gt;1,"参照ID不正",IF(INDEX('32_定義マスター'!$E$13:$E$30,MATCH(A75,'32_定義マスター'!$A$13:$A$30,0))="","",INDEX('32_定義マスター'!$E$13:$E$30,MATCH(A75,'32_定義マスター'!$A$13:$A$30,0)))))</f>
        <v/>
      </c>
      <c r="F75" s="28" t="str">
        <f>IF(A75="","",IF(COUNTIF('32_定義マスター'!$A$13:$A$30,A75)&lt;&gt;1,"参照ID不正",IF(INDEX('32_定義マスター'!$F$13:$F$30,MATCH(A75,'32_定義マスター'!$A$13:$A$30,0))="","",INDEX('32_定義マスター'!$F$13:$F$30,MATCH(A75,'32_定義マスター'!$A$13:$A$30,0)))))</f>
        <v/>
      </c>
      <c r="G75" s="29"/>
      <c r="H75" s="29"/>
      <c r="I75" s="29"/>
      <c r="J75" s="29"/>
      <c r="K75" s="29"/>
      <c r="L75" s="29"/>
      <c r="M75" s="29"/>
      <c r="N75" s="29"/>
      <c r="O75" s="29"/>
      <c r="P75" s="29"/>
      <c r="Q75" s="28" t="str">
        <f>IF(A75="","",IF(COUNTIF('32_定義マスター'!$A$13:$A$30,A75)&lt;&gt;1,"参照ID不正",IF(INDEX('32_定義マスター'!$G$13:$G$30,MATCH(A75,'32_定義マスター'!$A$13:$A$30,0))="","",INDEX('32_定義マスター'!$G$13:$G$30,MATCH(A75,'32_定義マスター'!$A$13:$A$30,0)))))</f>
        <v/>
      </c>
      <c r="R75" s="29"/>
      <c r="S75" s="29"/>
      <c r="T75" s="29"/>
      <c r="U75" s="29"/>
      <c r="V75" s="28" t="str">
        <f t="shared" si="2"/>
        <v/>
      </c>
      <c r="W75" s="28" t="str">
        <f>IF(A75="","",IF(COUNTIF('32_定義マスター'!$A$13:$A$30,A75)&lt;&gt;1,"EvalType不正",IF(OR(V75="",COUNTIF($V$4:$V$103,V75)&lt;&gt;1),"PlanKey不足・重複",IF(OR(P75="",P75="未設定",P75="設計中",P75="改訂中"),"計画未確定",IF(AND(P75&lt;&gt;"承認",P75&lt;&gt;"対象外承認"),"状態不正",IF(OR(T75="",U75="",O75=""),"計画対象・承認不足",IF(P75="対象外承認",IF(G75="","対象外理由不足","対象外計画記録"),IF(OR(G75="",H75="",I75="",J75="",K75="",L75="",M75="",N75=""),"評価設計不足",IF(AND(A75="E05",OR(X75="",Y75="",Z75="")),"試行状態・成功定義不足","計画記録あり")))))))))</f>
        <v/>
      </c>
      <c r="X75" s="29"/>
      <c r="Y75" s="29"/>
      <c r="Z75" s="29"/>
    </row>
    <row r="76" spans="1:26" ht="64" customHeight="1" x14ac:dyDescent="0.2">
      <c r="A76" s="29"/>
      <c r="B76" s="28" t="str">
        <f>IF(A76="","",IF(COUNTIF('32_定義マスター'!$A$13:$A$30,A76)&lt;&gt;1,"参照ID不正",IF(INDEX('32_定義マスター'!$B$13:$B$30,MATCH(A76,'32_定義マスター'!$A$13:$A$30,0))="","",INDEX('32_定義マスター'!$B$13:$B$30,MATCH(A76,'32_定義マスター'!$A$13:$A$30,0)))))</f>
        <v/>
      </c>
      <c r="C76" s="28" t="str">
        <f>IF(A76="","",IF(COUNTIF('32_定義マスター'!$A$13:$A$30,A76)&lt;&gt;1,"参照ID不正",IF(INDEX('32_定義マスター'!$C$13:$C$30,MATCH(A76,'32_定義マスター'!$A$13:$A$30,0))="","",INDEX('32_定義マスター'!$C$13:$C$30,MATCH(A76,'32_定義マスター'!$A$13:$A$30,0)))))</f>
        <v/>
      </c>
      <c r="D76" s="28" t="str">
        <f>IF(A76="","",IF(COUNTIF('32_定義マスター'!$A$13:$A$30,A76)&lt;&gt;1,"参照ID不正",IF(INDEX('32_定義マスター'!$D$13:$D$30,MATCH(A76,'32_定義マスター'!$A$13:$A$30,0))="","",INDEX('32_定義マスター'!$D$13:$D$30,MATCH(A76,'32_定義マスター'!$A$13:$A$30,0)))))</f>
        <v/>
      </c>
      <c r="E76" s="28" t="str">
        <f>IF(A76="","",IF(COUNTIF('32_定義マスター'!$A$13:$A$30,A76)&lt;&gt;1,"参照ID不正",IF(INDEX('32_定義マスター'!$E$13:$E$30,MATCH(A76,'32_定義マスター'!$A$13:$A$30,0))="","",INDEX('32_定義マスター'!$E$13:$E$30,MATCH(A76,'32_定義マスター'!$A$13:$A$30,0)))))</f>
        <v/>
      </c>
      <c r="F76" s="28" t="str">
        <f>IF(A76="","",IF(COUNTIF('32_定義マスター'!$A$13:$A$30,A76)&lt;&gt;1,"参照ID不正",IF(INDEX('32_定義マスター'!$F$13:$F$30,MATCH(A76,'32_定義マスター'!$A$13:$A$30,0))="","",INDEX('32_定義マスター'!$F$13:$F$30,MATCH(A76,'32_定義マスター'!$A$13:$A$30,0)))))</f>
        <v/>
      </c>
      <c r="G76" s="29"/>
      <c r="H76" s="29"/>
      <c r="I76" s="29"/>
      <c r="J76" s="29"/>
      <c r="K76" s="29"/>
      <c r="L76" s="29"/>
      <c r="M76" s="29"/>
      <c r="N76" s="29"/>
      <c r="O76" s="29"/>
      <c r="P76" s="29"/>
      <c r="Q76" s="28" t="str">
        <f>IF(A76="","",IF(COUNTIF('32_定義マスター'!$A$13:$A$30,A76)&lt;&gt;1,"参照ID不正",IF(INDEX('32_定義マスター'!$G$13:$G$30,MATCH(A76,'32_定義マスター'!$A$13:$A$30,0))="","",INDEX('32_定義マスター'!$G$13:$G$30,MATCH(A76,'32_定義マスター'!$A$13:$A$30,0)))))</f>
        <v/>
      </c>
      <c r="R76" s="29"/>
      <c r="S76" s="29"/>
      <c r="T76" s="29"/>
      <c r="U76" s="29"/>
      <c r="V76" s="28" t="str">
        <f t="shared" si="2"/>
        <v/>
      </c>
      <c r="W76" s="28" t="str">
        <f>IF(A76="","",IF(COUNTIF('32_定義マスター'!$A$13:$A$30,A76)&lt;&gt;1,"EvalType不正",IF(OR(V76="",COUNTIF($V$4:$V$103,V76)&lt;&gt;1),"PlanKey不足・重複",IF(OR(P76="",P76="未設定",P76="設計中",P76="改訂中"),"計画未確定",IF(AND(P76&lt;&gt;"承認",P76&lt;&gt;"対象外承認"),"状態不正",IF(OR(T76="",U76="",O76=""),"計画対象・承認不足",IF(P76="対象外承認",IF(G76="","対象外理由不足","対象外計画記録"),IF(OR(G76="",H76="",I76="",J76="",K76="",L76="",M76="",N76=""),"評価設計不足",IF(AND(A76="E05",OR(X76="",Y76="",Z76="")),"試行状態・成功定義不足","計画記録あり")))))))))</f>
        <v/>
      </c>
      <c r="X76" s="29"/>
      <c r="Y76" s="29"/>
      <c r="Z76" s="29"/>
    </row>
    <row r="77" spans="1:26" ht="64" customHeight="1" x14ac:dyDescent="0.2">
      <c r="A77" s="29"/>
      <c r="B77" s="28" t="str">
        <f>IF(A77="","",IF(COUNTIF('32_定義マスター'!$A$13:$A$30,A77)&lt;&gt;1,"参照ID不正",IF(INDEX('32_定義マスター'!$B$13:$B$30,MATCH(A77,'32_定義マスター'!$A$13:$A$30,0))="","",INDEX('32_定義マスター'!$B$13:$B$30,MATCH(A77,'32_定義マスター'!$A$13:$A$30,0)))))</f>
        <v/>
      </c>
      <c r="C77" s="28" t="str">
        <f>IF(A77="","",IF(COUNTIF('32_定義マスター'!$A$13:$A$30,A77)&lt;&gt;1,"参照ID不正",IF(INDEX('32_定義マスター'!$C$13:$C$30,MATCH(A77,'32_定義マスター'!$A$13:$A$30,0))="","",INDEX('32_定義マスター'!$C$13:$C$30,MATCH(A77,'32_定義マスター'!$A$13:$A$30,0)))))</f>
        <v/>
      </c>
      <c r="D77" s="28" t="str">
        <f>IF(A77="","",IF(COUNTIF('32_定義マスター'!$A$13:$A$30,A77)&lt;&gt;1,"参照ID不正",IF(INDEX('32_定義マスター'!$D$13:$D$30,MATCH(A77,'32_定義マスター'!$A$13:$A$30,0))="","",INDEX('32_定義マスター'!$D$13:$D$30,MATCH(A77,'32_定義マスター'!$A$13:$A$30,0)))))</f>
        <v/>
      </c>
      <c r="E77" s="28" t="str">
        <f>IF(A77="","",IF(COUNTIF('32_定義マスター'!$A$13:$A$30,A77)&lt;&gt;1,"参照ID不正",IF(INDEX('32_定義マスター'!$E$13:$E$30,MATCH(A77,'32_定義マスター'!$A$13:$A$30,0))="","",INDEX('32_定義マスター'!$E$13:$E$30,MATCH(A77,'32_定義マスター'!$A$13:$A$30,0)))))</f>
        <v/>
      </c>
      <c r="F77" s="28" t="str">
        <f>IF(A77="","",IF(COUNTIF('32_定義マスター'!$A$13:$A$30,A77)&lt;&gt;1,"参照ID不正",IF(INDEX('32_定義マスター'!$F$13:$F$30,MATCH(A77,'32_定義マスター'!$A$13:$A$30,0))="","",INDEX('32_定義マスター'!$F$13:$F$30,MATCH(A77,'32_定義マスター'!$A$13:$A$30,0)))))</f>
        <v/>
      </c>
      <c r="G77" s="29"/>
      <c r="H77" s="29"/>
      <c r="I77" s="29"/>
      <c r="J77" s="29"/>
      <c r="K77" s="29"/>
      <c r="L77" s="29"/>
      <c r="M77" s="29"/>
      <c r="N77" s="29"/>
      <c r="O77" s="29"/>
      <c r="P77" s="29"/>
      <c r="Q77" s="28" t="str">
        <f>IF(A77="","",IF(COUNTIF('32_定義マスター'!$A$13:$A$30,A77)&lt;&gt;1,"参照ID不正",IF(INDEX('32_定義マスター'!$G$13:$G$30,MATCH(A77,'32_定義マスター'!$A$13:$A$30,0))="","",INDEX('32_定義マスター'!$G$13:$G$30,MATCH(A77,'32_定義マスター'!$A$13:$A$30,0)))))</f>
        <v/>
      </c>
      <c r="R77" s="29"/>
      <c r="S77" s="29"/>
      <c r="T77" s="29"/>
      <c r="U77" s="29"/>
      <c r="V77" s="28" t="str">
        <f t="shared" si="2"/>
        <v/>
      </c>
      <c r="W77" s="28" t="str">
        <f>IF(A77="","",IF(COUNTIF('32_定義マスター'!$A$13:$A$30,A77)&lt;&gt;1,"EvalType不正",IF(OR(V77="",COUNTIF($V$4:$V$103,V77)&lt;&gt;1),"PlanKey不足・重複",IF(OR(P77="",P77="未設定",P77="設計中",P77="改訂中"),"計画未確定",IF(AND(P77&lt;&gt;"承認",P77&lt;&gt;"対象外承認"),"状態不正",IF(OR(T77="",U77="",O77=""),"計画対象・承認不足",IF(P77="対象外承認",IF(G77="","対象外理由不足","対象外計画記録"),IF(OR(G77="",H77="",I77="",J77="",K77="",L77="",M77="",N77=""),"評価設計不足",IF(AND(A77="E05",OR(X77="",Y77="",Z77="")),"試行状態・成功定義不足","計画記録あり")))))))))</f>
        <v/>
      </c>
      <c r="X77" s="29"/>
      <c r="Y77" s="29"/>
      <c r="Z77" s="29"/>
    </row>
    <row r="78" spans="1:26" ht="64" customHeight="1" x14ac:dyDescent="0.2">
      <c r="A78" s="29"/>
      <c r="B78" s="28" t="str">
        <f>IF(A78="","",IF(COUNTIF('32_定義マスター'!$A$13:$A$30,A78)&lt;&gt;1,"参照ID不正",IF(INDEX('32_定義マスター'!$B$13:$B$30,MATCH(A78,'32_定義マスター'!$A$13:$A$30,0))="","",INDEX('32_定義マスター'!$B$13:$B$30,MATCH(A78,'32_定義マスター'!$A$13:$A$30,0)))))</f>
        <v/>
      </c>
      <c r="C78" s="28" t="str">
        <f>IF(A78="","",IF(COUNTIF('32_定義マスター'!$A$13:$A$30,A78)&lt;&gt;1,"参照ID不正",IF(INDEX('32_定義マスター'!$C$13:$C$30,MATCH(A78,'32_定義マスター'!$A$13:$A$30,0))="","",INDEX('32_定義マスター'!$C$13:$C$30,MATCH(A78,'32_定義マスター'!$A$13:$A$30,0)))))</f>
        <v/>
      </c>
      <c r="D78" s="28" t="str">
        <f>IF(A78="","",IF(COUNTIF('32_定義マスター'!$A$13:$A$30,A78)&lt;&gt;1,"参照ID不正",IF(INDEX('32_定義マスター'!$D$13:$D$30,MATCH(A78,'32_定義マスター'!$A$13:$A$30,0))="","",INDEX('32_定義マスター'!$D$13:$D$30,MATCH(A78,'32_定義マスター'!$A$13:$A$30,0)))))</f>
        <v/>
      </c>
      <c r="E78" s="28" t="str">
        <f>IF(A78="","",IF(COUNTIF('32_定義マスター'!$A$13:$A$30,A78)&lt;&gt;1,"参照ID不正",IF(INDEX('32_定義マスター'!$E$13:$E$30,MATCH(A78,'32_定義マスター'!$A$13:$A$30,0))="","",INDEX('32_定義マスター'!$E$13:$E$30,MATCH(A78,'32_定義マスター'!$A$13:$A$30,0)))))</f>
        <v/>
      </c>
      <c r="F78" s="28" t="str">
        <f>IF(A78="","",IF(COUNTIF('32_定義マスター'!$A$13:$A$30,A78)&lt;&gt;1,"参照ID不正",IF(INDEX('32_定義マスター'!$F$13:$F$30,MATCH(A78,'32_定義マスター'!$A$13:$A$30,0))="","",INDEX('32_定義マスター'!$F$13:$F$30,MATCH(A78,'32_定義マスター'!$A$13:$A$30,0)))))</f>
        <v/>
      </c>
      <c r="G78" s="29"/>
      <c r="H78" s="29"/>
      <c r="I78" s="29"/>
      <c r="J78" s="29"/>
      <c r="K78" s="29"/>
      <c r="L78" s="29"/>
      <c r="M78" s="29"/>
      <c r="N78" s="29"/>
      <c r="O78" s="29"/>
      <c r="P78" s="29"/>
      <c r="Q78" s="28" t="str">
        <f>IF(A78="","",IF(COUNTIF('32_定義マスター'!$A$13:$A$30,A78)&lt;&gt;1,"参照ID不正",IF(INDEX('32_定義マスター'!$G$13:$G$30,MATCH(A78,'32_定義マスター'!$A$13:$A$30,0))="","",INDEX('32_定義マスター'!$G$13:$G$30,MATCH(A78,'32_定義マスター'!$A$13:$A$30,0)))))</f>
        <v/>
      </c>
      <c r="R78" s="29"/>
      <c r="S78" s="29"/>
      <c r="T78" s="29"/>
      <c r="U78" s="29"/>
      <c r="V78" s="28" t="str">
        <f t="shared" si="2"/>
        <v/>
      </c>
      <c r="W78" s="28" t="str">
        <f>IF(A78="","",IF(COUNTIF('32_定義マスター'!$A$13:$A$30,A78)&lt;&gt;1,"EvalType不正",IF(OR(V78="",COUNTIF($V$4:$V$103,V78)&lt;&gt;1),"PlanKey不足・重複",IF(OR(P78="",P78="未設定",P78="設計中",P78="改訂中"),"計画未確定",IF(AND(P78&lt;&gt;"承認",P78&lt;&gt;"対象外承認"),"状態不正",IF(OR(T78="",U78="",O78=""),"計画対象・承認不足",IF(P78="対象外承認",IF(G78="","対象外理由不足","対象外計画記録"),IF(OR(G78="",H78="",I78="",J78="",K78="",L78="",M78="",N78=""),"評価設計不足",IF(AND(A78="E05",OR(X78="",Y78="",Z78="")),"試行状態・成功定義不足","計画記録あり")))))))))</f>
        <v/>
      </c>
      <c r="X78" s="29"/>
      <c r="Y78" s="29"/>
      <c r="Z78" s="29"/>
    </row>
    <row r="79" spans="1:26" ht="64" customHeight="1" x14ac:dyDescent="0.2">
      <c r="A79" s="29"/>
      <c r="B79" s="28" t="str">
        <f>IF(A79="","",IF(COUNTIF('32_定義マスター'!$A$13:$A$30,A79)&lt;&gt;1,"参照ID不正",IF(INDEX('32_定義マスター'!$B$13:$B$30,MATCH(A79,'32_定義マスター'!$A$13:$A$30,0))="","",INDEX('32_定義マスター'!$B$13:$B$30,MATCH(A79,'32_定義マスター'!$A$13:$A$30,0)))))</f>
        <v/>
      </c>
      <c r="C79" s="28" t="str">
        <f>IF(A79="","",IF(COUNTIF('32_定義マスター'!$A$13:$A$30,A79)&lt;&gt;1,"参照ID不正",IF(INDEX('32_定義マスター'!$C$13:$C$30,MATCH(A79,'32_定義マスター'!$A$13:$A$30,0))="","",INDEX('32_定義マスター'!$C$13:$C$30,MATCH(A79,'32_定義マスター'!$A$13:$A$30,0)))))</f>
        <v/>
      </c>
      <c r="D79" s="28" t="str">
        <f>IF(A79="","",IF(COUNTIF('32_定義マスター'!$A$13:$A$30,A79)&lt;&gt;1,"参照ID不正",IF(INDEX('32_定義マスター'!$D$13:$D$30,MATCH(A79,'32_定義マスター'!$A$13:$A$30,0))="","",INDEX('32_定義マスター'!$D$13:$D$30,MATCH(A79,'32_定義マスター'!$A$13:$A$30,0)))))</f>
        <v/>
      </c>
      <c r="E79" s="28" t="str">
        <f>IF(A79="","",IF(COUNTIF('32_定義マスター'!$A$13:$A$30,A79)&lt;&gt;1,"参照ID不正",IF(INDEX('32_定義マスター'!$E$13:$E$30,MATCH(A79,'32_定義マスター'!$A$13:$A$30,0))="","",INDEX('32_定義マスター'!$E$13:$E$30,MATCH(A79,'32_定義マスター'!$A$13:$A$30,0)))))</f>
        <v/>
      </c>
      <c r="F79" s="28" t="str">
        <f>IF(A79="","",IF(COUNTIF('32_定義マスター'!$A$13:$A$30,A79)&lt;&gt;1,"参照ID不正",IF(INDEX('32_定義マスター'!$F$13:$F$30,MATCH(A79,'32_定義マスター'!$A$13:$A$30,0))="","",INDEX('32_定義マスター'!$F$13:$F$30,MATCH(A79,'32_定義マスター'!$A$13:$A$30,0)))))</f>
        <v/>
      </c>
      <c r="G79" s="29"/>
      <c r="H79" s="29"/>
      <c r="I79" s="29"/>
      <c r="J79" s="29"/>
      <c r="K79" s="29"/>
      <c r="L79" s="29"/>
      <c r="M79" s="29"/>
      <c r="N79" s="29"/>
      <c r="O79" s="29"/>
      <c r="P79" s="29"/>
      <c r="Q79" s="28" t="str">
        <f>IF(A79="","",IF(COUNTIF('32_定義マスター'!$A$13:$A$30,A79)&lt;&gt;1,"参照ID不正",IF(INDEX('32_定義マスター'!$G$13:$G$30,MATCH(A79,'32_定義マスター'!$A$13:$A$30,0))="","",INDEX('32_定義マスター'!$G$13:$G$30,MATCH(A79,'32_定義マスター'!$A$13:$A$30,0)))))</f>
        <v/>
      </c>
      <c r="R79" s="29"/>
      <c r="S79" s="29"/>
      <c r="T79" s="29"/>
      <c r="U79" s="29"/>
      <c r="V79" s="28" t="str">
        <f t="shared" si="2"/>
        <v/>
      </c>
      <c r="W79" s="28" t="str">
        <f>IF(A79="","",IF(COUNTIF('32_定義マスター'!$A$13:$A$30,A79)&lt;&gt;1,"EvalType不正",IF(OR(V79="",COUNTIF($V$4:$V$103,V79)&lt;&gt;1),"PlanKey不足・重複",IF(OR(P79="",P79="未設定",P79="設計中",P79="改訂中"),"計画未確定",IF(AND(P79&lt;&gt;"承認",P79&lt;&gt;"対象外承認"),"状態不正",IF(OR(T79="",U79="",O79=""),"計画対象・承認不足",IF(P79="対象外承認",IF(G79="","対象外理由不足","対象外計画記録"),IF(OR(G79="",H79="",I79="",J79="",K79="",L79="",M79="",N79=""),"評価設計不足",IF(AND(A79="E05",OR(X79="",Y79="",Z79="")),"試行状態・成功定義不足","計画記録あり")))))))))</f>
        <v/>
      </c>
      <c r="X79" s="29"/>
      <c r="Y79" s="29"/>
      <c r="Z79" s="29"/>
    </row>
    <row r="80" spans="1:26" ht="64" customHeight="1" x14ac:dyDescent="0.2">
      <c r="A80" s="29"/>
      <c r="B80" s="28" t="str">
        <f>IF(A80="","",IF(COUNTIF('32_定義マスター'!$A$13:$A$30,A80)&lt;&gt;1,"参照ID不正",IF(INDEX('32_定義マスター'!$B$13:$B$30,MATCH(A80,'32_定義マスター'!$A$13:$A$30,0))="","",INDEX('32_定義マスター'!$B$13:$B$30,MATCH(A80,'32_定義マスター'!$A$13:$A$30,0)))))</f>
        <v/>
      </c>
      <c r="C80" s="28" t="str">
        <f>IF(A80="","",IF(COUNTIF('32_定義マスター'!$A$13:$A$30,A80)&lt;&gt;1,"参照ID不正",IF(INDEX('32_定義マスター'!$C$13:$C$30,MATCH(A80,'32_定義マスター'!$A$13:$A$30,0))="","",INDEX('32_定義マスター'!$C$13:$C$30,MATCH(A80,'32_定義マスター'!$A$13:$A$30,0)))))</f>
        <v/>
      </c>
      <c r="D80" s="28" t="str">
        <f>IF(A80="","",IF(COUNTIF('32_定義マスター'!$A$13:$A$30,A80)&lt;&gt;1,"参照ID不正",IF(INDEX('32_定義マスター'!$D$13:$D$30,MATCH(A80,'32_定義マスター'!$A$13:$A$30,0))="","",INDEX('32_定義マスター'!$D$13:$D$30,MATCH(A80,'32_定義マスター'!$A$13:$A$30,0)))))</f>
        <v/>
      </c>
      <c r="E80" s="28" t="str">
        <f>IF(A80="","",IF(COUNTIF('32_定義マスター'!$A$13:$A$30,A80)&lt;&gt;1,"参照ID不正",IF(INDEX('32_定義マスター'!$E$13:$E$30,MATCH(A80,'32_定義マスター'!$A$13:$A$30,0))="","",INDEX('32_定義マスター'!$E$13:$E$30,MATCH(A80,'32_定義マスター'!$A$13:$A$30,0)))))</f>
        <v/>
      </c>
      <c r="F80" s="28" t="str">
        <f>IF(A80="","",IF(COUNTIF('32_定義マスター'!$A$13:$A$30,A80)&lt;&gt;1,"参照ID不正",IF(INDEX('32_定義マスター'!$F$13:$F$30,MATCH(A80,'32_定義マスター'!$A$13:$A$30,0))="","",INDEX('32_定義マスター'!$F$13:$F$30,MATCH(A80,'32_定義マスター'!$A$13:$A$30,0)))))</f>
        <v/>
      </c>
      <c r="G80" s="29"/>
      <c r="H80" s="29"/>
      <c r="I80" s="29"/>
      <c r="J80" s="29"/>
      <c r="K80" s="29"/>
      <c r="L80" s="29"/>
      <c r="M80" s="29"/>
      <c r="N80" s="29"/>
      <c r="O80" s="29"/>
      <c r="P80" s="29"/>
      <c r="Q80" s="28" t="str">
        <f>IF(A80="","",IF(COUNTIF('32_定義マスター'!$A$13:$A$30,A80)&lt;&gt;1,"参照ID不正",IF(INDEX('32_定義マスター'!$G$13:$G$30,MATCH(A80,'32_定義マスター'!$A$13:$A$30,0))="","",INDEX('32_定義マスター'!$G$13:$G$30,MATCH(A80,'32_定義マスター'!$A$13:$A$30,0)))))</f>
        <v/>
      </c>
      <c r="R80" s="29"/>
      <c r="S80" s="29"/>
      <c r="T80" s="29"/>
      <c r="U80" s="29"/>
      <c r="V80" s="28" t="str">
        <f t="shared" si="2"/>
        <v/>
      </c>
      <c r="W80" s="28" t="str">
        <f>IF(A80="","",IF(COUNTIF('32_定義マスター'!$A$13:$A$30,A80)&lt;&gt;1,"EvalType不正",IF(OR(V80="",COUNTIF($V$4:$V$103,V80)&lt;&gt;1),"PlanKey不足・重複",IF(OR(P80="",P80="未設定",P80="設計中",P80="改訂中"),"計画未確定",IF(AND(P80&lt;&gt;"承認",P80&lt;&gt;"対象外承認"),"状態不正",IF(OR(T80="",U80="",O80=""),"計画対象・承認不足",IF(P80="対象外承認",IF(G80="","対象外理由不足","対象外計画記録"),IF(OR(G80="",H80="",I80="",J80="",K80="",L80="",M80="",N80=""),"評価設計不足",IF(AND(A80="E05",OR(X80="",Y80="",Z80="")),"試行状態・成功定義不足","計画記録あり")))))))))</f>
        <v/>
      </c>
      <c r="X80" s="29"/>
      <c r="Y80" s="29"/>
      <c r="Z80" s="29"/>
    </row>
    <row r="81" spans="1:26" ht="64" customHeight="1" x14ac:dyDescent="0.2">
      <c r="A81" s="29"/>
      <c r="B81" s="28" t="str">
        <f>IF(A81="","",IF(COUNTIF('32_定義マスター'!$A$13:$A$30,A81)&lt;&gt;1,"参照ID不正",IF(INDEX('32_定義マスター'!$B$13:$B$30,MATCH(A81,'32_定義マスター'!$A$13:$A$30,0))="","",INDEX('32_定義マスター'!$B$13:$B$30,MATCH(A81,'32_定義マスター'!$A$13:$A$30,0)))))</f>
        <v/>
      </c>
      <c r="C81" s="28" t="str">
        <f>IF(A81="","",IF(COUNTIF('32_定義マスター'!$A$13:$A$30,A81)&lt;&gt;1,"参照ID不正",IF(INDEX('32_定義マスター'!$C$13:$C$30,MATCH(A81,'32_定義マスター'!$A$13:$A$30,0))="","",INDEX('32_定義マスター'!$C$13:$C$30,MATCH(A81,'32_定義マスター'!$A$13:$A$30,0)))))</f>
        <v/>
      </c>
      <c r="D81" s="28" t="str">
        <f>IF(A81="","",IF(COUNTIF('32_定義マスター'!$A$13:$A$30,A81)&lt;&gt;1,"参照ID不正",IF(INDEX('32_定義マスター'!$D$13:$D$30,MATCH(A81,'32_定義マスター'!$A$13:$A$30,0))="","",INDEX('32_定義マスター'!$D$13:$D$30,MATCH(A81,'32_定義マスター'!$A$13:$A$30,0)))))</f>
        <v/>
      </c>
      <c r="E81" s="28" t="str">
        <f>IF(A81="","",IF(COUNTIF('32_定義マスター'!$A$13:$A$30,A81)&lt;&gt;1,"参照ID不正",IF(INDEX('32_定義マスター'!$E$13:$E$30,MATCH(A81,'32_定義マスター'!$A$13:$A$30,0))="","",INDEX('32_定義マスター'!$E$13:$E$30,MATCH(A81,'32_定義マスター'!$A$13:$A$30,0)))))</f>
        <v/>
      </c>
      <c r="F81" s="28" t="str">
        <f>IF(A81="","",IF(COUNTIF('32_定義マスター'!$A$13:$A$30,A81)&lt;&gt;1,"参照ID不正",IF(INDEX('32_定義マスター'!$F$13:$F$30,MATCH(A81,'32_定義マスター'!$A$13:$A$30,0))="","",INDEX('32_定義マスター'!$F$13:$F$30,MATCH(A81,'32_定義マスター'!$A$13:$A$30,0)))))</f>
        <v/>
      </c>
      <c r="G81" s="29"/>
      <c r="H81" s="29"/>
      <c r="I81" s="29"/>
      <c r="J81" s="29"/>
      <c r="K81" s="29"/>
      <c r="L81" s="29"/>
      <c r="M81" s="29"/>
      <c r="N81" s="29"/>
      <c r="O81" s="29"/>
      <c r="P81" s="29"/>
      <c r="Q81" s="28" t="str">
        <f>IF(A81="","",IF(COUNTIF('32_定義マスター'!$A$13:$A$30,A81)&lt;&gt;1,"参照ID不正",IF(INDEX('32_定義マスター'!$G$13:$G$30,MATCH(A81,'32_定義マスター'!$A$13:$A$30,0))="","",INDEX('32_定義マスター'!$G$13:$G$30,MATCH(A81,'32_定義マスター'!$A$13:$A$30,0)))))</f>
        <v/>
      </c>
      <c r="R81" s="29"/>
      <c r="S81" s="29"/>
      <c r="T81" s="29"/>
      <c r="U81" s="29"/>
      <c r="V81" s="28" t="str">
        <f t="shared" si="2"/>
        <v/>
      </c>
      <c r="W81" s="28" t="str">
        <f>IF(A81="","",IF(COUNTIF('32_定義マスター'!$A$13:$A$30,A81)&lt;&gt;1,"EvalType不正",IF(OR(V81="",COUNTIF($V$4:$V$103,V81)&lt;&gt;1),"PlanKey不足・重複",IF(OR(P81="",P81="未設定",P81="設計中",P81="改訂中"),"計画未確定",IF(AND(P81&lt;&gt;"承認",P81&lt;&gt;"対象外承認"),"状態不正",IF(OR(T81="",U81="",O81=""),"計画対象・承認不足",IF(P81="対象外承認",IF(G81="","対象外理由不足","対象外計画記録"),IF(OR(G81="",H81="",I81="",J81="",K81="",L81="",M81="",N81=""),"評価設計不足",IF(AND(A81="E05",OR(X81="",Y81="",Z81="")),"試行状態・成功定義不足","計画記録あり")))))))))</f>
        <v/>
      </c>
      <c r="X81" s="29"/>
      <c r="Y81" s="29"/>
      <c r="Z81" s="29"/>
    </row>
    <row r="82" spans="1:26" ht="64" customHeight="1" x14ac:dyDescent="0.2">
      <c r="A82" s="29"/>
      <c r="B82" s="28" t="str">
        <f>IF(A82="","",IF(COUNTIF('32_定義マスター'!$A$13:$A$30,A82)&lt;&gt;1,"参照ID不正",IF(INDEX('32_定義マスター'!$B$13:$B$30,MATCH(A82,'32_定義マスター'!$A$13:$A$30,0))="","",INDEX('32_定義マスター'!$B$13:$B$30,MATCH(A82,'32_定義マスター'!$A$13:$A$30,0)))))</f>
        <v/>
      </c>
      <c r="C82" s="28" t="str">
        <f>IF(A82="","",IF(COUNTIF('32_定義マスター'!$A$13:$A$30,A82)&lt;&gt;1,"参照ID不正",IF(INDEX('32_定義マスター'!$C$13:$C$30,MATCH(A82,'32_定義マスター'!$A$13:$A$30,0))="","",INDEX('32_定義マスター'!$C$13:$C$30,MATCH(A82,'32_定義マスター'!$A$13:$A$30,0)))))</f>
        <v/>
      </c>
      <c r="D82" s="28" t="str">
        <f>IF(A82="","",IF(COUNTIF('32_定義マスター'!$A$13:$A$30,A82)&lt;&gt;1,"参照ID不正",IF(INDEX('32_定義マスター'!$D$13:$D$30,MATCH(A82,'32_定義マスター'!$A$13:$A$30,0))="","",INDEX('32_定義マスター'!$D$13:$D$30,MATCH(A82,'32_定義マスター'!$A$13:$A$30,0)))))</f>
        <v/>
      </c>
      <c r="E82" s="28" t="str">
        <f>IF(A82="","",IF(COUNTIF('32_定義マスター'!$A$13:$A$30,A82)&lt;&gt;1,"参照ID不正",IF(INDEX('32_定義マスター'!$E$13:$E$30,MATCH(A82,'32_定義マスター'!$A$13:$A$30,0))="","",INDEX('32_定義マスター'!$E$13:$E$30,MATCH(A82,'32_定義マスター'!$A$13:$A$30,0)))))</f>
        <v/>
      </c>
      <c r="F82" s="28" t="str">
        <f>IF(A82="","",IF(COUNTIF('32_定義マスター'!$A$13:$A$30,A82)&lt;&gt;1,"参照ID不正",IF(INDEX('32_定義マスター'!$F$13:$F$30,MATCH(A82,'32_定義マスター'!$A$13:$A$30,0))="","",INDEX('32_定義マスター'!$F$13:$F$30,MATCH(A82,'32_定義マスター'!$A$13:$A$30,0)))))</f>
        <v/>
      </c>
      <c r="G82" s="29"/>
      <c r="H82" s="29"/>
      <c r="I82" s="29"/>
      <c r="J82" s="29"/>
      <c r="K82" s="29"/>
      <c r="L82" s="29"/>
      <c r="M82" s="29"/>
      <c r="N82" s="29"/>
      <c r="O82" s="29"/>
      <c r="P82" s="29"/>
      <c r="Q82" s="28" t="str">
        <f>IF(A82="","",IF(COUNTIF('32_定義マスター'!$A$13:$A$30,A82)&lt;&gt;1,"参照ID不正",IF(INDEX('32_定義マスター'!$G$13:$G$30,MATCH(A82,'32_定義マスター'!$A$13:$A$30,0))="","",INDEX('32_定義マスター'!$G$13:$G$30,MATCH(A82,'32_定義マスター'!$A$13:$A$30,0)))))</f>
        <v/>
      </c>
      <c r="R82" s="29"/>
      <c r="S82" s="29"/>
      <c r="T82" s="29"/>
      <c r="U82" s="29"/>
      <c r="V82" s="28" t="str">
        <f t="shared" si="2"/>
        <v/>
      </c>
      <c r="W82" s="28" t="str">
        <f>IF(A82="","",IF(COUNTIF('32_定義マスター'!$A$13:$A$30,A82)&lt;&gt;1,"EvalType不正",IF(OR(V82="",COUNTIF($V$4:$V$103,V82)&lt;&gt;1),"PlanKey不足・重複",IF(OR(P82="",P82="未設定",P82="設計中",P82="改訂中"),"計画未確定",IF(AND(P82&lt;&gt;"承認",P82&lt;&gt;"対象外承認"),"状態不正",IF(OR(T82="",U82="",O82=""),"計画対象・承認不足",IF(P82="対象外承認",IF(G82="","対象外理由不足","対象外計画記録"),IF(OR(G82="",H82="",I82="",J82="",K82="",L82="",M82="",N82=""),"評価設計不足",IF(AND(A82="E05",OR(X82="",Y82="",Z82="")),"試行状態・成功定義不足","計画記録あり")))))))))</f>
        <v/>
      </c>
      <c r="X82" s="29"/>
      <c r="Y82" s="29"/>
      <c r="Z82" s="29"/>
    </row>
    <row r="83" spans="1:26" ht="64" customHeight="1" x14ac:dyDescent="0.2">
      <c r="A83" s="29"/>
      <c r="B83" s="28" t="str">
        <f>IF(A83="","",IF(COUNTIF('32_定義マスター'!$A$13:$A$30,A83)&lt;&gt;1,"参照ID不正",IF(INDEX('32_定義マスター'!$B$13:$B$30,MATCH(A83,'32_定義マスター'!$A$13:$A$30,0))="","",INDEX('32_定義マスター'!$B$13:$B$30,MATCH(A83,'32_定義マスター'!$A$13:$A$30,0)))))</f>
        <v/>
      </c>
      <c r="C83" s="28" t="str">
        <f>IF(A83="","",IF(COUNTIF('32_定義マスター'!$A$13:$A$30,A83)&lt;&gt;1,"参照ID不正",IF(INDEX('32_定義マスター'!$C$13:$C$30,MATCH(A83,'32_定義マスター'!$A$13:$A$30,0))="","",INDEX('32_定義マスター'!$C$13:$C$30,MATCH(A83,'32_定義マスター'!$A$13:$A$30,0)))))</f>
        <v/>
      </c>
      <c r="D83" s="28" t="str">
        <f>IF(A83="","",IF(COUNTIF('32_定義マスター'!$A$13:$A$30,A83)&lt;&gt;1,"参照ID不正",IF(INDEX('32_定義マスター'!$D$13:$D$30,MATCH(A83,'32_定義マスター'!$A$13:$A$30,0))="","",INDEX('32_定義マスター'!$D$13:$D$30,MATCH(A83,'32_定義マスター'!$A$13:$A$30,0)))))</f>
        <v/>
      </c>
      <c r="E83" s="28" t="str">
        <f>IF(A83="","",IF(COUNTIF('32_定義マスター'!$A$13:$A$30,A83)&lt;&gt;1,"参照ID不正",IF(INDEX('32_定義マスター'!$E$13:$E$30,MATCH(A83,'32_定義マスター'!$A$13:$A$30,0))="","",INDEX('32_定義マスター'!$E$13:$E$30,MATCH(A83,'32_定義マスター'!$A$13:$A$30,0)))))</f>
        <v/>
      </c>
      <c r="F83" s="28" t="str">
        <f>IF(A83="","",IF(COUNTIF('32_定義マスター'!$A$13:$A$30,A83)&lt;&gt;1,"参照ID不正",IF(INDEX('32_定義マスター'!$F$13:$F$30,MATCH(A83,'32_定義マスター'!$A$13:$A$30,0))="","",INDEX('32_定義マスター'!$F$13:$F$30,MATCH(A83,'32_定義マスター'!$A$13:$A$30,0)))))</f>
        <v/>
      </c>
      <c r="G83" s="29"/>
      <c r="H83" s="29"/>
      <c r="I83" s="29"/>
      <c r="J83" s="29"/>
      <c r="K83" s="29"/>
      <c r="L83" s="29"/>
      <c r="M83" s="29"/>
      <c r="N83" s="29"/>
      <c r="O83" s="29"/>
      <c r="P83" s="29"/>
      <c r="Q83" s="28" t="str">
        <f>IF(A83="","",IF(COUNTIF('32_定義マスター'!$A$13:$A$30,A83)&lt;&gt;1,"参照ID不正",IF(INDEX('32_定義マスター'!$G$13:$G$30,MATCH(A83,'32_定義マスター'!$A$13:$A$30,0))="","",INDEX('32_定義マスター'!$G$13:$G$30,MATCH(A83,'32_定義マスター'!$A$13:$A$30,0)))))</f>
        <v/>
      </c>
      <c r="R83" s="29"/>
      <c r="S83" s="29"/>
      <c r="T83" s="29"/>
      <c r="U83" s="29"/>
      <c r="V83" s="28" t="str">
        <f t="shared" si="2"/>
        <v/>
      </c>
      <c r="W83" s="28" t="str">
        <f>IF(A83="","",IF(COUNTIF('32_定義マスター'!$A$13:$A$30,A83)&lt;&gt;1,"EvalType不正",IF(OR(V83="",COUNTIF($V$4:$V$103,V83)&lt;&gt;1),"PlanKey不足・重複",IF(OR(P83="",P83="未設定",P83="設計中",P83="改訂中"),"計画未確定",IF(AND(P83&lt;&gt;"承認",P83&lt;&gt;"対象外承認"),"状態不正",IF(OR(T83="",U83="",O83=""),"計画対象・承認不足",IF(P83="対象外承認",IF(G83="","対象外理由不足","対象外計画記録"),IF(OR(G83="",H83="",I83="",J83="",K83="",L83="",M83="",N83=""),"評価設計不足",IF(AND(A83="E05",OR(X83="",Y83="",Z83="")),"試行状態・成功定義不足","計画記録あり")))))))))</f>
        <v/>
      </c>
      <c r="X83" s="29"/>
      <c r="Y83" s="29"/>
      <c r="Z83" s="29"/>
    </row>
    <row r="84" spans="1:26" ht="64" customHeight="1" x14ac:dyDescent="0.2">
      <c r="A84" s="29"/>
      <c r="B84" s="28" t="str">
        <f>IF(A84="","",IF(COUNTIF('32_定義マスター'!$A$13:$A$30,A84)&lt;&gt;1,"参照ID不正",IF(INDEX('32_定義マスター'!$B$13:$B$30,MATCH(A84,'32_定義マスター'!$A$13:$A$30,0))="","",INDEX('32_定義マスター'!$B$13:$B$30,MATCH(A84,'32_定義マスター'!$A$13:$A$30,0)))))</f>
        <v/>
      </c>
      <c r="C84" s="28" t="str">
        <f>IF(A84="","",IF(COUNTIF('32_定義マスター'!$A$13:$A$30,A84)&lt;&gt;1,"参照ID不正",IF(INDEX('32_定義マスター'!$C$13:$C$30,MATCH(A84,'32_定義マスター'!$A$13:$A$30,0))="","",INDEX('32_定義マスター'!$C$13:$C$30,MATCH(A84,'32_定義マスター'!$A$13:$A$30,0)))))</f>
        <v/>
      </c>
      <c r="D84" s="28" t="str">
        <f>IF(A84="","",IF(COUNTIF('32_定義マスター'!$A$13:$A$30,A84)&lt;&gt;1,"参照ID不正",IF(INDEX('32_定義マスター'!$D$13:$D$30,MATCH(A84,'32_定義マスター'!$A$13:$A$30,0))="","",INDEX('32_定義マスター'!$D$13:$D$30,MATCH(A84,'32_定義マスター'!$A$13:$A$30,0)))))</f>
        <v/>
      </c>
      <c r="E84" s="28" t="str">
        <f>IF(A84="","",IF(COUNTIF('32_定義マスター'!$A$13:$A$30,A84)&lt;&gt;1,"参照ID不正",IF(INDEX('32_定義マスター'!$E$13:$E$30,MATCH(A84,'32_定義マスター'!$A$13:$A$30,0))="","",INDEX('32_定義マスター'!$E$13:$E$30,MATCH(A84,'32_定義マスター'!$A$13:$A$30,0)))))</f>
        <v/>
      </c>
      <c r="F84" s="28" t="str">
        <f>IF(A84="","",IF(COUNTIF('32_定義マスター'!$A$13:$A$30,A84)&lt;&gt;1,"参照ID不正",IF(INDEX('32_定義マスター'!$F$13:$F$30,MATCH(A84,'32_定義マスター'!$A$13:$A$30,0))="","",INDEX('32_定義マスター'!$F$13:$F$30,MATCH(A84,'32_定義マスター'!$A$13:$A$30,0)))))</f>
        <v/>
      </c>
      <c r="G84" s="29"/>
      <c r="H84" s="29"/>
      <c r="I84" s="29"/>
      <c r="J84" s="29"/>
      <c r="K84" s="29"/>
      <c r="L84" s="29"/>
      <c r="M84" s="29"/>
      <c r="N84" s="29"/>
      <c r="O84" s="29"/>
      <c r="P84" s="29"/>
      <c r="Q84" s="28" t="str">
        <f>IF(A84="","",IF(COUNTIF('32_定義マスター'!$A$13:$A$30,A84)&lt;&gt;1,"参照ID不正",IF(INDEX('32_定義マスター'!$G$13:$G$30,MATCH(A84,'32_定義マスター'!$A$13:$A$30,0))="","",INDEX('32_定義マスター'!$G$13:$G$30,MATCH(A84,'32_定義マスター'!$A$13:$A$30,0)))))</f>
        <v/>
      </c>
      <c r="R84" s="29"/>
      <c r="S84" s="29"/>
      <c r="T84" s="29"/>
      <c r="U84" s="29"/>
      <c r="V84" s="28" t="str">
        <f t="shared" si="2"/>
        <v/>
      </c>
      <c r="W84" s="28" t="str">
        <f>IF(A84="","",IF(COUNTIF('32_定義マスター'!$A$13:$A$30,A84)&lt;&gt;1,"EvalType不正",IF(OR(V84="",COUNTIF($V$4:$V$103,V84)&lt;&gt;1),"PlanKey不足・重複",IF(OR(P84="",P84="未設定",P84="設計中",P84="改訂中"),"計画未確定",IF(AND(P84&lt;&gt;"承認",P84&lt;&gt;"対象外承認"),"状態不正",IF(OR(T84="",U84="",O84=""),"計画対象・承認不足",IF(P84="対象外承認",IF(G84="","対象外理由不足","対象外計画記録"),IF(OR(G84="",H84="",I84="",J84="",K84="",L84="",M84="",N84=""),"評価設計不足",IF(AND(A84="E05",OR(X84="",Y84="",Z84="")),"試行状態・成功定義不足","計画記録あり")))))))))</f>
        <v/>
      </c>
      <c r="X84" s="29"/>
      <c r="Y84" s="29"/>
      <c r="Z84" s="29"/>
    </row>
    <row r="85" spans="1:26" ht="64" customHeight="1" x14ac:dyDescent="0.2">
      <c r="A85" s="29"/>
      <c r="B85" s="28" t="str">
        <f>IF(A85="","",IF(COUNTIF('32_定義マスター'!$A$13:$A$30,A85)&lt;&gt;1,"参照ID不正",IF(INDEX('32_定義マスター'!$B$13:$B$30,MATCH(A85,'32_定義マスター'!$A$13:$A$30,0))="","",INDEX('32_定義マスター'!$B$13:$B$30,MATCH(A85,'32_定義マスター'!$A$13:$A$30,0)))))</f>
        <v/>
      </c>
      <c r="C85" s="28" t="str">
        <f>IF(A85="","",IF(COUNTIF('32_定義マスター'!$A$13:$A$30,A85)&lt;&gt;1,"参照ID不正",IF(INDEX('32_定義マスター'!$C$13:$C$30,MATCH(A85,'32_定義マスター'!$A$13:$A$30,0))="","",INDEX('32_定義マスター'!$C$13:$C$30,MATCH(A85,'32_定義マスター'!$A$13:$A$30,0)))))</f>
        <v/>
      </c>
      <c r="D85" s="28" t="str">
        <f>IF(A85="","",IF(COUNTIF('32_定義マスター'!$A$13:$A$30,A85)&lt;&gt;1,"参照ID不正",IF(INDEX('32_定義マスター'!$D$13:$D$30,MATCH(A85,'32_定義マスター'!$A$13:$A$30,0))="","",INDEX('32_定義マスター'!$D$13:$D$30,MATCH(A85,'32_定義マスター'!$A$13:$A$30,0)))))</f>
        <v/>
      </c>
      <c r="E85" s="28" t="str">
        <f>IF(A85="","",IF(COUNTIF('32_定義マスター'!$A$13:$A$30,A85)&lt;&gt;1,"参照ID不正",IF(INDEX('32_定義マスター'!$E$13:$E$30,MATCH(A85,'32_定義マスター'!$A$13:$A$30,0))="","",INDEX('32_定義マスター'!$E$13:$E$30,MATCH(A85,'32_定義マスター'!$A$13:$A$30,0)))))</f>
        <v/>
      </c>
      <c r="F85" s="28" t="str">
        <f>IF(A85="","",IF(COUNTIF('32_定義マスター'!$A$13:$A$30,A85)&lt;&gt;1,"参照ID不正",IF(INDEX('32_定義マスター'!$F$13:$F$30,MATCH(A85,'32_定義マスター'!$A$13:$A$30,0))="","",INDEX('32_定義マスター'!$F$13:$F$30,MATCH(A85,'32_定義マスター'!$A$13:$A$30,0)))))</f>
        <v/>
      </c>
      <c r="G85" s="29"/>
      <c r="H85" s="29"/>
      <c r="I85" s="29"/>
      <c r="J85" s="29"/>
      <c r="K85" s="29"/>
      <c r="L85" s="29"/>
      <c r="M85" s="29"/>
      <c r="N85" s="29"/>
      <c r="O85" s="29"/>
      <c r="P85" s="29"/>
      <c r="Q85" s="28" t="str">
        <f>IF(A85="","",IF(COUNTIF('32_定義マスター'!$A$13:$A$30,A85)&lt;&gt;1,"参照ID不正",IF(INDEX('32_定義マスター'!$G$13:$G$30,MATCH(A85,'32_定義マスター'!$A$13:$A$30,0))="","",INDEX('32_定義マスター'!$G$13:$G$30,MATCH(A85,'32_定義マスター'!$A$13:$A$30,0)))))</f>
        <v/>
      </c>
      <c r="R85" s="29"/>
      <c r="S85" s="29"/>
      <c r="T85" s="29"/>
      <c r="U85" s="29"/>
      <c r="V85" s="28" t="str">
        <f t="shared" si="2"/>
        <v/>
      </c>
      <c r="W85" s="28" t="str">
        <f>IF(A85="","",IF(COUNTIF('32_定義マスター'!$A$13:$A$30,A85)&lt;&gt;1,"EvalType不正",IF(OR(V85="",COUNTIF($V$4:$V$103,V85)&lt;&gt;1),"PlanKey不足・重複",IF(OR(P85="",P85="未設定",P85="設計中",P85="改訂中"),"計画未確定",IF(AND(P85&lt;&gt;"承認",P85&lt;&gt;"対象外承認"),"状態不正",IF(OR(T85="",U85="",O85=""),"計画対象・承認不足",IF(P85="対象外承認",IF(G85="","対象外理由不足","対象外計画記録"),IF(OR(G85="",H85="",I85="",J85="",K85="",L85="",M85="",N85=""),"評価設計不足",IF(AND(A85="E05",OR(X85="",Y85="",Z85="")),"試行状態・成功定義不足","計画記録あり")))))))))</f>
        <v/>
      </c>
      <c r="X85" s="29"/>
      <c r="Y85" s="29"/>
      <c r="Z85" s="29"/>
    </row>
    <row r="86" spans="1:26" ht="64" customHeight="1" x14ac:dyDescent="0.2">
      <c r="A86" s="29"/>
      <c r="B86" s="28" t="str">
        <f>IF(A86="","",IF(COUNTIF('32_定義マスター'!$A$13:$A$30,A86)&lt;&gt;1,"参照ID不正",IF(INDEX('32_定義マスター'!$B$13:$B$30,MATCH(A86,'32_定義マスター'!$A$13:$A$30,0))="","",INDEX('32_定義マスター'!$B$13:$B$30,MATCH(A86,'32_定義マスター'!$A$13:$A$30,0)))))</f>
        <v/>
      </c>
      <c r="C86" s="28" t="str">
        <f>IF(A86="","",IF(COUNTIF('32_定義マスター'!$A$13:$A$30,A86)&lt;&gt;1,"参照ID不正",IF(INDEX('32_定義マスター'!$C$13:$C$30,MATCH(A86,'32_定義マスター'!$A$13:$A$30,0))="","",INDEX('32_定義マスター'!$C$13:$C$30,MATCH(A86,'32_定義マスター'!$A$13:$A$30,0)))))</f>
        <v/>
      </c>
      <c r="D86" s="28" t="str">
        <f>IF(A86="","",IF(COUNTIF('32_定義マスター'!$A$13:$A$30,A86)&lt;&gt;1,"参照ID不正",IF(INDEX('32_定義マスター'!$D$13:$D$30,MATCH(A86,'32_定義マスター'!$A$13:$A$30,0))="","",INDEX('32_定義マスター'!$D$13:$D$30,MATCH(A86,'32_定義マスター'!$A$13:$A$30,0)))))</f>
        <v/>
      </c>
      <c r="E86" s="28" t="str">
        <f>IF(A86="","",IF(COUNTIF('32_定義マスター'!$A$13:$A$30,A86)&lt;&gt;1,"参照ID不正",IF(INDEX('32_定義マスター'!$E$13:$E$30,MATCH(A86,'32_定義マスター'!$A$13:$A$30,0))="","",INDEX('32_定義マスター'!$E$13:$E$30,MATCH(A86,'32_定義マスター'!$A$13:$A$30,0)))))</f>
        <v/>
      </c>
      <c r="F86" s="28" t="str">
        <f>IF(A86="","",IF(COUNTIF('32_定義マスター'!$A$13:$A$30,A86)&lt;&gt;1,"参照ID不正",IF(INDEX('32_定義マスター'!$F$13:$F$30,MATCH(A86,'32_定義マスター'!$A$13:$A$30,0))="","",INDEX('32_定義マスター'!$F$13:$F$30,MATCH(A86,'32_定義マスター'!$A$13:$A$30,0)))))</f>
        <v/>
      </c>
      <c r="G86" s="29"/>
      <c r="H86" s="29"/>
      <c r="I86" s="29"/>
      <c r="J86" s="29"/>
      <c r="K86" s="29"/>
      <c r="L86" s="29"/>
      <c r="M86" s="29"/>
      <c r="N86" s="29"/>
      <c r="O86" s="29"/>
      <c r="P86" s="29"/>
      <c r="Q86" s="28" t="str">
        <f>IF(A86="","",IF(COUNTIF('32_定義マスター'!$A$13:$A$30,A86)&lt;&gt;1,"参照ID不正",IF(INDEX('32_定義マスター'!$G$13:$G$30,MATCH(A86,'32_定義マスター'!$A$13:$A$30,0))="","",INDEX('32_定義マスター'!$G$13:$G$30,MATCH(A86,'32_定義マスター'!$A$13:$A$30,0)))))</f>
        <v/>
      </c>
      <c r="R86" s="29"/>
      <c r="S86" s="29"/>
      <c r="T86" s="29"/>
      <c r="U86" s="29"/>
      <c r="V86" s="28" t="str">
        <f t="shared" si="2"/>
        <v/>
      </c>
      <c r="W86" s="28" t="str">
        <f>IF(A86="","",IF(COUNTIF('32_定義マスター'!$A$13:$A$30,A86)&lt;&gt;1,"EvalType不正",IF(OR(V86="",COUNTIF($V$4:$V$103,V86)&lt;&gt;1),"PlanKey不足・重複",IF(OR(P86="",P86="未設定",P86="設計中",P86="改訂中"),"計画未確定",IF(AND(P86&lt;&gt;"承認",P86&lt;&gt;"対象外承認"),"状態不正",IF(OR(T86="",U86="",O86=""),"計画対象・承認不足",IF(P86="対象外承認",IF(G86="","対象外理由不足","対象外計画記録"),IF(OR(G86="",H86="",I86="",J86="",K86="",L86="",M86="",N86=""),"評価設計不足",IF(AND(A86="E05",OR(X86="",Y86="",Z86="")),"試行状態・成功定義不足","計画記録あり")))))))))</f>
        <v/>
      </c>
      <c r="X86" s="29"/>
      <c r="Y86" s="29"/>
      <c r="Z86" s="29"/>
    </row>
    <row r="87" spans="1:26" ht="64" customHeight="1" x14ac:dyDescent="0.2">
      <c r="A87" s="29"/>
      <c r="B87" s="28" t="str">
        <f>IF(A87="","",IF(COUNTIF('32_定義マスター'!$A$13:$A$30,A87)&lt;&gt;1,"参照ID不正",IF(INDEX('32_定義マスター'!$B$13:$B$30,MATCH(A87,'32_定義マスター'!$A$13:$A$30,0))="","",INDEX('32_定義マスター'!$B$13:$B$30,MATCH(A87,'32_定義マスター'!$A$13:$A$30,0)))))</f>
        <v/>
      </c>
      <c r="C87" s="28" t="str">
        <f>IF(A87="","",IF(COUNTIF('32_定義マスター'!$A$13:$A$30,A87)&lt;&gt;1,"参照ID不正",IF(INDEX('32_定義マスター'!$C$13:$C$30,MATCH(A87,'32_定義マスター'!$A$13:$A$30,0))="","",INDEX('32_定義マスター'!$C$13:$C$30,MATCH(A87,'32_定義マスター'!$A$13:$A$30,0)))))</f>
        <v/>
      </c>
      <c r="D87" s="28" t="str">
        <f>IF(A87="","",IF(COUNTIF('32_定義マスター'!$A$13:$A$30,A87)&lt;&gt;1,"参照ID不正",IF(INDEX('32_定義マスター'!$D$13:$D$30,MATCH(A87,'32_定義マスター'!$A$13:$A$30,0))="","",INDEX('32_定義マスター'!$D$13:$D$30,MATCH(A87,'32_定義マスター'!$A$13:$A$30,0)))))</f>
        <v/>
      </c>
      <c r="E87" s="28" t="str">
        <f>IF(A87="","",IF(COUNTIF('32_定義マスター'!$A$13:$A$30,A87)&lt;&gt;1,"参照ID不正",IF(INDEX('32_定義マスター'!$E$13:$E$30,MATCH(A87,'32_定義マスター'!$A$13:$A$30,0))="","",INDEX('32_定義マスター'!$E$13:$E$30,MATCH(A87,'32_定義マスター'!$A$13:$A$30,0)))))</f>
        <v/>
      </c>
      <c r="F87" s="28" t="str">
        <f>IF(A87="","",IF(COUNTIF('32_定義マスター'!$A$13:$A$30,A87)&lt;&gt;1,"参照ID不正",IF(INDEX('32_定義マスター'!$F$13:$F$30,MATCH(A87,'32_定義マスター'!$A$13:$A$30,0))="","",INDEX('32_定義マスター'!$F$13:$F$30,MATCH(A87,'32_定義マスター'!$A$13:$A$30,0)))))</f>
        <v/>
      </c>
      <c r="G87" s="29"/>
      <c r="H87" s="29"/>
      <c r="I87" s="29"/>
      <c r="J87" s="29"/>
      <c r="K87" s="29"/>
      <c r="L87" s="29"/>
      <c r="M87" s="29"/>
      <c r="N87" s="29"/>
      <c r="O87" s="29"/>
      <c r="P87" s="29"/>
      <c r="Q87" s="28" t="str">
        <f>IF(A87="","",IF(COUNTIF('32_定義マスター'!$A$13:$A$30,A87)&lt;&gt;1,"参照ID不正",IF(INDEX('32_定義マスター'!$G$13:$G$30,MATCH(A87,'32_定義マスター'!$A$13:$A$30,0))="","",INDEX('32_定義マスター'!$G$13:$G$30,MATCH(A87,'32_定義マスター'!$A$13:$A$30,0)))))</f>
        <v/>
      </c>
      <c r="R87" s="29"/>
      <c r="S87" s="29"/>
      <c r="T87" s="29"/>
      <c r="U87" s="29"/>
      <c r="V87" s="28" t="str">
        <f t="shared" si="2"/>
        <v/>
      </c>
      <c r="W87" s="28" t="str">
        <f>IF(A87="","",IF(COUNTIF('32_定義マスター'!$A$13:$A$30,A87)&lt;&gt;1,"EvalType不正",IF(OR(V87="",COUNTIF($V$4:$V$103,V87)&lt;&gt;1),"PlanKey不足・重複",IF(OR(P87="",P87="未設定",P87="設計中",P87="改訂中"),"計画未確定",IF(AND(P87&lt;&gt;"承認",P87&lt;&gt;"対象外承認"),"状態不正",IF(OR(T87="",U87="",O87=""),"計画対象・承認不足",IF(P87="対象外承認",IF(G87="","対象外理由不足","対象外計画記録"),IF(OR(G87="",H87="",I87="",J87="",K87="",L87="",M87="",N87=""),"評価設計不足",IF(AND(A87="E05",OR(X87="",Y87="",Z87="")),"試行状態・成功定義不足","計画記録あり")))))))))</f>
        <v/>
      </c>
      <c r="X87" s="29"/>
      <c r="Y87" s="29"/>
      <c r="Z87" s="29"/>
    </row>
    <row r="88" spans="1:26" ht="64" customHeight="1" x14ac:dyDescent="0.2">
      <c r="A88" s="29"/>
      <c r="B88" s="28" t="str">
        <f>IF(A88="","",IF(COUNTIF('32_定義マスター'!$A$13:$A$30,A88)&lt;&gt;1,"参照ID不正",IF(INDEX('32_定義マスター'!$B$13:$B$30,MATCH(A88,'32_定義マスター'!$A$13:$A$30,0))="","",INDEX('32_定義マスター'!$B$13:$B$30,MATCH(A88,'32_定義マスター'!$A$13:$A$30,0)))))</f>
        <v/>
      </c>
      <c r="C88" s="28" t="str">
        <f>IF(A88="","",IF(COUNTIF('32_定義マスター'!$A$13:$A$30,A88)&lt;&gt;1,"参照ID不正",IF(INDEX('32_定義マスター'!$C$13:$C$30,MATCH(A88,'32_定義マスター'!$A$13:$A$30,0))="","",INDEX('32_定義マスター'!$C$13:$C$30,MATCH(A88,'32_定義マスター'!$A$13:$A$30,0)))))</f>
        <v/>
      </c>
      <c r="D88" s="28" t="str">
        <f>IF(A88="","",IF(COUNTIF('32_定義マスター'!$A$13:$A$30,A88)&lt;&gt;1,"参照ID不正",IF(INDEX('32_定義マスター'!$D$13:$D$30,MATCH(A88,'32_定義マスター'!$A$13:$A$30,0))="","",INDEX('32_定義マスター'!$D$13:$D$30,MATCH(A88,'32_定義マスター'!$A$13:$A$30,0)))))</f>
        <v/>
      </c>
      <c r="E88" s="28" t="str">
        <f>IF(A88="","",IF(COUNTIF('32_定義マスター'!$A$13:$A$30,A88)&lt;&gt;1,"参照ID不正",IF(INDEX('32_定義マスター'!$E$13:$E$30,MATCH(A88,'32_定義マスター'!$A$13:$A$30,0))="","",INDEX('32_定義マスター'!$E$13:$E$30,MATCH(A88,'32_定義マスター'!$A$13:$A$30,0)))))</f>
        <v/>
      </c>
      <c r="F88" s="28" t="str">
        <f>IF(A88="","",IF(COUNTIF('32_定義マスター'!$A$13:$A$30,A88)&lt;&gt;1,"参照ID不正",IF(INDEX('32_定義マスター'!$F$13:$F$30,MATCH(A88,'32_定義マスター'!$A$13:$A$30,0))="","",INDEX('32_定義マスター'!$F$13:$F$30,MATCH(A88,'32_定義マスター'!$A$13:$A$30,0)))))</f>
        <v/>
      </c>
      <c r="G88" s="29"/>
      <c r="H88" s="29"/>
      <c r="I88" s="29"/>
      <c r="J88" s="29"/>
      <c r="K88" s="29"/>
      <c r="L88" s="29"/>
      <c r="M88" s="29"/>
      <c r="N88" s="29"/>
      <c r="O88" s="29"/>
      <c r="P88" s="29"/>
      <c r="Q88" s="28" t="str">
        <f>IF(A88="","",IF(COUNTIF('32_定義マスター'!$A$13:$A$30,A88)&lt;&gt;1,"参照ID不正",IF(INDEX('32_定義マスター'!$G$13:$G$30,MATCH(A88,'32_定義マスター'!$A$13:$A$30,0))="","",INDEX('32_定義マスター'!$G$13:$G$30,MATCH(A88,'32_定義マスター'!$A$13:$A$30,0)))))</f>
        <v/>
      </c>
      <c r="R88" s="29"/>
      <c r="S88" s="29"/>
      <c r="T88" s="29"/>
      <c r="U88" s="29"/>
      <c r="V88" s="28" t="str">
        <f t="shared" si="2"/>
        <v/>
      </c>
      <c r="W88" s="28" t="str">
        <f>IF(A88="","",IF(COUNTIF('32_定義マスター'!$A$13:$A$30,A88)&lt;&gt;1,"EvalType不正",IF(OR(V88="",COUNTIF($V$4:$V$103,V88)&lt;&gt;1),"PlanKey不足・重複",IF(OR(P88="",P88="未設定",P88="設計中",P88="改訂中"),"計画未確定",IF(AND(P88&lt;&gt;"承認",P88&lt;&gt;"対象外承認"),"状態不正",IF(OR(T88="",U88="",O88=""),"計画対象・承認不足",IF(P88="対象外承認",IF(G88="","対象外理由不足","対象外計画記録"),IF(OR(G88="",H88="",I88="",J88="",K88="",L88="",M88="",N88=""),"評価設計不足",IF(AND(A88="E05",OR(X88="",Y88="",Z88="")),"試行状態・成功定義不足","計画記録あり")))))))))</f>
        <v/>
      </c>
      <c r="X88" s="29"/>
      <c r="Y88" s="29"/>
      <c r="Z88" s="29"/>
    </row>
    <row r="89" spans="1:26" ht="64" customHeight="1" x14ac:dyDescent="0.2">
      <c r="A89" s="29"/>
      <c r="B89" s="28" t="str">
        <f>IF(A89="","",IF(COUNTIF('32_定義マスター'!$A$13:$A$30,A89)&lt;&gt;1,"参照ID不正",IF(INDEX('32_定義マスター'!$B$13:$B$30,MATCH(A89,'32_定義マスター'!$A$13:$A$30,0))="","",INDEX('32_定義マスター'!$B$13:$B$30,MATCH(A89,'32_定義マスター'!$A$13:$A$30,0)))))</f>
        <v/>
      </c>
      <c r="C89" s="28" t="str">
        <f>IF(A89="","",IF(COUNTIF('32_定義マスター'!$A$13:$A$30,A89)&lt;&gt;1,"参照ID不正",IF(INDEX('32_定義マスター'!$C$13:$C$30,MATCH(A89,'32_定義マスター'!$A$13:$A$30,0))="","",INDEX('32_定義マスター'!$C$13:$C$30,MATCH(A89,'32_定義マスター'!$A$13:$A$30,0)))))</f>
        <v/>
      </c>
      <c r="D89" s="28" t="str">
        <f>IF(A89="","",IF(COUNTIF('32_定義マスター'!$A$13:$A$30,A89)&lt;&gt;1,"参照ID不正",IF(INDEX('32_定義マスター'!$D$13:$D$30,MATCH(A89,'32_定義マスター'!$A$13:$A$30,0))="","",INDEX('32_定義マスター'!$D$13:$D$30,MATCH(A89,'32_定義マスター'!$A$13:$A$30,0)))))</f>
        <v/>
      </c>
      <c r="E89" s="28" t="str">
        <f>IF(A89="","",IF(COUNTIF('32_定義マスター'!$A$13:$A$30,A89)&lt;&gt;1,"参照ID不正",IF(INDEX('32_定義マスター'!$E$13:$E$30,MATCH(A89,'32_定義マスター'!$A$13:$A$30,0))="","",INDEX('32_定義マスター'!$E$13:$E$30,MATCH(A89,'32_定義マスター'!$A$13:$A$30,0)))))</f>
        <v/>
      </c>
      <c r="F89" s="28" t="str">
        <f>IF(A89="","",IF(COUNTIF('32_定義マスター'!$A$13:$A$30,A89)&lt;&gt;1,"参照ID不正",IF(INDEX('32_定義マスター'!$F$13:$F$30,MATCH(A89,'32_定義マスター'!$A$13:$A$30,0))="","",INDEX('32_定義マスター'!$F$13:$F$30,MATCH(A89,'32_定義マスター'!$A$13:$A$30,0)))))</f>
        <v/>
      </c>
      <c r="G89" s="29"/>
      <c r="H89" s="29"/>
      <c r="I89" s="29"/>
      <c r="J89" s="29"/>
      <c r="K89" s="29"/>
      <c r="L89" s="29"/>
      <c r="M89" s="29"/>
      <c r="N89" s="29"/>
      <c r="O89" s="29"/>
      <c r="P89" s="29"/>
      <c r="Q89" s="28" t="str">
        <f>IF(A89="","",IF(COUNTIF('32_定義マスター'!$A$13:$A$30,A89)&lt;&gt;1,"参照ID不正",IF(INDEX('32_定義マスター'!$G$13:$G$30,MATCH(A89,'32_定義マスター'!$A$13:$A$30,0))="","",INDEX('32_定義マスター'!$G$13:$G$30,MATCH(A89,'32_定義マスター'!$A$13:$A$30,0)))))</f>
        <v/>
      </c>
      <c r="R89" s="29"/>
      <c r="S89" s="29"/>
      <c r="T89" s="29"/>
      <c r="U89" s="29"/>
      <c r="V89" s="28" t="str">
        <f t="shared" si="2"/>
        <v/>
      </c>
      <c r="W89" s="28" t="str">
        <f>IF(A89="","",IF(COUNTIF('32_定義マスター'!$A$13:$A$30,A89)&lt;&gt;1,"EvalType不正",IF(OR(V89="",COUNTIF($V$4:$V$103,V89)&lt;&gt;1),"PlanKey不足・重複",IF(OR(P89="",P89="未設定",P89="設計中",P89="改訂中"),"計画未確定",IF(AND(P89&lt;&gt;"承認",P89&lt;&gt;"対象外承認"),"状態不正",IF(OR(T89="",U89="",O89=""),"計画対象・承認不足",IF(P89="対象外承認",IF(G89="","対象外理由不足","対象外計画記録"),IF(OR(G89="",H89="",I89="",J89="",K89="",L89="",M89="",N89=""),"評価設計不足",IF(AND(A89="E05",OR(X89="",Y89="",Z89="")),"試行状態・成功定義不足","計画記録あり")))))))))</f>
        <v/>
      </c>
      <c r="X89" s="29"/>
      <c r="Y89" s="29"/>
      <c r="Z89" s="29"/>
    </row>
    <row r="90" spans="1:26" ht="64" customHeight="1" x14ac:dyDescent="0.2">
      <c r="A90" s="29"/>
      <c r="B90" s="28" t="str">
        <f>IF(A90="","",IF(COUNTIF('32_定義マスター'!$A$13:$A$30,A90)&lt;&gt;1,"参照ID不正",IF(INDEX('32_定義マスター'!$B$13:$B$30,MATCH(A90,'32_定義マスター'!$A$13:$A$30,0))="","",INDEX('32_定義マスター'!$B$13:$B$30,MATCH(A90,'32_定義マスター'!$A$13:$A$30,0)))))</f>
        <v/>
      </c>
      <c r="C90" s="28" t="str">
        <f>IF(A90="","",IF(COUNTIF('32_定義マスター'!$A$13:$A$30,A90)&lt;&gt;1,"参照ID不正",IF(INDEX('32_定義マスター'!$C$13:$C$30,MATCH(A90,'32_定義マスター'!$A$13:$A$30,0))="","",INDEX('32_定義マスター'!$C$13:$C$30,MATCH(A90,'32_定義マスター'!$A$13:$A$30,0)))))</f>
        <v/>
      </c>
      <c r="D90" s="28" t="str">
        <f>IF(A90="","",IF(COUNTIF('32_定義マスター'!$A$13:$A$30,A90)&lt;&gt;1,"参照ID不正",IF(INDEX('32_定義マスター'!$D$13:$D$30,MATCH(A90,'32_定義マスター'!$A$13:$A$30,0))="","",INDEX('32_定義マスター'!$D$13:$D$30,MATCH(A90,'32_定義マスター'!$A$13:$A$30,0)))))</f>
        <v/>
      </c>
      <c r="E90" s="28" t="str">
        <f>IF(A90="","",IF(COUNTIF('32_定義マスター'!$A$13:$A$30,A90)&lt;&gt;1,"参照ID不正",IF(INDEX('32_定義マスター'!$E$13:$E$30,MATCH(A90,'32_定義マスター'!$A$13:$A$30,0))="","",INDEX('32_定義マスター'!$E$13:$E$30,MATCH(A90,'32_定義マスター'!$A$13:$A$30,0)))))</f>
        <v/>
      </c>
      <c r="F90" s="28" t="str">
        <f>IF(A90="","",IF(COUNTIF('32_定義マスター'!$A$13:$A$30,A90)&lt;&gt;1,"参照ID不正",IF(INDEX('32_定義マスター'!$F$13:$F$30,MATCH(A90,'32_定義マスター'!$A$13:$A$30,0))="","",INDEX('32_定義マスター'!$F$13:$F$30,MATCH(A90,'32_定義マスター'!$A$13:$A$30,0)))))</f>
        <v/>
      </c>
      <c r="G90" s="29"/>
      <c r="H90" s="29"/>
      <c r="I90" s="29"/>
      <c r="J90" s="29"/>
      <c r="K90" s="29"/>
      <c r="L90" s="29"/>
      <c r="M90" s="29"/>
      <c r="N90" s="29"/>
      <c r="O90" s="29"/>
      <c r="P90" s="29"/>
      <c r="Q90" s="28" t="str">
        <f>IF(A90="","",IF(COUNTIF('32_定義マスター'!$A$13:$A$30,A90)&lt;&gt;1,"参照ID不正",IF(INDEX('32_定義マスター'!$G$13:$G$30,MATCH(A90,'32_定義マスター'!$A$13:$A$30,0))="","",INDEX('32_定義マスター'!$G$13:$G$30,MATCH(A90,'32_定義マスター'!$A$13:$A$30,0)))))</f>
        <v/>
      </c>
      <c r="R90" s="29"/>
      <c r="S90" s="29"/>
      <c r="T90" s="29"/>
      <c r="U90" s="29"/>
      <c r="V90" s="28" t="str">
        <f t="shared" si="2"/>
        <v/>
      </c>
      <c r="W90" s="28" t="str">
        <f>IF(A90="","",IF(COUNTIF('32_定義マスター'!$A$13:$A$30,A90)&lt;&gt;1,"EvalType不正",IF(OR(V90="",COUNTIF($V$4:$V$103,V90)&lt;&gt;1),"PlanKey不足・重複",IF(OR(P90="",P90="未設定",P90="設計中",P90="改訂中"),"計画未確定",IF(AND(P90&lt;&gt;"承認",P90&lt;&gt;"対象外承認"),"状態不正",IF(OR(T90="",U90="",O90=""),"計画対象・承認不足",IF(P90="対象外承認",IF(G90="","対象外理由不足","対象外計画記録"),IF(OR(G90="",H90="",I90="",J90="",K90="",L90="",M90="",N90=""),"評価設計不足",IF(AND(A90="E05",OR(X90="",Y90="",Z90="")),"試行状態・成功定義不足","計画記録あり")))))))))</f>
        <v/>
      </c>
      <c r="X90" s="29"/>
      <c r="Y90" s="29"/>
      <c r="Z90" s="29"/>
    </row>
    <row r="91" spans="1:26" ht="64" customHeight="1" x14ac:dyDescent="0.2">
      <c r="A91" s="29"/>
      <c r="B91" s="28" t="str">
        <f>IF(A91="","",IF(COUNTIF('32_定義マスター'!$A$13:$A$30,A91)&lt;&gt;1,"参照ID不正",IF(INDEX('32_定義マスター'!$B$13:$B$30,MATCH(A91,'32_定義マスター'!$A$13:$A$30,0))="","",INDEX('32_定義マスター'!$B$13:$B$30,MATCH(A91,'32_定義マスター'!$A$13:$A$30,0)))))</f>
        <v/>
      </c>
      <c r="C91" s="28" t="str">
        <f>IF(A91="","",IF(COUNTIF('32_定義マスター'!$A$13:$A$30,A91)&lt;&gt;1,"参照ID不正",IF(INDEX('32_定義マスター'!$C$13:$C$30,MATCH(A91,'32_定義マスター'!$A$13:$A$30,0))="","",INDEX('32_定義マスター'!$C$13:$C$30,MATCH(A91,'32_定義マスター'!$A$13:$A$30,0)))))</f>
        <v/>
      </c>
      <c r="D91" s="28" t="str">
        <f>IF(A91="","",IF(COUNTIF('32_定義マスター'!$A$13:$A$30,A91)&lt;&gt;1,"参照ID不正",IF(INDEX('32_定義マスター'!$D$13:$D$30,MATCH(A91,'32_定義マスター'!$A$13:$A$30,0))="","",INDEX('32_定義マスター'!$D$13:$D$30,MATCH(A91,'32_定義マスター'!$A$13:$A$30,0)))))</f>
        <v/>
      </c>
      <c r="E91" s="28" t="str">
        <f>IF(A91="","",IF(COUNTIF('32_定義マスター'!$A$13:$A$30,A91)&lt;&gt;1,"参照ID不正",IF(INDEX('32_定義マスター'!$E$13:$E$30,MATCH(A91,'32_定義マスター'!$A$13:$A$30,0))="","",INDEX('32_定義マスター'!$E$13:$E$30,MATCH(A91,'32_定義マスター'!$A$13:$A$30,0)))))</f>
        <v/>
      </c>
      <c r="F91" s="28" t="str">
        <f>IF(A91="","",IF(COUNTIF('32_定義マスター'!$A$13:$A$30,A91)&lt;&gt;1,"参照ID不正",IF(INDEX('32_定義マスター'!$F$13:$F$30,MATCH(A91,'32_定義マスター'!$A$13:$A$30,0))="","",INDEX('32_定義マスター'!$F$13:$F$30,MATCH(A91,'32_定義マスター'!$A$13:$A$30,0)))))</f>
        <v/>
      </c>
      <c r="G91" s="29"/>
      <c r="H91" s="29"/>
      <c r="I91" s="29"/>
      <c r="J91" s="29"/>
      <c r="K91" s="29"/>
      <c r="L91" s="29"/>
      <c r="M91" s="29"/>
      <c r="N91" s="29"/>
      <c r="O91" s="29"/>
      <c r="P91" s="29"/>
      <c r="Q91" s="28" t="str">
        <f>IF(A91="","",IF(COUNTIF('32_定義マスター'!$A$13:$A$30,A91)&lt;&gt;1,"参照ID不正",IF(INDEX('32_定義マスター'!$G$13:$G$30,MATCH(A91,'32_定義マスター'!$A$13:$A$30,0))="","",INDEX('32_定義マスター'!$G$13:$G$30,MATCH(A91,'32_定義マスター'!$A$13:$A$30,0)))))</f>
        <v/>
      </c>
      <c r="R91" s="29"/>
      <c r="S91" s="29"/>
      <c r="T91" s="29"/>
      <c r="U91" s="29"/>
      <c r="V91" s="28" t="str">
        <f t="shared" si="2"/>
        <v/>
      </c>
      <c r="W91" s="28" t="str">
        <f>IF(A91="","",IF(COUNTIF('32_定義マスター'!$A$13:$A$30,A91)&lt;&gt;1,"EvalType不正",IF(OR(V91="",COUNTIF($V$4:$V$103,V91)&lt;&gt;1),"PlanKey不足・重複",IF(OR(P91="",P91="未設定",P91="設計中",P91="改訂中"),"計画未確定",IF(AND(P91&lt;&gt;"承認",P91&lt;&gt;"対象外承認"),"状態不正",IF(OR(T91="",U91="",O91=""),"計画対象・承認不足",IF(P91="対象外承認",IF(G91="","対象外理由不足","対象外計画記録"),IF(OR(G91="",H91="",I91="",J91="",K91="",L91="",M91="",N91=""),"評価設計不足",IF(AND(A91="E05",OR(X91="",Y91="",Z91="")),"試行状態・成功定義不足","計画記録あり")))))))))</f>
        <v/>
      </c>
      <c r="X91" s="29"/>
      <c r="Y91" s="29"/>
      <c r="Z91" s="29"/>
    </row>
    <row r="92" spans="1:26" ht="64" customHeight="1" x14ac:dyDescent="0.2">
      <c r="A92" s="29"/>
      <c r="B92" s="28" t="str">
        <f>IF(A92="","",IF(COUNTIF('32_定義マスター'!$A$13:$A$30,A92)&lt;&gt;1,"参照ID不正",IF(INDEX('32_定義マスター'!$B$13:$B$30,MATCH(A92,'32_定義マスター'!$A$13:$A$30,0))="","",INDEX('32_定義マスター'!$B$13:$B$30,MATCH(A92,'32_定義マスター'!$A$13:$A$30,0)))))</f>
        <v/>
      </c>
      <c r="C92" s="28" t="str">
        <f>IF(A92="","",IF(COUNTIF('32_定義マスター'!$A$13:$A$30,A92)&lt;&gt;1,"参照ID不正",IF(INDEX('32_定義マスター'!$C$13:$C$30,MATCH(A92,'32_定義マスター'!$A$13:$A$30,0))="","",INDEX('32_定義マスター'!$C$13:$C$30,MATCH(A92,'32_定義マスター'!$A$13:$A$30,0)))))</f>
        <v/>
      </c>
      <c r="D92" s="28" t="str">
        <f>IF(A92="","",IF(COUNTIF('32_定義マスター'!$A$13:$A$30,A92)&lt;&gt;1,"参照ID不正",IF(INDEX('32_定義マスター'!$D$13:$D$30,MATCH(A92,'32_定義マスター'!$A$13:$A$30,0))="","",INDEX('32_定義マスター'!$D$13:$D$30,MATCH(A92,'32_定義マスター'!$A$13:$A$30,0)))))</f>
        <v/>
      </c>
      <c r="E92" s="28" t="str">
        <f>IF(A92="","",IF(COUNTIF('32_定義マスター'!$A$13:$A$30,A92)&lt;&gt;1,"参照ID不正",IF(INDEX('32_定義マスター'!$E$13:$E$30,MATCH(A92,'32_定義マスター'!$A$13:$A$30,0))="","",INDEX('32_定義マスター'!$E$13:$E$30,MATCH(A92,'32_定義マスター'!$A$13:$A$30,0)))))</f>
        <v/>
      </c>
      <c r="F92" s="28" t="str">
        <f>IF(A92="","",IF(COUNTIF('32_定義マスター'!$A$13:$A$30,A92)&lt;&gt;1,"参照ID不正",IF(INDEX('32_定義マスター'!$F$13:$F$30,MATCH(A92,'32_定義マスター'!$A$13:$A$30,0))="","",INDEX('32_定義マスター'!$F$13:$F$30,MATCH(A92,'32_定義マスター'!$A$13:$A$30,0)))))</f>
        <v/>
      </c>
      <c r="G92" s="29"/>
      <c r="H92" s="29"/>
      <c r="I92" s="29"/>
      <c r="J92" s="29"/>
      <c r="K92" s="29"/>
      <c r="L92" s="29"/>
      <c r="M92" s="29"/>
      <c r="N92" s="29"/>
      <c r="O92" s="29"/>
      <c r="P92" s="29"/>
      <c r="Q92" s="28" t="str">
        <f>IF(A92="","",IF(COUNTIF('32_定義マスター'!$A$13:$A$30,A92)&lt;&gt;1,"参照ID不正",IF(INDEX('32_定義マスター'!$G$13:$G$30,MATCH(A92,'32_定義マスター'!$A$13:$A$30,0))="","",INDEX('32_定義マスター'!$G$13:$G$30,MATCH(A92,'32_定義マスター'!$A$13:$A$30,0)))))</f>
        <v/>
      </c>
      <c r="R92" s="29"/>
      <c r="S92" s="29"/>
      <c r="T92" s="29"/>
      <c r="U92" s="29"/>
      <c r="V92" s="28" t="str">
        <f t="shared" si="2"/>
        <v/>
      </c>
      <c r="W92" s="28" t="str">
        <f>IF(A92="","",IF(COUNTIF('32_定義マスター'!$A$13:$A$30,A92)&lt;&gt;1,"EvalType不正",IF(OR(V92="",COUNTIF($V$4:$V$103,V92)&lt;&gt;1),"PlanKey不足・重複",IF(OR(P92="",P92="未設定",P92="設計中",P92="改訂中"),"計画未確定",IF(AND(P92&lt;&gt;"承認",P92&lt;&gt;"対象外承認"),"状態不正",IF(OR(T92="",U92="",O92=""),"計画対象・承認不足",IF(P92="対象外承認",IF(G92="","対象外理由不足","対象外計画記録"),IF(OR(G92="",H92="",I92="",J92="",K92="",L92="",M92="",N92=""),"評価設計不足",IF(AND(A92="E05",OR(X92="",Y92="",Z92="")),"試行状態・成功定義不足","計画記録あり")))))))))</f>
        <v/>
      </c>
      <c r="X92" s="29"/>
      <c r="Y92" s="29"/>
      <c r="Z92" s="29"/>
    </row>
    <row r="93" spans="1:26" ht="64" customHeight="1" x14ac:dyDescent="0.2">
      <c r="A93" s="29"/>
      <c r="B93" s="28" t="str">
        <f>IF(A93="","",IF(COUNTIF('32_定義マスター'!$A$13:$A$30,A93)&lt;&gt;1,"参照ID不正",IF(INDEX('32_定義マスター'!$B$13:$B$30,MATCH(A93,'32_定義マスター'!$A$13:$A$30,0))="","",INDEX('32_定義マスター'!$B$13:$B$30,MATCH(A93,'32_定義マスター'!$A$13:$A$30,0)))))</f>
        <v/>
      </c>
      <c r="C93" s="28" t="str">
        <f>IF(A93="","",IF(COUNTIF('32_定義マスター'!$A$13:$A$30,A93)&lt;&gt;1,"参照ID不正",IF(INDEX('32_定義マスター'!$C$13:$C$30,MATCH(A93,'32_定義マスター'!$A$13:$A$30,0))="","",INDEX('32_定義マスター'!$C$13:$C$30,MATCH(A93,'32_定義マスター'!$A$13:$A$30,0)))))</f>
        <v/>
      </c>
      <c r="D93" s="28" t="str">
        <f>IF(A93="","",IF(COUNTIF('32_定義マスター'!$A$13:$A$30,A93)&lt;&gt;1,"参照ID不正",IF(INDEX('32_定義マスター'!$D$13:$D$30,MATCH(A93,'32_定義マスター'!$A$13:$A$30,0))="","",INDEX('32_定義マスター'!$D$13:$D$30,MATCH(A93,'32_定義マスター'!$A$13:$A$30,0)))))</f>
        <v/>
      </c>
      <c r="E93" s="28" t="str">
        <f>IF(A93="","",IF(COUNTIF('32_定義マスター'!$A$13:$A$30,A93)&lt;&gt;1,"参照ID不正",IF(INDEX('32_定義マスター'!$E$13:$E$30,MATCH(A93,'32_定義マスター'!$A$13:$A$30,0))="","",INDEX('32_定義マスター'!$E$13:$E$30,MATCH(A93,'32_定義マスター'!$A$13:$A$30,0)))))</f>
        <v/>
      </c>
      <c r="F93" s="28" t="str">
        <f>IF(A93="","",IF(COUNTIF('32_定義マスター'!$A$13:$A$30,A93)&lt;&gt;1,"参照ID不正",IF(INDEX('32_定義マスター'!$F$13:$F$30,MATCH(A93,'32_定義マスター'!$A$13:$A$30,0))="","",INDEX('32_定義マスター'!$F$13:$F$30,MATCH(A93,'32_定義マスター'!$A$13:$A$30,0)))))</f>
        <v/>
      </c>
      <c r="G93" s="29"/>
      <c r="H93" s="29"/>
      <c r="I93" s="29"/>
      <c r="J93" s="29"/>
      <c r="K93" s="29"/>
      <c r="L93" s="29"/>
      <c r="M93" s="29"/>
      <c r="N93" s="29"/>
      <c r="O93" s="29"/>
      <c r="P93" s="29"/>
      <c r="Q93" s="28" t="str">
        <f>IF(A93="","",IF(COUNTIF('32_定義マスター'!$A$13:$A$30,A93)&lt;&gt;1,"参照ID不正",IF(INDEX('32_定義マスター'!$G$13:$G$30,MATCH(A93,'32_定義マスター'!$A$13:$A$30,0))="","",INDEX('32_定義マスター'!$G$13:$G$30,MATCH(A93,'32_定義マスター'!$A$13:$A$30,0)))))</f>
        <v/>
      </c>
      <c r="R93" s="29"/>
      <c r="S93" s="29"/>
      <c r="T93" s="29"/>
      <c r="U93" s="29"/>
      <c r="V93" s="28" t="str">
        <f t="shared" si="2"/>
        <v/>
      </c>
      <c r="W93" s="28" t="str">
        <f>IF(A93="","",IF(COUNTIF('32_定義マスター'!$A$13:$A$30,A93)&lt;&gt;1,"EvalType不正",IF(OR(V93="",COUNTIF($V$4:$V$103,V93)&lt;&gt;1),"PlanKey不足・重複",IF(OR(P93="",P93="未設定",P93="設計中",P93="改訂中"),"計画未確定",IF(AND(P93&lt;&gt;"承認",P93&lt;&gt;"対象外承認"),"状態不正",IF(OR(T93="",U93="",O93=""),"計画対象・承認不足",IF(P93="対象外承認",IF(G93="","対象外理由不足","対象外計画記録"),IF(OR(G93="",H93="",I93="",J93="",K93="",L93="",M93="",N93=""),"評価設計不足",IF(AND(A93="E05",OR(X93="",Y93="",Z93="")),"試行状態・成功定義不足","計画記録あり")))))))))</f>
        <v/>
      </c>
      <c r="X93" s="29"/>
      <c r="Y93" s="29"/>
      <c r="Z93" s="29"/>
    </row>
    <row r="94" spans="1:26" ht="64" customHeight="1" x14ac:dyDescent="0.2">
      <c r="A94" s="29"/>
      <c r="B94" s="28" t="str">
        <f>IF(A94="","",IF(COUNTIF('32_定義マスター'!$A$13:$A$30,A94)&lt;&gt;1,"参照ID不正",IF(INDEX('32_定義マスター'!$B$13:$B$30,MATCH(A94,'32_定義マスター'!$A$13:$A$30,0))="","",INDEX('32_定義マスター'!$B$13:$B$30,MATCH(A94,'32_定義マスター'!$A$13:$A$30,0)))))</f>
        <v/>
      </c>
      <c r="C94" s="28" t="str">
        <f>IF(A94="","",IF(COUNTIF('32_定義マスター'!$A$13:$A$30,A94)&lt;&gt;1,"参照ID不正",IF(INDEX('32_定義マスター'!$C$13:$C$30,MATCH(A94,'32_定義マスター'!$A$13:$A$30,0))="","",INDEX('32_定義マスター'!$C$13:$C$30,MATCH(A94,'32_定義マスター'!$A$13:$A$30,0)))))</f>
        <v/>
      </c>
      <c r="D94" s="28" t="str">
        <f>IF(A94="","",IF(COUNTIF('32_定義マスター'!$A$13:$A$30,A94)&lt;&gt;1,"参照ID不正",IF(INDEX('32_定義マスター'!$D$13:$D$30,MATCH(A94,'32_定義マスター'!$A$13:$A$30,0))="","",INDEX('32_定義マスター'!$D$13:$D$30,MATCH(A94,'32_定義マスター'!$A$13:$A$30,0)))))</f>
        <v/>
      </c>
      <c r="E94" s="28" t="str">
        <f>IF(A94="","",IF(COUNTIF('32_定義マスター'!$A$13:$A$30,A94)&lt;&gt;1,"参照ID不正",IF(INDEX('32_定義マスター'!$E$13:$E$30,MATCH(A94,'32_定義マスター'!$A$13:$A$30,0))="","",INDEX('32_定義マスター'!$E$13:$E$30,MATCH(A94,'32_定義マスター'!$A$13:$A$30,0)))))</f>
        <v/>
      </c>
      <c r="F94" s="28" t="str">
        <f>IF(A94="","",IF(COUNTIF('32_定義マスター'!$A$13:$A$30,A94)&lt;&gt;1,"参照ID不正",IF(INDEX('32_定義マスター'!$F$13:$F$30,MATCH(A94,'32_定義マスター'!$A$13:$A$30,0))="","",INDEX('32_定義マスター'!$F$13:$F$30,MATCH(A94,'32_定義マスター'!$A$13:$A$30,0)))))</f>
        <v/>
      </c>
      <c r="G94" s="29"/>
      <c r="H94" s="29"/>
      <c r="I94" s="29"/>
      <c r="J94" s="29"/>
      <c r="K94" s="29"/>
      <c r="L94" s="29"/>
      <c r="M94" s="29"/>
      <c r="N94" s="29"/>
      <c r="O94" s="29"/>
      <c r="P94" s="29"/>
      <c r="Q94" s="28" t="str">
        <f>IF(A94="","",IF(COUNTIF('32_定義マスター'!$A$13:$A$30,A94)&lt;&gt;1,"参照ID不正",IF(INDEX('32_定義マスター'!$G$13:$G$30,MATCH(A94,'32_定義マスター'!$A$13:$A$30,0))="","",INDEX('32_定義マスター'!$G$13:$G$30,MATCH(A94,'32_定義マスター'!$A$13:$A$30,0)))))</f>
        <v/>
      </c>
      <c r="R94" s="29"/>
      <c r="S94" s="29"/>
      <c r="T94" s="29"/>
      <c r="U94" s="29"/>
      <c r="V94" s="28" t="str">
        <f t="shared" si="2"/>
        <v/>
      </c>
      <c r="W94" s="28" t="str">
        <f>IF(A94="","",IF(COUNTIF('32_定義マスター'!$A$13:$A$30,A94)&lt;&gt;1,"EvalType不正",IF(OR(V94="",COUNTIF($V$4:$V$103,V94)&lt;&gt;1),"PlanKey不足・重複",IF(OR(P94="",P94="未設定",P94="設計中",P94="改訂中"),"計画未確定",IF(AND(P94&lt;&gt;"承認",P94&lt;&gt;"対象外承認"),"状態不正",IF(OR(T94="",U94="",O94=""),"計画対象・承認不足",IF(P94="対象外承認",IF(G94="","対象外理由不足","対象外計画記録"),IF(OR(G94="",H94="",I94="",J94="",K94="",L94="",M94="",N94=""),"評価設計不足",IF(AND(A94="E05",OR(X94="",Y94="",Z94="")),"試行状態・成功定義不足","計画記録あり")))))))))</f>
        <v/>
      </c>
      <c r="X94" s="29"/>
      <c r="Y94" s="29"/>
      <c r="Z94" s="29"/>
    </row>
    <row r="95" spans="1:26" ht="64" customHeight="1" x14ac:dyDescent="0.2">
      <c r="A95" s="29"/>
      <c r="B95" s="28" t="str">
        <f>IF(A95="","",IF(COUNTIF('32_定義マスター'!$A$13:$A$30,A95)&lt;&gt;1,"参照ID不正",IF(INDEX('32_定義マスター'!$B$13:$B$30,MATCH(A95,'32_定義マスター'!$A$13:$A$30,0))="","",INDEX('32_定義マスター'!$B$13:$B$30,MATCH(A95,'32_定義マスター'!$A$13:$A$30,0)))))</f>
        <v/>
      </c>
      <c r="C95" s="28" t="str">
        <f>IF(A95="","",IF(COUNTIF('32_定義マスター'!$A$13:$A$30,A95)&lt;&gt;1,"参照ID不正",IF(INDEX('32_定義マスター'!$C$13:$C$30,MATCH(A95,'32_定義マスター'!$A$13:$A$30,0))="","",INDEX('32_定義マスター'!$C$13:$C$30,MATCH(A95,'32_定義マスター'!$A$13:$A$30,0)))))</f>
        <v/>
      </c>
      <c r="D95" s="28" t="str">
        <f>IF(A95="","",IF(COUNTIF('32_定義マスター'!$A$13:$A$30,A95)&lt;&gt;1,"参照ID不正",IF(INDEX('32_定義マスター'!$D$13:$D$30,MATCH(A95,'32_定義マスター'!$A$13:$A$30,0))="","",INDEX('32_定義マスター'!$D$13:$D$30,MATCH(A95,'32_定義マスター'!$A$13:$A$30,0)))))</f>
        <v/>
      </c>
      <c r="E95" s="28" t="str">
        <f>IF(A95="","",IF(COUNTIF('32_定義マスター'!$A$13:$A$30,A95)&lt;&gt;1,"参照ID不正",IF(INDEX('32_定義マスター'!$E$13:$E$30,MATCH(A95,'32_定義マスター'!$A$13:$A$30,0))="","",INDEX('32_定義マスター'!$E$13:$E$30,MATCH(A95,'32_定義マスター'!$A$13:$A$30,0)))))</f>
        <v/>
      </c>
      <c r="F95" s="28" t="str">
        <f>IF(A95="","",IF(COUNTIF('32_定義マスター'!$A$13:$A$30,A95)&lt;&gt;1,"参照ID不正",IF(INDEX('32_定義マスター'!$F$13:$F$30,MATCH(A95,'32_定義マスター'!$A$13:$A$30,0))="","",INDEX('32_定義マスター'!$F$13:$F$30,MATCH(A95,'32_定義マスター'!$A$13:$A$30,0)))))</f>
        <v/>
      </c>
      <c r="G95" s="29"/>
      <c r="H95" s="29"/>
      <c r="I95" s="29"/>
      <c r="J95" s="29"/>
      <c r="K95" s="29"/>
      <c r="L95" s="29"/>
      <c r="M95" s="29"/>
      <c r="N95" s="29"/>
      <c r="O95" s="29"/>
      <c r="P95" s="29"/>
      <c r="Q95" s="28" t="str">
        <f>IF(A95="","",IF(COUNTIF('32_定義マスター'!$A$13:$A$30,A95)&lt;&gt;1,"参照ID不正",IF(INDEX('32_定義マスター'!$G$13:$G$30,MATCH(A95,'32_定義マスター'!$A$13:$A$30,0))="","",INDEX('32_定義マスター'!$G$13:$G$30,MATCH(A95,'32_定義マスター'!$A$13:$A$30,0)))))</f>
        <v/>
      </c>
      <c r="R95" s="29"/>
      <c r="S95" s="29"/>
      <c r="T95" s="29"/>
      <c r="U95" s="29"/>
      <c r="V95" s="28" t="str">
        <f t="shared" si="2"/>
        <v/>
      </c>
      <c r="W95" s="28" t="str">
        <f>IF(A95="","",IF(COUNTIF('32_定義マスター'!$A$13:$A$30,A95)&lt;&gt;1,"EvalType不正",IF(OR(V95="",COUNTIF($V$4:$V$103,V95)&lt;&gt;1),"PlanKey不足・重複",IF(OR(P95="",P95="未設定",P95="設計中",P95="改訂中"),"計画未確定",IF(AND(P95&lt;&gt;"承認",P95&lt;&gt;"対象外承認"),"状態不正",IF(OR(T95="",U95="",O95=""),"計画対象・承認不足",IF(P95="対象外承認",IF(G95="","対象外理由不足","対象外計画記録"),IF(OR(G95="",H95="",I95="",J95="",K95="",L95="",M95="",N95=""),"評価設計不足",IF(AND(A95="E05",OR(X95="",Y95="",Z95="")),"試行状態・成功定義不足","計画記録あり")))))))))</f>
        <v/>
      </c>
      <c r="X95" s="29"/>
      <c r="Y95" s="29"/>
      <c r="Z95" s="29"/>
    </row>
    <row r="96" spans="1:26" ht="64" customHeight="1" x14ac:dyDescent="0.2">
      <c r="A96" s="29"/>
      <c r="B96" s="28" t="str">
        <f>IF(A96="","",IF(COUNTIF('32_定義マスター'!$A$13:$A$30,A96)&lt;&gt;1,"参照ID不正",IF(INDEX('32_定義マスター'!$B$13:$B$30,MATCH(A96,'32_定義マスター'!$A$13:$A$30,0))="","",INDEX('32_定義マスター'!$B$13:$B$30,MATCH(A96,'32_定義マスター'!$A$13:$A$30,0)))))</f>
        <v/>
      </c>
      <c r="C96" s="28" t="str">
        <f>IF(A96="","",IF(COUNTIF('32_定義マスター'!$A$13:$A$30,A96)&lt;&gt;1,"参照ID不正",IF(INDEX('32_定義マスター'!$C$13:$C$30,MATCH(A96,'32_定義マスター'!$A$13:$A$30,0))="","",INDEX('32_定義マスター'!$C$13:$C$30,MATCH(A96,'32_定義マスター'!$A$13:$A$30,0)))))</f>
        <v/>
      </c>
      <c r="D96" s="28" t="str">
        <f>IF(A96="","",IF(COUNTIF('32_定義マスター'!$A$13:$A$30,A96)&lt;&gt;1,"参照ID不正",IF(INDEX('32_定義マスター'!$D$13:$D$30,MATCH(A96,'32_定義マスター'!$A$13:$A$30,0))="","",INDEX('32_定義マスター'!$D$13:$D$30,MATCH(A96,'32_定義マスター'!$A$13:$A$30,0)))))</f>
        <v/>
      </c>
      <c r="E96" s="28" t="str">
        <f>IF(A96="","",IF(COUNTIF('32_定義マスター'!$A$13:$A$30,A96)&lt;&gt;1,"参照ID不正",IF(INDEX('32_定義マスター'!$E$13:$E$30,MATCH(A96,'32_定義マスター'!$A$13:$A$30,0))="","",INDEX('32_定義マスター'!$E$13:$E$30,MATCH(A96,'32_定義マスター'!$A$13:$A$30,0)))))</f>
        <v/>
      </c>
      <c r="F96" s="28" t="str">
        <f>IF(A96="","",IF(COUNTIF('32_定義マスター'!$A$13:$A$30,A96)&lt;&gt;1,"参照ID不正",IF(INDEX('32_定義マスター'!$F$13:$F$30,MATCH(A96,'32_定義マスター'!$A$13:$A$30,0))="","",INDEX('32_定義マスター'!$F$13:$F$30,MATCH(A96,'32_定義マスター'!$A$13:$A$30,0)))))</f>
        <v/>
      </c>
      <c r="G96" s="29"/>
      <c r="H96" s="29"/>
      <c r="I96" s="29"/>
      <c r="J96" s="29"/>
      <c r="K96" s="29"/>
      <c r="L96" s="29"/>
      <c r="M96" s="29"/>
      <c r="N96" s="29"/>
      <c r="O96" s="29"/>
      <c r="P96" s="29"/>
      <c r="Q96" s="28" t="str">
        <f>IF(A96="","",IF(COUNTIF('32_定義マスター'!$A$13:$A$30,A96)&lt;&gt;1,"参照ID不正",IF(INDEX('32_定義マスター'!$G$13:$G$30,MATCH(A96,'32_定義マスター'!$A$13:$A$30,0))="","",INDEX('32_定義マスター'!$G$13:$G$30,MATCH(A96,'32_定義マスター'!$A$13:$A$30,0)))))</f>
        <v/>
      </c>
      <c r="R96" s="29"/>
      <c r="S96" s="29"/>
      <c r="T96" s="29"/>
      <c r="U96" s="29"/>
      <c r="V96" s="28" t="str">
        <f t="shared" si="2"/>
        <v/>
      </c>
      <c r="W96" s="28" t="str">
        <f>IF(A96="","",IF(COUNTIF('32_定義マスター'!$A$13:$A$30,A96)&lt;&gt;1,"EvalType不正",IF(OR(V96="",COUNTIF($V$4:$V$103,V96)&lt;&gt;1),"PlanKey不足・重複",IF(OR(P96="",P96="未設定",P96="設計中",P96="改訂中"),"計画未確定",IF(AND(P96&lt;&gt;"承認",P96&lt;&gt;"対象外承認"),"状態不正",IF(OR(T96="",U96="",O96=""),"計画対象・承認不足",IF(P96="対象外承認",IF(G96="","対象外理由不足","対象外計画記録"),IF(OR(G96="",H96="",I96="",J96="",K96="",L96="",M96="",N96=""),"評価設計不足",IF(AND(A96="E05",OR(X96="",Y96="",Z96="")),"試行状態・成功定義不足","計画記録あり")))))))))</f>
        <v/>
      </c>
      <c r="X96" s="29"/>
      <c r="Y96" s="29"/>
      <c r="Z96" s="29"/>
    </row>
    <row r="97" spans="1:26" ht="64" customHeight="1" x14ac:dyDescent="0.2">
      <c r="A97" s="29"/>
      <c r="B97" s="28" t="str">
        <f>IF(A97="","",IF(COUNTIF('32_定義マスター'!$A$13:$A$30,A97)&lt;&gt;1,"参照ID不正",IF(INDEX('32_定義マスター'!$B$13:$B$30,MATCH(A97,'32_定義マスター'!$A$13:$A$30,0))="","",INDEX('32_定義マスター'!$B$13:$B$30,MATCH(A97,'32_定義マスター'!$A$13:$A$30,0)))))</f>
        <v/>
      </c>
      <c r="C97" s="28" t="str">
        <f>IF(A97="","",IF(COUNTIF('32_定義マスター'!$A$13:$A$30,A97)&lt;&gt;1,"参照ID不正",IF(INDEX('32_定義マスター'!$C$13:$C$30,MATCH(A97,'32_定義マスター'!$A$13:$A$30,0))="","",INDEX('32_定義マスター'!$C$13:$C$30,MATCH(A97,'32_定義マスター'!$A$13:$A$30,0)))))</f>
        <v/>
      </c>
      <c r="D97" s="28" t="str">
        <f>IF(A97="","",IF(COUNTIF('32_定義マスター'!$A$13:$A$30,A97)&lt;&gt;1,"参照ID不正",IF(INDEX('32_定義マスター'!$D$13:$D$30,MATCH(A97,'32_定義マスター'!$A$13:$A$30,0))="","",INDEX('32_定義マスター'!$D$13:$D$30,MATCH(A97,'32_定義マスター'!$A$13:$A$30,0)))))</f>
        <v/>
      </c>
      <c r="E97" s="28" t="str">
        <f>IF(A97="","",IF(COUNTIF('32_定義マスター'!$A$13:$A$30,A97)&lt;&gt;1,"参照ID不正",IF(INDEX('32_定義マスター'!$E$13:$E$30,MATCH(A97,'32_定義マスター'!$A$13:$A$30,0))="","",INDEX('32_定義マスター'!$E$13:$E$30,MATCH(A97,'32_定義マスター'!$A$13:$A$30,0)))))</f>
        <v/>
      </c>
      <c r="F97" s="28" t="str">
        <f>IF(A97="","",IF(COUNTIF('32_定義マスター'!$A$13:$A$30,A97)&lt;&gt;1,"参照ID不正",IF(INDEX('32_定義マスター'!$F$13:$F$30,MATCH(A97,'32_定義マスター'!$A$13:$A$30,0))="","",INDEX('32_定義マスター'!$F$13:$F$30,MATCH(A97,'32_定義マスター'!$A$13:$A$30,0)))))</f>
        <v/>
      </c>
      <c r="G97" s="29"/>
      <c r="H97" s="29"/>
      <c r="I97" s="29"/>
      <c r="J97" s="29"/>
      <c r="K97" s="29"/>
      <c r="L97" s="29"/>
      <c r="M97" s="29"/>
      <c r="N97" s="29"/>
      <c r="O97" s="29"/>
      <c r="P97" s="29"/>
      <c r="Q97" s="28" t="str">
        <f>IF(A97="","",IF(COUNTIF('32_定義マスター'!$A$13:$A$30,A97)&lt;&gt;1,"参照ID不正",IF(INDEX('32_定義マスター'!$G$13:$G$30,MATCH(A97,'32_定義マスター'!$A$13:$A$30,0))="","",INDEX('32_定義マスター'!$G$13:$G$30,MATCH(A97,'32_定義マスター'!$A$13:$A$30,0)))))</f>
        <v/>
      </c>
      <c r="R97" s="29"/>
      <c r="S97" s="29"/>
      <c r="T97" s="29"/>
      <c r="U97" s="29"/>
      <c r="V97" s="28" t="str">
        <f t="shared" si="2"/>
        <v/>
      </c>
      <c r="W97" s="28" t="str">
        <f>IF(A97="","",IF(COUNTIF('32_定義マスター'!$A$13:$A$30,A97)&lt;&gt;1,"EvalType不正",IF(OR(V97="",COUNTIF($V$4:$V$103,V97)&lt;&gt;1),"PlanKey不足・重複",IF(OR(P97="",P97="未設定",P97="設計中",P97="改訂中"),"計画未確定",IF(AND(P97&lt;&gt;"承認",P97&lt;&gt;"対象外承認"),"状態不正",IF(OR(T97="",U97="",O97=""),"計画対象・承認不足",IF(P97="対象外承認",IF(G97="","対象外理由不足","対象外計画記録"),IF(OR(G97="",H97="",I97="",J97="",K97="",L97="",M97="",N97=""),"評価設計不足",IF(AND(A97="E05",OR(X97="",Y97="",Z97="")),"試行状態・成功定義不足","計画記録あり")))))))))</f>
        <v/>
      </c>
      <c r="X97" s="29"/>
      <c r="Y97" s="29"/>
      <c r="Z97" s="29"/>
    </row>
    <row r="98" spans="1:26" ht="64" customHeight="1" x14ac:dyDescent="0.2">
      <c r="A98" s="29"/>
      <c r="B98" s="28" t="str">
        <f>IF(A98="","",IF(COUNTIF('32_定義マスター'!$A$13:$A$30,A98)&lt;&gt;1,"参照ID不正",IF(INDEX('32_定義マスター'!$B$13:$B$30,MATCH(A98,'32_定義マスター'!$A$13:$A$30,0))="","",INDEX('32_定義マスター'!$B$13:$B$30,MATCH(A98,'32_定義マスター'!$A$13:$A$30,0)))))</f>
        <v/>
      </c>
      <c r="C98" s="28" t="str">
        <f>IF(A98="","",IF(COUNTIF('32_定義マスター'!$A$13:$A$30,A98)&lt;&gt;1,"参照ID不正",IF(INDEX('32_定義マスター'!$C$13:$C$30,MATCH(A98,'32_定義マスター'!$A$13:$A$30,0))="","",INDEX('32_定義マスター'!$C$13:$C$30,MATCH(A98,'32_定義マスター'!$A$13:$A$30,0)))))</f>
        <v/>
      </c>
      <c r="D98" s="28" t="str">
        <f>IF(A98="","",IF(COUNTIF('32_定義マスター'!$A$13:$A$30,A98)&lt;&gt;1,"参照ID不正",IF(INDEX('32_定義マスター'!$D$13:$D$30,MATCH(A98,'32_定義マスター'!$A$13:$A$30,0))="","",INDEX('32_定義マスター'!$D$13:$D$30,MATCH(A98,'32_定義マスター'!$A$13:$A$30,0)))))</f>
        <v/>
      </c>
      <c r="E98" s="28" t="str">
        <f>IF(A98="","",IF(COUNTIF('32_定義マスター'!$A$13:$A$30,A98)&lt;&gt;1,"参照ID不正",IF(INDEX('32_定義マスター'!$E$13:$E$30,MATCH(A98,'32_定義マスター'!$A$13:$A$30,0))="","",INDEX('32_定義マスター'!$E$13:$E$30,MATCH(A98,'32_定義マスター'!$A$13:$A$30,0)))))</f>
        <v/>
      </c>
      <c r="F98" s="28" t="str">
        <f>IF(A98="","",IF(COUNTIF('32_定義マスター'!$A$13:$A$30,A98)&lt;&gt;1,"参照ID不正",IF(INDEX('32_定義マスター'!$F$13:$F$30,MATCH(A98,'32_定義マスター'!$A$13:$A$30,0))="","",INDEX('32_定義マスター'!$F$13:$F$30,MATCH(A98,'32_定義マスター'!$A$13:$A$30,0)))))</f>
        <v/>
      </c>
      <c r="G98" s="29"/>
      <c r="H98" s="29"/>
      <c r="I98" s="29"/>
      <c r="J98" s="29"/>
      <c r="K98" s="29"/>
      <c r="L98" s="29"/>
      <c r="M98" s="29"/>
      <c r="N98" s="29"/>
      <c r="O98" s="29"/>
      <c r="P98" s="29"/>
      <c r="Q98" s="28" t="str">
        <f>IF(A98="","",IF(COUNTIF('32_定義マスター'!$A$13:$A$30,A98)&lt;&gt;1,"参照ID不正",IF(INDEX('32_定義マスター'!$G$13:$G$30,MATCH(A98,'32_定義マスター'!$A$13:$A$30,0))="","",INDEX('32_定義マスター'!$G$13:$G$30,MATCH(A98,'32_定義マスター'!$A$13:$A$30,0)))))</f>
        <v/>
      </c>
      <c r="R98" s="29"/>
      <c r="S98" s="29"/>
      <c r="T98" s="29"/>
      <c r="U98" s="29"/>
      <c r="V98" s="28" t="str">
        <f t="shared" si="2"/>
        <v/>
      </c>
      <c r="W98" s="28" t="str">
        <f>IF(A98="","",IF(COUNTIF('32_定義マスター'!$A$13:$A$30,A98)&lt;&gt;1,"EvalType不正",IF(OR(V98="",COUNTIF($V$4:$V$103,V98)&lt;&gt;1),"PlanKey不足・重複",IF(OR(P98="",P98="未設定",P98="設計中",P98="改訂中"),"計画未確定",IF(AND(P98&lt;&gt;"承認",P98&lt;&gt;"対象外承認"),"状態不正",IF(OR(T98="",U98="",O98=""),"計画対象・承認不足",IF(P98="対象外承認",IF(G98="","対象外理由不足","対象外計画記録"),IF(OR(G98="",H98="",I98="",J98="",K98="",L98="",M98="",N98=""),"評価設計不足",IF(AND(A98="E05",OR(X98="",Y98="",Z98="")),"試行状態・成功定義不足","計画記録あり")))))))))</f>
        <v/>
      </c>
      <c r="X98" s="29"/>
      <c r="Y98" s="29"/>
      <c r="Z98" s="29"/>
    </row>
    <row r="99" spans="1:26" ht="64" customHeight="1" x14ac:dyDescent="0.2">
      <c r="A99" s="29"/>
      <c r="B99" s="28" t="str">
        <f>IF(A99="","",IF(COUNTIF('32_定義マスター'!$A$13:$A$30,A99)&lt;&gt;1,"参照ID不正",IF(INDEX('32_定義マスター'!$B$13:$B$30,MATCH(A99,'32_定義マスター'!$A$13:$A$30,0))="","",INDEX('32_定義マスター'!$B$13:$B$30,MATCH(A99,'32_定義マスター'!$A$13:$A$30,0)))))</f>
        <v/>
      </c>
      <c r="C99" s="28" t="str">
        <f>IF(A99="","",IF(COUNTIF('32_定義マスター'!$A$13:$A$30,A99)&lt;&gt;1,"参照ID不正",IF(INDEX('32_定義マスター'!$C$13:$C$30,MATCH(A99,'32_定義マスター'!$A$13:$A$30,0))="","",INDEX('32_定義マスター'!$C$13:$C$30,MATCH(A99,'32_定義マスター'!$A$13:$A$30,0)))))</f>
        <v/>
      </c>
      <c r="D99" s="28" t="str">
        <f>IF(A99="","",IF(COUNTIF('32_定義マスター'!$A$13:$A$30,A99)&lt;&gt;1,"参照ID不正",IF(INDEX('32_定義マスター'!$D$13:$D$30,MATCH(A99,'32_定義マスター'!$A$13:$A$30,0))="","",INDEX('32_定義マスター'!$D$13:$D$30,MATCH(A99,'32_定義マスター'!$A$13:$A$30,0)))))</f>
        <v/>
      </c>
      <c r="E99" s="28" t="str">
        <f>IF(A99="","",IF(COUNTIF('32_定義マスター'!$A$13:$A$30,A99)&lt;&gt;1,"参照ID不正",IF(INDEX('32_定義マスター'!$E$13:$E$30,MATCH(A99,'32_定義マスター'!$A$13:$A$30,0))="","",INDEX('32_定義マスター'!$E$13:$E$30,MATCH(A99,'32_定義マスター'!$A$13:$A$30,0)))))</f>
        <v/>
      </c>
      <c r="F99" s="28" t="str">
        <f>IF(A99="","",IF(COUNTIF('32_定義マスター'!$A$13:$A$30,A99)&lt;&gt;1,"参照ID不正",IF(INDEX('32_定義マスター'!$F$13:$F$30,MATCH(A99,'32_定義マスター'!$A$13:$A$30,0))="","",INDEX('32_定義マスター'!$F$13:$F$30,MATCH(A99,'32_定義マスター'!$A$13:$A$30,0)))))</f>
        <v/>
      </c>
      <c r="G99" s="29"/>
      <c r="H99" s="29"/>
      <c r="I99" s="29"/>
      <c r="J99" s="29"/>
      <c r="K99" s="29"/>
      <c r="L99" s="29"/>
      <c r="M99" s="29"/>
      <c r="N99" s="29"/>
      <c r="O99" s="29"/>
      <c r="P99" s="29"/>
      <c r="Q99" s="28" t="str">
        <f>IF(A99="","",IF(COUNTIF('32_定義マスター'!$A$13:$A$30,A99)&lt;&gt;1,"参照ID不正",IF(INDEX('32_定義マスター'!$G$13:$G$30,MATCH(A99,'32_定義マスター'!$A$13:$A$30,0))="","",INDEX('32_定義マスター'!$G$13:$G$30,MATCH(A99,'32_定義マスター'!$A$13:$A$30,0)))))</f>
        <v/>
      </c>
      <c r="R99" s="29"/>
      <c r="S99" s="29"/>
      <c r="T99" s="29"/>
      <c r="U99" s="29"/>
      <c r="V99" s="28" t="str">
        <f t="shared" si="2"/>
        <v/>
      </c>
      <c r="W99" s="28" t="str">
        <f>IF(A99="","",IF(COUNTIF('32_定義マスター'!$A$13:$A$30,A99)&lt;&gt;1,"EvalType不正",IF(OR(V99="",COUNTIF($V$4:$V$103,V99)&lt;&gt;1),"PlanKey不足・重複",IF(OR(P99="",P99="未設定",P99="設計中",P99="改訂中"),"計画未確定",IF(AND(P99&lt;&gt;"承認",P99&lt;&gt;"対象外承認"),"状態不正",IF(OR(T99="",U99="",O99=""),"計画対象・承認不足",IF(P99="対象外承認",IF(G99="","対象外理由不足","対象外計画記録"),IF(OR(G99="",H99="",I99="",J99="",K99="",L99="",M99="",N99=""),"評価設計不足",IF(AND(A99="E05",OR(X99="",Y99="",Z99="")),"試行状態・成功定義不足","計画記録あり")))))))))</f>
        <v/>
      </c>
      <c r="X99" s="29"/>
      <c r="Y99" s="29"/>
      <c r="Z99" s="29"/>
    </row>
    <row r="100" spans="1:26" ht="64" customHeight="1" x14ac:dyDescent="0.2">
      <c r="A100" s="29"/>
      <c r="B100" s="28" t="str">
        <f>IF(A100="","",IF(COUNTIF('32_定義マスター'!$A$13:$A$30,A100)&lt;&gt;1,"参照ID不正",IF(INDEX('32_定義マスター'!$B$13:$B$30,MATCH(A100,'32_定義マスター'!$A$13:$A$30,0))="","",INDEX('32_定義マスター'!$B$13:$B$30,MATCH(A100,'32_定義マスター'!$A$13:$A$30,0)))))</f>
        <v/>
      </c>
      <c r="C100" s="28" t="str">
        <f>IF(A100="","",IF(COUNTIF('32_定義マスター'!$A$13:$A$30,A100)&lt;&gt;1,"参照ID不正",IF(INDEX('32_定義マスター'!$C$13:$C$30,MATCH(A100,'32_定義マスター'!$A$13:$A$30,0))="","",INDEX('32_定義マスター'!$C$13:$C$30,MATCH(A100,'32_定義マスター'!$A$13:$A$30,0)))))</f>
        <v/>
      </c>
      <c r="D100" s="28" t="str">
        <f>IF(A100="","",IF(COUNTIF('32_定義マスター'!$A$13:$A$30,A100)&lt;&gt;1,"参照ID不正",IF(INDEX('32_定義マスター'!$D$13:$D$30,MATCH(A100,'32_定義マスター'!$A$13:$A$30,0))="","",INDEX('32_定義マスター'!$D$13:$D$30,MATCH(A100,'32_定義マスター'!$A$13:$A$30,0)))))</f>
        <v/>
      </c>
      <c r="E100" s="28" t="str">
        <f>IF(A100="","",IF(COUNTIF('32_定義マスター'!$A$13:$A$30,A100)&lt;&gt;1,"参照ID不正",IF(INDEX('32_定義マスター'!$E$13:$E$30,MATCH(A100,'32_定義マスター'!$A$13:$A$30,0))="","",INDEX('32_定義マスター'!$E$13:$E$30,MATCH(A100,'32_定義マスター'!$A$13:$A$30,0)))))</f>
        <v/>
      </c>
      <c r="F100" s="28" t="str">
        <f>IF(A100="","",IF(COUNTIF('32_定義マスター'!$A$13:$A$30,A100)&lt;&gt;1,"参照ID不正",IF(INDEX('32_定義マスター'!$F$13:$F$30,MATCH(A100,'32_定義マスター'!$A$13:$A$30,0))="","",INDEX('32_定義マスター'!$F$13:$F$30,MATCH(A100,'32_定義マスター'!$A$13:$A$30,0)))))</f>
        <v/>
      </c>
      <c r="G100" s="29"/>
      <c r="H100" s="29"/>
      <c r="I100" s="29"/>
      <c r="J100" s="29"/>
      <c r="K100" s="29"/>
      <c r="L100" s="29"/>
      <c r="M100" s="29"/>
      <c r="N100" s="29"/>
      <c r="O100" s="29"/>
      <c r="P100" s="29"/>
      <c r="Q100" s="28" t="str">
        <f>IF(A100="","",IF(COUNTIF('32_定義マスター'!$A$13:$A$30,A100)&lt;&gt;1,"参照ID不正",IF(INDEX('32_定義マスター'!$G$13:$G$30,MATCH(A100,'32_定義マスター'!$A$13:$A$30,0))="","",INDEX('32_定義マスター'!$G$13:$G$30,MATCH(A100,'32_定義マスター'!$A$13:$A$30,0)))))</f>
        <v/>
      </c>
      <c r="R100" s="29"/>
      <c r="S100" s="29"/>
      <c r="T100" s="29"/>
      <c r="U100" s="29"/>
      <c r="V100" s="28" t="str">
        <f t="shared" si="2"/>
        <v/>
      </c>
      <c r="W100" s="28" t="str">
        <f>IF(A100="","",IF(COUNTIF('32_定義マスター'!$A$13:$A$30,A100)&lt;&gt;1,"EvalType不正",IF(OR(V100="",COUNTIF($V$4:$V$103,V100)&lt;&gt;1),"PlanKey不足・重複",IF(OR(P100="",P100="未設定",P100="設計中",P100="改訂中"),"計画未確定",IF(AND(P100&lt;&gt;"承認",P100&lt;&gt;"対象外承認"),"状態不正",IF(OR(T100="",U100="",O100=""),"計画対象・承認不足",IF(P100="対象外承認",IF(G100="","対象外理由不足","対象外計画記録"),IF(OR(G100="",H100="",I100="",J100="",K100="",L100="",M100="",N100=""),"評価設計不足",IF(AND(A100="E05",OR(X100="",Y100="",Z100="")),"試行状態・成功定義不足","計画記録あり")))))))))</f>
        <v/>
      </c>
      <c r="X100" s="29"/>
      <c r="Y100" s="29"/>
      <c r="Z100" s="29"/>
    </row>
    <row r="101" spans="1:26" ht="64" customHeight="1" x14ac:dyDescent="0.2">
      <c r="A101" s="29"/>
      <c r="B101" s="28" t="str">
        <f>IF(A101="","",IF(COUNTIF('32_定義マスター'!$A$13:$A$30,A101)&lt;&gt;1,"参照ID不正",IF(INDEX('32_定義マスター'!$B$13:$B$30,MATCH(A101,'32_定義マスター'!$A$13:$A$30,0))="","",INDEX('32_定義マスター'!$B$13:$B$30,MATCH(A101,'32_定義マスター'!$A$13:$A$30,0)))))</f>
        <v/>
      </c>
      <c r="C101" s="28" t="str">
        <f>IF(A101="","",IF(COUNTIF('32_定義マスター'!$A$13:$A$30,A101)&lt;&gt;1,"参照ID不正",IF(INDEX('32_定義マスター'!$C$13:$C$30,MATCH(A101,'32_定義マスター'!$A$13:$A$30,0))="","",INDEX('32_定義マスター'!$C$13:$C$30,MATCH(A101,'32_定義マスター'!$A$13:$A$30,0)))))</f>
        <v/>
      </c>
      <c r="D101" s="28" t="str">
        <f>IF(A101="","",IF(COUNTIF('32_定義マスター'!$A$13:$A$30,A101)&lt;&gt;1,"参照ID不正",IF(INDEX('32_定義マスター'!$D$13:$D$30,MATCH(A101,'32_定義マスター'!$A$13:$A$30,0))="","",INDEX('32_定義マスター'!$D$13:$D$30,MATCH(A101,'32_定義マスター'!$A$13:$A$30,0)))))</f>
        <v/>
      </c>
      <c r="E101" s="28" t="str">
        <f>IF(A101="","",IF(COUNTIF('32_定義マスター'!$A$13:$A$30,A101)&lt;&gt;1,"参照ID不正",IF(INDEX('32_定義マスター'!$E$13:$E$30,MATCH(A101,'32_定義マスター'!$A$13:$A$30,0))="","",INDEX('32_定義マスター'!$E$13:$E$30,MATCH(A101,'32_定義マスター'!$A$13:$A$30,0)))))</f>
        <v/>
      </c>
      <c r="F101" s="28" t="str">
        <f>IF(A101="","",IF(COUNTIF('32_定義マスター'!$A$13:$A$30,A101)&lt;&gt;1,"参照ID不正",IF(INDEX('32_定義マスター'!$F$13:$F$30,MATCH(A101,'32_定義マスター'!$A$13:$A$30,0))="","",INDEX('32_定義マスター'!$F$13:$F$30,MATCH(A101,'32_定義マスター'!$A$13:$A$30,0)))))</f>
        <v/>
      </c>
      <c r="G101" s="29"/>
      <c r="H101" s="29"/>
      <c r="I101" s="29"/>
      <c r="J101" s="29"/>
      <c r="K101" s="29"/>
      <c r="L101" s="29"/>
      <c r="M101" s="29"/>
      <c r="N101" s="29"/>
      <c r="O101" s="29"/>
      <c r="P101" s="29"/>
      <c r="Q101" s="28" t="str">
        <f>IF(A101="","",IF(COUNTIF('32_定義マスター'!$A$13:$A$30,A101)&lt;&gt;1,"参照ID不正",IF(INDEX('32_定義マスター'!$G$13:$G$30,MATCH(A101,'32_定義マスター'!$A$13:$A$30,0))="","",INDEX('32_定義マスター'!$G$13:$G$30,MATCH(A101,'32_定義マスター'!$A$13:$A$30,0)))))</f>
        <v/>
      </c>
      <c r="R101" s="29"/>
      <c r="S101" s="29"/>
      <c r="T101" s="29"/>
      <c r="U101" s="29"/>
      <c r="V101" s="28" t="str">
        <f t="shared" si="2"/>
        <v/>
      </c>
      <c r="W101" s="28" t="str">
        <f>IF(A101="","",IF(COUNTIF('32_定義マスター'!$A$13:$A$30,A101)&lt;&gt;1,"EvalType不正",IF(OR(V101="",COUNTIF($V$4:$V$103,V101)&lt;&gt;1),"PlanKey不足・重複",IF(OR(P101="",P101="未設定",P101="設計中",P101="改訂中"),"計画未確定",IF(AND(P101&lt;&gt;"承認",P101&lt;&gt;"対象外承認"),"状態不正",IF(OR(T101="",U101="",O101=""),"計画対象・承認不足",IF(P101="対象外承認",IF(G101="","対象外理由不足","対象外計画記録"),IF(OR(G101="",H101="",I101="",J101="",K101="",L101="",M101="",N101=""),"評価設計不足",IF(AND(A101="E05",OR(X101="",Y101="",Z101="")),"試行状態・成功定義不足","計画記録あり")))))))))</f>
        <v/>
      </c>
      <c r="X101" s="29"/>
      <c r="Y101" s="29"/>
      <c r="Z101" s="29"/>
    </row>
    <row r="102" spans="1:26" ht="64" customHeight="1" x14ac:dyDescent="0.2">
      <c r="A102" s="29"/>
      <c r="B102" s="28" t="str">
        <f>IF(A102="","",IF(COUNTIF('32_定義マスター'!$A$13:$A$30,A102)&lt;&gt;1,"参照ID不正",IF(INDEX('32_定義マスター'!$B$13:$B$30,MATCH(A102,'32_定義マスター'!$A$13:$A$30,0))="","",INDEX('32_定義マスター'!$B$13:$B$30,MATCH(A102,'32_定義マスター'!$A$13:$A$30,0)))))</f>
        <v/>
      </c>
      <c r="C102" s="28" t="str">
        <f>IF(A102="","",IF(COUNTIF('32_定義マスター'!$A$13:$A$30,A102)&lt;&gt;1,"参照ID不正",IF(INDEX('32_定義マスター'!$C$13:$C$30,MATCH(A102,'32_定義マスター'!$A$13:$A$30,0))="","",INDEX('32_定義マスター'!$C$13:$C$30,MATCH(A102,'32_定義マスター'!$A$13:$A$30,0)))))</f>
        <v/>
      </c>
      <c r="D102" s="28" t="str">
        <f>IF(A102="","",IF(COUNTIF('32_定義マスター'!$A$13:$A$30,A102)&lt;&gt;1,"参照ID不正",IF(INDEX('32_定義マスター'!$D$13:$D$30,MATCH(A102,'32_定義マスター'!$A$13:$A$30,0))="","",INDEX('32_定義マスター'!$D$13:$D$30,MATCH(A102,'32_定義マスター'!$A$13:$A$30,0)))))</f>
        <v/>
      </c>
      <c r="E102" s="28" t="str">
        <f>IF(A102="","",IF(COUNTIF('32_定義マスター'!$A$13:$A$30,A102)&lt;&gt;1,"参照ID不正",IF(INDEX('32_定義マスター'!$E$13:$E$30,MATCH(A102,'32_定義マスター'!$A$13:$A$30,0))="","",INDEX('32_定義マスター'!$E$13:$E$30,MATCH(A102,'32_定義マスター'!$A$13:$A$30,0)))))</f>
        <v/>
      </c>
      <c r="F102" s="28" t="str">
        <f>IF(A102="","",IF(COUNTIF('32_定義マスター'!$A$13:$A$30,A102)&lt;&gt;1,"参照ID不正",IF(INDEX('32_定義マスター'!$F$13:$F$30,MATCH(A102,'32_定義マスター'!$A$13:$A$30,0))="","",INDEX('32_定義マスター'!$F$13:$F$30,MATCH(A102,'32_定義マスター'!$A$13:$A$30,0)))))</f>
        <v/>
      </c>
      <c r="G102" s="29"/>
      <c r="H102" s="29"/>
      <c r="I102" s="29"/>
      <c r="J102" s="29"/>
      <c r="K102" s="29"/>
      <c r="L102" s="29"/>
      <c r="M102" s="29"/>
      <c r="N102" s="29"/>
      <c r="O102" s="29"/>
      <c r="P102" s="29"/>
      <c r="Q102" s="28" t="str">
        <f>IF(A102="","",IF(COUNTIF('32_定義マスター'!$A$13:$A$30,A102)&lt;&gt;1,"参照ID不正",IF(INDEX('32_定義マスター'!$G$13:$G$30,MATCH(A102,'32_定義マスター'!$A$13:$A$30,0))="","",INDEX('32_定義マスター'!$G$13:$G$30,MATCH(A102,'32_定義マスター'!$A$13:$A$30,0)))))</f>
        <v/>
      </c>
      <c r="R102" s="29"/>
      <c r="S102" s="29"/>
      <c r="T102" s="29"/>
      <c r="U102" s="29"/>
      <c r="V102" s="28" t="str">
        <f t="shared" si="2"/>
        <v/>
      </c>
      <c r="W102" s="28" t="str">
        <f>IF(A102="","",IF(COUNTIF('32_定義マスター'!$A$13:$A$30,A102)&lt;&gt;1,"EvalType不正",IF(OR(V102="",COUNTIF($V$4:$V$103,V102)&lt;&gt;1),"PlanKey不足・重複",IF(OR(P102="",P102="未設定",P102="設計中",P102="改訂中"),"計画未確定",IF(AND(P102&lt;&gt;"承認",P102&lt;&gt;"対象外承認"),"状態不正",IF(OR(T102="",U102="",O102=""),"計画対象・承認不足",IF(P102="対象外承認",IF(G102="","対象外理由不足","対象外計画記録"),IF(OR(G102="",H102="",I102="",J102="",K102="",L102="",M102="",N102=""),"評価設計不足",IF(AND(A102="E05",OR(X102="",Y102="",Z102="")),"試行状態・成功定義不足","計画記録あり")))))))))</f>
        <v/>
      </c>
      <c r="X102" s="29"/>
      <c r="Y102" s="29"/>
      <c r="Z102" s="29"/>
    </row>
    <row r="103" spans="1:26" ht="64" customHeight="1" x14ac:dyDescent="0.2">
      <c r="A103" s="29"/>
      <c r="B103" s="28" t="str">
        <f>IF(A103="","",IF(COUNTIF('32_定義マスター'!$A$13:$A$30,A103)&lt;&gt;1,"参照ID不正",IF(INDEX('32_定義マスター'!$B$13:$B$30,MATCH(A103,'32_定義マスター'!$A$13:$A$30,0))="","",INDEX('32_定義マスター'!$B$13:$B$30,MATCH(A103,'32_定義マスター'!$A$13:$A$30,0)))))</f>
        <v/>
      </c>
      <c r="C103" s="28" t="str">
        <f>IF(A103="","",IF(COUNTIF('32_定義マスター'!$A$13:$A$30,A103)&lt;&gt;1,"参照ID不正",IF(INDEX('32_定義マスター'!$C$13:$C$30,MATCH(A103,'32_定義マスター'!$A$13:$A$30,0))="","",INDEX('32_定義マスター'!$C$13:$C$30,MATCH(A103,'32_定義マスター'!$A$13:$A$30,0)))))</f>
        <v/>
      </c>
      <c r="D103" s="28" t="str">
        <f>IF(A103="","",IF(COUNTIF('32_定義マスター'!$A$13:$A$30,A103)&lt;&gt;1,"参照ID不正",IF(INDEX('32_定義マスター'!$D$13:$D$30,MATCH(A103,'32_定義マスター'!$A$13:$A$30,0))="","",INDEX('32_定義マスター'!$D$13:$D$30,MATCH(A103,'32_定義マスター'!$A$13:$A$30,0)))))</f>
        <v/>
      </c>
      <c r="E103" s="28" t="str">
        <f>IF(A103="","",IF(COUNTIF('32_定義マスター'!$A$13:$A$30,A103)&lt;&gt;1,"参照ID不正",IF(INDEX('32_定義マスター'!$E$13:$E$30,MATCH(A103,'32_定義マスター'!$A$13:$A$30,0))="","",INDEX('32_定義マスター'!$E$13:$E$30,MATCH(A103,'32_定義マスター'!$A$13:$A$30,0)))))</f>
        <v/>
      </c>
      <c r="F103" s="28" t="str">
        <f>IF(A103="","",IF(COUNTIF('32_定義マスター'!$A$13:$A$30,A103)&lt;&gt;1,"参照ID不正",IF(INDEX('32_定義マスター'!$F$13:$F$30,MATCH(A103,'32_定義マスター'!$A$13:$A$30,0))="","",INDEX('32_定義マスター'!$F$13:$F$30,MATCH(A103,'32_定義マスター'!$A$13:$A$30,0)))))</f>
        <v/>
      </c>
      <c r="G103" s="29"/>
      <c r="H103" s="29"/>
      <c r="I103" s="29"/>
      <c r="J103" s="29"/>
      <c r="K103" s="29"/>
      <c r="L103" s="29"/>
      <c r="M103" s="29"/>
      <c r="N103" s="29"/>
      <c r="O103" s="29"/>
      <c r="P103" s="29"/>
      <c r="Q103" s="28" t="str">
        <f>IF(A103="","",IF(COUNTIF('32_定義マスター'!$A$13:$A$30,A103)&lt;&gt;1,"参照ID不正",IF(INDEX('32_定義マスター'!$G$13:$G$30,MATCH(A103,'32_定義マスター'!$A$13:$A$30,0))="","",INDEX('32_定義マスター'!$G$13:$G$30,MATCH(A103,'32_定義マスター'!$A$13:$A$30,0)))))</f>
        <v/>
      </c>
      <c r="R103" s="29"/>
      <c r="S103" s="29"/>
      <c r="T103" s="29"/>
      <c r="U103" s="29"/>
      <c r="V103" s="28" t="str">
        <f t="shared" si="2"/>
        <v/>
      </c>
      <c r="W103" s="28" t="str">
        <f>IF(A103="","",IF(COUNTIF('32_定義マスター'!$A$13:$A$30,A103)&lt;&gt;1,"EvalType不正",IF(OR(V103="",COUNTIF($V$4:$V$103,V103)&lt;&gt;1),"PlanKey不足・重複",IF(OR(P103="",P103="未設定",P103="設計中",P103="改訂中"),"計画未確定",IF(AND(P103&lt;&gt;"承認",P103&lt;&gt;"対象外承認"),"状態不正",IF(OR(T103="",U103="",O103=""),"計画対象・承認不足",IF(P103="対象外承認",IF(G103="","対象外理由不足","対象外計画記録"),IF(OR(G103="",H103="",I103="",J103="",K103="",L103="",M103="",N103=""),"評価設計不足",IF(AND(A103="E05",OR(X103="",Y103="",Z103="")),"試行状態・成功定義不足","計画記録あり")))))))))</f>
        <v/>
      </c>
      <c r="X103" s="29"/>
      <c r="Y103" s="29"/>
      <c r="Z103" s="29"/>
    </row>
  </sheetData>
  <autoFilter ref="A3:Z103" xr:uid="{00000000-0009-0000-0000-00000F000000}"/>
  <mergeCells count="2">
    <mergeCell ref="A2:I2"/>
    <mergeCell ref="A1:G1"/>
  </mergeCells>
  <phoneticPr fontId="12"/>
  <conditionalFormatting sqref="W4:W103">
    <cfRule type="expression" dxfId="67" priority="1">
      <formula>OR(ISNUMBER(SEARCH("不正",W4)),ISNUMBER(SEARCH("不足",W4)),ISNUMBER(SEARCH("超過",W4)),ISNUMBER(SEARCH("不一致",W4)),ISNUMBER(SEARCH("失効",W4)),ISNUMBER(SEARCH("矛盾",W4)))</formula>
    </cfRule>
  </conditionalFormatting>
  <dataValidations count="2">
    <dataValidation type="list" allowBlank="1" showErrorMessage="1" errorTitle="入力値を確認" error="候補・値域を確認してください。貼付や外部取込後も点検が必要です。" sqref="A4:A103" xr:uid="{00000000-0002-0000-0F00-000000000000}">
      <formula1>EvalIDs</formula1>
    </dataValidation>
    <dataValidation type="list" allowBlank="1" showErrorMessage="1" errorTitle="入力値を確認" error="候補・値域を確認してください。貼付や外部取込後も点検が必要です。" sqref="P4:P103" xr:uid="{00000000-0002-0000-0F00-000001000000}">
      <formula1>"未設定,設計中,承認,改訂中,対象外承認"</formula1>
    </dataValidation>
  </dataValidations>
  <pageMargins left="0.25" right="0.25" top="0.4" bottom="0.4" header="0.5" footer="0.5"/>
  <pageSetup paperSize="8" fitToHeight="0" orientation="landscape"/>
  <headerFooter>
    <oddFooter>&amp;CAI自社事業PJ v1.0 | &amp;A&amp;R&amp;P / &amp;N</oddFooter>
  </headerFooter>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4B5E"/>
    <outlinePr summaryRight="0"/>
    <pageSetUpPr fitToPage="1"/>
  </sheetPr>
  <dimension ref="A1:Y103"/>
  <sheetViews>
    <sheetView showGridLines="0" zoomScale="80" workbookViewId="0">
      <pane xSplit="3" ySplit="3" topLeftCell="D4" activePane="bottomRight" state="frozen"/>
      <selection pane="topRight"/>
      <selection pane="bottomLeft"/>
      <selection pane="bottomRight"/>
    </sheetView>
  </sheetViews>
  <sheetFormatPr defaultRowHeight="13" x14ac:dyDescent="0.2"/>
  <cols>
    <col min="1" max="1" width="17" customWidth="1"/>
    <col min="2" max="2" width="13" customWidth="1"/>
    <col min="3" max="3" width="33" customWidth="1"/>
    <col min="4" max="4" width="23" customWidth="1"/>
    <col min="5" max="5" width="31" customWidth="1"/>
    <col min="6" max="6" width="35" customWidth="1"/>
    <col min="7" max="7" width="41" customWidth="1"/>
    <col min="8" max="8" width="47" customWidth="1"/>
    <col min="9" max="9" width="58" customWidth="1"/>
    <col min="10" max="10" width="43" customWidth="1"/>
    <col min="11" max="11" width="53" customWidth="1"/>
    <col min="12" max="12" width="58" customWidth="1"/>
    <col min="13" max="13" width="31" customWidth="1"/>
    <col min="14" max="14" width="28" customWidth="1"/>
    <col min="15" max="15" width="22" customWidth="1"/>
    <col min="16" max="16" width="64" customWidth="1"/>
    <col min="17" max="17" width="76" customWidth="1"/>
    <col min="18" max="18" width="20" customWidth="1"/>
    <col min="19" max="19" width="29" customWidth="1"/>
    <col min="20" max="20" width="21" customWidth="1"/>
    <col min="21" max="21" width="26" customWidth="1"/>
    <col min="22" max="25" width="21" customWidth="1"/>
  </cols>
  <sheetData>
    <row r="1" spans="1:25" ht="34" customHeight="1" x14ac:dyDescent="0.55000000000000004">
      <c r="A1" s="44" t="s">
        <v>3552</v>
      </c>
      <c r="B1" s="45"/>
      <c r="C1" s="45"/>
      <c r="D1" s="45"/>
      <c r="E1" s="45"/>
      <c r="F1" s="45"/>
      <c r="G1" s="45"/>
    </row>
    <row r="2" spans="1:25" ht="43" customHeight="1" x14ac:dyDescent="0.2">
      <c r="A2" s="47" t="s">
        <v>3553</v>
      </c>
      <c r="B2" s="45"/>
      <c r="C2" s="45"/>
      <c r="D2" s="45"/>
      <c r="E2" s="45"/>
      <c r="F2" s="45"/>
      <c r="G2" s="45"/>
      <c r="H2" s="45"/>
      <c r="I2" s="45"/>
    </row>
    <row r="3" spans="1:25" ht="36" customHeight="1" x14ac:dyDescent="0.2">
      <c r="A3" s="1" t="s">
        <v>3554</v>
      </c>
      <c r="B3" s="1" t="s">
        <v>3555</v>
      </c>
      <c r="C3" s="1" t="s">
        <v>3556</v>
      </c>
      <c r="D3" s="1" t="s">
        <v>3557</v>
      </c>
      <c r="E3" s="1" t="s">
        <v>3558</v>
      </c>
      <c r="F3" s="1" t="s">
        <v>3559</v>
      </c>
      <c r="G3" s="1" t="s">
        <v>3560</v>
      </c>
      <c r="H3" s="1" t="s">
        <v>3561</v>
      </c>
      <c r="I3" s="1" t="s">
        <v>3562</v>
      </c>
      <c r="J3" s="1" t="s">
        <v>3563</v>
      </c>
      <c r="K3" s="1" t="s">
        <v>3564</v>
      </c>
      <c r="L3" s="1" t="s">
        <v>3565</v>
      </c>
      <c r="M3" s="1" t="s">
        <v>3566</v>
      </c>
      <c r="N3" s="1" t="s">
        <v>3567</v>
      </c>
      <c r="O3" s="1" t="s">
        <v>3568</v>
      </c>
      <c r="P3" s="1" t="s">
        <v>3110</v>
      </c>
      <c r="Q3" s="1" t="s">
        <v>3569</v>
      </c>
      <c r="R3" s="1" t="s">
        <v>3072</v>
      </c>
      <c r="S3" s="1" t="s">
        <v>3075</v>
      </c>
      <c r="T3" s="1" t="s">
        <v>3570</v>
      </c>
      <c r="U3" s="1" t="s">
        <v>3571</v>
      </c>
      <c r="V3" s="1" t="s">
        <v>3572</v>
      </c>
      <c r="W3" s="1" t="s">
        <v>3573</v>
      </c>
      <c r="X3" s="1" t="s">
        <v>3574</v>
      </c>
      <c r="Y3" s="1" t="s">
        <v>3575</v>
      </c>
    </row>
    <row r="4" spans="1:25" ht="66" customHeight="1" x14ac:dyDescent="0.2">
      <c r="A4" s="6"/>
      <c r="B4" s="6"/>
      <c r="C4" s="6"/>
      <c r="D4" s="19"/>
      <c r="E4" s="6"/>
      <c r="F4" s="6"/>
      <c r="G4" s="6"/>
      <c r="H4" s="6"/>
      <c r="I4" s="6"/>
      <c r="J4" s="28" t="str">
        <f>IF(A4="","",IF(COUNTIF('15_評価計画・品質ゲート'!$V$4:$V$103,B4)&lt;&gt;1,"参照ID不正",IF(INDEX('15_評価計画・品質ゲート'!$S$4:$S$103,MATCH(B4,'15_評価計画・品質ゲート'!$V$4:$V$103,0))="","",INDEX('15_評価計画・品質ゲート'!$S$4:$S$103,MATCH(B4,'15_評価計画・品質ゲート'!$V$4:$V$103,0)))))</f>
        <v/>
      </c>
      <c r="K4" s="6"/>
      <c r="L4" s="6"/>
      <c r="M4" s="6"/>
      <c r="N4" s="6"/>
      <c r="O4" s="6"/>
      <c r="P4" s="6"/>
      <c r="Q4" s="6"/>
      <c r="R4" s="19"/>
      <c r="S4" s="28" t="str">
        <f>IF(A4="","",IF(COUNTIF($A$4:$A$103,A4)&lt;&gt;1,"Run ID重複",IF(Y4&lt;&gt;"計画・構成一致",Y4,IF(X4&lt;&gt;"","無効化Run",IF(OR(OR(C4="",E4="",F4="",G4="",H4="",I4="",K4="",M4="",N4="",P4="",T4=""),LEN(L4&amp;"")=0,COUNT(D4,R4)&lt;2),"記録不足",IF(OR(AND(D4&lt;&gt;"",OR(NOT(ISNUMBER(D4)),IFERROR(D4&lt;1,TRUE),IFERROR(INT(D4)&gt;INT(AsOfDate),TRUE))),AND(R4&lt;&gt;"",OR(NOT(ISNUMBER(R4)),IFERROR(R4&lt;1,TRUE),IFERROR(INT(R4)&gt;INT(AsOfDate),TRUE)))),"実績日時不正",IF(R4&lt;D4,"評価承認日時逆転",IF(OR(V4="",W4="",V4=W4),"独立確認Person不足",IF(AND(IF(COUNTIF('15_評価計画・品質ゲート'!$V$4:$V$103,B4)&lt;&gt;1,"参照ID不正",IF(INDEX('15_評価計画・品質ゲート'!$A$4:$A$103,MATCH(B4,'15_評価計画・品質ゲート'!$V$4:$V$103,0))="","",INDEX('15_評価計画・品質ゲート'!$A$4:$A$103,MATCH(B4,'15_評価計画・品質ゲート'!$V$4:$V$103,0))))="E05",U4=""),"Trial状態証拠不足",IF(OR(O4="",O4="未判定",O4="無効/再実行"),"評価判定未確定","記録あり・内容審査別"))))))))))</f>
        <v/>
      </c>
      <c r="T4" s="29"/>
      <c r="U4" s="29"/>
      <c r="V4" s="29"/>
      <c r="W4" s="29"/>
      <c r="X4" s="29"/>
      <c r="Y4" s="28" t="str">
        <f>IF(A4="","",IF(COUNTIF(EvalPlanKeys,B4)&lt;&gt;1,"PlanKey不正",IF(OR(T4="",T4&lt;&gt;IF(COUNTIF('15_評価計画・品質ゲート'!$V$4:$V$103,B4)&lt;&gt;1,"参照ID不正",IF(INDEX('15_評価計画・品質ゲート'!$U$4:$U$103,MATCH(B4,'15_評価計画・品質ゲート'!$V$4:$V$103,0))="","",INDEX('15_評価計画・品質ゲート'!$U$4:$U$103,MATCH(B4,'15_評価計画・品質ゲート'!$V$4:$V$103,0))))),"Manifest不一致",IF(IF(COUNTIF('15_評価計画・品質ゲート'!$V$4:$V$103,B4)&lt;&gt;1,"参照ID不正",IF(INDEX('15_評価計画・品質ゲート'!$W$4:$W$103,MATCH(B4,'15_評価計画・品質ゲート'!$V$4:$V$103,0))="","",INDEX('15_評価計画・品質ゲート'!$W$4:$W$103,MATCH(B4,'15_評価計画・品質ゲート'!$V$4:$V$103,0))))&lt;&gt;"計画記録あり","計画未承認・不足","計画・構成一致"))))</f>
        <v/>
      </c>
    </row>
    <row r="5" spans="1:25" ht="66" customHeight="1" x14ac:dyDescent="0.2">
      <c r="A5" s="6"/>
      <c r="B5" s="6"/>
      <c r="C5" s="6"/>
      <c r="D5" s="19"/>
      <c r="E5" s="6"/>
      <c r="F5" s="6"/>
      <c r="G5" s="6"/>
      <c r="H5" s="6"/>
      <c r="I5" s="6"/>
      <c r="J5" s="28" t="str">
        <f>IF(A5="","",IF(COUNTIF('15_評価計画・品質ゲート'!$V$4:$V$103,B5)&lt;&gt;1,"参照ID不正",IF(INDEX('15_評価計画・品質ゲート'!$S$4:$S$103,MATCH(B5,'15_評価計画・品質ゲート'!$V$4:$V$103,0))="","",INDEX('15_評価計画・品質ゲート'!$S$4:$S$103,MATCH(B5,'15_評価計画・品質ゲート'!$V$4:$V$103,0)))))</f>
        <v/>
      </c>
      <c r="K5" s="6"/>
      <c r="L5" s="6"/>
      <c r="M5" s="6"/>
      <c r="N5" s="6"/>
      <c r="O5" s="6"/>
      <c r="P5" s="6"/>
      <c r="Q5" s="6"/>
      <c r="R5" s="19"/>
      <c r="S5" s="28" t="str">
        <f>IF(A5="","",IF(COUNTIF($A$4:$A$103,A5)&lt;&gt;1,"Run ID重複",IF(Y5&lt;&gt;"計画・構成一致",Y5,IF(X5&lt;&gt;"","無効化Run",IF(OR(OR(C5="",E5="",F5="",G5="",H5="",I5="",K5="",M5="",N5="",P5="",T5=""),LEN(L5&amp;"")=0,COUNT(D5,R5)&lt;2),"記録不足",IF(OR(AND(D5&lt;&gt;"",OR(NOT(ISNUMBER(D5)),IFERROR(D5&lt;1,TRUE),IFERROR(INT(D5)&gt;INT(AsOfDate),TRUE))),AND(R5&lt;&gt;"",OR(NOT(ISNUMBER(R5)),IFERROR(R5&lt;1,TRUE),IFERROR(INT(R5)&gt;INT(AsOfDate),TRUE)))),"実績日時不正",IF(R5&lt;D5,"評価承認日時逆転",IF(OR(V5="",W5="",V5=W5),"独立確認Person不足",IF(AND(IF(COUNTIF('15_評価計画・品質ゲート'!$V$4:$V$103,B5)&lt;&gt;1,"参照ID不正",IF(INDEX('15_評価計画・品質ゲート'!$A$4:$A$103,MATCH(B5,'15_評価計画・品質ゲート'!$V$4:$V$103,0))="","",INDEX('15_評価計画・品質ゲート'!$A$4:$A$103,MATCH(B5,'15_評価計画・品質ゲート'!$V$4:$V$103,0))))="E05",U5=""),"Trial状態証拠不足",IF(OR(O5="",O5="未判定",O5="無効/再実行"),"評価判定未確定","記録あり・内容審査別"))))))))))</f>
        <v/>
      </c>
      <c r="T5" s="29"/>
      <c r="U5" s="29"/>
      <c r="V5" s="29"/>
      <c r="W5" s="29"/>
      <c r="X5" s="29"/>
      <c r="Y5" s="28" t="str">
        <f>IF(A5="","",IF(COUNTIF(EvalPlanKeys,B5)&lt;&gt;1,"PlanKey不正",IF(OR(T5="",T5&lt;&gt;IF(COUNTIF('15_評価計画・品質ゲート'!$V$4:$V$103,B5)&lt;&gt;1,"参照ID不正",IF(INDEX('15_評価計画・品質ゲート'!$U$4:$U$103,MATCH(B5,'15_評価計画・品質ゲート'!$V$4:$V$103,0))="","",INDEX('15_評価計画・品質ゲート'!$U$4:$U$103,MATCH(B5,'15_評価計画・品質ゲート'!$V$4:$V$103,0))))),"Manifest不一致",IF(IF(COUNTIF('15_評価計画・品質ゲート'!$V$4:$V$103,B5)&lt;&gt;1,"参照ID不正",IF(INDEX('15_評価計画・品質ゲート'!$W$4:$W$103,MATCH(B5,'15_評価計画・品質ゲート'!$V$4:$V$103,0))="","",INDEX('15_評価計画・品質ゲート'!$W$4:$W$103,MATCH(B5,'15_評価計画・品質ゲート'!$V$4:$V$103,0))))&lt;&gt;"計画記録あり","計画未承認・不足","計画・構成一致"))))</f>
        <v/>
      </c>
    </row>
    <row r="6" spans="1:25" ht="66" customHeight="1" x14ac:dyDescent="0.2">
      <c r="A6" s="6"/>
      <c r="B6" s="6"/>
      <c r="C6" s="6"/>
      <c r="D6" s="19"/>
      <c r="E6" s="6"/>
      <c r="F6" s="6"/>
      <c r="G6" s="6"/>
      <c r="H6" s="6"/>
      <c r="I6" s="6"/>
      <c r="J6" s="28" t="str">
        <f>IF(A6="","",IF(COUNTIF('15_評価計画・品質ゲート'!$V$4:$V$103,B6)&lt;&gt;1,"参照ID不正",IF(INDEX('15_評価計画・品質ゲート'!$S$4:$S$103,MATCH(B6,'15_評価計画・品質ゲート'!$V$4:$V$103,0))="","",INDEX('15_評価計画・品質ゲート'!$S$4:$S$103,MATCH(B6,'15_評価計画・品質ゲート'!$V$4:$V$103,0)))))</f>
        <v/>
      </c>
      <c r="K6" s="6"/>
      <c r="L6" s="6"/>
      <c r="M6" s="6"/>
      <c r="N6" s="6"/>
      <c r="O6" s="6"/>
      <c r="P6" s="6"/>
      <c r="Q6" s="6"/>
      <c r="R6" s="19"/>
      <c r="S6" s="28" t="str">
        <f>IF(A6="","",IF(COUNTIF($A$4:$A$103,A6)&lt;&gt;1,"Run ID重複",IF(Y6&lt;&gt;"計画・構成一致",Y6,IF(X6&lt;&gt;"","無効化Run",IF(OR(OR(C6="",E6="",F6="",G6="",H6="",I6="",K6="",M6="",N6="",P6="",T6=""),LEN(L6&amp;"")=0,COUNT(D6,R6)&lt;2),"記録不足",IF(OR(AND(D6&lt;&gt;"",OR(NOT(ISNUMBER(D6)),IFERROR(D6&lt;1,TRUE),IFERROR(INT(D6)&gt;INT(AsOfDate),TRUE))),AND(R6&lt;&gt;"",OR(NOT(ISNUMBER(R6)),IFERROR(R6&lt;1,TRUE),IFERROR(INT(R6)&gt;INT(AsOfDate),TRUE)))),"実績日時不正",IF(R6&lt;D6,"評価承認日時逆転",IF(OR(V6="",W6="",V6=W6),"独立確認Person不足",IF(AND(IF(COUNTIF('15_評価計画・品質ゲート'!$V$4:$V$103,B6)&lt;&gt;1,"参照ID不正",IF(INDEX('15_評価計画・品質ゲート'!$A$4:$A$103,MATCH(B6,'15_評価計画・品質ゲート'!$V$4:$V$103,0))="","",INDEX('15_評価計画・品質ゲート'!$A$4:$A$103,MATCH(B6,'15_評価計画・品質ゲート'!$V$4:$V$103,0))))="E05",U6=""),"Trial状態証拠不足",IF(OR(O6="",O6="未判定",O6="無効/再実行"),"評価判定未確定","記録あり・内容審査別"))))))))))</f>
        <v/>
      </c>
      <c r="T6" s="29"/>
      <c r="U6" s="29"/>
      <c r="V6" s="29"/>
      <c r="W6" s="29"/>
      <c r="X6" s="29"/>
      <c r="Y6" s="28" t="str">
        <f>IF(A6="","",IF(COUNTIF(EvalPlanKeys,B6)&lt;&gt;1,"PlanKey不正",IF(OR(T6="",T6&lt;&gt;IF(COUNTIF('15_評価計画・品質ゲート'!$V$4:$V$103,B6)&lt;&gt;1,"参照ID不正",IF(INDEX('15_評価計画・品質ゲート'!$U$4:$U$103,MATCH(B6,'15_評価計画・品質ゲート'!$V$4:$V$103,0))="","",INDEX('15_評価計画・品質ゲート'!$U$4:$U$103,MATCH(B6,'15_評価計画・品質ゲート'!$V$4:$V$103,0))))),"Manifest不一致",IF(IF(COUNTIF('15_評価計画・品質ゲート'!$V$4:$V$103,B6)&lt;&gt;1,"参照ID不正",IF(INDEX('15_評価計画・品質ゲート'!$W$4:$W$103,MATCH(B6,'15_評価計画・品質ゲート'!$V$4:$V$103,0))="","",INDEX('15_評価計画・品質ゲート'!$W$4:$W$103,MATCH(B6,'15_評価計画・品質ゲート'!$V$4:$V$103,0))))&lt;&gt;"計画記録あり","計画未承認・不足","計画・構成一致"))))</f>
        <v/>
      </c>
    </row>
    <row r="7" spans="1:25" ht="66" customHeight="1" x14ac:dyDescent="0.2">
      <c r="A7" s="6"/>
      <c r="B7" s="6"/>
      <c r="C7" s="6"/>
      <c r="D7" s="19"/>
      <c r="E7" s="6"/>
      <c r="F7" s="6"/>
      <c r="G7" s="6"/>
      <c r="H7" s="6"/>
      <c r="I7" s="6"/>
      <c r="J7" s="28" t="str">
        <f>IF(A7="","",IF(COUNTIF('15_評価計画・品質ゲート'!$V$4:$V$103,B7)&lt;&gt;1,"参照ID不正",IF(INDEX('15_評価計画・品質ゲート'!$S$4:$S$103,MATCH(B7,'15_評価計画・品質ゲート'!$V$4:$V$103,0))="","",INDEX('15_評価計画・品質ゲート'!$S$4:$S$103,MATCH(B7,'15_評価計画・品質ゲート'!$V$4:$V$103,0)))))</f>
        <v/>
      </c>
      <c r="K7" s="6"/>
      <c r="L7" s="6"/>
      <c r="M7" s="6"/>
      <c r="N7" s="6"/>
      <c r="O7" s="6"/>
      <c r="P7" s="6"/>
      <c r="Q7" s="6"/>
      <c r="R7" s="19"/>
      <c r="S7" s="28" t="str">
        <f>IF(A7="","",IF(COUNTIF($A$4:$A$103,A7)&lt;&gt;1,"Run ID重複",IF(Y7&lt;&gt;"計画・構成一致",Y7,IF(X7&lt;&gt;"","無効化Run",IF(OR(OR(C7="",E7="",F7="",G7="",H7="",I7="",K7="",M7="",N7="",P7="",T7=""),LEN(L7&amp;"")=0,COUNT(D7,R7)&lt;2),"記録不足",IF(OR(AND(D7&lt;&gt;"",OR(NOT(ISNUMBER(D7)),IFERROR(D7&lt;1,TRUE),IFERROR(INT(D7)&gt;INT(AsOfDate),TRUE))),AND(R7&lt;&gt;"",OR(NOT(ISNUMBER(R7)),IFERROR(R7&lt;1,TRUE),IFERROR(INT(R7)&gt;INT(AsOfDate),TRUE)))),"実績日時不正",IF(R7&lt;D7,"評価承認日時逆転",IF(OR(V7="",W7="",V7=W7),"独立確認Person不足",IF(AND(IF(COUNTIF('15_評価計画・品質ゲート'!$V$4:$V$103,B7)&lt;&gt;1,"参照ID不正",IF(INDEX('15_評価計画・品質ゲート'!$A$4:$A$103,MATCH(B7,'15_評価計画・品質ゲート'!$V$4:$V$103,0))="","",INDEX('15_評価計画・品質ゲート'!$A$4:$A$103,MATCH(B7,'15_評価計画・品質ゲート'!$V$4:$V$103,0))))="E05",U7=""),"Trial状態証拠不足",IF(OR(O7="",O7="未判定",O7="無効/再実行"),"評価判定未確定","記録あり・内容審査別"))))))))))</f>
        <v/>
      </c>
      <c r="T7" s="29"/>
      <c r="U7" s="29"/>
      <c r="V7" s="29"/>
      <c r="W7" s="29"/>
      <c r="X7" s="29"/>
      <c r="Y7" s="28" t="str">
        <f>IF(A7="","",IF(COUNTIF(EvalPlanKeys,B7)&lt;&gt;1,"PlanKey不正",IF(OR(T7="",T7&lt;&gt;IF(COUNTIF('15_評価計画・品質ゲート'!$V$4:$V$103,B7)&lt;&gt;1,"参照ID不正",IF(INDEX('15_評価計画・品質ゲート'!$U$4:$U$103,MATCH(B7,'15_評価計画・品質ゲート'!$V$4:$V$103,0))="","",INDEX('15_評価計画・品質ゲート'!$U$4:$U$103,MATCH(B7,'15_評価計画・品質ゲート'!$V$4:$V$103,0))))),"Manifest不一致",IF(IF(COUNTIF('15_評価計画・品質ゲート'!$V$4:$V$103,B7)&lt;&gt;1,"参照ID不正",IF(INDEX('15_評価計画・品質ゲート'!$W$4:$W$103,MATCH(B7,'15_評価計画・品質ゲート'!$V$4:$V$103,0))="","",INDEX('15_評価計画・品質ゲート'!$W$4:$W$103,MATCH(B7,'15_評価計画・品質ゲート'!$V$4:$V$103,0))))&lt;&gt;"計画記録あり","計画未承認・不足","計画・構成一致"))))</f>
        <v/>
      </c>
    </row>
    <row r="8" spans="1:25" ht="66" customHeight="1" x14ac:dyDescent="0.2">
      <c r="A8" s="6"/>
      <c r="B8" s="6"/>
      <c r="C8" s="6"/>
      <c r="D8" s="19"/>
      <c r="E8" s="6"/>
      <c r="F8" s="6"/>
      <c r="G8" s="6"/>
      <c r="H8" s="6"/>
      <c r="I8" s="6"/>
      <c r="J8" s="28" t="str">
        <f>IF(A8="","",IF(COUNTIF('15_評価計画・品質ゲート'!$V$4:$V$103,B8)&lt;&gt;1,"参照ID不正",IF(INDEX('15_評価計画・品質ゲート'!$S$4:$S$103,MATCH(B8,'15_評価計画・品質ゲート'!$V$4:$V$103,0))="","",INDEX('15_評価計画・品質ゲート'!$S$4:$S$103,MATCH(B8,'15_評価計画・品質ゲート'!$V$4:$V$103,0)))))</f>
        <v/>
      </c>
      <c r="K8" s="6"/>
      <c r="L8" s="6"/>
      <c r="M8" s="6"/>
      <c r="N8" s="6"/>
      <c r="O8" s="6"/>
      <c r="P8" s="6"/>
      <c r="Q8" s="6"/>
      <c r="R8" s="19"/>
      <c r="S8" s="28" t="str">
        <f>IF(A8="","",IF(COUNTIF($A$4:$A$103,A8)&lt;&gt;1,"Run ID重複",IF(Y8&lt;&gt;"計画・構成一致",Y8,IF(X8&lt;&gt;"","無効化Run",IF(OR(OR(C8="",E8="",F8="",G8="",H8="",I8="",K8="",M8="",N8="",P8="",T8=""),LEN(L8&amp;"")=0,COUNT(D8,R8)&lt;2),"記録不足",IF(OR(AND(D8&lt;&gt;"",OR(NOT(ISNUMBER(D8)),IFERROR(D8&lt;1,TRUE),IFERROR(INT(D8)&gt;INT(AsOfDate),TRUE))),AND(R8&lt;&gt;"",OR(NOT(ISNUMBER(R8)),IFERROR(R8&lt;1,TRUE),IFERROR(INT(R8)&gt;INT(AsOfDate),TRUE)))),"実績日時不正",IF(R8&lt;D8,"評価承認日時逆転",IF(OR(V8="",W8="",V8=W8),"独立確認Person不足",IF(AND(IF(COUNTIF('15_評価計画・品質ゲート'!$V$4:$V$103,B8)&lt;&gt;1,"参照ID不正",IF(INDEX('15_評価計画・品質ゲート'!$A$4:$A$103,MATCH(B8,'15_評価計画・品質ゲート'!$V$4:$V$103,0))="","",INDEX('15_評価計画・品質ゲート'!$A$4:$A$103,MATCH(B8,'15_評価計画・品質ゲート'!$V$4:$V$103,0))))="E05",U8=""),"Trial状態証拠不足",IF(OR(O8="",O8="未判定",O8="無効/再実行"),"評価判定未確定","記録あり・内容審査別"))))))))))</f>
        <v/>
      </c>
      <c r="T8" s="29"/>
      <c r="U8" s="29"/>
      <c r="V8" s="29"/>
      <c r="W8" s="29"/>
      <c r="X8" s="29"/>
      <c r="Y8" s="28" t="str">
        <f>IF(A8="","",IF(COUNTIF(EvalPlanKeys,B8)&lt;&gt;1,"PlanKey不正",IF(OR(T8="",T8&lt;&gt;IF(COUNTIF('15_評価計画・品質ゲート'!$V$4:$V$103,B8)&lt;&gt;1,"参照ID不正",IF(INDEX('15_評価計画・品質ゲート'!$U$4:$U$103,MATCH(B8,'15_評価計画・品質ゲート'!$V$4:$V$103,0))="","",INDEX('15_評価計画・品質ゲート'!$U$4:$U$103,MATCH(B8,'15_評価計画・品質ゲート'!$V$4:$V$103,0))))),"Manifest不一致",IF(IF(COUNTIF('15_評価計画・品質ゲート'!$V$4:$V$103,B8)&lt;&gt;1,"参照ID不正",IF(INDEX('15_評価計画・品質ゲート'!$W$4:$W$103,MATCH(B8,'15_評価計画・品質ゲート'!$V$4:$V$103,0))="","",INDEX('15_評価計画・品質ゲート'!$W$4:$W$103,MATCH(B8,'15_評価計画・品質ゲート'!$V$4:$V$103,0))))&lt;&gt;"計画記録あり","計画未承認・不足","計画・構成一致"))))</f>
        <v/>
      </c>
    </row>
    <row r="9" spans="1:25" ht="66" customHeight="1" x14ac:dyDescent="0.2">
      <c r="A9" s="6"/>
      <c r="B9" s="6"/>
      <c r="C9" s="6"/>
      <c r="D9" s="19"/>
      <c r="E9" s="6"/>
      <c r="F9" s="6"/>
      <c r="G9" s="6"/>
      <c r="H9" s="6"/>
      <c r="I9" s="6"/>
      <c r="J9" s="28" t="str">
        <f>IF(A9="","",IF(COUNTIF('15_評価計画・品質ゲート'!$V$4:$V$103,B9)&lt;&gt;1,"参照ID不正",IF(INDEX('15_評価計画・品質ゲート'!$S$4:$S$103,MATCH(B9,'15_評価計画・品質ゲート'!$V$4:$V$103,0))="","",INDEX('15_評価計画・品質ゲート'!$S$4:$S$103,MATCH(B9,'15_評価計画・品質ゲート'!$V$4:$V$103,0)))))</f>
        <v/>
      </c>
      <c r="K9" s="6"/>
      <c r="L9" s="6"/>
      <c r="M9" s="6"/>
      <c r="N9" s="6"/>
      <c r="O9" s="6"/>
      <c r="P9" s="6"/>
      <c r="Q9" s="6"/>
      <c r="R9" s="19"/>
      <c r="S9" s="28" t="str">
        <f>IF(A9="","",IF(COUNTIF($A$4:$A$103,A9)&lt;&gt;1,"Run ID重複",IF(Y9&lt;&gt;"計画・構成一致",Y9,IF(X9&lt;&gt;"","無効化Run",IF(OR(OR(C9="",E9="",F9="",G9="",H9="",I9="",K9="",M9="",N9="",P9="",T9=""),LEN(L9&amp;"")=0,COUNT(D9,R9)&lt;2),"記録不足",IF(OR(AND(D9&lt;&gt;"",OR(NOT(ISNUMBER(D9)),IFERROR(D9&lt;1,TRUE),IFERROR(INT(D9)&gt;INT(AsOfDate),TRUE))),AND(R9&lt;&gt;"",OR(NOT(ISNUMBER(R9)),IFERROR(R9&lt;1,TRUE),IFERROR(INT(R9)&gt;INT(AsOfDate),TRUE)))),"実績日時不正",IF(R9&lt;D9,"評価承認日時逆転",IF(OR(V9="",W9="",V9=W9),"独立確認Person不足",IF(AND(IF(COUNTIF('15_評価計画・品質ゲート'!$V$4:$V$103,B9)&lt;&gt;1,"参照ID不正",IF(INDEX('15_評価計画・品質ゲート'!$A$4:$A$103,MATCH(B9,'15_評価計画・品質ゲート'!$V$4:$V$103,0))="","",INDEX('15_評価計画・品質ゲート'!$A$4:$A$103,MATCH(B9,'15_評価計画・品質ゲート'!$V$4:$V$103,0))))="E05",U9=""),"Trial状態証拠不足",IF(OR(O9="",O9="未判定",O9="無効/再実行"),"評価判定未確定","記録あり・内容審査別"))))))))))</f>
        <v/>
      </c>
      <c r="T9" s="29"/>
      <c r="U9" s="29"/>
      <c r="V9" s="29"/>
      <c r="W9" s="29"/>
      <c r="X9" s="29"/>
      <c r="Y9" s="28" t="str">
        <f>IF(A9="","",IF(COUNTIF(EvalPlanKeys,B9)&lt;&gt;1,"PlanKey不正",IF(OR(T9="",T9&lt;&gt;IF(COUNTIF('15_評価計画・品質ゲート'!$V$4:$V$103,B9)&lt;&gt;1,"参照ID不正",IF(INDEX('15_評価計画・品質ゲート'!$U$4:$U$103,MATCH(B9,'15_評価計画・品質ゲート'!$V$4:$V$103,0))="","",INDEX('15_評価計画・品質ゲート'!$U$4:$U$103,MATCH(B9,'15_評価計画・品質ゲート'!$V$4:$V$103,0))))),"Manifest不一致",IF(IF(COUNTIF('15_評価計画・品質ゲート'!$V$4:$V$103,B9)&lt;&gt;1,"参照ID不正",IF(INDEX('15_評価計画・品質ゲート'!$W$4:$W$103,MATCH(B9,'15_評価計画・品質ゲート'!$V$4:$V$103,0))="","",INDEX('15_評価計画・品質ゲート'!$W$4:$W$103,MATCH(B9,'15_評価計画・品質ゲート'!$V$4:$V$103,0))))&lt;&gt;"計画記録あり","計画未承認・不足","計画・構成一致"))))</f>
        <v/>
      </c>
    </row>
    <row r="10" spans="1:25" ht="66" customHeight="1" x14ac:dyDescent="0.2">
      <c r="A10" s="6"/>
      <c r="B10" s="6"/>
      <c r="C10" s="6"/>
      <c r="D10" s="19"/>
      <c r="E10" s="6"/>
      <c r="F10" s="6"/>
      <c r="G10" s="6"/>
      <c r="H10" s="6"/>
      <c r="I10" s="6"/>
      <c r="J10" s="28" t="str">
        <f>IF(A10="","",IF(COUNTIF('15_評価計画・品質ゲート'!$V$4:$V$103,B10)&lt;&gt;1,"参照ID不正",IF(INDEX('15_評価計画・品質ゲート'!$S$4:$S$103,MATCH(B10,'15_評価計画・品質ゲート'!$V$4:$V$103,0))="","",INDEX('15_評価計画・品質ゲート'!$S$4:$S$103,MATCH(B10,'15_評価計画・品質ゲート'!$V$4:$V$103,0)))))</f>
        <v/>
      </c>
      <c r="K10" s="6"/>
      <c r="L10" s="6"/>
      <c r="M10" s="6"/>
      <c r="N10" s="6"/>
      <c r="O10" s="6"/>
      <c r="P10" s="6"/>
      <c r="Q10" s="6"/>
      <c r="R10" s="19"/>
      <c r="S10" s="28" t="str">
        <f>IF(A10="","",IF(COUNTIF($A$4:$A$103,A10)&lt;&gt;1,"Run ID重複",IF(Y10&lt;&gt;"計画・構成一致",Y10,IF(X10&lt;&gt;"","無効化Run",IF(OR(OR(C10="",E10="",F10="",G10="",H10="",I10="",K10="",M10="",N10="",P10="",T10=""),LEN(L10&amp;"")=0,COUNT(D10,R10)&lt;2),"記録不足",IF(OR(AND(D10&lt;&gt;"",OR(NOT(ISNUMBER(D10)),IFERROR(D10&lt;1,TRUE),IFERROR(INT(D10)&gt;INT(AsOfDate),TRUE))),AND(R10&lt;&gt;"",OR(NOT(ISNUMBER(R10)),IFERROR(R10&lt;1,TRUE),IFERROR(INT(R10)&gt;INT(AsOfDate),TRUE)))),"実績日時不正",IF(R10&lt;D10,"評価承認日時逆転",IF(OR(V10="",W10="",V10=W10),"独立確認Person不足",IF(AND(IF(COUNTIF('15_評価計画・品質ゲート'!$V$4:$V$103,B10)&lt;&gt;1,"参照ID不正",IF(INDEX('15_評価計画・品質ゲート'!$A$4:$A$103,MATCH(B10,'15_評価計画・品質ゲート'!$V$4:$V$103,0))="","",INDEX('15_評価計画・品質ゲート'!$A$4:$A$103,MATCH(B10,'15_評価計画・品質ゲート'!$V$4:$V$103,0))))="E05",U10=""),"Trial状態証拠不足",IF(OR(O10="",O10="未判定",O10="無効/再実行"),"評価判定未確定","記録あり・内容審査別"))))))))))</f>
        <v/>
      </c>
      <c r="T10" s="29"/>
      <c r="U10" s="29"/>
      <c r="V10" s="29"/>
      <c r="W10" s="29"/>
      <c r="X10" s="29"/>
      <c r="Y10" s="28" t="str">
        <f>IF(A10="","",IF(COUNTIF(EvalPlanKeys,B10)&lt;&gt;1,"PlanKey不正",IF(OR(T10="",T10&lt;&gt;IF(COUNTIF('15_評価計画・品質ゲート'!$V$4:$V$103,B10)&lt;&gt;1,"参照ID不正",IF(INDEX('15_評価計画・品質ゲート'!$U$4:$U$103,MATCH(B10,'15_評価計画・品質ゲート'!$V$4:$V$103,0))="","",INDEX('15_評価計画・品質ゲート'!$U$4:$U$103,MATCH(B10,'15_評価計画・品質ゲート'!$V$4:$V$103,0))))),"Manifest不一致",IF(IF(COUNTIF('15_評価計画・品質ゲート'!$V$4:$V$103,B10)&lt;&gt;1,"参照ID不正",IF(INDEX('15_評価計画・品質ゲート'!$W$4:$W$103,MATCH(B10,'15_評価計画・品質ゲート'!$V$4:$V$103,0))="","",INDEX('15_評価計画・品質ゲート'!$W$4:$W$103,MATCH(B10,'15_評価計画・品質ゲート'!$V$4:$V$103,0))))&lt;&gt;"計画記録あり","計画未承認・不足","計画・構成一致"))))</f>
        <v/>
      </c>
    </row>
    <row r="11" spans="1:25" ht="66" customHeight="1" x14ac:dyDescent="0.2">
      <c r="A11" s="6"/>
      <c r="B11" s="6"/>
      <c r="C11" s="6"/>
      <c r="D11" s="19"/>
      <c r="E11" s="6"/>
      <c r="F11" s="6"/>
      <c r="G11" s="6"/>
      <c r="H11" s="6"/>
      <c r="I11" s="6"/>
      <c r="J11" s="28" t="str">
        <f>IF(A11="","",IF(COUNTIF('15_評価計画・品質ゲート'!$V$4:$V$103,B11)&lt;&gt;1,"参照ID不正",IF(INDEX('15_評価計画・品質ゲート'!$S$4:$S$103,MATCH(B11,'15_評価計画・品質ゲート'!$V$4:$V$103,0))="","",INDEX('15_評価計画・品質ゲート'!$S$4:$S$103,MATCH(B11,'15_評価計画・品質ゲート'!$V$4:$V$103,0)))))</f>
        <v/>
      </c>
      <c r="K11" s="6"/>
      <c r="L11" s="6"/>
      <c r="M11" s="6"/>
      <c r="N11" s="6"/>
      <c r="O11" s="6"/>
      <c r="P11" s="6"/>
      <c r="Q11" s="6"/>
      <c r="R11" s="19"/>
      <c r="S11" s="28" t="str">
        <f>IF(A11="","",IF(COUNTIF($A$4:$A$103,A11)&lt;&gt;1,"Run ID重複",IF(Y11&lt;&gt;"計画・構成一致",Y11,IF(X11&lt;&gt;"","無効化Run",IF(OR(OR(C11="",E11="",F11="",G11="",H11="",I11="",K11="",M11="",N11="",P11="",T11=""),LEN(L11&amp;"")=0,COUNT(D11,R11)&lt;2),"記録不足",IF(OR(AND(D11&lt;&gt;"",OR(NOT(ISNUMBER(D11)),IFERROR(D11&lt;1,TRUE),IFERROR(INT(D11)&gt;INT(AsOfDate),TRUE))),AND(R11&lt;&gt;"",OR(NOT(ISNUMBER(R11)),IFERROR(R11&lt;1,TRUE),IFERROR(INT(R11)&gt;INT(AsOfDate),TRUE)))),"実績日時不正",IF(R11&lt;D11,"評価承認日時逆転",IF(OR(V11="",W11="",V11=W11),"独立確認Person不足",IF(AND(IF(COUNTIF('15_評価計画・品質ゲート'!$V$4:$V$103,B11)&lt;&gt;1,"参照ID不正",IF(INDEX('15_評価計画・品質ゲート'!$A$4:$A$103,MATCH(B11,'15_評価計画・品質ゲート'!$V$4:$V$103,0))="","",INDEX('15_評価計画・品質ゲート'!$A$4:$A$103,MATCH(B11,'15_評価計画・品質ゲート'!$V$4:$V$103,0))))="E05",U11=""),"Trial状態証拠不足",IF(OR(O11="",O11="未判定",O11="無効/再実行"),"評価判定未確定","記録あり・内容審査別"))))))))))</f>
        <v/>
      </c>
      <c r="T11" s="29"/>
      <c r="U11" s="29"/>
      <c r="V11" s="29"/>
      <c r="W11" s="29"/>
      <c r="X11" s="29"/>
      <c r="Y11" s="28" t="str">
        <f>IF(A11="","",IF(COUNTIF(EvalPlanKeys,B11)&lt;&gt;1,"PlanKey不正",IF(OR(T11="",T11&lt;&gt;IF(COUNTIF('15_評価計画・品質ゲート'!$V$4:$V$103,B11)&lt;&gt;1,"参照ID不正",IF(INDEX('15_評価計画・品質ゲート'!$U$4:$U$103,MATCH(B11,'15_評価計画・品質ゲート'!$V$4:$V$103,0))="","",INDEX('15_評価計画・品質ゲート'!$U$4:$U$103,MATCH(B11,'15_評価計画・品質ゲート'!$V$4:$V$103,0))))),"Manifest不一致",IF(IF(COUNTIF('15_評価計画・品質ゲート'!$V$4:$V$103,B11)&lt;&gt;1,"参照ID不正",IF(INDEX('15_評価計画・品質ゲート'!$W$4:$W$103,MATCH(B11,'15_評価計画・品質ゲート'!$V$4:$V$103,0))="","",INDEX('15_評価計画・品質ゲート'!$W$4:$W$103,MATCH(B11,'15_評価計画・品質ゲート'!$V$4:$V$103,0))))&lt;&gt;"計画記録あり","計画未承認・不足","計画・構成一致"))))</f>
        <v/>
      </c>
    </row>
    <row r="12" spans="1:25" ht="66" customHeight="1" x14ac:dyDescent="0.2">
      <c r="A12" s="6"/>
      <c r="B12" s="6"/>
      <c r="C12" s="6"/>
      <c r="D12" s="19"/>
      <c r="E12" s="6"/>
      <c r="F12" s="6"/>
      <c r="G12" s="6"/>
      <c r="H12" s="6"/>
      <c r="I12" s="6"/>
      <c r="J12" s="28" t="str">
        <f>IF(A12="","",IF(COUNTIF('15_評価計画・品質ゲート'!$V$4:$V$103,B12)&lt;&gt;1,"参照ID不正",IF(INDEX('15_評価計画・品質ゲート'!$S$4:$S$103,MATCH(B12,'15_評価計画・品質ゲート'!$V$4:$V$103,0))="","",INDEX('15_評価計画・品質ゲート'!$S$4:$S$103,MATCH(B12,'15_評価計画・品質ゲート'!$V$4:$V$103,0)))))</f>
        <v/>
      </c>
      <c r="K12" s="6"/>
      <c r="L12" s="6"/>
      <c r="M12" s="6"/>
      <c r="N12" s="6"/>
      <c r="O12" s="6"/>
      <c r="P12" s="6"/>
      <c r="Q12" s="6"/>
      <c r="R12" s="19"/>
      <c r="S12" s="28" t="str">
        <f>IF(A12="","",IF(COUNTIF($A$4:$A$103,A12)&lt;&gt;1,"Run ID重複",IF(Y12&lt;&gt;"計画・構成一致",Y12,IF(X12&lt;&gt;"","無効化Run",IF(OR(OR(C12="",E12="",F12="",G12="",H12="",I12="",K12="",M12="",N12="",P12="",T12=""),LEN(L12&amp;"")=0,COUNT(D12,R12)&lt;2),"記録不足",IF(OR(AND(D12&lt;&gt;"",OR(NOT(ISNUMBER(D12)),IFERROR(D12&lt;1,TRUE),IFERROR(INT(D12)&gt;INT(AsOfDate),TRUE))),AND(R12&lt;&gt;"",OR(NOT(ISNUMBER(R12)),IFERROR(R12&lt;1,TRUE),IFERROR(INT(R12)&gt;INT(AsOfDate),TRUE)))),"実績日時不正",IF(R12&lt;D12,"評価承認日時逆転",IF(OR(V12="",W12="",V12=W12),"独立確認Person不足",IF(AND(IF(COUNTIF('15_評価計画・品質ゲート'!$V$4:$V$103,B12)&lt;&gt;1,"参照ID不正",IF(INDEX('15_評価計画・品質ゲート'!$A$4:$A$103,MATCH(B12,'15_評価計画・品質ゲート'!$V$4:$V$103,0))="","",INDEX('15_評価計画・品質ゲート'!$A$4:$A$103,MATCH(B12,'15_評価計画・品質ゲート'!$V$4:$V$103,0))))="E05",U12=""),"Trial状態証拠不足",IF(OR(O12="",O12="未判定",O12="無効/再実行"),"評価判定未確定","記録あり・内容審査別"))))))))))</f>
        <v/>
      </c>
      <c r="T12" s="29"/>
      <c r="U12" s="29"/>
      <c r="V12" s="29"/>
      <c r="W12" s="29"/>
      <c r="X12" s="29"/>
      <c r="Y12" s="28" t="str">
        <f>IF(A12="","",IF(COUNTIF(EvalPlanKeys,B12)&lt;&gt;1,"PlanKey不正",IF(OR(T12="",T12&lt;&gt;IF(COUNTIF('15_評価計画・品質ゲート'!$V$4:$V$103,B12)&lt;&gt;1,"参照ID不正",IF(INDEX('15_評価計画・品質ゲート'!$U$4:$U$103,MATCH(B12,'15_評価計画・品質ゲート'!$V$4:$V$103,0))="","",INDEX('15_評価計画・品質ゲート'!$U$4:$U$103,MATCH(B12,'15_評価計画・品質ゲート'!$V$4:$V$103,0))))),"Manifest不一致",IF(IF(COUNTIF('15_評価計画・品質ゲート'!$V$4:$V$103,B12)&lt;&gt;1,"参照ID不正",IF(INDEX('15_評価計画・品質ゲート'!$W$4:$W$103,MATCH(B12,'15_評価計画・品質ゲート'!$V$4:$V$103,0))="","",INDEX('15_評価計画・品質ゲート'!$W$4:$W$103,MATCH(B12,'15_評価計画・品質ゲート'!$V$4:$V$103,0))))&lt;&gt;"計画記録あり","計画未承認・不足","計画・構成一致"))))</f>
        <v/>
      </c>
    </row>
    <row r="13" spans="1:25" ht="66" customHeight="1" x14ac:dyDescent="0.2">
      <c r="A13" s="6"/>
      <c r="B13" s="6"/>
      <c r="C13" s="6"/>
      <c r="D13" s="19"/>
      <c r="E13" s="6"/>
      <c r="F13" s="6"/>
      <c r="G13" s="6"/>
      <c r="H13" s="6"/>
      <c r="I13" s="6"/>
      <c r="J13" s="28" t="str">
        <f>IF(A13="","",IF(COUNTIF('15_評価計画・品質ゲート'!$V$4:$V$103,B13)&lt;&gt;1,"参照ID不正",IF(INDEX('15_評価計画・品質ゲート'!$S$4:$S$103,MATCH(B13,'15_評価計画・品質ゲート'!$V$4:$V$103,0))="","",INDEX('15_評価計画・品質ゲート'!$S$4:$S$103,MATCH(B13,'15_評価計画・品質ゲート'!$V$4:$V$103,0)))))</f>
        <v/>
      </c>
      <c r="K13" s="6"/>
      <c r="L13" s="6"/>
      <c r="M13" s="6"/>
      <c r="N13" s="6"/>
      <c r="O13" s="6"/>
      <c r="P13" s="6"/>
      <c r="Q13" s="6"/>
      <c r="R13" s="19"/>
      <c r="S13" s="28" t="str">
        <f>IF(A13="","",IF(COUNTIF($A$4:$A$103,A13)&lt;&gt;1,"Run ID重複",IF(Y13&lt;&gt;"計画・構成一致",Y13,IF(X13&lt;&gt;"","無効化Run",IF(OR(OR(C13="",E13="",F13="",G13="",H13="",I13="",K13="",M13="",N13="",P13="",T13=""),LEN(L13&amp;"")=0,COUNT(D13,R13)&lt;2),"記録不足",IF(OR(AND(D13&lt;&gt;"",OR(NOT(ISNUMBER(D13)),IFERROR(D13&lt;1,TRUE),IFERROR(INT(D13)&gt;INT(AsOfDate),TRUE))),AND(R13&lt;&gt;"",OR(NOT(ISNUMBER(R13)),IFERROR(R13&lt;1,TRUE),IFERROR(INT(R13)&gt;INT(AsOfDate),TRUE)))),"実績日時不正",IF(R13&lt;D13,"評価承認日時逆転",IF(OR(V13="",W13="",V13=W13),"独立確認Person不足",IF(AND(IF(COUNTIF('15_評価計画・品質ゲート'!$V$4:$V$103,B13)&lt;&gt;1,"参照ID不正",IF(INDEX('15_評価計画・品質ゲート'!$A$4:$A$103,MATCH(B13,'15_評価計画・品質ゲート'!$V$4:$V$103,0))="","",INDEX('15_評価計画・品質ゲート'!$A$4:$A$103,MATCH(B13,'15_評価計画・品質ゲート'!$V$4:$V$103,0))))="E05",U13=""),"Trial状態証拠不足",IF(OR(O13="",O13="未判定",O13="無効/再実行"),"評価判定未確定","記録あり・内容審査別"))))))))))</f>
        <v/>
      </c>
      <c r="T13" s="29"/>
      <c r="U13" s="29"/>
      <c r="V13" s="29"/>
      <c r="W13" s="29"/>
      <c r="X13" s="29"/>
      <c r="Y13" s="28" t="str">
        <f>IF(A13="","",IF(COUNTIF(EvalPlanKeys,B13)&lt;&gt;1,"PlanKey不正",IF(OR(T13="",T13&lt;&gt;IF(COUNTIF('15_評価計画・品質ゲート'!$V$4:$V$103,B13)&lt;&gt;1,"参照ID不正",IF(INDEX('15_評価計画・品質ゲート'!$U$4:$U$103,MATCH(B13,'15_評価計画・品質ゲート'!$V$4:$V$103,0))="","",INDEX('15_評価計画・品質ゲート'!$U$4:$U$103,MATCH(B13,'15_評価計画・品質ゲート'!$V$4:$V$103,0))))),"Manifest不一致",IF(IF(COUNTIF('15_評価計画・品質ゲート'!$V$4:$V$103,B13)&lt;&gt;1,"参照ID不正",IF(INDEX('15_評価計画・品質ゲート'!$W$4:$W$103,MATCH(B13,'15_評価計画・品質ゲート'!$V$4:$V$103,0))="","",INDEX('15_評価計画・品質ゲート'!$W$4:$W$103,MATCH(B13,'15_評価計画・品質ゲート'!$V$4:$V$103,0))))&lt;&gt;"計画記録あり","計画未承認・不足","計画・構成一致"))))</f>
        <v/>
      </c>
    </row>
    <row r="14" spans="1:25" ht="66" customHeight="1" x14ac:dyDescent="0.2">
      <c r="A14" s="6"/>
      <c r="B14" s="6"/>
      <c r="C14" s="6"/>
      <c r="D14" s="19"/>
      <c r="E14" s="6"/>
      <c r="F14" s="6"/>
      <c r="G14" s="6"/>
      <c r="H14" s="6"/>
      <c r="I14" s="6"/>
      <c r="J14" s="28" t="str">
        <f>IF(A14="","",IF(COUNTIF('15_評価計画・品質ゲート'!$V$4:$V$103,B14)&lt;&gt;1,"参照ID不正",IF(INDEX('15_評価計画・品質ゲート'!$S$4:$S$103,MATCH(B14,'15_評価計画・品質ゲート'!$V$4:$V$103,0))="","",INDEX('15_評価計画・品質ゲート'!$S$4:$S$103,MATCH(B14,'15_評価計画・品質ゲート'!$V$4:$V$103,0)))))</f>
        <v/>
      </c>
      <c r="K14" s="6"/>
      <c r="L14" s="6"/>
      <c r="M14" s="6"/>
      <c r="N14" s="6"/>
      <c r="O14" s="6"/>
      <c r="P14" s="6"/>
      <c r="Q14" s="6"/>
      <c r="R14" s="19"/>
      <c r="S14" s="28" t="str">
        <f>IF(A14="","",IF(COUNTIF($A$4:$A$103,A14)&lt;&gt;1,"Run ID重複",IF(Y14&lt;&gt;"計画・構成一致",Y14,IF(X14&lt;&gt;"","無効化Run",IF(OR(OR(C14="",E14="",F14="",G14="",H14="",I14="",K14="",M14="",N14="",P14="",T14=""),LEN(L14&amp;"")=0,COUNT(D14,R14)&lt;2),"記録不足",IF(OR(AND(D14&lt;&gt;"",OR(NOT(ISNUMBER(D14)),IFERROR(D14&lt;1,TRUE),IFERROR(INT(D14)&gt;INT(AsOfDate),TRUE))),AND(R14&lt;&gt;"",OR(NOT(ISNUMBER(R14)),IFERROR(R14&lt;1,TRUE),IFERROR(INT(R14)&gt;INT(AsOfDate),TRUE)))),"実績日時不正",IF(R14&lt;D14,"評価承認日時逆転",IF(OR(V14="",W14="",V14=W14),"独立確認Person不足",IF(AND(IF(COUNTIF('15_評価計画・品質ゲート'!$V$4:$V$103,B14)&lt;&gt;1,"参照ID不正",IF(INDEX('15_評価計画・品質ゲート'!$A$4:$A$103,MATCH(B14,'15_評価計画・品質ゲート'!$V$4:$V$103,0))="","",INDEX('15_評価計画・品質ゲート'!$A$4:$A$103,MATCH(B14,'15_評価計画・品質ゲート'!$V$4:$V$103,0))))="E05",U14=""),"Trial状態証拠不足",IF(OR(O14="",O14="未判定",O14="無効/再実行"),"評価判定未確定","記録あり・内容審査別"))))))))))</f>
        <v/>
      </c>
      <c r="T14" s="29"/>
      <c r="U14" s="29"/>
      <c r="V14" s="29"/>
      <c r="W14" s="29"/>
      <c r="X14" s="29"/>
      <c r="Y14" s="28" t="str">
        <f>IF(A14="","",IF(COUNTIF(EvalPlanKeys,B14)&lt;&gt;1,"PlanKey不正",IF(OR(T14="",T14&lt;&gt;IF(COUNTIF('15_評価計画・品質ゲート'!$V$4:$V$103,B14)&lt;&gt;1,"参照ID不正",IF(INDEX('15_評価計画・品質ゲート'!$U$4:$U$103,MATCH(B14,'15_評価計画・品質ゲート'!$V$4:$V$103,0))="","",INDEX('15_評価計画・品質ゲート'!$U$4:$U$103,MATCH(B14,'15_評価計画・品質ゲート'!$V$4:$V$103,0))))),"Manifest不一致",IF(IF(COUNTIF('15_評価計画・品質ゲート'!$V$4:$V$103,B14)&lt;&gt;1,"参照ID不正",IF(INDEX('15_評価計画・品質ゲート'!$W$4:$W$103,MATCH(B14,'15_評価計画・品質ゲート'!$V$4:$V$103,0))="","",INDEX('15_評価計画・品質ゲート'!$W$4:$W$103,MATCH(B14,'15_評価計画・品質ゲート'!$V$4:$V$103,0))))&lt;&gt;"計画記録あり","計画未承認・不足","計画・構成一致"))))</f>
        <v/>
      </c>
    </row>
    <row r="15" spans="1:25" ht="66" customHeight="1" x14ac:dyDescent="0.2">
      <c r="A15" s="6"/>
      <c r="B15" s="6"/>
      <c r="C15" s="6"/>
      <c r="D15" s="19"/>
      <c r="E15" s="6"/>
      <c r="F15" s="6"/>
      <c r="G15" s="6"/>
      <c r="H15" s="6"/>
      <c r="I15" s="6"/>
      <c r="J15" s="28" t="str">
        <f>IF(A15="","",IF(COUNTIF('15_評価計画・品質ゲート'!$V$4:$V$103,B15)&lt;&gt;1,"参照ID不正",IF(INDEX('15_評価計画・品質ゲート'!$S$4:$S$103,MATCH(B15,'15_評価計画・品質ゲート'!$V$4:$V$103,0))="","",INDEX('15_評価計画・品質ゲート'!$S$4:$S$103,MATCH(B15,'15_評価計画・品質ゲート'!$V$4:$V$103,0)))))</f>
        <v/>
      </c>
      <c r="K15" s="6"/>
      <c r="L15" s="6"/>
      <c r="M15" s="6"/>
      <c r="N15" s="6"/>
      <c r="O15" s="6"/>
      <c r="P15" s="6"/>
      <c r="Q15" s="6"/>
      <c r="R15" s="19"/>
      <c r="S15" s="28" t="str">
        <f>IF(A15="","",IF(COUNTIF($A$4:$A$103,A15)&lt;&gt;1,"Run ID重複",IF(Y15&lt;&gt;"計画・構成一致",Y15,IF(X15&lt;&gt;"","無効化Run",IF(OR(OR(C15="",E15="",F15="",G15="",H15="",I15="",K15="",M15="",N15="",P15="",T15=""),LEN(L15&amp;"")=0,COUNT(D15,R15)&lt;2),"記録不足",IF(OR(AND(D15&lt;&gt;"",OR(NOT(ISNUMBER(D15)),IFERROR(D15&lt;1,TRUE),IFERROR(INT(D15)&gt;INT(AsOfDate),TRUE))),AND(R15&lt;&gt;"",OR(NOT(ISNUMBER(R15)),IFERROR(R15&lt;1,TRUE),IFERROR(INT(R15)&gt;INT(AsOfDate),TRUE)))),"実績日時不正",IF(R15&lt;D15,"評価承認日時逆転",IF(OR(V15="",W15="",V15=W15),"独立確認Person不足",IF(AND(IF(COUNTIF('15_評価計画・品質ゲート'!$V$4:$V$103,B15)&lt;&gt;1,"参照ID不正",IF(INDEX('15_評価計画・品質ゲート'!$A$4:$A$103,MATCH(B15,'15_評価計画・品質ゲート'!$V$4:$V$103,0))="","",INDEX('15_評価計画・品質ゲート'!$A$4:$A$103,MATCH(B15,'15_評価計画・品質ゲート'!$V$4:$V$103,0))))="E05",U15=""),"Trial状態証拠不足",IF(OR(O15="",O15="未判定",O15="無効/再実行"),"評価判定未確定","記録あり・内容審査別"))))))))))</f>
        <v/>
      </c>
      <c r="T15" s="29"/>
      <c r="U15" s="29"/>
      <c r="V15" s="29"/>
      <c r="W15" s="29"/>
      <c r="X15" s="29"/>
      <c r="Y15" s="28" t="str">
        <f>IF(A15="","",IF(COUNTIF(EvalPlanKeys,B15)&lt;&gt;1,"PlanKey不正",IF(OR(T15="",T15&lt;&gt;IF(COUNTIF('15_評価計画・品質ゲート'!$V$4:$V$103,B15)&lt;&gt;1,"参照ID不正",IF(INDEX('15_評価計画・品質ゲート'!$U$4:$U$103,MATCH(B15,'15_評価計画・品質ゲート'!$V$4:$V$103,0))="","",INDEX('15_評価計画・品質ゲート'!$U$4:$U$103,MATCH(B15,'15_評価計画・品質ゲート'!$V$4:$V$103,0))))),"Manifest不一致",IF(IF(COUNTIF('15_評価計画・品質ゲート'!$V$4:$V$103,B15)&lt;&gt;1,"参照ID不正",IF(INDEX('15_評価計画・品質ゲート'!$W$4:$W$103,MATCH(B15,'15_評価計画・品質ゲート'!$V$4:$V$103,0))="","",INDEX('15_評価計画・品質ゲート'!$W$4:$W$103,MATCH(B15,'15_評価計画・品質ゲート'!$V$4:$V$103,0))))&lt;&gt;"計画記録あり","計画未承認・不足","計画・構成一致"))))</f>
        <v/>
      </c>
    </row>
    <row r="16" spans="1:25" ht="66" customHeight="1" x14ac:dyDescent="0.2">
      <c r="A16" s="6"/>
      <c r="B16" s="6"/>
      <c r="C16" s="6"/>
      <c r="D16" s="19"/>
      <c r="E16" s="6"/>
      <c r="F16" s="6"/>
      <c r="G16" s="6"/>
      <c r="H16" s="6"/>
      <c r="I16" s="6"/>
      <c r="J16" s="28" t="str">
        <f>IF(A16="","",IF(COUNTIF('15_評価計画・品質ゲート'!$V$4:$V$103,B16)&lt;&gt;1,"参照ID不正",IF(INDEX('15_評価計画・品質ゲート'!$S$4:$S$103,MATCH(B16,'15_評価計画・品質ゲート'!$V$4:$V$103,0))="","",INDEX('15_評価計画・品質ゲート'!$S$4:$S$103,MATCH(B16,'15_評価計画・品質ゲート'!$V$4:$V$103,0)))))</f>
        <v/>
      </c>
      <c r="K16" s="6"/>
      <c r="L16" s="6"/>
      <c r="M16" s="6"/>
      <c r="N16" s="6"/>
      <c r="O16" s="6"/>
      <c r="P16" s="6"/>
      <c r="Q16" s="6"/>
      <c r="R16" s="19"/>
      <c r="S16" s="28" t="str">
        <f>IF(A16="","",IF(COUNTIF($A$4:$A$103,A16)&lt;&gt;1,"Run ID重複",IF(Y16&lt;&gt;"計画・構成一致",Y16,IF(X16&lt;&gt;"","無効化Run",IF(OR(OR(C16="",E16="",F16="",G16="",H16="",I16="",K16="",M16="",N16="",P16="",T16=""),LEN(L16&amp;"")=0,COUNT(D16,R16)&lt;2),"記録不足",IF(OR(AND(D16&lt;&gt;"",OR(NOT(ISNUMBER(D16)),IFERROR(D16&lt;1,TRUE),IFERROR(INT(D16)&gt;INT(AsOfDate),TRUE))),AND(R16&lt;&gt;"",OR(NOT(ISNUMBER(R16)),IFERROR(R16&lt;1,TRUE),IFERROR(INT(R16)&gt;INT(AsOfDate),TRUE)))),"実績日時不正",IF(R16&lt;D16,"評価承認日時逆転",IF(OR(V16="",W16="",V16=W16),"独立確認Person不足",IF(AND(IF(COUNTIF('15_評価計画・品質ゲート'!$V$4:$V$103,B16)&lt;&gt;1,"参照ID不正",IF(INDEX('15_評価計画・品質ゲート'!$A$4:$A$103,MATCH(B16,'15_評価計画・品質ゲート'!$V$4:$V$103,0))="","",INDEX('15_評価計画・品質ゲート'!$A$4:$A$103,MATCH(B16,'15_評価計画・品質ゲート'!$V$4:$V$103,0))))="E05",U16=""),"Trial状態証拠不足",IF(OR(O16="",O16="未判定",O16="無効/再実行"),"評価判定未確定","記録あり・内容審査別"))))))))))</f>
        <v/>
      </c>
      <c r="T16" s="29"/>
      <c r="U16" s="29"/>
      <c r="V16" s="29"/>
      <c r="W16" s="29"/>
      <c r="X16" s="29"/>
      <c r="Y16" s="28" t="str">
        <f>IF(A16="","",IF(COUNTIF(EvalPlanKeys,B16)&lt;&gt;1,"PlanKey不正",IF(OR(T16="",T16&lt;&gt;IF(COUNTIF('15_評価計画・品質ゲート'!$V$4:$V$103,B16)&lt;&gt;1,"参照ID不正",IF(INDEX('15_評価計画・品質ゲート'!$U$4:$U$103,MATCH(B16,'15_評価計画・品質ゲート'!$V$4:$V$103,0))="","",INDEX('15_評価計画・品質ゲート'!$U$4:$U$103,MATCH(B16,'15_評価計画・品質ゲート'!$V$4:$V$103,0))))),"Manifest不一致",IF(IF(COUNTIF('15_評価計画・品質ゲート'!$V$4:$V$103,B16)&lt;&gt;1,"参照ID不正",IF(INDEX('15_評価計画・品質ゲート'!$W$4:$W$103,MATCH(B16,'15_評価計画・品質ゲート'!$V$4:$V$103,0))="","",INDEX('15_評価計画・品質ゲート'!$W$4:$W$103,MATCH(B16,'15_評価計画・品質ゲート'!$V$4:$V$103,0))))&lt;&gt;"計画記録あり","計画未承認・不足","計画・構成一致"))))</f>
        <v/>
      </c>
    </row>
    <row r="17" spans="1:25" ht="66" customHeight="1" x14ac:dyDescent="0.2">
      <c r="A17" s="6"/>
      <c r="B17" s="6"/>
      <c r="C17" s="6"/>
      <c r="D17" s="19"/>
      <c r="E17" s="6"/>
      <c r="F17" s="6"/>
      <c r="G17" s="6"/>
      <c r="H17" s="6"/>
      <c r="I17" s="6"/>
      <c r="J17" s="28" t="str">
        <f>IF(A17="","",IF(COUNTIF('15_評価計画・品質ゲート'!$V$4:$V$103,B17)&lt;&gt;1,"参照ID不正",IF(INDEX('15_評価計画・品質ゲート'!$S$4:$S$103,MATCH(B17,'15_評価計画・品質ゲート'!$V$4:$V$103,0))="","",INDEX('15_評価計画・品質ゲート'!$S$4:$S$103,MATCH(B17,'15_評価計画・品質ゲート'!$V$4:$V$103,0)))))</f>
        <v/>
      </c>
      <c r="K17" s="6"/>
      <c r="L17" s="6"/>
      <c r="M17" s="6"/>
      <c r="N17" s="6"/>
      <c r="O17" s="6"/>
      <c r="P17" s="6"/>
      <c r="Q17" s="6"/>
      <c r="R17" s="19"/>
      <c r="S17" s="28" t="str">
        <f>IF(A17="","",IF(COUNTIF($A$4:$A$103,A17)&lt;&gt;1,"Run ID重複",IF(Y17&lt;&gt;"計画・構成一致",Y17,IF(X17&lt;&gt;"","無効化Run",IF(OR(OR(C17="",E17="",F17="",G17="",H17="",I17="",K17="",M17="",N17="",P17="",T17=""),LEN(L17&amp;"")=0,COUNT(D17,R17)&lt;2),"記録不足",IF(OR(AND(D17&lt;&gt;"",OR(NOT(ISNUMBER(D17)),IFERROR(D17&lt;1,TRUE),IFERROR(INT(D17)&gt;INT(AsOfDate),TRUE))),AND(R17&lt;&gt;"",OR(NOT(ISNUMBER(R17)),IFERROR(R17&lt;1,TRUE),IFERROR(INT(R17)&gt;INT(AsOfDate),TRUE)))),"実績日時不正",IF(R17&lt;D17,"評価承認日時逆転",IF(OR(V17="",W17="",V17=W17),"独立確認Person不足",IF(AND(IF(COUNTIF('15_評価計画・品質ゲート'!$V$4:$V$103,B17)&lt;&gt;1,"参照ID不正",IF(INDEX('15_評価計画・品質ゲート'!$A$4:$A$103,MATCH(B17,'15_評価計画・品質ゲート'!$V$4:$V$103,0))="","",INDEX('15_評価計画・品質ゲート'!$A$4:$A$103,MATCH(B17,'15_評価計画・品質ゲート'!$V$4:$V$103,0))))="E05",U17=""),"Trial状態証拠不足",IF(OR(O17="",O17="未判定",O17="無効/再実行"),"評価判定未確定","記録あり・内容審査別"))))))))))</f>
        <v/>
      </c>
      <c r="T17" s="29"/>
      <c r="U17" s="29"/>
      <c r="V17" s="29"/>
      <c r="W17" s="29"/>
      <c r="X17" s="29"/>
      <c r="Y17" s="28" t="str">
        <f>IF(A17="","",IF(COUNTIF(EvalPlanKeys,B17)&lt;&gt;1,"PlanKey不正",IF(OR(T17="",T17&lt;&gt;IF(COUNTIF('15_評価計画・品質ゲート'!$V$4:$V$103,B17)&lt;&gt;1,"参照ID不正",IF(INDEX('15_評価計画・品質ゲート'!$U$4:$U$103,MATCH(B17,'15_評価計画・品質ゲート'!$V$4:$V$103,0))="","",INDEX('15_評価計画・品質ゲート'!$U$4:$U$103,MATCH(B17,'15_評価計画・品質ゲート'!$V$4:$V$103,0))))),"Manifest不一致",IF(IF(COUNTIF('15_評価計画・品質ゲート'!$V$4:$V$103,B17)&lt;&gt;1,"参照ID不正",IF(INDEX('15_評価計画・品質ゲート'!$W$4:$W$103,MATCH(B17,'15_評価計画・品質ゲート'!$V$4:$V$103,0))="","",INDEX('15_評価計画・品質ゲート'!$W$4:$W$103,MATCH(B17,'15_評価計画・品質ゲート'!$V$4:$V$103,0))))&lt;&gt;"計画記録あり","計画未承認・不足","計画・構成一致"))))</f>
        <v/>
      </c>
    </row>
    <row r="18" spans="1:25" ht="66" customHeight="1" x14ac:dyDescent="0.2">
      <c r="A18" s="6"/>
      <c r="B18" s="6"/>
      <c r="C18" s="6"/>
      <c r="D18" s="19"/>
      <c r="E18" s="6"/>
      <c r="F18" s="6"/>
      <c r="G18" s="6"/>
      <c r="H18" s="6"/>
      <c r="I18" s="6"/>
      <c r="J18" s="28" t="str">
        <f>IF(A18="","",IF(COUNTIF('15_評価計画・品質ゲート'!$V$4:$V$103,B18)&lt;&gt;1,"参照ID不正",IF(INDEX('15_評価計画・品質ゲート'!$S$4:$S$103,MATCH(B18,'15_評価計画・品質ゲート'!$V$4:$V$103,0))="","",INDEX('15_評価計画・品質ゲート'!$S$4:$S$103,MATCH(B18,'15_評価計画・品質ゲート'!$V$4:$V$103,0)))))</f>
        <v/>
      </c>
      <c r="K18" s="6"/>
      <c r="L18" s="6"/>
      <c r="M18" s="6"/>
      <c r="N18" s="6"/>
      <c r="O18" s="6"/>
      <c r="P18" s="6"/>
      <c r="Q18" s="6"/>
      <c r="R18" s="19"/>
      <c r="S18" s="28" t="str">
        <f>IF(A18="","",IF(COUNTIF($A$4:$A$103,A18)&lt;&gt;1,"Run ID重複",IF(Y18&lt;&gt;"計画・構成一致",Y18,IF(X18&lt;&gt;"","無効化Run",IF(OR(OR(C18="",E18="",F18="",G18="",H18="",I18="",K18="",M18="",N18="",P18="",T18=""),LEN(L18&amp;"")=0,COUNT(D18,R18)&lt;2),"記録不足",IF(OR(AND(D18&lt;&gt;"",OR(NOT(ISNUMBER(D18)),IFERROR(D18&lt;1,TRUE),IFERROR(INT(D18)&gt;INT(AsOfDate),TRUE))),AND(R18&lt;&gt;"",OR(NOT(ISNUMBER(R18)),IFERROR(R18&lt;1,TRUE),IFERROR(INT(R18)&gt;INT(AsOfDate),TRUE)))),"実績日時不正",IF(R18&lt;D18,"評価承認日時逆転",IF(OR(V18="",W18="",V18=W18),"独立確認Person不足",IF(AND(IF(COUNTIF('15_評価計画・品質ゲート'!$V$4:$V$103,B18)&lt;&gt;1,"参照ID不正",IF(INDEX('15_評価計画・品質ゲート'!$A$4:$A$103,MATCH(B18,'15_評価計画・品質ゲート'!$V$4:$V$103,0))="","",INDEX('15_評価計画・品質ゲート'!$A$4:$A$103,MATCH(B18,'15_評価計画・品質ゲート'!$V$4:$V$103,0))))="E05",U18=""),"Trial状態証拠不足",IF(OR(O18="",O18="未判定",O18="無効/再実行"),"評価判定未確定","記録あり・内容審査別"))))))))))</f>
        <v/>
      </c>
      <c r="T18" s="29"/>
      <c r="U18" s="29"/>
      <c r="V18" s="29"/>
      <c r="W18" s="29"/>
      <c r="X18" s="29"/>
      <c r="Y18" s="28" t="str">
        <f>IF(A18="","",IF(COUNTIF(EvalPlanKeys,B18)&lt;&gt;1,"PlanKey不正",IF(OR(T18="",T18&lt;&gt;IF(COUNTIF('15_評価計画・品質ゲート'!$V$4:$V$103,B18)&lt;&gt;1,"参照ID不正",IF(INDEX('15_評価計画・品質ゲート'!$U$4:$U$103,MATCH(B18,'15_評価計画・品質ゲート'!$V$4:$V$103,0))="","",INDEX('15_評価計画・品質ゲート'!$U$4:$U$103,MATCH(B18,'15_評価計画・品質ゲート'!$V$4:$V$103,0))))),"Manifest不一致",IF(IF(COUNTIF('15_評価計画・品質ゲート'!$V$4:$V$103,B18)&lt;&gt;1,"参照ID不正",IF(INDEX('15_評価計画・品質ゲート'!$W$4:$W$103,MATCH(B18,'15_評価計画・品質ゲート'!$V$4:$V$103,0))="","",INDEX('15_評価計画・品質ゲート'!$W$4:$W$103,MATCH(B18,'15_評価計画・品質ゲート'!$V$4:$V$103,0))))&lt;&gt;"計画記録あり","計画未承認・不足","計画・構成一致"))))</f>
        <v/>
      </c>
    </row>
    <row r="19" spans="1:25" ht="66" customHeight="1" x14ac:dyDescent="0.2">
      <c r="A19" s="6"/>
      <c r="B19" s="6"/>
      <c r="C19" s="6"/>
      <c r="D19" s="19"/>
      <c r="E19" s="6"/>
      <c r="F19" s="6"/>
      <c r="G19" s="6"/>
      <c r="H19" s="6"/>
      <c r="I19" s="6"/>
      <c r="J19" s="28" t="str">
        <f>IF(A19="","",IF(COUNTIF('15_評価計画・品質ゲート'!$V$4:$V$103,B19)&lt;&gt;1,"参照ID不正",IF(INDEX('15_評価計画・品質ゲート'!$S$4:$S$103,MATCH(B19,'15_評価計画・品質ゲート'!$V$4:$V$103,0))="","",INDEX('15_評価計画・品質ゲート'!$S$4:$S$103,MATCH(B19,'15_評価計画・品質ゲート'!$V$4:$V$103,0)))))</f>
        <v/>
      </c>
      <c r="K19" s="6"/>
      <c r="L19" s="6"/>
      <c r="M19" s="6"/>
      <c r="N19" s="6"/>
      <c r="O19" s="6"/>
      <c r="P19" s="6"/>
      <c r="Q19" s="6"/>
      <c r="R19" s="19"/>
      <c r="S19" s="28" t="str">
        <f>IF(A19="","",IF(COUNTIF($A$4:$A$103,A19)&lt;&gt;1,"Run ID重複",IF(Y19&lt;&gt;"計画・構成一致",Y19,IF(X19&lt;&gt;"","無効化Run",IF(OR(OR(C19="",E19="",F19="",G19="",H19="",I19="",K19="",M19="",N19="",P19="",T19=""),LEN(L19&amp;"")=0,COUNT(D19,R19)&lt;2),"記録不足",IF(OR(AND(D19&lt;&gt;"",OR(NOT(ISNUMBER(D19)),IFERROR(D19&lt;1,TRUE),IFERROR(INT(D19)&gt;INT(AsOfDate),TRUE))),AND(R19&lt;&gt;"",OR(NOT(ISNUMBER(R19)),IFERROR(R19&lt;1,TRUE),IFERROR(INT(R19)&gt;INT(AsOfDate),TRUE)))),"実績日時不正",IF(R19&lt;D19,"評価承認日時逆転",IF(OR(V19="",W19="",V19=W19),"独立確認Person不足",IF(AND(IF(COUNTIF('15_評価計画・品質ゲート'!$V$4:$V$103,B19)&lt;&gt;1,"参照ID不正",IF(INDEX('15_評価計画・品質ゲート'!$A$4:$A$103,MATCH(B19,'15_評価計画・品質ゲート'!$V$4:$V$103,0))="","",INDEX('15_評価計画・品質ゲート'!$A$4:$A$103,MATCH(B19,'15_評価計画・品質ゲート'!$V$4:$V$103,0))))="E05",U19=""),"Trial状態証拠不足",IF(OR(O19="",O19="未判定",O19="無効/再実行"),"評価判定未確定","記録あり・内容審査別"))))))))))</f>
        <v/>
      </c>
      <c r="T19" s="29"/>
      <c r="U19" s="29"/>
      <c r="V19" s="29"/>
      <c r="W19" s="29"/>
      <c r="X19" s="29"/>
      <c r="Y19" s="28" t="str">
        <f>IF(A19="","",IF(COUNTIF(EvalPlanKeys,B19)&lt;&gt;1,"PlanKey不正",IF(OR(T19="",T19&lt;&gt;IF(COUNTIF('15_評価計画・品質ゲート'!$V$4:$V$103,B19)&lt;&gt;1,"参照ID不正",IF(INDEX('15_評価計画・品質ゲート'!$U$4:$U$103,MATCH(B19,'15_評価計画・品質ゲート'!$V$4:$V$103,0))="","",INDEX('15_評価計画・品質ゲート'!$U$4:$U$103,MATCH(B19,'15_評価計画・品質ゲート'!$V$4:$V$103,0))))),"Manifest不一致",IF(IF(COUNTIF('15_評価計画・品質ゲート'!$V$4:$V$103,B19)&lt;&gt;1,"参照ID不正",IF(INDEX('15_評価計画・品質ゲート'!$W$4:$W$103,MATCH(B19,'15_評価計画・品質ゲート'!$V$4:$V$103,0))="","",INDEX('15_評価計画・品質ゲート'!$W$4:$W$103,MATCH(B19,'15_評価計画・品質ゲート'!$V$4:$V$103,0))))&lt;&gt;"計画記録あり","計画未承認・不足","計画・構成一致"))))</f>
        <v/>
      </c>
    </row>
    <row r="20" spans="1:25" ht="66" customHeight="1" x14ac:dyDescent="0.2">
      <c r="A20" s="6"/>
      <c r="B20" s="6"/>
      <c r="C20" s="6"/>
      <c r="D20" s="19"/>
      <c r="E20" s="6"/>
      <c r="F20" s="6"/>
      <c r="G20" s="6"/>
      <c r="H20" s="6"/>
      <c r="I20" s="6"/>
      <c r="J20" s="28" t="str">
        <f>IF(A20="","",IF(COUNTIF('15_評価計画・品質ゲート'!$V$4:$V$103,B20)&lt;&gt;1,"参照ID不正",IF(INDEX('15_評価計画・品質ゲート'!$S$4:$S$103,MATCH(B20,'15_評価計画・品質ゲート'!$V$4:$V$103,0))="","",INDEX('15_評価計画・品質ゲート'!$S$4:$S$103,MATCH(B20,'15_評価計画・品質ゲート'!$V$4:$V$103,0)))))</f>
        <v/>
      </c>
      <c r="K20" s="6"/>
      <c r="L20" s="6"/>
      <c r="M20" s="6"/>
      <c r="N20" s="6"/>
      <c r="O20" s="6"/>
      <c r="P20" s="6"/>
      <c r="Q20" s="6"/>
      <c r="R20" s="19"/>
      <c r="S20" s="28" t="str">
        <f>IF(A20="","",IF(COUNTIF($A$4:$A$103,A20)&lt;&gt;1,"Run ID重複",IF(Y20&lt;&gt;"計画・構成一致",Y20,IF(X20&lt;&gt;"","無効化Run",IF(OR(OR(C20="",E20="",F20="",G20="",H20="",I20="",K20="",M20="",N20="",P20="",T20=""),LEN(L20&amp;"")=0,COUNT(D20,R20)&lt;2),"記録不足",IF(OR(AND(D20&lt;&gt;"",OR(NOT(ISNUMBER(D20)),IFERROR(D20&lt;1,TRUE),IFERROR(INT(D20)&gt;INT(AsOfDate),TRUE))),AND(R20&lt;&gt;"",OR(NOT(ISNUMBER(R20)),IFERROR(R20&lt;1,TRUE),IFERROR(INT(R20)&gt;INT(AsOfDate),TRUE)))),"実績日時不正",IF(R20&lt;D20,"評価承認日時逆転",IF(OR(V20="",W20="",V20=W20),"独立確認Person不足",IF(AND(IF(COUNTIF('15_評価計画・品質ゲート'!$V$4:$V$103,B20)&lt;&gt;1,"参照ID不正",IF(INDEX('15_評価計画・品質ゲート'!$A$4:$A$103,MATCH(B20,'15_評価計画・品質ゲート'!$V$4:$V$103,0))="","",INDEX('15_評価計画・品質ゲート'!$A$4:$A$103,MATCH(B20,'15_評価計画・品質ゲート'!$V$4:$V$103,0))))="E05",U20=""),"Trial状態証拠不足",IF(OR(O20="",O20="未判定",O20="無効/再実行"),"評価判定未確定","記録あり・内容審査別"))))))))))</f>
        <v/>
      </c>
      <c r="T20" s="29"/>
      <c r="U20" s="29"/>
      <c r="V20" s="29"/>
      <c r="W20" s="29"/>
      <c r="X20" s="29"/>
      <c r="Y20" s="28" t="str">
        <f>IF(A20="","",IF(COUNTIF(EvalPlanKeys,B20)&lt;&gt;1,"PlanKey不正",IF(OR(T20="",T20&lt;&gt;IF(COUNTIF('15_評価計画・品質ゲート'!$V$4:$V$103,B20)&lt;&gt;1,"参照ID不正",IF(INDEX('15_評価計画・品質ゲート'!$U$4:$U$103,MATCH(B20,'15_評価計画・品質ゲート'!$V$4:$V$103,0))="","",INDEX('15_評価計画・品質ゲート'!$U$4:$U$103,MATCH(B20,'15_評価計画・品質ゲート'!$V$4:$V$103,0))))),"Manifest不一致",IF(IF(COUNTIF('15_評価計画・品質ゲート'!$V$4:$V$103,B20)&lt;&gt;1,"参照ID不正",IF(INDEX('15_評価計画・品質ゲート'!$W$4:$W$103,MATCH(B20,'15_評価計画・品質ゲート'!$V$4:$V$103,0))="","",INDEX('15_評価計画・品質ゲート'!$W$4:$W$103,MATCH(B20,'15_評価計画・品質ゲート'!$V$4:$V$103,0))))&lt;&gt;"計画記録あり","計画未承認・不足","計画・構成一致"))))</f>
        <v/>
      </c>
    </row>
    <row r="21" spans="1:25" ht="66" customHeight="1" x14ac:dyDescent="0.2">
      <c r="A21" s="6"/>
      <c r="B21" s="6"/>
      <c r="C21" s="6"/>
      <c r="D21" s="19"/>
      <c r="E21" s="6"/>
      <c r="F21" s="6"/>
      <c r="G21" s="6"/>
      <c r="H21" s="6"/>
      <c r="I21" s="6"/>
      <c r="J21" s="28" t="str">
        <f>IF(A21="","",IF(COUNTIF('15_評価計画・品質ゲート'!$V$4:$V$103,B21)&lt;&gt;1,"参照ID不正",IF(INDEX('15_評価計画・品質ゲート'!$S$4:$S$103,MATCH(B21,'15_評価計画・品質ゲート'!$V$4:$V$103,0))="","",INDEX('15_評価計画・品質ゲート'!$S$4:$S$103,MATCH(B21,'15_評価計画・品質ゲート'!$V$4:$V$103,0)))))</f>
        <v/>
      </c>
      <c r="K21" s="6"/>
      <c r="L21" s="6"/>
      <c r="M21" s="6"/>
      <c r="N21" s="6"/>
      <c r="O21" s="6"/>
      <c r="P21" s="6"/>
      <c r="Q21" s="6"/>
      <c r="R21" s="19"/>
      <c r="S21" s="28" t="str">
        <f>IF(A21="","",IF(COUNTIF($A$4:$A$103,A21)&lt;&gt;1,"Run ID重複",IF(Y21&lt;&gt;"計画・構成一致",Y21,IF(X21&lt;&gt;"","無効化Run",IF(OR(OR(C21="",E21="",F21="",G21="",H21="",I21="",K21="",M21="",N21="",P21="",T21=""),LEN(L21&amp;"")=0,COUNT(D21,R21)&lt;2),"記録不足",IF(OR(AND(D21&lt;&gt;"",OR(NOT(ISNUMBER(D21)),IFERROR(D21&lt;1,TRUE),IFERROR(INT(D21)&gt;INT(AsOfDate),TRUE))),AND(R21&lt;&gt;"",OR(NOT(ISNUMBER(R21)),IFERROR(R21&lt;1,TRUE),IFERROR(INT(R21)&gt;INT(AsOfDate),TRUE)))),"実績日時不正",IF(R21&lt;D21,"評価承認日時逆転",IF(OR(V21="",W21="",V21=W21),"独立確認Person不足",IF(AND(IF(COUNTIF('15_評価計画・品質ゲート'!$V$4:$V$103,B21)&lt;&gt;1,"参照ID不正",IF(INDEX('15_評価計画・品質ゲート'!$A$4:$A$103,MATCH(B21,'15_評価計画・品質ゲート'!$V$4:$V$103,0))="","",INDEX('15_評価計画・品質ゲート'!$A$4:$A$103,MATCH(B21,'15_評価計画・品質ゲート'!$V$4:$V$103,0))))="E05",U21=""),"Trial状態証拠不足",IF(OR(O21="",O21="未判定",O21="無効/再実行"),"評価判定未確定","記録あり・内容審査別"))))))))))</f>
        <v/>
      </c>
      <c r="T21" s="29"/>
      <c r="U21" s="29"/>
      <c r="V21" s="29"/>
      <c r="W21" s="29"/>
      <c r="X21" s="29"/>
      <c r="Y21" s="28" t="str">
        <f>IF(A21="","",IF(COUNTIF(EvalPlanKeys,B21)&lt;&gt;1,"PlanKey不正",IF(OR(T21="",T21&lt;&gt;IF(COUNTIF('15_評価計画・品質ゲート'!$V$4:$V$103,B21)&lt;&gt;1,"参照ID不正",IF(INDEX('15_評価計画・品質ゲート'!$U$4:$U$103,MATCH(B21,'15_評価計画・品質ゲート'!$V$4:$V$103,0))="","",INDEX('15_評価計画・品質ゲート'!$U$4:$U$103,MATCH(B21,'15_評価計画・品質ゲート'!$V$4:$V$103,0))))),"Manifest不一致",IF(IF(COUNTIF('15_評価計画・品質ゲート'!$V$4:$V$103,B21)&lt;&gt;1,"参照ID不正",IF(INDEX('15_評価計画・品質ゲート'!$W$4:$W$103,MATCH(B21,'15_評価計画・品質ゲート'!$V$4:$V$103,0))="","",INDEX('15_評価計画・品質ゲート'!$W$4:$W$103,MATCH(B21,'15_評価計画・品質ゲート'!$V$4:$V$103,0))))&lt;&gt;"計画記録あり","計画未承認・不足","計画・構成一致"))))</f>
        <v/>
      </c>
    </row>
    <row r="22" spans="1:25" ht="66" customHeight="1" x14ac:dyDescent="0.2">
      <c r="A22" s="6"/>
      <c r="B22" s="6"/>
      <c r="C22" s="6"/>
      <c r="D22" s="19"/>
      <c r="E22" s="6"/>
      <c r="F22" s="6"/>
      <c r="G22" s="6"/>
      <c r="H22" s="6"/>
      <c r="I22" s="6"/>
      <c r="J22" s="28" t="str">
        <f>IF(A22="","",IF(COUNTIF('15_評価計画・品質ゲート'!$V$4:$V$103,B22)&lt;&gt;1,"参照ID不正",IF(INDEX('15_評価計画・品質ゲート'!$S$4:$S$103,MATCH(B22,'15_評価計画・品質ゲート'!$V$4:$V$103,0))="","",INDEX('15_評価計画・品質ゲート'!$S$4:$S$103,MATCH(B22,'15_評価計画・品質ゲート'!$V$4:$V$103,0)))))</f>
        <v/>
      </c>
      <c r="K22" s="6"/>
      <c r="L22" s="6"/>
      <c r="M22" s="6"/>
      <c r="N22" s="6"/>
      <c r="O22" s="6"/>
      <c r="P22" s="6"/>
      <c r="Q22" s="6"/>
      <c r="R22" s="19"/>
      <c r="S22" s="28" t="str">
        <f>IF(A22="","",IF(COUNTIF($A$4:$A$103,A22)&lt;&gt;1,"Run ID重複",IF(Y22&lt;&gt;"計画・構成一致",Y22,IF(X22&lt;&gt;"","無効化Run",IF(OR(OR(C22="",E22="",F22="",G22="",H22="",I22="",K22="",M22="",N22="",P22="",T22=""),LEN(L22&amp;"")=0,COUNT(D22,R22)&lt;2),"記録不足",IF(OR(AND(D22&lt;&gt;"",OR(NOT(ISNUMBER(D22)),IFERROR(D22&lt;1,TRUE),IFERROR(INT(D22)&gt;INT(AsOfDate),TRUE))),AND(R22&lt;&gt;"",OR(NOT(ISNUMBER(R22)),IFERROR(R22&lt;1,TRUE),IFERROR(INT(R22)&gt;INT(AsOfDate),TRUE)))),"実績日時不正",IF(R22&lt;D22,"評価承認日時逆転",IF(OR(V22="",W22="",V22=W22),"独立確認Person不足",IF(AND(IF(COUNTIF('15_評価計画・品質ゲート'!$V$4:$V$103,B22)&lt;&gt;1,"参照ID不正",IF(INDEX('15_評価計画・品質ゲート'!$A$4:$A$103,MATCH(B22,'15_評価計画・品質ゲート'!$V$4:$V$103,0))="","",INDEX('15_評価計画・品質ゲート'!$A$4:$A$103,MATCH(B22,'15_評価計画・品質ゲート'!$V$4:$V$103,0))))="E05",U22=""),"Trial状態証拠不足",IF(OR(O22="",O22="未判定",O22="無効/再実行"),"評価判定未確定","記録あり・内容審査別"))))))))))</f>
        <v/>
      </c>
      <c r="T22" s="29"/>
      <c r="U22" s="29"/>
      <c r="V22" s="29"/>
      <c r="W22" s="29"/>
      <c r="X22" s="29"/>
      <c r="Y22" s="28" t="str">
        <f>IF(A22="","",IF(COUNTIF(EvalPlanKeys,B22)&lt;&gt;1,"PlanKey不正",IF(OR(T22="",T22&lt;&gt;IF(COUNTIF('15_評価計画・品質ゲート'!$V$4:$V$103,B22)&lt;&gt;1,"参照ID不正",IF(INDEX('15_評価計画・品質ゲート'!$U$4:$U$103,MATCH(B22,'15_評価計画・品質ゲート'!$V$4:$V$103,0))="","",INDEX('15_評価計画・品質ゲート'!$U$4:$U$103,MATCH(B22,'15_評価計画・品質ゲート'!$V$4:$V$103,0))))),"Manifest不一致",IF(IF(COUNTIF('15_評価計画・品質ゲート'!$V$4:$V$103,B22)&lt;&gt;1,"参照ID不正",IF(INDEX('15_評価計画・品質ゲート'!$W$4:$W$103,MATCH(B22,'15_評価計画・品質ゲート'!$V$4:$V$103,0))="","",INDEX('15_評価計画・品質ゲート'!$W$4:$W$103,MATCH(B22,'15_評価計画・品質ゲート'!$V$4:$V$103,0))))&lt;&gt;"計画記録あり","計画未承認・不足","計画・構成一致"))))</f>
        <v/>
      </c>
    </row>
    <row r="23" spans="1:25" ht="66" customHeight="1" x14ac:dyDescent="0.2">
      <c r="A23" s="6"/>
      <c r="B23" s="6"/>
      <c r="C23" s="6"/>
      <c r="D23" s="19"/>
      <c r="E23" s="6"/>
      <c r="F23" s="6"/>
      <c r="G23" s="6"/>
      <c r="H23" s="6"/>
      <c r="I23" s="6"/>
      <c r="J23" s="28" t="str">
        <f>IF(A23="","",IF(COUNTIF('15_評価計画・品質ゲート'!$V$4:$V$103,B23)&lt;&gt;1,"参照ID不正",IF(INDEX('15_評価計画・品質ゲート'!$S$4:$S$103,MATCH(B23,'15_評価計画・品質ゲート'!$V$4:$V$103,0))="","",INDEX('15_評価計画・品質ゲート'!$S$4:$S$103,MATCH(B23,'15_評価計画・品質ゲート'!$V$4:$V$103,0)))))</f>
        <v/>
      </c>
      <c r="K23" s="6"/>
      <c r="L23" s="6"/>
      <c r="M23" s="6"/>
      <c r="N23" s="6"/>
      <c r="O23" s="6"/>
      <c r="P23" s="6"/>
      <c r="Q23" s="6"/>
      <c r="R23" s="19"/>
      <c r="S23" s="28" t="str">
        <f>IF(A23="","",IF(COUNTIF($A$4:$A$103,A23)&lt;&gt;1,"Run ID重複",IF(Y23&lt;&gt;"計画・構成一致",Y23,IF(X23&lt;&gt;"","無効化Run",IF(OR(OR(C23="",E23="",F23="",G23="",H23="",I23="",K23="",M23="",N23="",P23="",T23=""),LEN(L23&amp;"")=0,COUNT(D23,R23)&lt;2),"記録不足",IF(OR(AND(D23&lt;&gt;"",OR(NOT(ISNUMBER(D23)),IFERROR(D23&lt;1,TRUE),IFERROR(INT(D23)&gt;INT(AsOfDate),TRUE))),AND(R23&lt;&gt;"",OR(NOT(ISNUMBER(R23)),IFERROR(R23&lt;1,TRUE),IFERROR(INT(R23)&gt;INT(AsOfDate),TRUE)))),"実績日時不正",IF(R23&lt;D23,"評価承認日時逆転",IF(OR(V23="",W23="",V23=W23),"独立確認Person不足",IF(AND(IF(COUNTIF('15_評価計画・品質ゲート'!$V$4:$V$103,B23)&lt;&gt;1,"参照ID不正",IF(INDEX('15_評価計画・品質ゲート'!$A$4:$A$103,MATCH(B23,'15_評価計画・品質ゲート'!$V$4:$V$103,0))="","",INDEX('15_評価計画・品質ゲート'!$A$4:$A$103,MATCH(B23,'15_評価計画・品質ゲート'!$V$4:$V$103,0))))="E05",U23=""),"Trial状態証拠不足",IF(OR(O23="",O23="未判定",O23="無効/再実行"),"評価判定未確定","記録あり・内容審査別"))))))))))</f>
        <v/>
      </c>
      <c r="T23" s="29"/>
      <c r="U23" s="29"/>
      <c r="V23" s="29"/>
      <c r="W23" s="29"/>
      <c r="X23" s="29"/>
      <c r="Y23" s="28" t="str">
        <f>IF(A23="","",IF(COUNTIF(EvalPlanKeys,B23)&lt;&gt;1,"PlanKey不正",IF(OR(T23="",T23&lt;&gt;IF(COUNTIF('15_評価計画・品質ゲート'!$V$4:$V$103,B23)&lt;&gt;1,"参照ID不正",IF(INDEX('15_評価計画・品質ゲート'!$U$4:$U$103,MATCH(B23,'15_評価計画・品質ゲート'!$V$4:$V$103,0))="","",INDEX('15_評価計画・品質ゲート'!$U$4:$U$103,MATCH(B23,'15_評価計画・品質ゲート'!$V$4:$V$103,0))))),"Manifest不一致",IF(IF(COUNTIF('15_評価計画・品質ゲート'!$V$4:$V$103,B23)&lt;&gt;1,"参照ID不正",IF(INDEX('15_評価計画・品質ゲート'!$W$4:$W$103,MATCH(B23,'15_評価計画・品質ゲート'!$V$4:$V$103,0))="","",INDEX('15_評価計画・品質ゲート'!$W$4:$W$103,MATCH(B23,'15_評価計画・品質ゲート'!$V$4:$V$103,0))))&lt;&gt;"計画記録あり","計画未承認・不足","計画・構成一致"))))</f>
        <v/>
      </c>
    </row>
    <row r="24" spans="1:25" ht="66" customHeight="1" x14ac:dyDescent="0.2">
      <c r="A24" s="6"/>
      <c r="B24" s="6"/>
      <c r="C24" s="6"/>
      <c r="D24" s="19"/>
      <c r="E24" s="6"/>
      <c r="F24" s="6"/>
      <c r="G24" s="6"/>
      <c r="H24" s="6"/>
      <c r="I24" s="6"/>
      <c r="J24" s="28" t="str">
        <f>IF(A24="","",IF(COUNTIF('15_評価計画・品質ゲート'!$V$4:$V$103,B24)&lt;&gt;1,"参照ID不正",IF(INDEX('15_評価計画・品質ゲート'!$S$4:$S$103,MATCH(B24,'15_評価計画・品質ゲート'!$V$4:$V$103,0))="","",INDEX('15_評価計画・品質ゲート'!$S$4:$S$103,MATCH(B24,'15_評価計画・品質ゲート'!$V$4:$V$103,0)))))</f>
        <v/>
      </c>
      <c r="K24" s="6"/>
      <c r="L24" s="6"/>
      <c r="M24" s="6"/>
      <c r="N24" s="6"/>
      <c r="O24" s="6"/>
      <c r="P24" s="6"/>
      <c r="Q24" s="6"/>
      <c r="R24" s="19"/>
      <c r="S24" s="28" t="str">
        <f>IF(A24="","",IF(COUNTIF($A$4:$A$103,A24)&lt;&gt;1,"Run ID重複",IF(Y24&lt;&gt;"計画・構成一致",Y24,IF(X24&lt;&gt;"","無効化Run",IF(OR(OR(C24="",E24="",F24="",G24="",H24="",I24="",K24="",M24="",N24="",P24="",T24=""),LEN(L24&amp;"")=0,COUNT(D24,R24)&lt;2),"記録不足",IF(OR(AND(D24&lt;&gt;"",OR(NOT(ISNUMBER(D24)),IFERROR(D24&lt;1,TRUE),IFERROR(INT(D24)&gt;INT(AsOfDate),TRUE))),AND(R24&lt;&gt;"",OR(NOT(ISNUMBER(R24)),IFERROR(R24&lt;1,TRUE),IFERROR(INT(R24)&gt;INT(AsOfDate),TRUE)))),"実績日時不正",IF(R24&lt;D24,"評価承認日時逆転",IF(OR(V24="",W24="",V24=W24),"独立確認Person不足",IF(AND(IF(COUNTIF('15_評価計画・品質ゲート'!$V$4:$V$103,B24)&lt;&gt;1,"参照ID不正",IF(INDEX('15_評価計画・品質ゲート'!$A$4:$A$103,MATCH(B24,'15_評価計画・品質ゲート'!$V$4:$V$103,0))="","",INDEX('15_評価計画・品質ゲート'!$A$4:$A$103,MATCH(B24,'15_評価計画・品質ゲート'!$V$4:$V$103,0))))="E05",U24=""),"Trial状態証拠不足",IF(OR(O24="",O24="未判定",O24="無効/再実行"),"評価判定未確定","記録あり・内容審査別"))))))))))</f>
        <v/>
      </c>
      <c r="T24" s="29"/>
      <c r="U24" s="29"/>
      <c r="V24" s="29"/>
      <c r="W24" s="29"/>
      <c r="X24" s="29"/>
      <c r="Y24" s="28" t="str">
        <f>IF(A24="","",IF(COUNTIF(EvalPlanKeys,B24)&lt;&gt;1,"PlanKey不正",IF(OR(T24="",T24&lt;&gt;IF(COUNTIF('15_評価計画・品質ゲート'!$V$4:$V$103,B24)&lt;&gt;1,"参照ID不正",IF(INDEX('15_評価計画・品質ゲート'!$U$4:$U$103,MATCH(B24,'15_評価計画・品質ゲート'!$V$4:$V$103,0))="","",INDEX('15_評価計画・品質ゲート'!$U$4:$U$103,MATCH(B24,'15_評価計画・品質ゲート'!$V$4:$V$103,0))))),"Manifest不一致",IF(IF(COUNTIF('15_評価計画・品質ゲート'!$V$4:$V$103,B24)&lt;&gt;1,"参照ID不正",IF(INDEX('15_評価計画・品質ゲート'!$W$4:$W$103,MATCH(B24,'15_評価計画・品質ゲート'!$V$4:$V$103,0))="","",INDEX('15_評価計画・品質ゲート'!$W$4:$W$103,MATCH(B24,'15_評価計画・品質ゲート'!$V$4:$V$103,0))))&lt;&gt;"計画記録あり","計画未承認・不足","計画・構成一致"))))</f>
        <v/>
      </c>
    </row>
    <row r="25" spans="1:25" ht="66" customHeight="1" x14ac:dyDescent="0.2">
      <c r="A25" s="6"/>
      <c r="B25" s="6"/>
      <c r="C25" s="6"/>
      <c r="D25" s="19"/>
      <c r="E25" s="6"/>
      <c r="F25" s="6"/>
      <c r="G25" s="6"/>
      <c r="H25" s="6"/>
      <c r="I25" s="6"/>
      <c r="J25" s="28" t="str">
        <f>IF(A25="","",IF(COUNTIF('15_評価計画・品質ゲート'!$V$4:$V$103,B25)&lt;&gt;1,"参照ID不正",IF(INDEX('15_評価計画・品質ゲート'!$S$4:$S$103,MATCH(B25,'15_評価計画・品質ゲート'!$V$4:$V$103,0))="","",INDEX('15_評価計画・品質ゲート'!$S$4:$S$103,MATCH(B25,'15_評価計画・品質ゲート'!$V$4:$V$103,0)))))</f>
        <v/>
      </c>
      <c r="K25" s="6"/>
      <c r="L25" s="6"/>
      <c r="M25" s="6"/>
      <c r="N25" s="6"/>
      <c r="O25" s="6"/>
      <c r="P25" s="6"/>
      <c r="Q25" s="6"/>
      <c r="R25" s="19"/>
      <c r="S25" s="28" t="str">
        <f>IF(A25="","",IF(COUNTIF($A$4:$A$103,A25)&lt;&gt;1,"Run ID重複",IF(Y25&lt;&gt;"計画・構成一致",Y25,IF(X25&lt;&gt;"","無効化Run",IF(OR(OR(C25="",E25="",F25="",G25="",H25="",I25="",K25="",M25="",N25="",P25="",T25=""),LEN(L25&amp;"")=0,COUNT(D25,R25)&lt;2),"記録不足",IF(OR(AND(D25&lt;&gt;"",OR(NOT(ISNUMBER(D25)),IFERROR(D25&lt;1,TRUE),IFERROR(INT(D25)&gt;INT(AsOfDate),TRUE))),AND(R25&lt;&gt;"",OR(NOT(ISNUMBER(R25)),IFERROR(R25&lt;1,TRUE),IFERROR(INT(R25)&gt;INT(AsOfDate),TRUE)))),"実績日時不正",IF(R25&lt;D25,"評価承認日時逆転",IF(OR(V25="",W25="",V25=W25),"独立確認Person不足",IF(AND(IF(COUNTIF('15_評価計画・品質ゲート'!$V$4:$V$103,B25)&lt;&gt;1,"参照ID不正",IF(INDEX('15_評価計画・品質ゲート'!$A$4:$A$103,MATCH(B25,'15_評価計画・品質ゲート'!$V$4:$V$103,0))="","",INDEX('15_評価計画・品質ゲート'!$A$4:$A$103,MATCH(B25,'15_評価計画・品質ゲート'!$V$4:$V$103,0))))="E05",U25=""),"Trial状態証拠不足",IF(OR(O25="",O25="未判定",O25="無効/再実行"),"評価判定未確定","記録あり・内容審査別"))))))))))</f>
        <v/>
      </c>
      <c r="T25" s="29"/>
      <c r="U25" s="29"/>
      <c r="V25" s="29"/>
      <c r="W25" s="29"/>
      <c r="X25" s="29"/>
      <c r="Y25" s="28" t="str">
        <f>IF(A25="","",IF(COUNTIF(EvalPlanKeys,B25)&lt;&gt;1,"PlanKey不正",IF(OR(T25="",T25&lt;&gt;IF(COUNTIF('15_評価計画・品質ゲート'!$V$4:$V$103,B25)&lt;&gt;1,"参照ID不正",IF(INDEX('15_評価計画・品質ゲート'!$U$4:$U$103,MATCH(B25,'15_評価計画・品質ゲート'!$V$4:$V$103,0))="","",INDEX('15_評価計画・品質ゲート'!$U$4:$U$103,MATCH(B25,'15_評価計画・品質ゲート'!$V$4:$V$103,0))))),"Manifest不一致",IF(IF(COUNTIF('15_評価計画・品質ゲート'!$V$4:$V$103,B25)&lt;&gt;1,"参照ID不正",IF(INDEX('15_評価計画・品質ゲート'!$W$4:$W$103,MATCH(B25,'15_評価計画・品質ゲート'!$V$4:$V$103,0))="","",INDEX('15_評価計画・品質ゲート'!$W$4:$W$103,MATCH(B25,'15_評価計画・品質ゲート'!$V$4:$V$103,0))))&lt;&gt;"計画記録あり","計画未承認・不足","計画・構成一致"))))</f>
        <v/>
      </c>
    </row>
    <row r="26" spans="1:25" ht="66" customHeight="1" x14ac:dyDescent="0.2">
      <c r="A26" s="6"/>
      <c r="B26" s="6"/>
      <c r="C26" s="6"/>
      <c r="D26" s="19"/>
      <c r="E26" s="6"/>
      <c r="F26" s="6"/>
      <c r="G26" s="6"/>
      <c r="H26" s="6"/>
      <c r="I26" s="6"/>
      <c r="J26" s="28" t="str">
        <f>IF(A26="","",IF(COUNTIF('15_評価計画・品質ゲート'!$V$4:$V$103,B26)&lt;&gt;1,"参照ID不正",IF(INDEX('15_評価計画・品質ゲート'!$S$4:$S$103,MATCH(B26,'15_評価計画・品質ゲート'!$V$4:$V$103,0))="","",INDEX('15_評価計画・品質ゲート'!$S$4:$S$103,MATCH(B26,'15_評価計画・品質ゲート'!$V$4:$V$103,0)))))</f>
        <v/>
      </c>
      <c r="K26" s="6"/>
      <c r="L26" s="6"/>
      <c r="M26" s="6"/>
      <c r="N26" s="6"/>
      <c r="O26" s="6"/>
      <c r="P26" s="6"/>
      <c r="Q26" s="6"/>
      <c r="R26" s="19"/>
      <c r="S26" s="28" t="str">
        <f>IF(A26="","",IF(COUNTIF($A$4:$A$103,A26)&lt;&gt;1,"Run ID重複",IF(Y26&lt;&gt;"計画・構成一致",Y26,IF(X26&lt;&gt;"","無効化Run",IF(OR(OR(C26="",E26="",F26="",G26="",H26="",I26="",K26="",M26="",N26="",P26="",T26=""),LEN(L26&amp;"")=0,COUNT(D26,R26)&lt;2),"記録不足",IF(OR(AND(D26&lt;&gt;"",OR(NOT(ISNUMBER(D26)),IFERROR(D26&lt;1,TRUE),IFERROR(INT(D26)&gt;INT(AsOfDate),TRUE))),AND(R26&lt;&gt;"",OR(NOT(ISNUMBER(R26)),IFERROR(R26&lt;1,TRUE),IFERROR(INT(R26)&gt;INT(AsOfDate),TRUE)))),"実績日時不正",IF(R26&lt;D26,"評価承認日時逆転",IF(OR(V26="",W26="",V26=W26),"独立確認Person不足",IF(AND(IF(COUNTIF('15_評価計画・品質ゲート'!$V$4:$V$103,B26)&lt;&gt;1,"参照ID不正",IF(INDEX('15_評価計画・品質ゲート'!$A$4:$A$103,MATCH(B26,'15_評価計画・品質ゲート'!$V$4:$V$103,0))="","",INDEX('15_評価計画・品質ゲート'!$A$4:$A$103,MATCH(B26,'15_評価計画・品質ゲート'!$V$4:$V$103,0))))="E05",U26=""),"Trial状態証拠不足",IF(OR(O26="",O26="未判定",O26="無効/再実行"),"評価判定未確定","記録あり・内容審査別"))))))))))</f>
        <v/>
      </c>
      <c r="T26" s="29"/>
      <c r="U26" s="29"/>
      <c r="V26" s="29"/>
      <c r="W26" s="29"/>
      <c r="X26" s="29"/>
      <c r="Y26" s="28" t="str">
        <f>IF(A26="","",IF(COUNTIF(EvalPlanKeys,B26)&lt;&gt;1,"PlanKey不正",IF(OR(T26="",T26&lt;&gt;IF(COUNTIF('15_評価計画・品質ゲート'!$V$4:$V$103,B26)&lt;&gt;1,"参照ID不正",IF(INDEX('15_評価計画・品質ゲート'!$U$4:$U$103,MATCH(B26,'15_評価計画・品質ゲート'!$V$4:$V$103,0))="","",INDEX('15_評価計画・品質ゲート'!$U$4:$U$103,MATCH(B26,'15_評価計画・品質ゲート'!$V$4:$V$103,0))))),"Manifest不一致",IF(IF(COUNTIF('15_評価計画・品質ゲート'!$V$4:$V$103,B26)&lt;&gt;1,"参照ID不正",IF(INDEX('15_評価計画・品質ゲート'!$W$4:$W$103,MATCH(B26,'15_評価計画・品質ゲート'!$V$4:$V$103,0))="","",INDEX('15_評価計画・品質ゲート'!$W$4:$W$103,MATCH(B26,'15_評価計画・品質ゲート'!$V$4:$V$103,0))))&lt;&gt;"計画記録あり","計画未承認・不足","計画・構成一致"))))</f>
        <v/>
      </c>
    </row>
    <row r="27" spans="1:25" ht="66" customHeight="1" x14ac:dyDescent="0.2">
      <c r="A27" s="6"/>
      <c r="B27" s="6"/>
      <c r="C27" s="6"/>
      <c r="D27" s="19"/>
      <c r="E27" s="6"/>
      <c r="F27" s="6"/>
      <c r="G27" s="6"/>
      <c r="H27" s="6"/>
      <c r="I27" s="6"/>
      <c r="J27" s="28" t="str">
        <f>IF(A27="","",IF(COUNTIF('15_評価計画・品質ゲート'!$V$4:$V$103,B27)&lt;&gt;1,"参照ID不正",IF(INDEX('15_評価計画・品質ゲート'!$S$4:$S$103,MATCH(B27,'15_評価計画・品質ゲート'!$V$4:$V$103,0))="","",INDEX('15_評価計画・品質ゲート'!$S$4:$S$103,MATCH(B27,'15_評価計画・品質ゲート'!$V$4:$V$103,0)))))</f>
        <v/>
      </c>
      <c r="K27" s="6"/>
      <c r="L27" s="6"/>
      <c r="M27" s="6"/>
      <c r="N27" s="6"/>
      <c r="O27" s="6"/>
      <c r="P27" s="6"/>
      <c r="Q27" s="6"/>
      <c r="R27" s="19"/>
      <c r="S27" s="28" t="str">
        <f>IF(A27="","",IF(COUNTIF($A$4:$A$103,A27)&lt;&gt;1,"Run ID重複",IF(Y27&lt;&gt;"計画・構成一致",Y27,IF(X27&lt;&gt;"","無効化Run",IF(OR(OR(C27="",E27="",F27="",G27="",H27="",I27="",K27="",M27="",N27="",P27="",T27=""),LEN(L27&amp;"")=0,COUNT(D27,R27)&lt;2),"記録不足",IF(OR(AND(D27&lt;&gt;"",OR(NOT(ISNUMBER(D27)),IFERROR(D27&lt;1,TRUE),IFERROR(INT(D27)&gt;INT(AsOfDate),TRUE))),AND(R27&lt;&gt;"",OR(NOT(ISNUMBER(R27)),IFERROR(R27&lt;1,TRUE),IFERROR(INT(R27)&gt;INT(AsOfDate),TRUE)))),"実績日時不正",IF(R27&lt;D27,"評価承認日時逆転",IF(OR(V27="",W27="",V27=W27),"独立確認Person不足",IF(AND(IF(COUNTIF('15_評価計画・品質ゲート'!$V$4:$V$103,B27)&lt;&gt;1,"参照ID不正",IF(INDEX('15_評価計画・品質ゲート'!$A$4:$A$103,MATCH(B27,'15_評価計画・品質ゲート'!$V$4:$V$103,0))="","",INDEX('15_評価計画・品質ゲート'!$A$4:$A$103,MATCH(B27,'15_評価計画・品質ゲート'!$V$4:$V$103,0))))="E05",U27=""),"Trial状態証拠不足",IF(OR(O27="",O27="未判定",O27="無効/再実行"),"評価判定未確定","記録あり・内容審査別"))))))))))</f>
        <v/>
      </c>
      <c r="T27" s="29"/>
      <c r="U27" s="29"/>
      <c r="V27" s="29"/>
      <c r="W27" s="29"/>
      <c r="X27" s="29"/>
      <c r="Y27" s="28" t="str">
        <f>IF(A27="","",IF(COUNTIF(EvalPlanKeys,B27)&lt;&gt;1,"PlanKey不正",IF(OR(T27="",T27&lt;&gt;IF(COUNTIF('15_評価計画・品質ゲート'!$V$4:$V$103,B27)&lt;&gt;1,"参照ID不正",IF(INDEX('15_評価計画・品質ゲート'!$U$4:$U$103,MATCH(B27,'15_評価計画・品質ゲート'!$V$4:$V$103,0))="","",INDEX('15_評価計画・品質ゲート'!$U$4:$U$103,MATCH(B27,'15_評価計画・品質ゲート'!$V$4:$V$103,0))))),"Manifest不一致",IF(IF(COUNTIF('15_評価計画・品質ゲート'!$V$4:$V$103,B27)&lt;&gt;1,"参照ID不正",IF(INDEX('15_評価計画・品質ゲート'!$W$4:$W$103,MATCH(B27,'15_評価計画・品質ゲート'!$V$4:$V$103,0))="","",INDEX('15_評価計画・品質ゲート'!$W$4:$W$103,MATCH(B27,'15_評価計画・品質ゲート'!$V$4:$V$103,0))))&lt;&gt;"計画記録あり","計画未承認・不足","計画・構成一致"))))</f>
        <v/>
      </c>
    </row>
    <row r="28" spans="1:25" ht="66" customHeight="1" x14ac:dyDescent="0.2">
      <c r="A28" s="6"/>
      <c r="B28" s="6"/>
      <c r="C28" s="6"/>
      <c r="D28" s="19"/>
      <c r="E28" s="6"/>
      <c r="F28" s="6"/>
      <c r="G28" s="6"/>
      <c r="H28" s="6"/>
      <c r="I28" s="6"/>
      <c r="J28" s="28" t="str">
        <f>IF(A28="","",IF(COUNTIF('15_評価計画・品質ゲート'!$V$4:$V$103,B28)&lt;&gt;1,"参照ID不正",IF(INDEX('15_評価計画・品質ゲート'!$S$4:$S$103,MATCH(B28,'15_評価計画・品質ゲート'!$V$4:$V$103,0))="","",INDEX('15_評価計画・品質ゲート'!$S$4:$S$103,MATCH(B28,'15_評価計画・品質ゲート'!$V$4:$V$103,0)))))</f>
        <v/>
      </c>
      <c r="K28" s="6"/>
      <c r="L28" s="6"/>
      <c r="M28" s="6"/>
      <c r="N28" s="6"/>
      <c r="O28" s="6"/>
      <c r="P28" s="6"/>
      <c r="Q28" s="6"/>
      <c r="R28" s="19"/>
      <c r="S28" s="28" t="str">
        <f>IF(A28="","",IF(COUNTIF($A$4:$A$103,A28)&lt;&gt;1,"Run ID重複",IF(Y28&lt;&gt;"計画・構成一致",Y28,IF(X28&lt;&gt;"","無効化Run",IF(OR(OR(C28="",E28="",F28="",G28="",H28="",I28="",K28="",M28="",N28="",P28="",T28=""),LEN(L28&amp;"")=0,COUNT(D28,R28)&lt;2),"記録不足",IF(OR(AND(D28&lt;&gt;"",OR(NOT(ISNUMBER(D28)),IFERROR(D28&lt;1,TRUE),IFERROR(INT(D28)&gt;INT(AsOfDate),TRUE))),AND(R28&lt;&gt;"",OR(NOT(ISNUMBER(R28)),IFERROR(R28&lt;1,TRUE),IFERROR(INT(R28)&gt;INT(AsOfDate),TRUE)))),"実績日時不正",IF(R28&lt;D28,"評価承認日時逆転",IF(OR(V28="",W28="",V28=W28),"独立確認Person不足",IF(AND(IF(COUNTIF('15_評価計画・品質ゲート'!$V$4:$V$103,B28)&lt;&gt;1,"参照ID不正",IF(INDEX('15_評価計画・品質ゲート'!$A$4:$A$103,MATCH(B28,'15_評価計画・品質ゲート'!$V$4:$V$103,0))="","",INDEX('15_評価計画・品質ゲート'!$A$4:$A$103,MATCH(B28,'15_評価計画・品質ゲート'!$V$4:$V$103,0))))="E05",U28=""),"Trial状態証拠不足",IF(OR(O28="",O28="未判定",O28="無効/再実行"),"評価判定未確定","記録あり・内容審査別"))))))))))</f>
        <v/>
      </c>
      <c r="T28" s="29"/>
      <c r="U28" s="29"/>
      <c r="V28" s="29"/>
      <c r="W28" s="29"/>
      <c r="X28" s="29"/>
      <c r="Y28" s="28" t="str">
        <f>IF(A28="","",IF(COUNTIF(EvalPlanKeys,B28)&lt;&gt;1,"PlanKey不正",IF(OR(T28="",T28&lt;&gt;IF(COUNTIF('15_評価計画・品質ゲート'!$V$4:$V$103,B28)&lt;&gt;1,"参照ID不正",IF(INDEX('15_評価計画・品質ゲート'!$U$4:$U$103,MATCH(B28,'15_評価計画・品質ゲート'!$V$4:$V$103,0))="","",INDEX('15_評価計画・品質ゲート'!$U$4:$U$103,MATCH(B28,'15_評価計画・品質ゲート'!$V$4:$V$103,0))))),"Manifest不一致",IF(IF(COUNTIF('15_評価計画・品質ゲート'!$V$4:$V$103,B28)&lt;&gt;1,"参照ID不正",IF(INDEX('15_評価計画・品質ゲート'!$W$4:$W$103,MATCH(B28,'15_評価計画・品質ゲート'!$V$4:$V$103,0))="","",INDEX('15_評価計画・品質ゲート'!$W$4:$W$103,MATCH(B28,'15_評価計画・品質ゲート'!$V$4:$V$103,0))))&lt;&gt;"計画記録あり","計画未承認・不足","計画・構成一致"))))</f>
        <v/>
      </c>
    </row>
    <row r="29" spans="1:25" ht="66" customHeight="1" x14ac:dyDescent="0.2">
      <c r="A29" s="6"/>
      <c r="B29" s="6"/>
      <c r="C29" s="6"/>
      <c r="D29" s="19"/>
      <c r="E29" s="6"/>
      <c r="F29" s="6"/>
      <c r="G29" s="6"/>
      <c r="H29" s="6"/>
      <c r="I29" s="6"/>
      <c r="J29" s="28" t="str">
        <f>IF(A29="","",IF(COUNTIF('15_評価計画・品質ゲート'!$V$4:$V$103,B29)&lt;&gt;1,"参照ID不正",IF(INDEX('15_評価計画・品質ゲート'!$S$4:$S$103,MATCH(B29,'15_評価計画・品質ゲート'!$V$4:$V$103,0))="","",INDEX('15_評価計画・品質ゲート'!$S$4:$S$103,MATCH(B29,'15_評価計画・品質ゲート'!$V$4:$V$103,0)))))</f>
        <v/>
      </c>
      <c r="K29" s="6"/>
      <c r="L29" s="6"/>
      <c r="M29" s="6"/>
      <c r="N29" s="6"/>
      <c r="O29" s="6"/>
      <c r="P29" s="6"/>
      <c r="Q29" s="6"/>
      <c r="R29" s="19"/>
      <c r="S29" s="28" t="str">
        <f>IF(A29="","",IF(COUNTIF($A$4:$A$103,A29)&lt;&gt;1,"Run ID重複",IF(Y29&lt;&gt;"計画・構成一致",Y29,IF(X29&lt;&gt;"","無効化Run",IF(OR(OR(C29="",E29="",F29="",G29="",H29="",I29="",K29="",M29="",N29="",P29="",T29=""),LEN(L29&amp;"")=0,COUNT(D29,R29)&lt;2),"記録不足",IF(OR(AND(D29&lt;&gt;"",OR(NOT(ISNUMBER(D29)),IFERROR(D29&lt;1,TRUE),IFERROR(INT(D29)&gt;INT(AsOfDate),TRUE))),AND(R29&lt;&gt;"",OR(NOT(ISNUMBER(R29)),IFERROR(R29&lt;1,TRUE),IFERROR(INT(R29)&gt;INT(AsOfDate),TRUE)))),"実績日時不正",IF(R29&lt;D29,"評価承認日時逆転",IF(OR(V29="",W29="",V29=W29),"独立確認Person不足",IF(AND(IF(COUNTIF('15_評価計画・品質ゲート'!$V$4:$V$103,B29)&lt;&gt;1,"参照ID不正",IF(INDEX('15_評価計画・品質ゲート'!$A$4:$A$103,MATCH(B29,'15_評価計画・品質ゲート'!$V$4:$V$103,0))="","",INDEX('15_評価計画・品質ゲート'!$A$4:$A$103,MATCH(B29,'15_評価計画・品質ゲート'!$V$4:$V$103,0))))="E05",U29=""),"Trial状態証拠不足",IF(OR(O29="",O29="未判定",O29="無効/再実行"),"評価判定未確定","記録あり・内容審査別"))))))))))</f>
        <v/>
      </c>
      <c r="T29" s="29"/>
      <c r="U29" s="29"/>
      <c r="V29" s="29"/>
      <c r="W29" s="29"/>
      <c r="X29" s="29"/>
      <c r="Y29" s="28" t="str">
        <f>IF(A29="","",IF(COUNTIF(EvalPlanKeys,B29)&lt;&gt;1,"PlanKey不正",IF(OR(T29="",T29&lt;&gt;IF(COUNTIF('15_評価計画・品質ゲート'!$V$4:$V$103,B29)&lt;&gt;1,"参照ID不正",IF(INDEX('15_評価計画・品質ゲート'!$U$4:$U$103,MATCH(B29,'15_評価計画・品質ゲート'!$V$4:$V$103,0))="","",INDEX('15_評価計画・品質ゲート'!$U$4:$U$103,MATCH(B29,'15_評価計画・品質ゲート'!$V$4:$V$103,0))))),"Manifest不一致",IF(IF(COUNTIF('15_評価計画・品質ゲート'!$V$4:$V$103,B29)&lt;&gt;1,"参照ID不正",IF(INDEX('15_評価計画・品質ゲート'!$W$4:$W$103,MATCH(B29,'15_評価計画・品質ゲート'!$V$4:$V$103,0))="","",INDEX('15_評価計画・品質ゲート'!$W$4:$W$103,MATCH(B29,'15_評価計画・品質ゲート'!$V$4:$V$103,0))))&lt;&gt;"計画記録あり","計画未承認・不足","計画・構成一致"))))</f>
        <v/>
      </c>
    </row>
    <row r="30" spans="1:25" ht="66" customHeight="1" x14ac:dyDescent="0.2">
      <c r="A30" s="6"/>
      <c r="B30" s="6"/>
      <c r="C30" s="6"/>
      <c r="D30" s="19"/>
      <c r="E30" s="6"/>
      <c r="F30" s="6"/>
      <c r="G30" s="6"/>
      <c r="H30" s="6"/>
      <c r="I30" s="6"/>
      <c r="J30" s="28" t="str">
        <f>IF(A30="","",IF(COUNTIF('15_評価計画・品質ゲート'!$V$4:$V$103,B30)&lt;&gt;1,"参照ID不正",IF(INDEX('15_評価計画・品質ゲート'!$S$4:$S$103,MATCH(B30,'15_評価計画・品質ゲート'!$V$4:$V$103,0))="","",INDEX('15_評価計画・品質ゲート'!$S$4:$S$103,MATCH(B30,'15_評価計画・品質ゲート'!$V$4:$V$103,0)))))</f>
        <v/>
      </c>
      <c r="K30" s="6"/>
      <c r="L30" s="6"/>
      <c r="M30" s="6"/>
      <c r="N30" s="6"/>
      <c r="O30" s="6"/>
      <c r="P30" s="6"/>
      <c r="Q30" s="6"/>
      <c r="R30" s="19"/>
      <c r="S30" s="28" t="str">
        <f>IF(A30="","",IF(COUNTIF($A$4:$A$103,A30)&lt;&gt;1,"Run ID重複",IF(Y30&lt;&gt;"計画・構成一致",Y30,IF(X30&lt;&gt;"","無効化Run",IF(OR(OR(C30="",E30="",F30="",G30="",H30="",I30="",K30="",M30="",N30="",P30="",T30=""),LEN(L30&amp;"")=0,COUNT(D30,R30)&lt;2),"記録不足",IF(OR(AND(D30&lt;&gt;"",OR(NOT(ISNUMBER(D30)),IFERROR(D30&lt;1,TRUE),IFERROR(INT(D30)&gt;INT(AsOfDate),TRUE))),AND(R30&lt;&gt;"",OR(NOT(ISNUMBER(R30)),IFERROR(R30&lt;1,TRUE),IFERROR(INT(R30)&gt;INT(AsOfDate),TRUE)))),"実績日時不正",IF(R30&lt;D30,"評価承認日時逆転",IF(OR(V30="",W30="",V30=W30),"独立確認Person不足",IF(AND(IF(COUNTIF('15_評価計画・品質ゲート'!$V$4:$V$103,B30)&lt;&gt;1,"参照ID不正",IF(INDEX('15_評価計画・品質ゲート'!$A$4:$A$103,MATCH(B30,'15_評価計画・品質ゲート'!$V$4:$V$103,0))="","",INDEX('15_評価計画・品質ゲート'!$A$4:$A$103,MATCH(B30,'15_評価計画・品質ゲート'!$V$4:$V$103,0))))="E05",U30=""),"Trial状態証拠不足",IF(OR(O30="",O30="未判定",O30="無効/再実行"),"評価判定未確定","記録あり・内容審査別"))))))))))</f>
        <v/>
      </c>
      <c r="T30" s="29"/>
      <c r="U30" s="29"/>
      <c r="V30" s="29"/>
      <c r="W30" s="29"/>
      <c r="X30" s="29"/>
      <c r="Y30" s="28" t="str">
        <f>IF(A30="","",IF(COUNTIF(EvalPlanKeys,B30)&lt;&gt;1,"PlanKey不正",IF(OR(T30="",T30&lt;&gt;IF(COUNTIF('15_評価計画・品質ゲート'!$V$4:$V$103,B30)&lt;&gt;1,"参照ID不正",IF(INDEX('15_評価計画・品質ゲート'!$U$4:$U$103,MATCH(B30,'15_評価計画・品質ゲート'!$V$4:$V$103,0))="","",INDEX('15_評価計画・品質ゲート'!$U$4:$U$103,MATCH(B30,'15_評価計画・品質ゲート'!$V$4:$V$103,0))))),"Manifest不一致",IF(IF(COUNTIF('15_評価計画・品質ゲート'!$V$4:$V$103,B30)&lt;&gt;1,"参照ID不正",IF(INDEX('15_評価計画・品質ゲート'!$W$4:$W$103,MATCH(B30,'15_評価計画・品質ゲート'!$V$4:$V$103,0))="","",INDEX('15_評価計画・品質ゲート'!$W$4:$W$103,MATCH(B30,'15_評価計画・品質ゲート'!$V$4:$V$103,0))))&lt;&gt;"計画記録あり","計画未承認・不足","計画・構成一致"))))</f>
        <v/>
      </c>
    </row>
    <row r="31" spans="1:25" ht="66" customHeight="1" x14ac:dyDescent="0.2">
      <c r="A31" s="6"/>
      <c r="B31" s="6"/>
      <c r="C31" s="6"/>
      <c r="D31" s="19"/>
      <c r="E31" s="6"/>
      <c r="F31" s="6"/>
      <c r="G31" s="6"/>
      <c r="H31" s="6"/>
      <c r="I31" s="6"/>
      <c r="J31" s="28" t="str">
        <f>IF(A31="","",IF(COUNTIF('15_評価計画・品質ゲート'!$V$4:$V$103,B31)&lt;&gt;1,"参照ID不正",IF(INDEX('15_評価計画・品質ゲート'!$S$4:$S$103,MATCH(B31,'15_評価計画・品質ゲート'!$V$4:$V$103,0))="","",INDEX('15_評価計画・品質ゲート'!$S$4:$S$103,MATCH(B31,'15_評価計画・品質ゲート'!$V$4:$V$103,0)))))</f>
        <v/>
      </c>
      <c r="K31" s="6"/>
      <c r="L31" s="6"/>
      <c r="M31" s="6"/>
      <c r="N31" s="6"/>
      <c r="O31" s="6"/>
      <c r="P31" s="6"/>
      <c r="Q31" s="6"/>
      <c r="R31" s="19"/>
      <c r="S31" s="28" t="str">
        <f>IF(A31="","",IF(COUNTIF($A$4:$A$103,A31)&lt;&gt;1,"Run ID重複",IF(Y31&lt;&gt;"計画・構成一致",Y31,IF(X31&lt;&gt;"","無効化Run",IF(OR(OR(C31="",E31="",F31="",G31="",H31="",I31="",K31="",M31="",N31="",P31="",T31=""),LEN(L31&amp;"")=0,COUNT(D31,R31)&lt;2),"記録不足",IF(OR(AND(D31&lt;&gt;"",OR(NOT(ISNUMBER(D31)),IFERROR(D31&lt;1,TRUE),IFERROR(INT(D31)&gt;INT(AsOfDate),TRUE))),AND(R31&lt;&gt;"",OR(NOT(ISNUMBER(R31)),IFERROR(R31&lt;1,TRUE),IFERROR(INT(R31)&gt;INT(AsOfDate),TRUE)))),"実績日時不正",IF(R31&lt;D31,"評価承認日時逆転",IF(OR(V31="",W31="",V31=W31),"独立確認Person不足",IF(AND(IF(COUNTIF('15_評価計画・品質ゲート'!$V$4:$V$103,B31)&lt;&gt;1,"参照ID不正",IF(INDEX('15_評価計画・品質ゲート'!$A$4:$A$103,MATCH(B31,'15_評価計画・品質ゲート'!$V$4:$V$103,0))="","",INDEX('15_評価計画・品質ゲート'!$A$4:$A$103,MATCH(B31,'15_評価計画・品質ゲート'!$V$4:$V$103,0))))="E05",U31=""),"Trial状態証拠不足",IF(OR(O31="",O31="未判定",O31="無効/再実行"),"評価判定未確定","記録あり・内容審査別"))))))))))</f>
        <v/>
      </c>
      <c r="T31" s="29"/>
      <c r="U31" s="29"/>
      <c r="V31" s="29"/>
      <c r="W31" s="29"/>
      <c r="X31" s="29"/>
      <c r="Y31" s="28" t="str">
        <f>IF(A31="","",IF(COUNTIF(EvalPlanKeys,B31)&lt;&gt;1,"PlanKey不正",IF(OR(T31="",T31&lt;&gt;IF(COUNTIF('15_評価計画・品質ゲート'!$V$4:$V$103,B31)&lt;&gt;1,"参照ID不正",IF(INDEX('15_評価計画・品質ゲート'!$U$4:$U$103,MATCH(B31,'15_評価計画・品質ゲート'!$V$4:$V$103,0))="","",INDEX('15_評価計画・品質ゲート'!$U$4:$U$103,MATCH(B31,'15_評価計画・品質ゲート'!$V$4:$V$103,0))))),"Manifest不一致",IF(IF(COUNTIF('15_評価計画・品質ゲート'!$V$4:$V$103,B31)&lt;&gt;1,"参照ID不正",IF(INDEX('15_評価計画・品質ゲート'!$W$4:$W$103,MATCH(B31,'15_評価計画・品質ゲート'!$V$4:$V$103,0))="","",INDEX('15_評価計画・品質ゲート'!$W$4:$W$103,MATCH(B31,'15_評価計画・品質ゲート'!$V$4:$V$103,0))))&lt;&gt;"計画記録あり","計画未承認・不足","計画・構成一致"))))</f>
        <v/>
      </c>
    </row>
    <row r="32" spans="1:25" ht="66" customHeight="1" x14ac:dyDescent="0.2">
      <c r="A32" s="6"/>
      <c r="B32" s="6"/>
      <c r="C32" s="6"/>
      <c r="D32" s="19"/>
      <c r="E32" s="6"/>
      <c r="F32" s="6"/>
      <c r="G32" s="6"/>
      <c r="H32" s="6"/>
      <c r="I32" s="6"/>
      <c r="J32" s="28" t="str">
        <f>IF(A32="","",IF(COUNTIF('15_評価計画・品質ゲート'!$V$4:$V$103,B32)&lt;&gt;1,"参照ID不正",IF(INDEX('15_評価計画・品質ゲート'!$S$4:$S$103,MATCH(B32,'15_評価計画・品質ゲート'!$V$4:$V$103,0))="","",INDEX('15_評価計画・品質ゲート'!$S$4:$S$103,MATCH(B32,'15_評価計画・品質ゲート'!$V$4:$V$103,0)))))</f>
        <v/>
      </c>
      <c r="K32" s="6"/>
      <c r="L32" s="6"/>
      <c r="M32" s="6"/>
      <c r="N32" s="6"/>
      <c r="O32" s="6"/>
      <c r="P32" s="6"/>
      <c r="Q32" s="6"/>
      <c r="R32" s="19"/>
      <c r="S32" s="28" t="str">
        <f>IF(A32="","",IF(COUNTIF($A$4:$A$103,A32)&lt;&gt;1,"Run ID重複",IF(Y32&lt;&gt;"計画・構成一致",Y32,IF(X32&lt;&gt;"","無効化Run",IF(OR(OR(C32="",E32="",F32="",G32="",H32="",I32="",K32="",M32="",N32="",P32="",T32=""),LEN(L32&amp;"")=0,COUNT(D32,R32)&lt;2),"記録不足",IF(OR(AND(D32&lt;&gt;"",OR(NOT(ISNUMBER(D32)),IFERROR(D32&lt;1,TRUE),IFERROR(INT(D32)&gt;INT(AsOfDate),TRUE))),AND(R32&lt;&gt;"",OR(NOT(ISNUMBER(R32)),IFERROR(R32&lt;1,TRUE),IFERROR(INT(R32)&gt;INT(AsOfDate),TRUE)))),"実績日時不正",IF(R32&lt;D32,"評価承認日時逆転",IF(OR(V32="",W32="",V32=W32),"独立確認Person不足",IF(AND(IF(COUNTIF('15_評価計画・品質ゲート'!$V$4:$V$103,B32)&lt;&gt;1,"参照ID不正",IF(INDEX('15_評価計画・品質ゲート'!$A$4:$A$103,MATCH(B32,'15_評価計画・品質ゲート'!$V$4:$V$103,0))="","",INDEX('15_評価計画・品質ゲート'!$A$4:$A$103,MATCH(B32,'15_評価計画・品質ゲート'!$V$4:$V$103,0))))="E05",U32=""),"Trial状態証拠不足",IF(OR(O32="",O32="未判定",O32="無効/再実行"),"評価判定未確定","記録あり・内容審査別"))))))))))</f>
        <v/>
      </c>
      <c r="T32" s="29"/>
      <c r="U32" s="29"/>
      <c r="V32" s="29"/>
      <c r="W32" s="29"/>
      <c r="X32" s="29"/>
      <c r="Y32" s="28" t="str">
        <f>IF(A32="","",IF(COUNTIF(EvalPlanKeys,B32)&lt;&gt;1,"PlanKey不正",IF(OR(T32="",T32&lt;&gt;IF(COUNTIF('15_評価計画・品質ゲート'!$V$4:$V$103,B32)&lt;&gt;1,"参照ID不正",IF(INDEX('15_評価計画・品質ゲート'!$U$4:$U$103,MATCH(B32,'15_評価計画・品質ゲート'!$V$4:$V$103,0))="","",INDEX('15_評価計画・品質ゲート'!$U$4:$U$103,MATCH(B32,'15_評価計画・品質ゲート'!$V$4:$V$103,0))))),"Manifest不一致",IF(IF(COUNTIF('15_評価計画・品質ゲート'!$V$4:$V$103,B32)&lt;&gt;1,"参照ID不正",IF(INDEX('15_評価計画・品質ゲート'!$W$4:$W$103,MATCH(B32,'15_評価計画・品質ゲート'!$V$4:$V$103,0))="","",INDEX('15_評価計画・品質ゲート'!$W$4:$W$103,MATCH(B32,'15_評価計画・品質ゲート'!$V$4:$V$103,0))))&lt;&gt;"計画記録あり","計画未承認・不足","計画・構成一致"))))</f>
        <v/>
      </c>
    </row>
    <row r="33" spans="1:25" ht="66" customHeight="1" x14ac:dyDescent="0.2">
      <c r="A33" s="6"/>
      <c r="B33" s="6"/>
      <c r="C33" s="6"/>
      <c r="D33" s="19"/>
      <c r="E33" s="6"/>
      <c r="F33" s="6"/>
      <c r="G33" s="6"/>
      <c r="H33" s="6"/>
      <c r="I33" s="6"/>
      <c r="J33" s="28" t="str">
        <f>IF(A33="","",IF(COUNTIF('15_評価計画・品質ゲート'!$V$4:$V$103,B33)&lt;&gt;1,"参照ID不正",IF(INDEX('15_評価計画・品質ゲート'!$S$4:$S$103,MATCH(B33,'15_評価計画・品質ゲート'!$V$4:$V$103,0))="","",INDEX('15_評価計画・品質ゲート'!$S$4:$S$103,MATCH(B33,'15_評価計画・品質ゲート'!$V$4:$V$103,0)))))</f>
        <v/>
      </c>
      <c r="K33" s="6"/>
      <c r="L33" s="6"/>
      <c r="M33" s="6"/>
      <c r="N33" s="6"/>
      <c r="O33" s="6"/>
      <c r="P33" s="6"/>
      <c r="Q33" s="6"/>
      <c r="R33" s="19"/>
      <c r="S33" s="28" t="str">
        <f>IF(A33="","",IF(COUNTIF($A$4:$A$103,A33)&lt;&gt;1,"Run ID重複",IF(Y33&lt;&gt;"計画・構成一致",Y33,IF(X33&lt;&gt;"","無効化Run",IF(OR(OR(C33="",E33="",F33="",G33="",H33="",I33="",K33="",M33="",N33="",P33="",T33=""),LEN(L33&amp;"")=0,COUNT(D33,R33)&lt;2),"記録不足",IF(OR(AND(D33&lt;&gt;"",OR(NOT(ISNUMBER(D33)),IFERROR(D33&lt;1,TRUE),IFERROR(INT(D33)&gt;INT(AsOfDate),TRUE))),AND(R33&lt;&gt;"",OR(NOT(ISNUMBER(R33)),IFERROR(R33&lt;1,TRUE),IFERROR(INT(R33)&gt;INT(AsOfDate),TRUE)))),"実績日時不正",IF(R33&lt;D33,"評価承認日時逆転",IF(OR(V33="",W33="",V33=W33),"独立確認Person不足",IF(AND(IF(COUNTIF('15_評価計画・品質ゲート'!$V$4:$V$103,B33)&lt;&gt;1,"参照ID不正",IF(INDEX('15_評価計画・品質ゲート'!$A$4:$A$103,MATCH(B33,'15_評価計画・品質ゲート'!$V$4:$V$103,0))="","",INDEX('15_評価計画・品質ゲート'!$A$4:$A$103,MATCH(B33,'15_評価計画・品質ゲート'!$V$4:$V$103,0))))="E05",U33=""),"Trial状態証拠不足",IF(OR(O33="",O33="未判定",O33="無効/再実行"),"評価判定未確定","記録あり・内容審査別"))))))))))</f>
        <v/>
      </c>
      <c r="T33" s="29"/>
      <c r="U33" s="29"/>
      <c r="V33" s="29"/>
      <c r="W33" s="29"/>
      <c r="X33" s="29"/>
      <c r="Y33" s="28" t="str">
        <f>IF(A33="","",IF(COUNTIF(EvalPlanKeys,B33)&lt;&gt;1,"PlanKey不正",IF(OR(T33="",T33&lt;&gt;IF(COUNTIF('15_評価計画・品質ゲート'!$V$4:$V$103,B33)&lt;&gt;1,"参照ID不正",IF(INDEX('15_評価計画・品質ゲート'!$U$4:$U$103,MATCH(B33,'15_評価計画・品質ゲート'!$V$4:$V$103,0))="","",INDEX('15_評価計画・品質ゲート'!$U$4:$U$103,MATCH(B33,'15_評価計画・品質ゲート'!$V$4:$V$103,0))))),"Manifest不一致",IF(IF(COUNTIF('15_評価計画・品質ゲート'!$V$4:$V$103,B33)&lt;&gt;1,"参照ID不正",IF(INDEX('15_評価計画・品質ゲート'!$W$4:$W$103,MATCH(B33,'15_評価計画・品質ゲート'!$V$4:$V$103,0))="","",INDEX('15_評価計画・品質ゲート'!$W$4:$W$103,MATCH(B33,'15_評価計画・品質ゲート'!$V$4:$V$103,0))))&lt;&gt;"計画記録あり","計画未承認・不足","計画・構成一致"))))</f>
        <v/>
      </c>
    </row>
    <row r="34" spans="1:25" ht="66" customHeight="1" x14ac:dyDescent="0.2">
      <c r="A34" s="6"/>
      <c r="B34" s="6"/>
      <c r="C34" s="6"/>
      <c r="D34" s="19"/>
      <c r="E34" s="6"/>
      <c r="F34" s="6"/>
      <c r="G34" s="6"/>
      <c r="H34" s="6"/>
      <c r="I34" s="6"/>
      <c r="J34" s="28" t="str">
        <f>IF(A34="","",IF(COUNTIF('15_評価計画・品質ゲート'!$V$4:$V$103,B34)&lt;&gt;1,"参照ID不正",IF(INDEX('15_評価計画・品質ゲート'!$S$4:$S$103,MATCH(B34,'15_評価計画・品質ゲート'!$V$4:$V$103,0))="","",INDEX('15_評価計画・品質ゲート'!$S$4:$S$103,MATCH(B34,'15_評価計画・品質ゲート'!$V$4:$V$103,0)))))</f>
        <v/>
      </c>
      <c r="K34" s="6"/>
      <c r="L34" s="6"/>
      <c r="M34" s="6"/>
      <c r="N34" s="6"/>
      <c r="O34" s="6"/>
      <c r="P34" s="6"/>
      <c r="Q34" s="6"/>
      <c r="R34" s="19"/>
      <c r="S34" s="28" t="str">
        <f>IF(A34="","",IF(COUNTIF($A$4:$A$103,A34)&lt;&gt;1,"Run ID重複",IF(Y34&lt;&gt;"計画・構成一致",Y34,IF(X34&lt;&gt;"","無効化Run",IF(OR(OR(C34="",E34="",F34="",G34="",H34="",I34="",K34="",M34="",N34="",P34="",T34=""),LEN(L34&amp;"")=0,COUNT(D34,R34)&lt;2),"記録不足",IF(OR(AND(D34&lt;&gt;"",OR(NOT(ISNUMBER(D34)),IFERROR(D34&lt;1,TRUE),IFERROR(INT(D34)&gt;INT(AsOfDate),TRUE))),AND(R34&lt;&gt;"",OR(NOT(ISNUMBER(R34)),IFERROR(R34&lt;1,TRUE),IFERROR(INT(R34)&gt;INT(AsOfDate),TRUE)))),"実績日時不正",IF(R34&lt;D34,"評価承認日時逆転",IF(OR(V34="",W34="",V34=W34),"独立確認Person不足",IF(AND(IF(COUNTIF('15_評価計画・品質ゲート'!$V$4:$V$103,B34)&lt;&gt;1,"参照ID不正",IF(INDEX('15_評価計画・品質ゲート'!$A$4:$A$103,MATCH(B34,'15_評価計画・品質ゲート'!$V$4:$V$103,0))="","",INDEX('15_評価計画・品質ゲート'!$A$4:$A$103,MATCH(B34,'15_評価計画・品質ゲート'!$V$4:$V$103,0))))="E05",U34=""),"Trial状態証拠不足",IF(OR(O34="",O34="未判定",O34="無効/再実行"),"評価判定未確定","記録あり・内容審査別"))))))))))</f>
        <v/>
      </c>
      <c r="T34" s="29"/>
      <c r="U34" s="29"/>
      <c r="V34" s="29"/>
      <c r="W34" s="29"/>
      <c r="X34" s="29"/>
      <c r="Y34" s="28" t="str">
        <f>IF(A34="","",IF(COUNTIF(EvalPlanKeys,B34)&lt;&gt;1,"PlanKey不正",IF(OR(T34="",T34&lt;&gt;IF(COUNTIF('15_評価計画・品質ゲート'!$V$4:$V$103,B34)&lt;&gt;1,"参照ID不正",IF(INDEX('15_評価計画・品質ゲート'!$U$4:$U$103,MATCH(B34,'15_評価計画・品質ゲート'!$V$4:$V$103,0))="","",INDEX('15_評価計画・品質ゲート'!$U$4:$U$103,MATCH(B34,'15_評価計画・品質ゲート'!$V$4:$V$103,0))))),"Manifest不一致",IF(IF(COUNTIF('15_評価計画・品質ゲート'!$V$4:$V$103,B34)&lt;&gt;1,"参照ID不正",IF(INDEX('15_評価計画・品質ゲート'!$W$4:$W$103,MATCH(B34,'15_評価計画・品質ゲート'!$V$4:$V$103,0))="","",INDEX('15_評価計画・品質ゲート'!$W$4:$W$103,MATCH(B34,'15_評価計画・品質ゲート'!$V$4:$V$103,0))))&lt;&gt;"計画記録あり","計画未承認・不足","計画・構成一致"))))</f>
        <v/>
      </c>
    </row>
    <row r="35" spans="1:25" ht="66" customHeight="1" x14ac:dyDescent="0.2">
      <c r="A35" s="6"/>
      <c r="B35" s="6"/>
      <c r="C35" s="6"/>
      <c r="D35" s="19"/>
      <c r="E35" s="6"/>
      <c r="F35" s="6"/>
      <c r="G35" s="6"/>
      <c r="H35" s="6"/>
      <c r="I35" s="6"/>
      <c r="J35" s="28" t="str">
        <f>IF(A35="","",IF(COUNTIF('15_評価計画・品質ゲート'!$V$4:$V$103,B35)&lt;&gt;1,"参照ID不正",IF(INDEX('15_評価計画・品質ゲート'!$S$4:$S$103,MATCH(B35,'15_評価計画・品質ゲート'!$V$4:$V$103,0))="","",INDEX('15_評価計画・品質ゲート'!$S$4:$S$103,MATCH(B35,'15_評価計画・品質ゲート'!$V$4:$V$103,0)))))</f>
        <v/>
      </c>
      <c r="K35" s="6"/>
      <c r="L35" s="6"/>
      <c r="M35" s="6"/>
      <c r="N35" s="6"/>
      <c r="O35" s="6"/>
      <c r="P35" s="6"/>
      <c r="Q35" s="6"/>
      <c r="R35" s="19"/>
      <c r="S35" s="28" t="str">
        <f>IF(A35="","",IF(COUNTIF($A$4:$A$103,A35)&lt;&gt;1,"Run ID重複",IF(Y35&lt;&gt;"計画・構成一致",Y35,IF(X35&lt;&gt;"","無効化Run",IF(OR(OR(C35="",E35="",F35="",G35="",H35="",I35="",K35="",M35="",N35="",P35="",T35=""),LEN(L35&amp;"")=0,COUNT(D35,R35)&lt;2),"記録不足",IF(OR(AND(D35&lt;&gt;"",OR(NOT(ISNUMBER(D35)),IFERROR(D35&lt;1,TRUE),IFERROR(INT(D35)&gt;INT(AsOfDate),TRUE))),AND(R35&lt;&gt;"",OR(NOT(ISNUMBER(R35)),IFERROR(R35&lt;1,TRUE),IFERROR(INT(R35)&gt;INT(AsOfDate),TRUE)))),"実績日時不正",IF(R35&lt;D35,"評価承認日時逆転",IF(OR(V35="",W35="",V35=W35),"独立確認Person不足",IF(AND(IF(COUNTIF('15_評価計画・品質ゲート'!$V$4:$V$103,B35)&lt;&gt;1,"参照ID不正",IF(INDEX('15_評価計画・品質ゲート'!$A$4:$A$103,MATCH(B35,'15_評価計画・品質ゲート'!$V$4:$V$103,0))="","",INDEX('15_評価計画・品質ゲート'!$A$4:$A$103,MATCH(B35,'15_評価計画・品質ゲート'!$V$4:$V$103,0))))="E05",U35=""),"Trial状態証拠不足",IF(OR(O35="",O35="未判定",O35="無効/再実行"),"評価判定未確定","記録あり・内容審査別"))))))))))</f>
        <v/>
      </c>
      <c r="T35" s="29"/>
      <c r="U35" s="29"/>
      <c r="V35" s="29"/>
      <c r="W35" s="29"/>
      <c r="X35" s="29"/>
      <c r="Y35" s="28" t="str">
        <f>IF(A35="","",IF(COUNTIF(EvalPlanKeys,B35)&lt;&gt;1,"PlanKey不正",IF(OR(T35="",T35&lt;&gt;IF(COUNTIF('15_評価計画・品質ゲート'!$V$4:$V$103,B35)&lt;&gt;1,"参照ID不正",IF(INDEX('15_評価計画・品質ゲート'!$U$4:$U$103,MATCH(B35,'15_評価計画・品質ゲート'!$V$4:$V$103,0))="","",INDEX('15_評価計画・品質ゲート'!$U$4:$U$103,MATCH(B35,'15_評価計画・品質ゲート'!$V$4:$V$103,0))))),"Manifest不一致",IF(IF(COUNTIF('15_評価計画・品質ゲート'!$V$4:$V$103,B35)&lt;&gt;1,"参照ID不正",IF(INDEX('15_評価計画・品質ゲート'!$W$4:$W$103,MATCH(B35,'15_評価計画・品質ゲート'!$V$4:$V$103,0))="","",INDEX('15_評価計画・品質ゲート'!$W$4:$W$103,MATCH(B35,'15_評価計画・品質ゲート'!$V$4:$V$103,0))))&lt;&gt;"計画記録あり","計画未承認・不足","計画・構成一致"))))</f>
        <v/>
      </c>
    </row>
    <row r="36" spans="1:25" ht="66" customHeight="1" x14ac:dyDescent="0.2">
      <c r="A36" s="6"/>
      <c r="B36" s="6"/>
      <c r="C36" s="6"/>
      <c r="D36" s="19"/>
      <c r="E36" s="6"/>
      <c r="F36" s="6"/>
      <c r="G36" s="6"/>
      <c r="H36" s="6"/>
      <c r="I36" s="6"/>
      <c r="J36" s="28" t="str">
        <f>IF(A36="","",IF(COUNTIF('15_評価計画・品質ゲート'!$V$4:$V$103,B36)&lt;&gt;1,"参照ID不正",IF(INDEX('15_評価計画・品質ゲート'!$S$4:$S$103,MATCH(B36,'15_評価計画・品質ゲート'!$V$4:$V$103,0))="","",INDEX('15_評価計画・品質ゲート'!$S$4:$S$103,MATCH(B36,'15_評価計画・品質ゲート'!$V$4:$V$103,0)))))</f>
        <v/>
      </c>
      <c r="K36" s="6"/>
      <c r="L36" s="6"/>
      <c r="M36" s="6"/>
      <c r="N36" s="6"/>
      <c r="O36" s="6"/>
      <c r="P36" s="6"/>
      <c r="Q36" s="6"/>
      <c r="R36" s="19"/>
      <c r="S36" s="28" t="str">
        <f>IF(A36="","",IF(COUNTIF($A$4:$A$103,A36)&lt;&gt;1,"Run ID重複",IF(Y36&lt;&gt;"計画・構成一致",Y36,IF(X36&lt;&gt;"","無効化Run",IF(OR(OR(C36="",E36="",F36="",G36="",H36="",I36="",K36="",M36="",N36="",P36="",T36=""),LEN(L36&amp;"")=0,COUNT(D36,R36)&lt;2),"記録不足",IF(OR(AND(D36&lt;&gt;"",OR(NOT(ISNUMBER(D36)),IFERROR(D36&lt;1,TRUE),IFERROR(INT(D36)&gt;INT(AsOfDate),TRUE))),AND(R36&lt;&gt;"",OR(NOT(ISNUMBER(R36)),IFERROR(R36&lt;1,TRUE),IFERROR(INT(R36)&gt;INT(AsOfDate),TRUE)))),"実績日時不正",IF(R36&lt;D36,"評価承認日時逆転",IF(OR(V36="",W36="",V36=W36),"独立確認Person不足",IF(AND(IF(COUNTIF('15_評価計画・品質ゲート'!$V$4:$V$103,B36)&lt;&gt;1,"参照ID不正",IF(INDEX('15_評価計画・品質ゲート'!$A$4:$A$103,MATCH(B36,'15_評価計画・品質ゲート'!$V$4:$V$103,0))="","",INDEX('15_評価計画・品質ゲート'!$A$4:$A$103,MATCH(B36,'15_評価計画・品質ゲート'!$V$4:$V$103,0))))="E05",U36=""),"Trial状態証拠不足",IF(OR(O36="",O36="未判定",O36="無効/再実行"),"評価判定未確定","記録あり・内容審査別"))))))))))</f>
        <v/>
      </c>
      <c r="T36" s="29"/>
      <c r="U36" s="29"/>
      <c r="V36" s="29"/>
      <c r="W36" s="29"/>
      <c r="X36" s="29"/>
      <c r="Y36" s="28" t="str">
        <f>IF(A36="","",IF(COUNTIF(EvalPlanKeys,B36)&lt;&gt;1,"PlanKey不正",IF(OR(T36="",T36&lt;&gt;IF(COUNTIF('15_評価計画・品質ゲート'!$V$4:$V$103,B36)&lt;&gt;1,"参照ID不正",IF(INDEX('15_評価計画・品質ゲート'!$U$4:$U$103,MATCH(B36,'15_評価計画・品質ゲート'!$V$4:$V$103,0))="","",INDEX('15_評価計画・品質ゲート'!$U$4:$U$103,MATCH(B36,'15_評価計画・品質ゲート'!$V$4:$V$103,0))))),"Manifest不一致",IF(IF(COUNTIF('15_評価計画・品質ゲート'!$V$4:$V$103,B36)&lt;&gt;1,"参照ID不正",IF(INDEX('15_評価計画・品質ゲート'!$W$4:$W$103,MATCH(B36,'15_評価計画・品質ゲート'!$V$4:$V$103,0))="","",INDEX('15_評価計画・品質ゲート'!$W$4:$W$103,MATCH(B36,'15_評価計画・品質ゲート'!$V$4:$V$103,0))))&lt;&gt;"計画記録あり","計画未承認・不足","計画・構成一致"))))</f>
        <v/>
      </c>
    </row>
    <row r="37" spans="1:25" ht="66" customHeight="1" x14ac:dyDescent="0.2">
      <c r="A37" s="6"/>
      <c r="B37" s="6"/>
      <c r="C37" s="6"/>
      <c r="D37" s="19"/>
      <c r="E37" s="6"/>
      <c r="F37" s="6"/>
      <c r="G37" s="6"/>
      <c r="H37" s="6"/>
      <c r="I37" s="6"/>
      <c r="J37" s="28" t="str">
        <f>IF(A37="","",IF(COUNTIF('15_評価計画・品質ゲート'!$V$4:$V$103,B37)&lt;&gt;1,"参照ID不正",IF(INDEX('15_評価計画・品質ゲート'!$S$4:$S$103,MATCH(B37,'15_評価計画・品質ゲート'!$V$4:$V$103,0))="","",INDEX('15_評価計画・品質ゲート'!$S$4:$S$103,MATCH(B37,'15_評価計画・品質ゲート'!$V$4:$V$103,0)))))</f>
        <v/>
      </c>
      <c r="K37" s="6"/>
      <c r="L37" s="6"/>
      <c r="M37" s="6"/>
      <c r="N37" s="6"/>
      <c r="O37" s="6"/>
      <c r="P37" s="6"/>
      <c r="Q37" s="6"/>
      <c r="R37" s="19"/>
      <c r="S37" s="28" t="str">
        <f>IF(A37="","",IF(COUNTIF($A$4:$A$103,A37)&lt;&gt;1,"Run ID重複",IF(Y37&lt;&gt;"計画・構成一致",Y37,IF(X37&lt;&gt;"","無効化Run",IF(OR(OR(C37="",E37="",F37="",G37="",H37="",I37="",K37="",M37="",N37="",P37="",T37=""),LEN(L37&amp;"")=0,COUNT(D37,R37)&lt;2),"記録不足",IF(OR(AND(D37&lt;&gt;"",OR(NOT(ISNUMBER(D37)),IFERROR(D37&lt;1,TRUE),IFERROR(INT(D37)&gt;INT(AsOfDate),TRUE))),AND(R37&lt;&gt;"",OR(NOT(ISNUMBER(R37)),IFERROR(R37&lt;1,TRUE),IFERROR(INT(R37)&gt;INT(AsOfDate),TRUE)))),"実績日時不正",IF(R37&lt;D37,"評価承認日時逆転",IF(OR(V37="",W37="",V37=W37),"独立確認Person不足",IF(AND(IF(COUNTIF('15_評価計画・品質ゲート'!$V$4:$V$103,B37)&lt;&gt;1,"参照ID不正",IF(INDEX('15_評価計画・品質ゲート'!$A$4:$A$103,MATCH(B37,'15_評価計画・品質ゲート'!$V$4:$V$103,0))="","",INDEX('15_評価計画・品質ゲート'!$A$4:$A$103,MATCH(B37,'15_評価計画・品質ゲート'!$V$4:$V$103,0))))="E05",U37=""),"Trial状態証拠不足",IF(OR(O37="",O37="未判定",O37="無効/再実行"),"評価判定未確定","記録あり・内容審査別"))))))))))</f>
        <v/>
      </c>
      <c r="T37" s="29"/>
      <c r="U37" s="29"/>
      <c r="V37" s="29"/>
      <c r="W37" s="29"/>
      <c r="X37" s="29"/>
      <c r="Y37" s="28" t="str">
        <f>IF(A37="","",IF(COUNTIF(EvalPlanKeys,B37)&lt;&gt;1,"PlanKey不正",IF(OR(T37="",T37&lt;&gt;IF(COUNTIF('15_評価計画・品質ゲート'!$V$4:$V$103,B37)&lt;&gt;1,"参照ID不正",IF(INDEX('15_評価計画・品質ゲート'!$U$4:$U$103,MATCH(B37,'15_評価計画・品質ゲート'!$V$4:$V$103,0))="","",INDEX('15_評価計画・品質ゲート'!$U$4:$U$103,MATCH(B37,'15_評価計画・品質ゲート'!$V$4:$V$103,0))))),"Manifest不一致",IF(IF(COUNTIF('15_評価計画・品質ゲート'!$V$4:$V$103,B37)&lt;&gt;1,"参照ID不正",IF(INDEX('15_評価計画・品質ゲート'!$W$4:$W$103,MATCH(B37,'15_評価計画・品質ゲート'!$V$4:$V$103,0))="","",INDEX('15_評価計画・品質ゲート'!$W$4:$W$103,MATCH(B37,'15_評価計画・品質ゲート'!$V$4:$V$103,0))))&lt;&gt;"計画記録あり","計画未承認・不足","計画・構成一致"))))</f>
        <v/>
      </c>
    </row>
    <row r="38" spans="1:25" ht="66" customHeight="1" x14ac:dyDescent="0.2">
      <c r="A38" s="6"/>
      <c r="B38" s="6"/>
      <c r="C38" s="6"/>
      <c r="D38" s="19"/>
      <c r="E38" s="6"/>
      <c r="F38" s="6"/>
      <c r="G38" s="6"/>
      <c r="H38" s="6"/>
      <c r="I38" s="6"/>
      <c r="J38" s="28" t="str">
        <f>IF(A38="","",IF(COUNTIF('15_評価計画・品質ゲート'!$V$4:$V$103,B38)&lt;&gt;1,"参照ID不正",IF(INDEX('15_評価計画・品質ゲート'!$S$4:$S$103,MATCH(B38,'15_評価計画・品質ゲート'!$V$4:$V$103,0))="","",INDEX('15_評価計画・品質ゲート'!$S$4:$S$103,MATCH(B38,'15_評価計画・品質ゲート'!$V$4:$V$103,0)))))</f>
        <v/>
      </c>
      <c r="K38" s="6"/>
      <c r="L38" s="6"/>
      <c r="M38" s="6"/>
      <c r="N38" s="6"/>
      <c r="O38" s="6"/>
      <c r="P38" s="6"/>
      <c r="Q38" s="6"/>
      <c r="R38" s="19"/>
      <c r="S38" s="28" t="str">
        <f>IF(A38="","",IF(COUNTIF($A$4:$A$103,A38)&lt;&gt;1,"Run ID重複",IF(Y38&lt;&gt;"計画・構成一致",Y38,IF(X38&lt;&gt;"","無効化Run",IF(OR(OR(C38="",E38="",F38="",G38="",H38="",I38="",K38="",M38="",N38="",P38="",T38=""),LEN(L38&amp;"")=0,COUNT(D38,R38)&lt;2),"記録不足",IF(OR(AND(D38&lt;&gt;"",OR(NOT(ISNUMBER(D38)),IFERROR(D38&lt;1,TRUE),IFERROR(INT(D38)&gt;INT(AsOfDate),TRUE))),AND(R38&lt;&gt;"",OR(NOT(ISNUMBER(R38)),IFERROR(R38&lt;1,TRUE),IFERROR(INT(R38)&gt;INT(AsOfDate),TRUE)))),"実績日時不正",IF(R38&lt;D38,"評価承認日時逆転",IF(OR(V38="",W38="",V38=W38),"独立確認Person不足",IF(AND(IF(COUNTIF('15_評価計画・品質ゲート'!$V$4:$V$103,B38)&lt;&gt;1,"参照ID不正",IF(INDEX('15_評価計画・品質ゲート'!$A$4:$A$103,MATCH(B38,'15_評価計画・品質ゲート'!$V$4:$V$103,0))="","",INDEX('15_評価計画・品質ゲート'!$A$4:$A$103,MATCH(B38,'15_評価計画・品質ゲート'!$V$4:$V$103,0))))="E05",U38=""),"Trial状態証拠不足",IF(OR(O38="",O38="未判定",O38="無効/再実行"),"評価判定未確定","記録あり・内容審査別"))))))))))</f>
        <v/>
      </c>
      <c r="T38" s="29"/>
      <c r="U38" s="29"/>
      <c r="V38" s="29"/>
      <c r="W38" s="29"/>
      <c r="X38" s="29"/>
      <c r="Y38" s="28" t="str">
        <f>IF(A38="","",IF(COUNTIF(EvalPlanKeys,B38)&lt;&gt;1,"PlanKey不正",IF(OR(T38="",T38&lt;&gt;IF(COUNTIF('15_評価計画・品質ゲート'!$V$4:$V$103,B38)&lt;&gt;1,"参照ID不正",IF(INDEX('15_評価計画・品質ゲート'!$U$4:$U$103,MATCH(B38,'15_評価計画・品質ゲート'!$V$4:$V$103,0))="","",INDEX('15_評価計画・品質ゲート'!$U$4:$U$103,MATCH(B38,'15_評価計画・品質ゲート'!$V$4:$V$103,0))))),"Manifest不一致",IF(IF(COUNTIF('15_評価計画・品質ゲート'!$V$4:$V$103,B38)&lt;&gt;1,"参照ID不正",IF(INDEX('15_評価計画・品質ゲート'!$W$4:$W$103,MATCH(B38,'15_評価計画・品質ゲート'!$V$4:$V$103,0))="","",INDEX('15_評価計画・品質ゲート'!$W$4:$W$103,MATCH(B38,'15_評価計画・品質ゲート'!$V$4:$V$103,0))))&lt;&gt;"計画記録あり","計画未承認・不足","計画・構成一致"))))</f>
        <v/>
      </c>
    </row>
    <row r="39" spans="1:25" ht="66" customHeight="1" x14ac:dyDescent="0.2">
      <c r="A39" s="6"/>
      <c r="B39" s="6"/>
      <c r="C39" s="6"/>
      <c r="D39" s="19"/>
      <c r="E39" s="6"/>
      <c r="F39" s="6"/>
      <c r="G39" s="6"/>
      <c r="H39" s="6"/>
      <c r="I39" s="6"/>
      <c r="J39" s="28" t="str">
        <f>IF(A39="","",IF(COUNTIF('15_評価計画・品質ゲート'!$V$4:$V$103,B39)&lt;&gt;1,"参照ID不正",IF(INDEX('15_評価計画・品質ゲート'!$S$4:$S$103,MATCH(B39,'15_評価計画・品質ゲート'!$V$4:$V$103,0))="","",INDEX('15_評価計画・品質ゲート'!$S$4:$S$103,MATCH(B39,'15_評価計画・品質ゲート'!$V$4:$V$103,0)))))</f>
        <v/>
      </c>
      <c r="K39" s="6"/>
      <c r="L39" s="6"/>
      <c r="M39" s="6"/>
      <c r="N39" s="6"/>
      <c r="O39" s="6"/>
      <c r="P39" s="6"/>
      <c r="Q39" s="6"/>
      <c r="R39" s="19"/>
      <c r="S39" s="28" t="str">
        <f>IF(A39="","",IF(COUNTIF($A$4:$A$103,A39)&lt;&gt;1,"Run ID重複",IF(Y39&lt;&gt;"計画・構成一致",Y39,IF(X39&lt;&gt;"","無効化Run",IF(OR(OR(C39="",E39="",F39="",G39="",H39="",I39="",K39="",M39="",N39="",P39="",T39=""),LEN(L39&amp;"")=0,COUNT(D39,R39)&lt;2),"記録不足",IF(OR(AND(D39&lt;&gt;"",OR(NOT(ISNUMBER(D39)),IFERROR(D39&lt;1,TRUE),IFERROR(INT(D39)&gt;INT(AsOfDate),TRUE))),AND(R39&lt;&gt;"",OR(NOT(ISNUMBER(R39)),IFERROR(R39&lt;1,TRUE),IFERROR(INT(R39)&gt;INT(AsOfDate),TRUE)))),"実績日時不正",IF(R39&lt;D39,"評価承認日時逆転",IF(OR(V39="",W39="",V39=W39),"独立確認Person不足",IF(AND(IF(COUNTIF('15_評価計画・品質ゲート'!$V$4:$V$103,B39)&lt;&gt;1,"参照ID不正",IF(INDEX('15_評価計画・品質ゲート'!$A$4:$A$103,MATCH(B39,'15_評価計画・品質ゲート'!$V$4:$V$103,0))="","",INDEX('15_評価計画・品質ゲート'!$A$4:$A$103,MATCH(B39,'15_評価計画・品質ゲート'!$V$4:$V$103,0))))="E05",U39=""),"Trial状態証拠不足",IF(OR(O39="",O39="未判定",O39="無効/再実行"),"評価判定未確定","記録あり・内容審査別"))))))))))</f>
        <v/>
      </c>
      <c r="T39" s="29"/>
      <c r="U39" s="29"/>
      <c r="V39" s="29"/>
      <c r="W39" s="29"/>
      <c r="X39" s="29"/>
      <c r="Y39" s="28" t="str">
        <f>IF(A39="","",IF(COUNTIF(EvalPlanKeys,B39)&lt;&gt;1,"PlanKey不正",IF(OR(T39="",T39&lt;&gt;IF(COUNTIF('15_評価計画・品質ゲート'!$V$4:$V$103,B39)&lt;&gt;1,"参照ID不正",IF(INDEX('15_評価計画・品質ゲート'!$U$4:$U$103,MATCH(B39,'15_評価計画・品質ゲート'!$V$4:$V$103,0))="","",INDEX('15_評価計画・品質ゲート'!$U$4:$U$103,MATCH(B39,'15_評価計画・品質ゲート'!$V$4:$V$103,0))))),"Manifest不一致",IF(IF(COUNTIF('15_評価計画・品質ゲート'!$V$4:$V$103,B39)&lt;&gt;1,"参照ID不正",IF(INDEX('15_評価計画・品質ゲート'!$W$4:$W$103,MATCH(B39,'15_評価計画・品質ゲート'!$V$4:$V$103,0))="","",INDEX('15_評価計画・品質ゲート'!$W$4:$W$103,MATCH(B39,'15_評価計画・品質ゲート'!$V$4:$V$103,0))))&lt;&gt;"計画記録あり","計画未承認・不足","計画・構成一致"))))</f>
        <v/>
      </c>
    </row>
    <row r="40" spans="1:25" ht="66" customHeight="1" x14ac:dyDescent="0.2">
      <c r="A40" s="6"/>
      <c r="B40" s="6"/>
      <c r="C40" s="6"/>
      <c r="D40" s="19"/>
      <c r="E40" s="6"/>
      <c r="F40" s="6"/>
      <c r="G40" s="6"/>
      <c r="H40" s="6"/>
      <c r="I40" s="6"/>
      <c r="J40" s="28" t="str">
        <f>IF(A40="","",IF(COUNTIF('15_評価計画・品質ゲート'!$V$4:$V$103,B40)&lt;&gt;1,"参照ID不正",IF(INDEX('15_評価計画・品質ゲート'!$S$4:$S$103,MATCH(B40,'15_評価計画・品質ゲート'!$V$4:$V$103,0))="","",INDEX('15_評価計画・品質ゲート'!$S$4:$S$103,MATCH(B40,'15_評価計画・品質ゲート'!$V$4:$V$103,0)))))</f>
        <v/>
      </c>
      <c r="K40" s="6"/>
      <c r="L40" s="6"/>
      <c r="M40" s="6"/>
      <c r="N40" s="6"/>
      <c r="O40" s="6"/>
      <c r="P40" s="6"/>
      <c r="Q40" s="6"/>
      <c r="R40" s="19"/>
      <c r="S40" s="28" t="str">
        <f>IF(A40="","",IF(COUNTIF($A$4:$A$103,A40)&lt;&gt;1,"Run ID重複",IF(Y40&lt;&gt;"計画・構成一致",Y40,IF(X40&lt;&gt;"","無効化Run",IF(OR(OR(C40="",E40="",F40="",G40="",H40="",I40="",K40="",M40="",N40="",P40="",T40=""),LEN(L40&amp;"")=0,COUNT(D40,R40)&lt;2),"記録不足",IF(OR(AND(D40&lt;&gt;"",OR(NOT(ISNUMBER(D40)),IFERROR(D40&lt;1,TRUE),IFERROR(INT(D40)&gt;INT(AsOfDate),TRUE))),AND(R40&lt;&gt;"",OR(NOT(ISNUMBER(R40)),IFERROR(R40&lt;1,TRUE),IFERROR(INT(R40)&gt;INT(AsOfDate),TRUE)))),"実績日時不正",IF(R40&lt;D40,"評価承認日時逆転",IF(OR(V40="",W40="",V40=W40),"独立確認Person不足",IF(AND(IF(COUNTIF('15_評価計画・品質ゲート'!$V$4:$V$103,B40)&lt;&gt;1,"参照ID不正",IF(INDEX('15_評価計画・品質ゲート'!$A$4:$A$103,MATCH(B40,'15_評価計画・品質ゲート'!$V$4:$V$103,0))="","",INDEX('15_評価計画・品質ゲート'!$A$4:$A$103,MATCH(B40,'15_評価計画・品質ゲート'!$V$4:$V$103,0))))="E05",U40=""),"Trial状態証拠不足",IF(OR(O40="",O40="未判定",O40="無効/再実行"),"評価判定未確定","記録あり・内容審査別"))))))))))</f>
        <v/>
      </c>
      <c r="T40" s="29"/>
      <c r="U40" s="29"/>
      <c r="V40" s="29"/>
      <c r="W40" s="29"/>
      <c r="X40" s="29"/>
      <c r="Y40" s="28" t="str">
        <f>IF(A40="","",IF(COUNTIF(EvalPlanKeys,B40)&lt;&gt;1,"PlanKey不正",IF(OR(T40="",T40&lt;&gt;IF(COUNTIF('15_評価計画・品質ゲート'!$V$4:$V$103,B40)&lt;&gt;1,"参照ID不正",IF(INDEX('15_評価計画・品質ゲート'!$U$4:$U$103,MATCH(B40,'15_評価計画・品質ゲート'!$V$4:$V$103,0))="","",INDEX('15_評価計画・品質ゲート'!$U$4:$U$103,MATCH(B40,'15_評価計画・品質ゲート'!$V$4:$V$103,0))))),"Manifest不一致",IF(IF(COUNTIF('15_評価計画・品質ゲート'!$V$4:$V$103,B40)&lt;&gt;1,"参照ID不正",IF(INDEX('15_評価計画・品質ゲート'!$W$4:$W$103,MATCH(B40,'15_評価計画・品質ゲート'!$V$4:$V$103,0))="","",INDEX('15_評価計画・品質ゲート'!$W$4:$W$103,MATCH(B40,'15_評価計画・品質ゲート'!$V$4:$V$103,0))))&lt;&gt;"計画記録あり","計画未承認・不足","計画・構成一致"))))</f>
        <v/>
      </c>
    </row>
    <row r="41" spans="1:25" ht="66" customHeight="1" x14ac:dyDescent="0.2">
      <c r="A41" s="6"/>
      <c r="B41" s="6"/>
      <c r="C41" s="6"/>
      <c r="D41" s="19"/>
      <c r="E41" s="6"/>
      <c r="F41" s="6"/>
      <c r="G41" s="6"/>
      <c r="H41" s="6"/>
      <c r="I41" s="6"/>
      <c r="J41" s="28" t="str">
        <f>IF(A41="","",IF(COUNTIF('15_評価計画・品質ゲート'!$V$4:$V$103,B41)&lt;&gt;1,"参照ID不正",IF(INDEX('15_評価計画・品質ゲート'!$S$4:$S$103,MATCH(B41,'15_評価計画・品質ゲート'!$V$4:$V$103,0))="","",INDEX('15_評価計画・品質ゲート'!$S$4:$S$103,MATCH(B41,'15_評価計画・品質ゲート'!$V$4:$V$103,0)))))</f>
        <v/>
      </c>
      <c r="K41" s="6"/>
      <c r="L41" s="6"/>
      <c r="M41" s="6"/>
      <c r="N41" s="6"/>
      <c r="O41" s="6"/>
      <c r="P41" s="6"/>
      <c r="Q41" s="6"/>
      <c r="R41" s="19"/>
      <c r="S41" s="28" t="str">
        <f>IF(A41="","",IF(COUNTIF($A$4:$A$103,A41)&lt;&gt;1,"Run ID重複",IF(Y41&lt;&gt;"計画・構成一致",Y41,IF(X41&lt;&gt;"","無効化Run",IF(OR(OR(C41="",E41="",F41="",G41="",H41="",I41="",K41="",M41="",N41="",P41="",T41=""),LEN(L41&amp;"")=0,COUNT(D41,R41)&lt;2),"記録不足",IF(OR(AND(D41&lt;&gt;"",OR(NOT(ISNUMBER(D41)),IFERROR(D41&lt;1,TRUE),IFERROR(INT(D41)&gt;INT(AsOfDate),TRUE))),AND(R41&lt;&gt;"",OR(NOT(ISNUMBER(R41)),IFERROR(R41&lt;1,TRUE),IFERROR(INT(R41)&gt;INT(AsOfDate),TRUE)))),"実績日時不正",IF(R41&lt;D41,"評価承認日時逆転",IF(OR(V41="",W41="",V41=W41),"独立確認Person不足",IF(AND(IF(COUNTIF('15_評価計画・品質ゲート'!$V$4:$V$103,B41)&lt;&gt;1,"参照ID不正",IF(INDEX('15_評価計画・品質ゲート'!$A$4:$A$103,MATCH(B41,'15_評価計画・品質ゲート'!$V$4:$V$103,0))="","",INDEX('15_評価計画・品質ゲート'!$A$4:$A$103,MATCH(B41,'15_評価計画・品質ゲート'!$V$4:$V$103,0))))="E05",U41=""),"Trial状態証拠不足",IF(OR(O41="",O41="未判定",O41="無効/再実行"),"評価判定未確定","記録あり・内容審査別"))))))))))</f>
        <v/>
      </c>
      <c r="T41" s="29"/>
      <c r="U41" s="29"/>
      <c r="V41" s="29"/>
      <c r="W41" s="29"/>
      <c r="X41" s="29"/>
      <c r="Y41" s="28" t="str">
        <f>IF(A41="","",IF(COUNTIF(EvalPlanKeys,B41)&lt;&gt;1,"PlanKey不正",IF(OR(T41="",T41&lt;&gt;IF(COUNTIF('15_評価計画・品質ゲート'!$V$4:$V$103,B41)&lt;&gt;1,"参照ID不正",IF(INDEX('15_評価計画・品質ゲート'!$U$4:$U$103,MATCH(B41,'15_評価計画・品質ゲート'!$V$4:$V$103,0))="","",INDEX('15_評価計画・品質ゲート'!$U$4:$U$103,MATCH(B41,'15_評価計画・品質ゲート'!$V$4:$V$103,0))))),"Manifest不一致",IF(IF(COUNTIF('15_評価計画・品質ゲート'!$V$4:$V$103,B41)&lt;&gt;1,"参照ID不正",IF(INDEX('15_評価計画・品質ゲート'!$W$4:$W$103,MATCH(B41,'15_評価計画・品質ゲート'!$V$4:$V$103,0))="","",INDEX('15_評価計画・品質ゲート'!$W$4:$W$103,MATCH(B41,'15_評価計画・品質ゲート'!$V$4:$V$103,0))))&lt;&gt;"計画記録あり","計画未承認・不足","計画・構成一致"))))</f>
        <v/>
      </c>
    </row>
    <row r="42" spans="1:25" ht="66" customHeight="1" x14ac:dyDescent="0.2">
      <c r="A42" s="6"/>
      <c r="B42" s="6"/>
      <c r="C42" s="6"/>
      <c r="D42" s="19"/>
      <c r="E42" s="6"/>
      <c r="F42" s="6"/>
      <c r="G42" s="6"/>
      <c r="H42" s="6"/>
      <c r="I42" s="6"/>
      <c r="J42" s="28" t="str">
        <f>IF(A42="","",IF(COUNTIF('15_評価計画・品質ゲート'!$V$4:$V$103,B42)&lt;&gt;1,"参照ID不正",IF(INDEX('15_評価計画・品質ゲート'!$S$4:$S$103,MATCH(B42,'15_評価計画・品質ゲート'!$V$4:$V$103,0))="","",INDEX('15_評価計画・品質ゲート'!$S$4:$S$103,MATCH(B42,'15_評価計画・品質ゲート'!$V$4:$V$103,0)))))</f>
        <v/>
      </c>
      <c r="K42" s="6"/>
      <c r="L42" s="6"/>
      <c r="M42" s="6"/>
      <c r="N42" s="6"/>
      <c r="O42" s="6"/>
      <c r="P42" s="6"/>
      <c r="Q42" s="6"/>
      <c r="R42" s="19"/>
      <c r="S42" s="28" t="str">
        <f>IF(A42="","",IF(COUNTIF($A$4:$A$103,A42)&lt;&gt;1,"Run ID重複",IF(Y42&lt;&gt;"計画・構成一致",Y42,IF(X42&lt;&gt;"","無効化Run",IF(OR(OR(C42="",E42="",F42="",G42="",H42="",I42="",K42="",M42="",N42="",P42="",T42=""),LEN(L42&amp;"")=0,COUNT(D42,R42)&lt;2),"記録不足",IF(OR(AND(D42&lt;&gt;"",OR(NOT(ISNUMBER(D42)),IFERROR(D42&lt;1,TRUE),IFERROR(INT(D42)&gt;INT(AsOfDate),TRUE))),AND(R42&lt;&gt;"",OR(NOT(ISNUMBER(R42)),IFERROR(R42&lt;1,TRUE),IFERROR(INT(R42)&gt;INT(AsOfDate),TRUE)))),"実績日時不正",IF(R42&lt;D42,"評価承認日時逆転",IF(OR(V42="",W42="",V42=W42),"独立確認Person不足",IF(AND(IF(COUNTIF('15_評価計画・品質ゲート'!$V$4:$V$103,B42)&lt;&gt;1,"参照ID不正",IF(INDEX('15_評価計画・品質ゲート'!$A$4:$A$103,MATCH(B42,'15_評価計画・品質ゲート'!$V$4:$V$103,0))="","",INDEX('15_評価計画・品質ゲート'!$A$4:$A$103,MATCH(B42,'15_評価計画・品質ゲート'!$V$4:$V$103,0))))="E05",U42=""),"Trial状態証拠不足",IF(OR(O42="",O42="未判定",O42="無効/再実行"),"評価判定未確定","記録あり・内容審査別"))))))))))</f>
        <v/>
      </c>
      <c r="T42" s="29"/>
      <c r="U42" s="29"/>
      <c r="V42" s="29"/>
      <c r="W42" s="29"/>
      <c r="X42" s="29"/>
      <c r="Y42" s="28" t="str">
        <f>IF(A42="","",IF(COUNTIF(EvalPlanKeys,B42)&lt;&gt;1,"PlanKey不正",IF(OR(T42="",T42&lt;&gt;IF(COUNTIF('15_評価計画・品質ゲート'!$V$4:$V$103,B42)&lt;&gt;1,"参照ID不正",IF(INDEX('15_評価計画・品質ゲート'!$U$4:$U$103,MATCH(B42,'15_評価計画・品質ゲート'!$V$4:$V$103,0))="","",INDEX('15_評価計画・品質ゲート'!$U$4:$U$103,MATCH(B42,'15_評価計画・品質ゲート'!$V$4:$V$103,0))))),"Manifest不一致",IF(IF(COUNTIF('15_評価計画・品質ゲート'!$V$4:$V$103,B42)&lt;&gt;1,"参照ID不正",IF(INDEX('15_評価計画・品質ゲート'!$W$4:$W$103,MATCH(B42,'15_評価計画・品質ゲート'!$V$4:$V$103,0))="","",INDEX('15_評価計画・品質ゲート'!$W$4:$W$103,MATCH(B42,'15_評価計画・品質ゲート'!$V$4:$V$103,0))))&lt;&gt;"計画記録あり","計画未承認・不足","計画・構成一致"))))</f>
        <v/>
      </c>
    </row>
    <row r="43" spans="1:25" ht="66" customHeight="1" x14ac:dyDescent="0.2">
      <c r="A43" s="6"/>
      <c r="B43" s="6"/>
      <c r="C43" s="6"/>
      <c r="D43" s="19"/>
      <c r="E43" s="6"/>
      <c r="F43" s="6"/>
      <c r="G43" s="6"/>
      <c r="H43" s="6"/>
      <c r="I43" s="6"/>
      <c r="J43" s="28" t="str">
        <f>IF(A43="","",IF(COUNTIF('15_評価計画・品質ゲート'!$V$4:$V$103,B43)&lt;&gt;1,"参照ID不正",IF(INDEX('15_評価計画・品質ゲート'!$S$4:$S$103,MATCH(B43,'15_評価計画・品質ゲート'!$V$4:$V$103,0))="","",INDEX('15_評価計画・品質ゲート'!$S$4:$S$103,MATCH(B43,'15_評価計画・品質ゲート'!$V$4:$V$103,0)))))</f>
        <v/>
      </c>
      <c r="K43" s="6"/>
      <c r="L43" s="6"/>
      <c r="M43" s="6"/>
      <c r="N43" s="6"/>
      <c r="O43" s="6"/>
      <c r="P43" s="6"/>
      <c r="Q43" s="6"/>
      <c r="R43" s="19"/>
      <c r="S43" s="28" t="str">
        <f>IF(A43="","",IF(COUNTIF($A$4:$A$103,A43)&lt;&gt;1,"Run ID重複",IF(Y43&lt;&gt;"計画・構成一致",Y43,IF(X43&lt;&gt;"","無効化Run",IF(OR(OR(C43="",E43="",F43="",G43="",H43="",I43="",K43="",M43="",N43="",P43="",T43=""),LEN(L43&amp;"")=0,COUNT(D43,R43)&lt;2),"記録不足",IF(OR(AND(D43&lt;&gt;"",OR(NOT(ISNUMBER(D43)),IFERROR(D43&lt;1,TRUE),IFERROR(INT(D43)&gt;INT(AsOfDate),TRUE))),AND(R43&lt;&gt;"",OR(NOT(ISNUMBER(R43)),IFERROR(R43&lt;1,TRUE),IFERROR(INT(R43)&gt;INT(AsOfDate),TRUE)))),"実績日時不正",IF(R43&lt;D43,"評価承認日時逆転",IF(OR(V43="",W43="",V43=W43),"独立確認Person不足",IF(AND(IF(COUNTIF('15_評価計画・品質ゲート'!$V$4:$V$103,B43)&lt;&gt;1,"参照ID不正",IF(INDEX('15_評価計画・品質ゲート'!$A$4:$A$103,MATCH(B43,'15_評価計画・品質ゲート'!$V$4:$V$103,0))="","",INDEX('15_評価計画・品質ゲート'!$A$4:$A$103,MATCH(B43,'15_評価計画・品質ゲート'!$V$4:$V$103,0))))="E05",U43=""),"Trial状態証拠不足",IF(OR(O43="",O43="未判定",O43="無効/再実行"),"評価判定未確定","記録あり・内容審査別"))))))))))</f>
        <v/>
      </c>
      <c r="T43" s="29"/>
      <c r="U43" s="29"/>
      <c r="V43" s="29"/>
      <c r="W43" s="29"/>
      <c r="X43" s="29"/>
      <c r="Y43" s="28" t="str">
        <f>IF(A43="","",IF(COUNTIF(EvalPlanKeys,B43)&lt;&gt;1,"PlanKey不正",IF(OR(T43="",T43&lt;&gt;IF(COUNTIF('15_評価計画・品質ゲート'!$V$4:$V$103,B43)&lt;&gt;1,"参照ID不正",IF(INDEX('15_評価計画・品質ゲート'!$U$4:$U$103,MATCH(B43,'15_評価計画・品質ゲート'!$V$4:$V$103,0))="","",INDEX('15_評価計画・品質ゲート'!$U$4:$U$103,MATCH(B43,'15_評価計画・品質ゲート'!$V$4:$V$103,0))))),"Manifest不一致",IF(IF(COUNTIF('15_評価計画・品質ゲート'!$V$4:$V$103,B43)&lt;&gt;1,"参照ID不正",IF(INDEX('15_評価計画・品質ゲート'!$W$4:$W$103,MATCH(B43,'15_評価計画・品質ゲート'!$V$4:$V$103,0))="","",INDEX('15_評価計画・品質ゲート'!$W$4:$W$103,MATCH(B43,'15_評価計画・品質ゲート'!$V$4:$V$103,0))))&lt;&gt;"計画記録あり","計画未承認・不足","計画・構成一致"))))</f>
        <v/>
      </c>
    </row>
    <row r="44" spans="1:25" ht="66" customHeight="1" x14ac:dyDescent="0.2">
      <c r="A44" s="6"/>
      <c r="B44" s="6"/>
      <c r="C44" s="6"/>
      <c r="D44" s="19"/>
      <c r="E44" s="6"/>
      <c r="F44" s="6"/>
      <c r="G44" s="6"/>
      <c r="H44" s="6"/>
      <c r="I44" s="6"/>
      <c r="J44" s="28" t="str">
        <f>IF(A44="","",IF(COUNTIF('15_評価計画・品質ゲート'!$V$4:$V$103,B44)&lt;&gt;1,"参照ID不正",IF(INDEX('15_評価計画・品質ゲート'!$S$4:$S$103,MATCH(B44,'15_評価計画・品質ゲート'!$V$4:$V$103,0))="","",INDEX('15_評価計画・品質ゲート'!$S$4:$S$103,MATCH(B44,'15_評価計画・品質ゲート'!$V$4:$V$103,0)))))</f>
        <v/>
      </c>
      <c r="K44" s="6"/>
      <c r="L44" s="6"/>
      <c r="M44" s="6"/>
      <c r="N44" s="6"/>
      <c r="O44" s="6"/>
      <c r="P44" s="6"/>
      <c r="Q44" s="6"/>
      <c r="R44" s="19"/>
      <c r="S44" s="28" t="str">
        <f>IF(A44="","",IF(COUNTIF($A$4:$A$103,A44)&lt;&gt;1,"Run ID重複",IF(Y44&lt;&gt;"計画・構成一致",Y44,IF(X44&lt;&gt;"","無効化Run",IF(OR(OR(C44="",E44="",F44="",G44="",H44="",I44="",K44="",M44="",N44="",P44="",T44=""),LEN(L44&amp;"")=0,COUNT(D44,R44)&lt;2),"記録不足",IF(OR(AND(D44&lt;&gt;"",OR(NOT(ISNUMBER(D44)),IFERROR(D44&lt;1,TRUE),IFERROR(INT(D44)&gt;INT(AsOfDate),TRUE))),AND(R44&lt;&gt;"",OR(NOT(ISNUMBER(R44)),IFERROR(R44&lt;1,TRUE),IFERROR(INT(R44)&gt;INT(AsOfDate),TRUE)))),"実績日時不正",IF(R44&lt;D44,"評価承認日時逆転",IF(OR(V44="",W44="",V44=W44),"独立確認Person不足",IF(AND(IF(COUNTIF('15_評価計画・品質ゲート'!$V$4:$V$103,B44)&lt;&gt;1,"参照ID不正",IF(INDEX('15_評価計画・品質ゲート'!$A$4:$A$103,MATCH(B44,'15_評価計画・品質ゲート'!$V$4:$V$103,0))="","",INDEX('15_評価計画・品質ゲート'!$A$4:$A$103,MATCH(B44,'15_評価計画・品質ゲート'!$V$4:$V$103,0))))="E05",U44=""),"Trial状態証拠不足",IF(OR(O44="",O44="未判定",O44="無効/再実行"),"評価判定未確定","記録あり・内容審査別"))))))))))</f>
        <v/>
      </c>
      <c r="T44" s="29"/>
      <c r="U44" s="29"/>
      <c r="V44" s="29"/>
      <c r="W44" s="29"/>
      <c r="X44" s="29"/>
      <c r="Y44" s="28" t="str">
        <f>IF(A44="","",IF(COUNTIF(EvalPlanKeys,B44)&lt;&gt;1,"PlanKey不正",IF(OR(T44="",T44&lt;&gt;IF(COUNTIF('15_評価計画・品質ゲート'!$V$4:$V$103,B44)&lt;&gt;1,"参照ID不正",IF(INDEX('15_評価計画・品質ゲート'!$U$4:$U$103,MATCH(B44,'15_評価計画・品質ゲート'!$V$4:$V$103,0))="","",INDEX('15_評価計画・品質ゲート'!$U$4:$U$103,MATCH(B44,'15_評価計画・品質ゲート'!$V$4:$V$103,0))))),"Manifest不一致",IF(IF(COUNTIF('15_評価計画・品質ゲート'!$V$4:$V$103,B44)&lt;&gt;1,"参照ID不正",IF(INDEX('15_評価計画・品質ゲート'!$W$4:$W$103,MATCH(B44,'15_評価計画・品質ゲート'!$V$4:$V$103,0))="","",INDEX('15_評価計画・品質ゲート'!$W$4:$W$103,MATCH(B44,'15_評価計画・品質ゲート'!$V$4:$V$103,0))))&lt;&gt;"計画記録あり","計画未承認・不足","計画・構成一致"))))</f>
        <v/>
      </c>
    </row>
    <row r="45" spans="1:25" ht="66" customHeight="1" x14ac:dyDescent="0.2">
      <c r="A45" s="6"/>
      <c r="B45" s="6"/>
      <c r="C45" s="6"/>
      <c r="D45" s="19"/>
      <c r="E45" s="6"/>
      <c r="F45" s="6"/>
      <c r="G45" s="6"/>
      <c r="H45" s="6"/>
      <c r="I45" s="6"/>
      <c r="J45" s="28" t="str">
        <f>IF(A45="","",IF(COUNTIF('15_評価計画・品質ゲート'!$V$4:$V$103,B45)&lt;&gt;1,"参照ID不正",IF(INDEX('15_評価計画・品質ゲート'!$S$4:$S$103,MATCH(B45,'15_評価計画・品質ゲート'!$V$4:$V$103,0))="","",INDEX('15_評価計画・品質ゲート'!$S$4:$S$103,MATCH(B45,'15_評価計画・品質ゲート'!$V$4:$V$103,0)))))</f>
        <v/>
      </c>
      <c r="K45" s="6"/>
      <c r="L45" s="6"/>
      <c r="M45" s="6"/>
      <c r="N45" s="6"/>
      <c r="O45" s="6"/>
      <c r="P45" s="6"/>
      <c r="Q45" s="6"/>
      <c r="R45" s="19"/>
      <c r="S45" s="28" t="str">
        <f>IF(A45="","",IF(COUNTIF($A$4:$A$103,A45)&lt;&gt;1,"Run ID重複",IF(Y45&lt;&gt;"計画・構成一致",Y45,IF(X45&lt;&gt;"","無効化Run",IF(OR(OR(C45="",E45="",F45="",G45="",H45="",I45="",K45="",M45="",N45="",P45="",T45=""),LEN(L45&amp;"")=0,COUNT(D45,R45)&lt;2),"記録不足",IF(OR(AND(D45&lt;&gt;"",OR(NOT(ISNUMBER(D45)),IFERROR(D45&lt;1,TRUE),IFERROR(INT(D45)&gt;INT(AsOfDate),TRUE))),AND(R45&lt;&gt;"",OR(NOT(ISNUMBER(R45)),IFERROR(R45&lt;1,TRUE),IFERROR(INT(R45)&gt;INT(AsOfDate),TRUE)))),"実績日時不正",IF(R45&lt;D45,"評価承認日時逆転",IF(OR(V45="",W45="",V45=W45),"独立確認Person不足",IF(AND(IF(COUNTIF('15_評価計画・品質ゲート'!$V$4:$V$103,B45)&lt;&gt;1,"参照ID不正",IF(INDEX('15_評価計画・品質ゲート'!$A$4:$A$103,MATCH(B45,'15_評価計画・品質ゲート'!$V$4:$V$103,0))="","",INDEX('15_評価計画・品質ゲート'!$A$4:$A$103,MATCH(B45,'15_評価計画・品質ゲート'!$V$4:$V$103,0))))="E05",U45=""),"Trial状態証拠不足",IF(OR(O45="",O45="未判定",O45="無効/再実行"),"評価判定未確定","記録あり・内容審査別"))))))))))</f>
        <v/>
      </c>
      <c r="T45" s="29"/>
      <c r="U45" s="29"/>
      <c r="V45" s="29"/>
      <c r="W45" s="29"/>
      <c r="X45" s="29"/>
      <c r="Y45" s="28" t="str">
        <f>IF(A45="","",IF(COUNTIF(EvalPlanKeys,B45)&lt;&gt;1,"PlanKey不正",IF(OR(T45="",T45&lt;&gt;IF(COUNTIF('15_評価計画・品質ゲート'!$V$4:$V$103,B45)&lt;&gt;1,"参照ID不正",IF(INDEX('15_評価計画・品質ゲート'!$U$4:$U$103,MATCH(B45,'15_評価計画・品質ゲート'!$V$4:$V$103,0))="","",INDEX('15_評価計画・品質ゲート'!$U$4:$U$103,MATCH(B45,'15_評価計画・品質ゲート'!$V$4:$V$103,0))))),"Manifest不一致",IF(IF(COUNTIF('15_評価計画・品質ゲート'!$V$4:$V$103,B45)&lt;&gt;1,"参照ID不正",IF(INDEX('15_評価計画・品質ゲート'!$W$4:$W$103,MATCH(B45,'15_評価計画・品質ゲート'!$V$4:$V$103,0))="","",INDEX('15_評価計画・品質ゲート'!$W$4:$W$103,MATCH(B45,'15_評価計画・品質ゲート'!$V$4:$V$103,0))))&lt;&gt;"計画記録あり","計画未承認・不足","計画・構成一致"))))</f>
        <v/>
      </c>
    </row>
    <row r="46" spans="1:25" ht="66" customHeight="1" x14ac:dyDescent="0.2">
      <c r="A46" s="6"/>
      <c r="B46" s="6"/>
      <c r="C46" s="6"/>
      <c r="D46" s="19"/>
      <c r="E46" s="6"/>
      <c r="F46" s="6"/>
      <c r="G46" s="6"/>
      <c r="H46" s="6"/>
      <c r="I46" s="6"/>
      <c r="J46" s="28" t="str">
        <f>IF(A46="","",IF(COUNTIF('15_評価計画・品質ゲート'!$V$4:$V$103,B46)&lt;&gt;1,"参照ID不正",IF(INDEX('15_評価計画・品質ゲート'!$S$4:$S$103,MATCH(B46,'15_評価計画・品質ゲート'!$V$4:$V$103,0))="","",INDEX('15_評価計画・品質ゲート'!$S$4:$S$103,MATCH(B46,'15_評価計画・品質ゲート'!$V$4:$V$103,0)))))</f>
        <v/>
      </c>
      <c r="K46" s="6"/>
      <c r="L46" s="6"/>
      <c r="M46" s="6"/>
      <c r="N46" s="6"/>
      <c r="O46" s="6"/>
      <c r="P46" s="6"/>
      <c r="Q46" s="6"/>
      <c r="R46" s="19"/>
      <c r="S46" s="28" t="str">
        <f>IF(A46="","",IF(COUNTIF($A$4:$A$103,A46)&lt;&gt;1,"Run ID重複",IF(Y46&lt;&gt;"計画・構成一致",Y46,IF(X46&lt;&gt;"","無効化Run",IF(OR(OR(C46="",E46="",F46="",G46="",H46="",I46="",K46="",M46="",N46="",P46="",T46=""),LEN(L46&amp;"")=0,COUNT(D46,R46)&lt;2),"記録不足",IF(OR(AND(D46&lt;&gt;"",OR(NOT(ISNUMBER(D46)),IFERROR(D46&lt;1,TRUE),IFERROR(INT(D46)&gt;INT(AsOfDate),TRUE))),AND(R46&lt;&gt;"",OR(NOT(ISNUMBER(R46)),IFERROR(R46&lt;1,TRUE),IFERROR(INT(R46)&gt;INT(AsOfDate),TRUE)))),"実績日時不正",IF(R46&lt;D46,"評価承認日時逆転",IF(OR(V46="",W46="",V46=W46),"独立確認Person不足",IF(AND(IF(COUNTIF('15_評価計画・品質ゲート'!$V$4:$V$103,B46)&lt;&gt;1,"参照ID不正",IF(INDEX('15_評価計画・品質ゲート'!$A$4:$A$103,MATCH(B46,'15_評価計画・品質ゲート'!$V$4:$V$103,0))="","",INDEX('15_評価計画・品質ゲート'!$A$4:$A$103,MATCH(B46,'15_評価計画・品質ゲート'!$V$4:$V$103,0))))="E05",U46=""),"Trial状態証拠不足",IF(OR(O46="",O46="未判定",O46="無効/再実行"),"評価判定未確定","記録あり・内容審査別"))))))))))</f>
        <v/>
      </c>
      <c r="T46" s="29"/>
      <c r="U46" s="29"/>
      <c r="V46" s="29"/>
      <c r="W46" s="29"/>
      <c r="X46" s="29"/>
      <c r="Y46" s="28" t="str">
        <f>IF(A46="","",IF(COUNTIF(EvalPlanKeys,B46)&lt;&gt;1,"PlanKey不正",IF(OR(T46="",T46&lt;&gt;IF(COUNTIF('15_評価計画・品質ゲート'!$V$4:$V$103,B46)&lt;&gt;1,"参照ID不正",IF(INDEX('15_評価計画・品質ゲート'!$U$4:$U$103,MATCH(B46,'15_評価計画・品質ゲート'!$V$4:$V$103,0))="","",INDEX('15_評価計画・品質ゲート'!$U$4:$U$103,MATCH(B46,'15_評価計画・品質ゲート'!$V$4:$V$103,0))))),"Manifest不一致",IF(IF(COUNTIF('15_評価計画・品質ゲート'!$V$4:$V$103,B46)&lt;&gt;1,"参照ID不正",IF(INDEX('15_評価計画・品質ゲート'!$W$4:$W$103,MATCH(B46,'15_評価計画・品質ゲート'!$V$4:$V$103,0))="","",INDEX('15_評価計画・品質ゲート'!$W$4:$W$103,MATCH(B46,'15_評価計画・品質ゲート'!$V$4:$V$103,0))))&lt;&gt;"計画記録あり","計画未承認・不足","計画・構成一致"))))</f>
        <v/>
      </c>
    </row>
    <row r="47" spans="1:25" ht="66" customHeight="1" x14ac:dyDescent="0.2">
      <c r="A47" s="6"/>
      <c r="B47" s="6"/>
      <c r="C47" s="6"/>
      <c r="D47" s="19"/>
      <c r="E47" s="6"/>
      <c r="F47" s="6"/>
      <c r="G47" s="6"/>
      <c r="H47" s="6"/>
      <c r="I47" s="6"/>
      <c r="J47" s="28" t="str">
        <f>IF(A47="","",IF(COUNTIF('15_評価計画・品質ゲート'!$V$4:$V$103,B47)&lt;&gt;1,"参照ID不正",IF(INDEX('15_評価計画・品質ゲート'!$S$4:$S$103,MATCH(B47,'15_評価計画・品質ゲート'!$V$4:$V$103,0))="","",INDEX('15_評価計画・品質ゲート'!$S$4:$S$103,MATCH(B47,'15_評価計画・品質ゲート'!$V$4:$V$103,0)))))</f>
        <v/>
      </c>
      <c r="K47" s="6"/>
      <c r="L47" s="6"/>
      <c r="M47" s="6"/>
      <c r="N47" s="6"/>
      <c r="O47" s="6"/>
      <c r="P47" s="6"/>
      <c r="Q47" s="6"/>
      <c r="R47" s="19"/>
      <c r="S47" s="28" t="str">
        <f>IF(A47="","",IF(COUNTIF($A$4:$A$103,A47)&lt;&gt;1,"Run ID重複",IF(Y47&lt;&gt;"計画・構成一致",Y47,IF(X47&lt;&gt;"","無効化Run",IF(OR(OR(C47="",E47="",F47="",G47="",H47="",I47="",K47="",M47="",N47="",P47="",T47=""),LEN(L47&amp;"")=0,COUNT(D47,R47)&lt;2),"記録不足",IF(OR(AND(D47&lt;&gt;"",OR(NOT(ISNUMBER(D47)),IFERROR(D47&lt;1,TRUE),IFERROR(INT(D47)&gt;INT(AsOfDate),TRUE))),AND(R47&lt;&gt;"",OR(NOT(ISNUMBER(R47)),IFERROR(R47&lt;1,TRUE),IFERROR(INT(R47)&gt;INT(AsOfDate),TRUE)))),"実績日時不正",IF(R47&lt;D47,"評価承認日時逆転",IF(OR(V47="",W47="",V47=W47),"独立確認Person不足",IF(AND(IF(COUNTIF('15_評価計画・品質ゲート'!$V$4:$V$103,B47)&lt;&gt;1,"参照ID不正",IF(INDEX('15_評価計画・品質ゲート'!$A$4:$A$103,MATCH(B47,'15_評価計画・品質ゲート'!$V$4:$V$103,0))="","",INDEX('15_評価計画・品質ゲート'!$A$4:$A$103,MATCH(B47,'15_評価計画・品質ゲート'!$V$4:$V$103,0))))="E05",U47=""),"Trial状態証拠不足",IF(OR(O47="",O47="未判定",O47="無効/再実行"),"評価判定未確定","記録あり・内容審査別"))))))))))</f>
        <v/>
      </c>
      <c r="T47" s="29"/>
      <c r="U47" s="29"/>
      <c r="V47" s="29"/>
      <c r="W47" s="29"/>
      <c r="X47" s="29"/>
      <c r="Y47" s="28" t="str">
        <f>IF(A47="","",IF(COUNTIF(EvalPlanKeys,B47)&lt;&gt;1,"PlanKey不正",IF(OR(T47="",T47&lt;&gt;IF(COUNTIF('15_評価計画・品質ゲート'!$V$4:$V$103,B47)&lt;&gt;1,"参照ID不正",IF(INDEX('15_評価計画・品質ゲート'!$U$4:$U$103,MATCH(B47,'15_評価計画・品質ゲート'!$V$4:$V$103,0))="","",INDEX('15_評価計画・品質ゲート'!$U$4:$U$103,MATCH(B47,'15_評価計画・品質ゲート'!$V$4:$V$103,0))))),"Manifest不一致",IF(IF(COUNTIF('15_評価計画・品質ゲート'!$V$4:$V$103,B47)&lt;&gt;1,"参照ID不正",IF(INDEX('15_評価計画・品質ゲート'!$W$4:$W$103,MATCH(B47,'15_評価計画・品質ゲート'!$V$4:$V$103,0))="","",INDEX('15_評価計画・品質ゲート'!$W$4:$W$103,MATCH(B47,'15_評価計画・品質ゲート'!$V$4:$V$103,0))))&lt;&gt;"計画記録あり","計画未承認・不足","計画・構成一致"))))</f>
        <v/>
      </c>
    </row>
    <row r="48" spans="1:25" ht="66" customHeight="1" x14ac:dyDescent="0.2">
      <c r="A48" s="6"/>
      <c r="B48" s="6"/>
      <c r="C48" s="6"/>
      <c r="D48" s="19"/>
      <c r="E48" s="6"/>
      <c r="F48" s="6"/>
      <c r="G48" s="6"/>
      <c r="H48" s="6"/>
      <c r="I48" s="6"/>
      <c r="J48" s="28" t="str">
        <f>IF(A48="","",IF(COUNTIF('15_評価計画・品質ゲート'!$V$4:$V$103,B48)&lt;&gt;1,"参照ID不正",IF(INDEX('15_評価計画・品質ゲート'!$S$4:$S$103,MATCH(B48,'15_評価計画・品質ゲート'!$V$4:$V$103,0))="","",INDEX('15_評価計画・品質ゲート'!$S$4:$S$103,MATCH(B48,'15_評価計画・品質ゲート'!$V$4:$V$103,0)))))</f>
        <v/>
      </c>
      <c r="K48" s="6"/>
      <c r="L48" s="6"/>
      <c r="M48" s="6"/>
      <c r="N48" s="6"/>
      <c r="O48" s="6"/>
      <c r="P48" s="6"/>
      <c r="Q48" s="6"/>
      <c r="R48" s="19"/>
      <c r="S48" s="28" t="str">
        <f>IF(A48="","",IF(COUNTIF($A$4:$A$103,A48)&lt;&gt;1,"Run ID重複",IF(Y48&lt;&gt;"計画・構成一致",Y48,IF(X48&lt;&gt;"","無効化Run",IF(OR(OR(C48="",E48="",F48="",G48="",H48="",I48="",K48="",M48="",N48="",P48="",T48=""),LEN(L48&amp;"")=0,COUNT(D48,R48)&lt;2),"記録不足",IF(OR(AND(D48&lt;&gt;"",OR(NOT(ISNUMBER(D48)),IFERROR(D48&lt;1,TRUE),IFERROR(INT(D48)&gt;INT(AsOfDate),TRUE))),AND(R48&lt;&gt;"",OR(NOT(ISNUMBER(R48)),IFERROR(R48&lt;1,TRUE),IFERROR(INT(R48)&gt;INT(AsOfDate),TRUE)))),"実績日時不正",IF(R48&lt;D48,"評価承認日時逆転",IF(OR(V48="",W48="",V48=W48),"独立確認Person不足",IF(AND(IF(COUNTIF('15_評価計画・品質ゲート'!$V$4:$V$103,B48)&lt;&gt;1,"参照ID不正",IF(INDEX('15_評価計画・品質ゲート'!$A$4:$A$103,MATCH(B48,'15_評価計画・品質ゲート'!$V$4:$V$103,0))="","",INDEX('15_評価計画・品質ゲート'!$A$4:$A$103,MATCH(B48,'15_評価計画・品質ゲート'!$V$4:$V$103,0))))="E05",U48=""),"Trial状態証拠不足",IF(OR(O48="",O48="未判定",O48="無効/再実行"),"評価判定未確定","記録あり・内容審査別"))))))))))</f>
        <v/>
      </c>
      <c r="T48" s="29"/>
      <c r="U48" s="29"/>
      <c r="V48" s="29"/>
      <c r="W48" s="29"/>
      <c r="X48" s="29"/>
      <c r="Y48" s="28" t="str">
        <f>IF(A48="","",IF(COUNTIF(EvalPlanKeys,B48)&lt;&gt;1,"PlanKey不正",IF(OR(T48="",T48&lt;&gt;IF(COUNTIF('15_評価計画・品質ゲート'!$V$4:$V$103,B48)&lt;&gt;1,"参照ID不正",IF(INDEX('15_評価計画・品質ゲート'!$U$4:$U$103,MATCH(B48,'15_評価計画・品質ゲート'!$V$4:$V$103,0))="","",INDEX('15_評価計画・品質ゲート'!$U$4:$U$103,MATCH(B48,'15_評価計画・品質ゲート'!$V$4:$V$103,0))))),"Manifest不一致",IF(IF(COUNTIF('15_評価計画・品質ゲート'!$V$4:$V$103,B48)&lt;&gt;1,"参照ID不正",IF(INDEX('15_評価計画・品質ゲート'!$W$4:$W$103,MATCH(B48,'15_評価計画・品質ゲート'!$V$4:$V$103,0))="","",INDEX('15_評価計画・品質ゲート'!$W$4:$W$103,MATCH(B48,'15_評価計画・品質ゲート'!$V$4:$V$103,0))))&lt;&gt;"計画記録あり","計画未承認・不足","計画・構成一致"))))</f>
        <v/>
      </c>
    </row>
    <row r="49" spans="1:25" ht="66" customHeight="1" x14ac:dyDescent="0.2">
      <c r="A49" s="6"/>
      <c r="B49" s="6"/>
      <c r="C49" s="6"/>
      <c r="D49" s="19"/>
      <c r="E49" s="6"/>
      <c r="F49" s="6"/>
      <c r="G49" s="6"/>
      <c r="H49" s="6"/>
      <c r="I49" s="6"/>
      <c r="J49" s="28" t="str">
        <f>IF(A49="","",IF(COUNTIF('15_評価計画・品質ゲート'!$V$4:$V$103,B49)&lt;&gt;1,"参照ID不正",IF(INDEX('15_評価計画・品質ゲート'!$S$4:$S$103,MATCH(B49,'15_評価計画・品質ゲート'!$V$4:$V$103,0))="","",INDEX('15_評価計画・品質ゲート'!$S$4:$S$103,MATCH(B49,'15_評価計画・品質ゲート'!$V$4:$V$103,0)))))</f>
        <v/>
      </c>
      <c r="K49" s="6"/>
      <c r="L49" s="6"/>
      <c r="M49" s="6"/>
      <c r="N49" s="6"/>
      <c r="O49" s="6"/>
      <c r="P49" s="6"/>
      <c r="Q49" s="6"/>
      <c r="R49" s="19"/>
      <c r="S49" s="28" t="str">
        <f>IF(A49="","",IF(COUNTIF($A$4:$A$103,A49)&lt;&gt;1,"Run ID重複",IF(Y49&lt;&gt;"計画・構成一致",Y49,IF(X49&lt;&gt;"","無効化Run",IF(OR(OR(C49="",E49="",F49="",G49="",H49="",I49="",K49="",M49="",N49="",P49="",T49=""),LEN(L49&amp;"")=0,COUNT(D49,R49)&lt;2),"記録不足",IF(OR(AND(D49&lt;&gt;"",OR(NOT(ISNUMBER(D49)),IFERROR(D49&lt;1,TRUE),IFERROR(INT(D49)&gt;INT(AsOfDate),TRUE))),AND(R49&lt;&gt;"",OR(NOT(ISNUMBER(R49)),IFERROR(R49&lt;1,TRUE),IFERROR(INT(R49)&gt;INT(AsOfDate),TRUE)))),"実績日時不正",IF(R49&lt;D49,"評価承認日時逆転",IF(OR(V49="",W49="",V49=W49),"独立確認Person不足",IF(AND(IF(COUNTIF('15_評価計画・品質ゲート'!$V$4:$V$103,B49)&lt;&gt;1,"参照ID不正",IF(INDEX('15_評価計画・品質ゲート'!$A$4:$A$103,MATCH(B49,'15_評価計画・品質ゲート'!$V$4:$V$103,0))="","",INDEX('15_評価計画・品質ゲート'!$A$4:$A$103,MATCH(B49,'15_評価計画・品質ゲート'!$V$4:$V$103,0))))="E05",U49=""),"Trial状態証拠不足",IF(OR(O49="",O49="未判定",O49="無効/再実行"),"評価判定未確定","記録あり・内容審査別"))))))))))</f>
        <v/>
      </c>
      <c r="T49" s="29"/>
      <c r="U49" s="29"/>
      <c r="V49" s="29"/>
      <c r="W49" s="29"/>
      <c r="X49" s="29"/>
      <c r="Y49" s="28" t="str">
        <f>IF(A49="","",IF(COUNTIF(EvalPlanKeys,B49)&lt;&gt;1,"PlanKey不正",IF(OR(T49="",T49&lt;&gt;IF(COUNTIF('15_評価計画・品質ゲート'!$V$4:$V$103,B49)&lt;&gt;1,"参照ID不正",IF(INDEX('15_評価計画・品質ゲート'!$U$4:$U$103,MATCH(B49,'15_評価計画・品質ゲート'!$V$4:$V$103,0))="","",INDEX('15_評価計画・品質ゲート'!$U$4:$U$103,MATCH(B49,'15_評価計画・品質ゲート'!$V$4:$V$103,0))))),"Manifest不一致",IF(IF(COUNTIF('15_評価計画・品質ゲート'!$V$4:$V$103,B49)&lt;&gt;1,"参照ID不正",IF(INDEX('15_評価計画・品質ゲート'!$W$4:$W$103,MATCH(B49,'15_評価計画・品質ゲート'!$V$4:$V$103,0))="","",INDEX('15_評価計画・品質ゲート'!$W$4:$W$103,MATCH(B49,'15_評価計画・品質ゲート'!$V$4:$V$103,0))))&lt;&gt;"計画記録あり","計画未承認・不足","計画・構成一致"))))</f>
        <v/>
      </c>
    </row>
    <row r="50" spans="1:25" ht="66" customHeight="1" x14ac:dyDescent="0.2">
      <c r="A50" s="6"/>
      <c r="B50" s="6"/>
      <c r="C50" s="6"/>
      <c r="D50" s="19"/>
      <c r="E50" s="6"/>
      <c r="F50" s="6"/>
      <c r="G50" s="6"/>
      <c r="H50" s="6"/>
      <c r="I50" s="6"/>
      <c r="J50" s="28" t="str">
        <f>IF(A50="","",IF(COUNTIF('15_評価計画・品質ゲート'!$V$4:$V$103,B50)&lt;&gt;1,"参照ID不正",IF(INDEX('15_評価計画・品質ゲート'!$S$4:$S$103,MATCH(B50,'15_評価計画・品質ゲート'!$V$4:$V$103,0))="","",INDEX('15_評価計画・品質ゲート'!$S$4:$S$103,MATCH(B50,'15_評価計画・品質ゲート'!$V$4:$V$103,0)))))</f>
        <v/>
      </c>
      <c r="K50" s="6"/>
      <c r="L50" s="6"/>
      <c r="M50" s="6"/>
      <c r="N50" s="6"/>
      <c r="O50" s="6"/>
      <c r="P50" s="6"/>
      <c r="Q50" s="6"/>
      <c r="R50" s="19"/>
      <c r="S50" s="28" t="str">
        <f>IF(A50="","",IF(COUNTIF($A$4:$A$103,A50)&lt;&gt;1,"Run ID重複",IF(Y50&lt;&gt;"計画・構成一致",Y50,IF(X50&lt;&gt;"","無効化Run",IF(OR(OR(C50="",E50="",F50="",G50="",H50="",I50="",K50="",M50="",N50="",P50="",T50=""),LEN(L50&amp;"")=0,COUNT(D50,R50)&lt;2),"記録不足",IF(OR(AND(D50&lt;&gt;"",OR(NOT(ISNUMBER(D50)),IFERROR(D50&lt;1,TRUE),IFERROR(INT(D50)&gt;INT(AsOfDate),TRUE))),AND(R50&lt;&gt;"",OR(NOT(ISNUMBER(R50)),IFERROR(R50&lt;1,TRUE),IFERROR(INT(R50)&gt;INT(AsOfDate),TRUE)))),"実績日時不正",IF(R50&lt;D50,"評価承認日時逆転",IF(OR(V50="",W50="",V50=W50),"独立確認Person不足",IF(AND(IF(COUNTIF('15_評価計画・品質ゲート'!$V$4:$V$103,B50)&lt;&gt;1,"参照ID不正",IF(INDEX('15_評価計画・品質ゲート'!$A$4:$A$103,MATCH(B50,'15_評価計画・品質ゲート'!$V$4:$V$103,0))="","",INDEX('15_評価計画・品質ゲート'!$A$4:$A$103,MATCH(B50,'15_評価計画・品質ゲート'!$V$4:$V$103,0))))="E05",U50=""),"Trial状態証拠不足",IF(OR(O50="",O50="未判定",O50="無効/再実行"),"評価判定未確定","記録あり・内容審査別"))))))))))</f>
        <v/>
      </c>
      <c r="T50" s="29"/>
      <c r="U50" s="29"/>
      <c r="V50" s="29"/>
      <c r="W50" s="29"/>
      <c r="X50" s="29"/>
      <c r="Y50" s="28" t="str">
        <f>IF(A50="","",IF(COUNTIF(EvalPlanKeys,B50)&lt;&gt;1,"PlanKey不正",IF(OR(T50="",T50&lt;&gt;IF(COUNTIF('15_評価計画・品質ゲート'!$V$4:$V$103,B50)&lt;&gt;1,"参照ID不正",IF(INDEX('15_評価計画・品質ゲート'!$U$4:$U$103,MATCH(B50,'15_評価計画・品質ゲート'!$V$4:$V$103,0))="","",INDEX('15_評価計画・品質ゲート'!$U$4:$U$103,MATCH(B50,'15_評価計画・品質ゲート'!$V$4:$V$103,0))))),"Manifest不一致",IF(IF(COUNTIF('15_評価計画・品質ゲート'!$V$4:$V$103,B50)&lt;&gt;1,"参照ID不正",IF(INDEX('15_評価計画・品質ゲート'!$W$4:$W$103,MATCH(B50,'15_評価計画・品質ゲート'!$V$4:$V$103,0))="","",INDEX('15_評価計画・品質ゲート'!$W$4:$W$103,MATCH(B50,'15_評価計画・品質ゲート'!$V$4:$V$103,0))))&lt;&gt;"計画記録あり","計画未承認・不足","計画・構成一致"))))</f>
        <v/>
      </c>
    </row>
    <row r="51" spans="1:25" ht="66" customHeight="1" x14ac:dyDescent="0.2">
      <c r="A51" s="6"/>
      <c r="B51" s="6"/>
      <c r="C51" s="6"/>
      <c r="D51" s="19"/>
      <c r="E51" s="6"/>
      <c r="F51" s="6"/>
      <c r="G51" s="6"/>
      <c r="H51" s="6"/>
      <c r="I51" s="6"/>
      <c r="J51" s="28" t="str">
        <f>IF(A51="","",IF(COUNTIF('15_評価計画・品質ゲート'!$V$4:$V$103,B51)&lt;&gt;1,"参照ID不正",IF(INDEX('15_評価計画・品質ゲート'!$S$4:$S$103,MATCH(B51,'15_評価計画・品質ゲート'!$V$4:$V$103,0))="","",INDEX('15_評価計画・品質ゲート'!$S$4:$S$103,MATCH(B51,'15_評価計画・品質ゲート'!$V$4:$V$103,0)))))</f>
        <v/>
      </c>
      <c r="K51" s="6"/>
      <c r="L51" s="6"/>
      <c r="M51" s="6"/>
      <c r="N51" s="6"/>
      <c r="O51" s="6"/>
      <c r="P51" s="6"/>
      <c r="Q51" s="6"/>
      <c r="R51" s="19"/>
      <c r="S51" s="28" t="str">
        <f>IF(A51="","",IF(COUNTIF($A$4:$A$103,A51)&lt;&gt;1,"Run ID重複",IF(Y51&lt;&gt;"計画・構成一致",Y51,IF(X51&lt;&gt;"","無効化Run",IF(OR(OR(C51="",E51="",F51="",G51="",H51="",I51="",K51="",M51="",N51="",P51="",T51=""),LEN(L51&amp;"")=0,COUNT(D51,R51)&lt;2),"記録不足",IF(OR(AND(D51&lt;&gt;"",OR(NOT(ISNUMBER(D51)),IFERROR(D51&lt;1,TRUE),IFERROR(INT(D51)&gt;INT(AsOfDate),TRUE))),AND(R51&lt;&gt;"",OR(NOT(ISNUMBER(R51)),IFERROR(R51&lt;1,TRUE),IFERROR(INT(R51)&gt;INT(AsOfDate),TRUE)))),"実績日時不正",IF(R51&lt;D51,"評価承認日時逆転",IF(OR(V51="",W51="",V51=W51),"独立確認Person不足",IF(AND(IF(COUNTIF('15_評価計画・品質ゲート'!$V$4:$V$103,B51)&lt;&gt;1,"参照ID不正",IF(INDEX('15_評価計画・品質ゲート'!$A$4:$A$103,MATCH(B51,'15_評価計画・品質ゲート'!$V$4:$V$103,0))="","",INDEX('15_評価計画・品質ゲート'!$A$4:$A$103,MATCH(B51,'15_評価計画・品質ゲート'!$V$4:$V$103,0))))="E05",U51=""),"Trial状態証拠不足",IF(OR(O51="",O51="未判定",O51="無効/再実行"),"評価判定未確定","記録あり・内容審査別"))))))))))</f>
        <v/>
      </c>
      <c r="T51" s="29"/>
      <c r="U51" s="29"/>
      <c r="V51" s="29"/>
      <c r="W51" s="29"/>
      <c r="X51" s="29"/>
      <c r="Y51" s="28" t="str">
        <f>IF(A51="","",IF(COUNTIF(EvalPlanKeys,B51)&lt;&gt;1,"PlanKey不正",IF(OR(T51="",T51&lt;&gt;IF(COUNTIF('15_評価計画・品質ゲート'!$V$4:$V$103,B51)&lt;&gt;1,"参照ID不正",IF(INDEX('15_評価計画・品質ゲート'!$U$4:$U$103,MATCH(B51,'15_評価計画・品質ゲート'!$V$4:$V$103,0))="","",INDEX('15_評価計画・品質ゲート'!$U$4:$U$103,MATCH(B51,'15_評価計画・品質ゲート'!$V$4:$V$103,0))))),"Manifest不一致",IF(IF(COUNTIF('15_評価計画・品質ゲート'!$V$4:$V$103,B51)&lt;&gt;1,"参照ID不正",IF(INDEX('15_評価計画・品質ゲート'!$W$4:$W$103,MATCH(B51,'15_評価計画・品質ゲート'!$V$4:$V$103,0))="","",INDEX('15_評価計画・品質ゲート'!$W$4:$W$103,MATCH(B51,'15_評価計画・品質ゲート'!$V$4:$V$103,0))))&lt;&gt;"計画記録あり","計画未承認・不足","計画・構成一致"))))</f>
        <v/>
      </c>
    </row>
    <row r="52" spans="1:25" ht="66" customHeight="1" x14ac:dyDescent="0.2">
      <c r="A52" s="6"/>
      <c r="B52" s="6"/>
      <c r="C52" s="6"/>
      <c r="D52" s="19"/>
      <c r="E52" s="6"/>
      <c r="F52" s="6"/>
      <c r="G52" s="6"/>
      <c r="H52" s="6"/>
      <c r="I52" s="6"/>
      <c r="J52" s="28" t="str">
        <f>IF(A52="","",IF(COUNTIF('15_評価計画・品質ゲート'!$V$4:$V$103,B52)&lt;&gt;1,"参照ID不正",IF(INDEX('15_評価計画・品質ゲート'!$S$4:$S$103,MATCH(B52,'15_評価計画・品質ゲート'!$V$4:$V$103,0))="","",INDEX('15_評価計画・品質ゲート'!$S$4:$S$103,MATCH(B52,'15_評価計画・品質ゲート'!$V$4:$V$103,0)))))</f>
        <v/>
      </c>
      <c r="K52" s="6"/>
      <c r="L52" s="6"/>
      <c r="M52" s="6"/>
      <c r="N52" s="6"/>
      <c r="O52" s="6"/>
      <c r="P52" s="6"/>
      <c r="Q52" s="6"/>
      <c r="R52" s="19"/>
      <c r="S52" s="28" t="str">
        <f>IF(A52="","",IF(COUNTIF($A$4:$A$103,A52)&lt;&gt;1,"Run ID重複",IF(Y52&lt;&gt;"計画・構成一致",Y52,IF(X52&lt;&gt;"","無効化Run",IF(OR(OR(C52="",E52="",F52="",G52="",H52="",I52="",K52="",M52="",N52="",P52="",T52=""),LEN(L52&amp;"")=0,COUNT(D52,R52)&lt;2),"記録不足",IF(OR(AND(D52&lt;&gt;"",OR(NOT(ISNUMBER(D52)),IFERROR(D52&lt;1,TRUE),IFERROR(INT(D52)&gt;INT(AsOfDate),TRUE))),AND(R52&lt;&gt;"",OR(NOT(ISNUMBER(R52)),IFERROR(R52&lt;1,TRUE),IFERROR(INT(R52)&gt;INT(AsOfDate),TRUE)))),"実績日時不正",IF(R52&lt;D52,"評価承認日時逆転",IF(OR(V52="",W52="",V52=W52),"独立確認Person不足",IF(AND(IF(COUNTIF('15_評価計画・品質ゲート'!$V$4:$V$103,B52)&lt;&gt;1,"参照ID不正",IF(INDEX('15_評価計画・品質ゲート'!$A$4:$A$103,MATCH(B52,'15_評価計画・品質ゲート'!$V$4:$V$103,0))="","",INDEX('15_評価計画・品質ゲート'!$A$4:$A$103,MATCH(B52,'15_評価計画・品質ゲート'!$V$4:$V$103,0))))="E05",U52=""),"Trial状態証拠不足",IF(OR(O52="",O52="未判定",O52="無効/再実行"),"評価判定未確定","記録あり・内容審査別"))))))))))</f>
        <v/>
      </c>
      <c r="T52" s="29"/>
      <c r="U52" s="29"/>
      <c r="V52" s="29"/>
      <c r="W52" s="29"/>
      <c r="X52" s="29"/>
      <c r="Y52" s="28" t="str">
        <f>IF(A52="","",IF(COUNTIF(EvalPlanKeys,B52)&lt;&gt;1,"PlanKey不正",IF(OR(T52="",T52&lt;&gt;IF(COUNTIF('15_評価計画・品質ゲート'!$V$4:$V$103,B52)&lt;&gt;1,"参照ID不正",IF(INDEX('15_評価計画・品質ゲート'!$U$4:$U$103,MATCH(B52,'15_評価計画・品質ゲート'!$V$4:$V$103,0))="","",INDEX('15_評価計画・品質ゲート'!$U$4:$U$103,MATCH(B52,'15_評価計画・品質ゲート'!$V$4:$V$103,0))))),"Manifest不一致",IF(IF(COUNTIF('15_評価計画・品質ゲート'!$V$4:$V$103,B52)&lt;&gt;1,"参照ID不正",IF(INDEX('15_評価計画・品質ゲート'!$W$4:$W$103,MATCH(B52,'15_評価計画・品質ゲート'!$V$4:$V$103,0))="","",INDEX('15_評価計画・品質ゲート'!$W$4:$W$103,MATCH(B52,'15_評価計画・品質ゲート'!$V$4:$V$103,0))))&lt;&gt;"計画記録あり","計画未承認・不足","計画・構成一致"))))</f>
        <v/>
      </c>
    </row>
    <row r="53" spans="1:25" ht="66" customHeight="1" x14ac:dyDescent="0.2">
      <c r="A53" s="6"/>
      <c r="B53" s="6"/>
      <c r="C53" s="6"/>
      <c r="D53" s="19"/>
      <c r="E53" s="6"/>
      <c r="F53" s="6"/>
      <c r="G53" s="6"/>
      <c r="H53" s="6"/>
      <c r="I53" s="6"/>
      <c r="J53" s="28" t="str">
        <f>IF(A53="","",IF(COUNTIF('15_評価計画・品質ゲート'!$V$4:$V$103,B53)&lt;&gt;1,"参照ID不正",IF(INDEX('15_評価計画・品質ゲート'!$S$4:$S$103,MATCH(B53,'15_評価計画・品質ゲート'!$V$4:$V$103,0))="","",INDEX('15_評価計画・品質ゲート'!$S$4:$S$103,MATCH(B53,'15_評価計画・品質ゲート'!$V$4:$V$103,0)))))</f>
        <v/>
      </c>
      <c r="K53" s="6"/>
      <c r="L53" s="6"/>
      <c r="M53" s="6"/>
      <c r="N53" s="6"/>
      <c r="O53" s="6"/>
      <c r="P53" s="6"/>
      <c r="Q53" s="6"/>
      <c r="R53" s="19"/>
      <c r="S53" s="28" t="str">
        <f>IF(A53="","",IF(COUNTIF($A$4:$A$103,A53)&lt;&gt;1,"Run ID重複",IF(Y53&lt;&gt;"計画・構成一致",Y53,IF(X53&lt;&gt;"","無効化Run",IF(OR(OR(C53="",E53="",F53="",G53="",H53="",I53="",K53="",M53="",N53="",P53="",T53=""),LEN(L53&amp;"")=0,COUNT(D53,R53)&lt;2),"記録不足",IF(OR(AND(D53&lt;&gt;"",OR(NOT(ISNUMBER(D53)),IFERROR(D53&lt;1,TRUE),IFERROR(INT(D53)&gt;INT(AsOfDate),TRUE))),AND(R53&lt;&gt;"",OR(NOT(ISNUMBER(R53)),IFERROR(R53&lt;1,TRUE),IFERROR(INT(R53)&gt;INT(AsOfDate),TRUE)))),"実績日時不正",IF(R53&lt;D53,"評価承認日時逆転",IF(OR(V53="",W53="",V53=W53),"独立確認Person不足",IF(AND(IF(COUNTIF('15_評価計画・品質ゲート'!$V$4:$V$103,B53)&lt;&gt;1,"参照ID不正",IF(INDEX('15_評価計画・品質ゲート'!$A$4:$A$103,MATCH(B53,'15_評価計画・品質ゲート'!$V$4:$V$103,0))="","",INDEX('15_評価計画・品質ゲート'!$A$4:$A$103,MATCH(B53,'15_評価計画・品質ゲート'!$V$4:$V$103,0))))="E05",U53=""),"Trial状態証拠不足",IF(OR(O53="",O53="未判定",O53="無効/再実行"),"評価判定未確定","記録あり・内容審査別"))))))))))</f>
        <v/>
      </c>
      <c r="T53" s="29"/>
      <c r="U53" s="29"/>
      <c r="V53" s="29"/>
      <c r="W53" s="29"/>
      <c r="X53" s="29"/>
      <c r="Y53" s="28" t="str">
        <f>IF(A53="","",IF(COUNTIF(EvalPlanKeys,B53)&lt;&gt;1,"PlanKey不正",IF(OR(T53="",T53&lt;&gt;IF(COUNTIF('15_評価計画・品質ゲート'!$V$4:$V$103,B53)&lt;&gt;1,"参照ID不正",IF(INDEX('15_評価計画・品質ゲート'!$U$4:$U$103,MATCH(B53,'15_評価計画・品質ゲート'!$V$4:$V$103,0))="","",INDEX('15_評価計画・品質ゲート'!$U$4:$U$103,MATCH(B53,'15_評価計画・品質ゲート'!$V$4:$V$103,0))))),"Manifest不一致",IF(IF(COUNTIF('15_評価計画・品質ゲート'!$V$4:$V$103,B53)&lt;&gt;1,"参照ID不正",IF(INDEX('15_評価計画・品質ゲート'!$W$4:$W$103,MATCH(B53,'15_評価計画・品質ゲート'!$V$4:$V$103,0))="","",INDEX('15_評価計画・品質ゲート'!$W$4:$W$103,MATCH(B53,'15_評価計画・品質ゲート'!$V$4:$V$103,0))))&lt;&gt;"計画記録あり","計画未承認・不足","計画・構成一致"))))</f>
        <v/>
      </c>
    </row>
    <row r="54" spans="1:25" ht="66" customHeight="1" x14ac:dyDescent="0.2">
      <c r="A54" s="6"/>
      <c r="B54" s="6"/>
      <c r="C54" s="6"/>
      <c r="D54" s="19"/>
      <c r="E54" s="6"/>
      <c r="F54" s="6"/>
      <c r="G54" s="6"/>
      <c r="H54" s="6"/>
      <c r="I54" s="6"/>
      <c r="J54" s="28" t="str">
        <f>IF(A54="","",IF(COUNTIF('15_評価計画・品質ゲート'!$V$4:$V$103,B54)&lt;&gt;1,"参照ID不正",IF(INDEX('15_評価計画・品質ゲート'!$S$4:$S$103,MATCH(B54,'15_評価計画・品質ゲート'!$V$4:$V$103,0))="","",INDEX('15_評価計画・品質ゲート'!$S$4:$S$103,MATCH(B54,'15_評価計画・品質ゲート'!$V$4:$V$103,0)))))</f>
        <v/>
      </c>
      <c r="K54" s="6"/>
      <c r="L54" s="6"/>
      <c r="M54" s="6"/>
      <c r="N54" s="6"/>
      <c r="O54" s="6"/>
      <c r="P54" s="6"/>
      <c r="Q54" s="6"/>
      <c r="R54" s="19"/>
      <c r="S54" s="28" t="str">
        <f>IF(A54="","",IF(COUNTIF($A$4:$A$103,A54)&lt;&gt;1,"Run ID重複",IF(Y54&lt;&gt;"計画・構成一致",Y54,IF(X54&lt;&gt;"","無効化Run",IF(OR(OR(C54="",E54="",F54="",G54="",H54="",I54="",K54="",M54="",N54="",P54="",T54=""),LEN(L54&amp;"")=0,COUNT(D54,R54)&lt;2),"記録不足",IF(OR(AND(D54&lt;&gt;"",OR(NOT(ISNUMBER(D54)),IFERROR(D54&lt;1,TRUE),IFERROR(INT(D54)&gt;INT(AsOfDate),TRUE))),AND(R54&lt;&gt;"",OR(NOT(ISNUMBER(R54)),IFERROR(R54&lt;1,TRUE),IFERROR(INT(R54)&gt;INT(AsOfDate),TRUE)))),"実績日時不正",IF(R54&lt;D54,"評価承認日時逆転",IF(OR(V54="",W54="",V54=W54),"独立確認Person不足",IF(AND(IF(COUNTIF('15_評価計画・品質ゲート'!$V$4:$V$103,B54)&lt;&gt;1,"参照ID不正",IF(INDEX('15_評価計画・品質ゲート'!$A$4:$A$103,MATCH(B54,'15_評価計画・品質ゲート'!$V$4:$V$103,0))="","",INDEX('15_評価計画・品質ゲート'!$A$4:$A$103,MATCH(B54,'15_評価計画・品質ゲート'!$V$4:$V$103,0))))="E05",U54=""),"Trial状態証拠不足",IF(OR(O54="",O54="未判定",O54="無効/再実行"),"評価判定未確定","記録あり・内容審査別"))))))))))</f>
        <v/>
      </c>
      <c r="T54" s="29"/>
      <c r="U54" s="29"/>
      <c r="V54" s="29"/>
      <c r="W54" s="29"/>
      <c r="X54" s="29"/>
      <c r="Y54" s="28" t="str">
        <f>IF(A54="","",IF(COUNTIF(EvalPlanKeys,B54)&lt;&gt;1,"PlanKey不正",IF(OR(T54="",T54&lt;&gt;IF(COUNTIF('15_評価計画・品質ゲート'!$V$4:$V$103,B54)&lt;&gt;1,"参照ID不正",IF(INDEX('15_評価計画・品質ゲート'!$U$4:$U$103,MATCH(B54,'15_評価計画・品質ゲート'!$V$4:$V$103,0))="","",INDEX('15_評価計画・品質ゲート'!$U$4:$U$103,MATCH(B54,'15_評価計画・品質ゲート'!$V$4:$V$103,0))))),"Manifest不一致",IF(IF(COUNTIF('15_評価計画・品質ゲート'!$V$4:$V$103,B54)&lt;&gt;1,"参照ID不正",IF(INDEX('15_評価計画・品質ゲート'!$W$4:$W$103,MATCH(B54,'15_評価計画・品質ゲート'!$V$4:$V$103,0))="","",INDEX('15_評価計画・品質ゲート'!$W$4:$W$103,MATCH(B54,'15_評価計画・品質ゲート'!$V$4:$V$103,0))))&lt;&gt;"計画記録あり","計画未承認・不足","計画・構成一致"))))</f>
        <v/>
      </c>
    </row>
    <row r="55" spans="1:25" ht="66" customHeight="1" x14ac:dyDescent="0.2">
      <c r="A55" s="6"/>
      <c r="B55" s="6"/>
      <c r="C55" s="6"/>
      <c r="D55" s="19"/>
      <c r="E55" s="6"/>
      <c r="F55" s="6"/>
      <c r="G55" s="6"/>
      <c r="H55" s="6"/>
      <c r="I55" s="6"/>
      <c r="J55" s="28" t="str">
        <f>IF(A55="","",IF(COUNTIF('15_評価計画・品質ゲート'!$V$4:$V$103,B55)&lt;&gt;1,"参照ID不正",IF(INDEX('15_評価計画・品質ゲート'!$S$4:$S$103,MATCH(B55,'15_評価計画・品質ゲート'!$V$4:$V$103,0))="","",INDEX('15_評価計画・品質ゲート'!$S$4:$S$103,MATCH(B55,'15_評価計画・品質ゲート'!$V$4:$V$103,0)))))</f>
        <v/>
      </c>
      <c r="K55" s="6"/>
      <c r="L55" s="6"/>
      <c r="M55" s="6"/>
      <c r="N55" s="6"/>
      <c r="O55" s="6"/>
      <c r="P55" s="6"/>
      <c r="Q55" s="6"/>
      <c r="R55" s="19"/>
      <c r="S55" s="28" t="str">
        <f>IF(A55="","",IF(COUNTIF($A$4:$A$103,A55)&lt;&gt;1,"Run ID重複",IF(Y55&lt;&gt;"計画・構成一致",Y55,IF(X55&lt;&gt;"","無効化Run",IF(OR(OR(C55="",E55="",F55="",G55="",H55="",I55="",K55="",M55="",N55="",P55="",T55=""),LEN(L55&amp;"")=0,COUNT(D55,R55)&lt;2),"記録不足",IF(OR(AND(D55&lt;&gt;"",OR(NOT(ISNUMBER(D55)),IFERROR(D55&lt;1,TRUE),IFERROR(INT(D55)&gt;INT(AsOfDate),TRUE))),AND(R55&lt;&gt;"",OR(NOT(ISNUMBER(R55)),IFERROR(R55&lt;1,TRUE),IFERROR(INT(R55)&gt;INT(AsOfDate),TRUE)))),"実績日時不正",IF(R55&lt;D55,"評価承認日時逆転",IF(OR(V55="",W55="",V55=W55),"独立確認Person不足",IF(AND(IF(COUNTIF('15_評価計画・品質ゲート'!$V$4:$V$103,B55)&lt;&gt;1,"参照ID不正",IF(INDEX('15_評価計画・品質ゲート'!$A$4:$A$103,MATCH(B55,'15_評価計画・品質ゲート'!$V$4:$V$103,0))="","",INDEX('15_評価計画・品質ゲート'!$A$4:$A$103,MATCH(B55,'15_評価計画・品質ゲート'!$V$4:$V$103,0))))="E05",U55=""),"Trial状態証拠不足",IF(OR(O55="",O55="未判定",O55="無効/再実行"),"評価判定未確定","記録あり・内容審査別"))))))))))</f>
        <v/>
      </c>
      <c r="T55" s="29"/>
      <c r="U55" s="29"/>
      <c r="V55" s="29"/>
      <c r="W55" s="29"/>
      <c r="X55" s="29"/>
      <c r="Y55" s="28" t="str">
        <f>IF(A55="","",IF(COUNTIF(EvalPlanKeys,B55)&lt;&gt;1,"PlanKey不正",IF(OR(T55="",T55&lt;&gt;IF(COUNTIF('15_評価計画・品質ゲート'!$V$4:$V$103,B55)&lt;&gt;1,"参照ID不正",IF(INDEX('15_評価計画・品質ゲート'!$U$4:$U$103,MATCH(B55,'15_評価計画・品質ゲート'!$V$4:$V$103,0))="","",INDEX('15_評価計画・品質ゲート'!$U$4:$U$103,MATCH(B55,'15_評価計画・品質ゲート'!$V$4:$V$103,0))))),"Manifest不一致",IF(IF(COUNTIF('15_評価計画・品質ゲート'!$V$4:$V$103,B55)&lt;&gt;1,"参照ID不正",IF(INDEX('15_評価計画・品質ゲート'!$W$4:$W$103,MATCH(B55,'15_評価計画・品質ゲート'!$V$4:$V$103,0))="","",INDEX('15_評価計画・品質ゲート'!$W$4:$W$103,MATCH(B55,'15_評価計画・品質ゲート'!$V$4:$V$103,0))))&lt;&gt;"計画記録あり","計画未承認・不足","計画・構成一致"))))</f>
        <v/>
      </c>
    </row>
    <row r="56" spans="1:25" ht="66" customHeight="1" x14ac:dyDescent="0.2">
      <c r="A56" s="6"/>
      <c r="B56" s="6"/>
      <c r="C56" s="6"/>
      <c r="D56" s="19"/>
      <c r="E56" s="6"/>
      <c r="F56" s="6"/>
      <c r="G56" s="6"/>
      <c r="H56" s="6"/>
      <c r="I56" s="6"/>
      <c r="J56" s="28" t="str">
        <f>IF(A56="","",IF(COUNTIF('15_評価計画・品質ゲート'!$V$4:$V$103,B56)&lt;&gt;1,"参照ID不正",IF(INDEX('15_評価計画・品質ゲート'!$S$4:$S$103,MATCH(B56,'15_評価計画・品質ゲート'!$V$4:$V$103,0))="","",INDEX('15_評価計画・品質ゲート'!$S$4:$S$103,MATCH(B56,'15_評価計画・品質ゲート'!$V$4:$V$103,0)))))</f>
        <v/>
      </c>
      <c r="K56" s="6"/>
      <c r="L56" s="6"/>
      <c r="M56" s="6"/>
      <c r="N56" s="6"/>
      <c r="O56" s="6"/>
      <c r="P56" s="6"/>
      <c r="Q56" s="6"/>
      <c r="R56" s="19"/>
      <c r="S56" s="28" t="str">
        <f>IF(A56="","",IF(COUNTIF($A$4:$A$103,A56)&lt;&gt;1,"Run ID重複",IF(Y56&lt;&gt;"計画・構成一致",Y56,IF(X56&lt;&gt;"","無効化Run",IF(OR(OR(C56="",E56="",F56="",G56="",H56="",I56="",K56="",M56="",N56="",P56="",T56=""),LEN(L56&amp;"")=0,COUNT(D56,R56)&lt;2),"記録不足",IF(OR(AND(D56&lt;&gt;"",OR(NOT(ISNUMBER(D56)),IFERROR(D56&lt;1,TRUE),IFERROR(INT(D56)&gt;INT(AsOfDate),TRUE))),AND(R56&lt;&gt;"",OR(NOT(ISNUMBER(R56)),IFERROR(R56&lt;1,TRUE),IFERROR(INT(R56)&gt;INT(AsOfDate),TRUE)))),"実績日時不正",IF(R56&lt;D56,"評価承認日時逆転",IF(OR(V56="",W56="",V56=W56),"独立確認Person不足",IF(AND(IF(COUNTIF('15_評価計画・品質ゲート'!$V$4:$V$103,B56)&lt;&gt;1,"参照ID不正",IF(INDEX('15_評価計画・品質ゲート'!$A$4:$A$103,MATCH(B56,'15_評価計画・品質ゲート'!$V$4:$V$103,0))="","",INDEX('15_評価計画・品質ゲート'!$A$4:$A$103,MATCH(B56,'15_評価計画・品質ゲート'!$V$4:$V$103,0))))="E05",U56=""),"Trial状態証拠不足",IF(OR(O56="",O56="未判定",O56="無効/再実行"),"評価判定未確定","記録あり・内容審査別"))))))))))</f>
        <v/>
      </c>
      <c r="T56" s="29"/>
      <c r="U56" s="29"/>
      <c r="V56" s="29"/>
      <c r="W56" s="29"/>
      <c r="X56" s="29"/>
      <c r="Y56" s="28" t="str">
        <f>IF(A56="","",IF(COUNTIF(EvalPlanKeys,B56)&lt;&gt;1,"PlanKey不正",IF(OR(T56="",T56&lt;&gt;IF(COUNTIF('15_評価計画・品質ゲート'!$V$4:$V$103,B56)&lt;&gt;1,"参照ID不正",IF(INDEX('15_評価計画・品質ゲート'!$U$4:$U$103,MATCH(B56,'15_評価計画・品質ゲート'!$V$4:$V$103,0))="","",INDEX('15_評価計画・品質ゲート'!$U$4:$U$103,MATCH(B56,'15_評価計画・品質ゲート'!$V$4:$V$103,0))))),"Manifest不一致",IF(IF(COUNTIF('15_評価計画・品質ゲート'!$V$4:$V$103,B56)&lt;&gt;1,"参照ID不正",IF(INDEX('15_評価計画・品質ゲート'!$W$4:$W$103,MATCH(B56,'15_評価計画・品質ゲート'!$V$4:$V$103,0))="","",INDEX('15_評価計画・品質ゲート'!$W$4:$W$103,MATCH(B56,'15_評価計画・品質ゲート'!$V$4:$V$103,0))))&lt;&gt;"計画記録あり","計画未承認・不足","計画・構成一致"))))</f>
        <v/>
      </c>
    </row>
    <row r="57" spans="1:25" ht="66" customHeight="1" x14ac:dyDescent="0.2">
      <c r="A57" s="6"/>
      <c r="B57" s="6"/>
      <c r="C57" s="6"/>
      <c r="D57" s="19"/>
      <c r="E57" s="6"/>
      <c r="F57" s="6"/>
      <c r="G57" s="6"/>
      <c r="H57" s="6"/>
      <c r="I57" s="6"/>
      <c r="J57" s="28" t="str">
        <f>IF(A57="","",IF(COUNTIF('15_評価計画・品質ゲート'!$V$4:$V$103,B57)&lt;&gt;1,"参照ID不正",IF(INDEX('15_評価計画・品質ゲート'!$S$4:$S$103,MATCH(B57,'15_評価計画・品質ゲート'!$V$4:$V$103,0))="","",INDEX('15_評価計画・品質ゲート'!$S$4:$S$103,MATCH(B57,'15_評価計画・品質ゲート'!$V$4:$V$103,0)))))</f>
        <v/>
      </c>
      <c r="K57" s="6"/>
      <c r="L57" s="6"/>
      <c r="M57" s="6"/>
      <c r="N57" s="6"/>
      <c r="O57" s="6"/>
      <c r="P57" s="6"/>
      <c r="Q57" s="6"/>
      <c r="R57" s="19"/>
      <c r="S57" s="28" t="str">
        <f>IF(A57="","",IF(COUNTIF($A$4:$A$103,A57)&lt;&gt;1,"Run ID重複",IF(Y57&lt;&gt;"計画・構成一致",Y57,IF(X57&lt;&gt;"","無効化Run",IF(OR(OR(C57="",E57="",F57="",G57="",H57="",I57="",K57="",M57="",N57="",P57="",T57=""),LEN(L57&amp;"")=0,COUNT(D57,R57)&lt;2),"記録不足",IF(OR(AND(D57&lt;&gt;"",OR(NOT(ISNUMBER(D57)),IFERROR(D57&lt;1,TRUE),IFERROR(INT(D57)&gt;INT(AsOfDate),TRUE))),AND(R57&lt;&gt;"",OR(NOT(ISNUMBER(R57)),IFERROR(R57&lt;1,TRUE),IFERROR(INT(R57)&gt;INT(AsOfDate),TRUE)))),"実績日時不正",IF(R57&lt;D57,"評価承認日時逆転",IF(OR(V57="",W57="",V57=W57),"独立確認Person不足",IF(AND(IF(COUNTIF('15_評価計画・品質ゲート'!$V$4:$V$103,B57)&lt;&gt;1,"参照ID不正",IF(INDEX('15_評価計画・品質ゲート'!$A$4:$A$103,MATCH(B57,'15_評価計画・品質ゲート'!$V$4:$V$103,0))="","",INDEX('15_評価計画・品質ゲート'!$A$4:$A$103,MATCH(B57,'15_評価計画・品質ゲート'!$V$4:$V$103,0))))="E05",U57=""),"Trial状態証拠不足",IF(OR(O57="",O57="未判定",O57="無効/再実行"),"評価判定未確定","記録あり・内容審査別"))))))))))</f>
        <v/>
      </c>
      <c r="T57" s="29"/>
      <c r="U57" s="29"/>
      <c r="V57" s="29"/>
      <c r="W57" s="29"/>
      <c r="X57" s="29"/>
      <c r="Y57" s="28" t="str">
        <f>IF(A57="","",IF(COUNTIF(EvalPlanKeys,B57)&lt;&gt;1,"PlanKey不正",IF(OR(T57="",T57&lt;&gt;IF(COUNTIF('15_評価計画・品質ゲート'!$V$4:$V$103,B57)&lt;&gt;1,"参照ID不正",IF(INDEX('15_評価計画・品質ゲート'!$U$4:$U$103,MATCH(B57,'15_評価計画・品質ゲート'!$V$4:$V$103,0))="","",INDEX('15_評価計画・品質ゲート'!$U$4:$U$103,MATCH(B57,'15_評価計画・品質ゲート'!$V$4:$V$103,0))))),"Manifest不一致",IF(IF(COUNTIF('15_評価計画・品質ゲート'!$V$4:$V$103,B57)&lt;&gt;1,"参照ID不正",IF(INDEX('15_評価計画・品質ゲート'!$W$4:$W$103,MATCH(B57,'15_評価計画・品質ゲート'!$V$4:$V$103,0))="","",INDEX('15_評価計画・品質ゲート'!$W$4:$W$103,MATCH(B57,'15_評価計画・品質ゲート'!$V$4:$V$103,0))))&lt;&gt;"計画記録あり","計画未承認・不足","計画・構成一致"))))</f>
        <v/>
      </c>
    </row>
    <row r="58" spans="1:25" ht="66" customHeight="1" x14ac:dyDescent="0.2">
      <c r="A58" s="6"/>
      <c r="B58" s="6"/>
      <c r="C58" s="6"/>
      <c r="D58" s="19"/>
      <c r="E58" s="6"/>
      <c r="F58" s="6"/>
      <c r="G58" s="6"/>
      <c r="H58" s="6"/>
      <c r="I58" s="6"/>
      <c r="J58" s="28" t="str">
        <f>IF(A58="","",IF(COUNTIF('15_評価計画・品質ゲート'!$V$4:$V$103,B58)&lt;&gt;1,"参照ID不正",IF(INDEX('15_評価計画・品質ゲート'!$S$4:$S$103,MATCH(B58,'15_評価計画・品質ゲート'!$V$4:$V$103,0))="","",INDEX('15_評価計画・品質ゲート'!$S$4:$S$103,MATCH(B58,'15_評価計画・品質ゲート'!$V$4:$V$103,0)))))</f>
        <v/>
      </c>
      <c r="K58" s="6"/>
      <c r="L58" s="6"/>
      <c r="M58" s="6"/>
      <c r="N58" s="6"/>
      <c r="O58" s="6"/>
      <c r="P58" s="6"/>
      <c r="Q58" s="6"/>
      <c r="R58" s="19"/>
      <c r="S58" s="28" t="str">
        <f>IF(A58="","",IF(COUNTIF($A$4:$A$103,A58)&lt;&gt;1,"Run ID重複",IF(Y58&lt;&gt;"計画・構成一致",Y58,IF(X58&lt;&gt;"","無効化Run",IF(OR(OR(C58="",E58="",F58="",G58="",H58="",I58="",K58="",M58="",N58="",P58="",T58=""),LEN(L58&amp;"")=0,COUNT(D58,R58)&lt;2),"記録不足",IF(OR(AND(D58&lt;&gt;"",OR(NOT(ISNUMBER(D58)),IFERROR(D58&lt;1,TRUE),IFERROR(INT(D58)&gt;INT(AsOfDate),TRUE))),AND(R58&lt;&gt;"",OR(NOT(ISNUMBER(R58)),IFERROR(R58&lt;1,TRUE),IFERROR(INT(R58)&gt;INT(AsOfDate),TRUE)))),"実績日時不正",IF(R58&lt;D58,"評価承認日時逆転",IF(OR(V58="",W58="",V58=W58),"独立確認Person不足",IF(AND(IF(COUNTIF('15_評価計画・品質ゲート'!$V$4:$V$103,B58)&lt;&gt;1,"参照ID不正",IF(INDEX('15_評価計画・品質ゲート'!$A$4:$A$103,MATCH(B58,'15_評価計画・品質ゲート'!$V$4:$V$103,0))="","",INDEX('15_評価計画・品質ゲート'!$A$4:$A$103,MATCH(B58,'15_評価計画・品質ゲート'!$V$4:$V$103,0))))="E05",U58=""),"Trial状態証拠不足",IF(OR(O58="",O58="未判定",O58="無効/再実行"),"評価判定未確定","記録あり・内容審査別"))))))))))</f>
        <v/>
      </c>
      <c r="T58" s="29"/>
      <c r="U58" s="29"/>
      <c r="V58" s="29"/>
      <c r="W58" s="29"/>
      <c r="X58" s="29"/>
      <c r="Y58" s="28" t="str">
        <f>IF(A58="","",IF(COUNTIF(EvalPlanKeys,B58)&lt;&gt;1,"PlanKey不正",IF(OR(T58="",T58&lt;&gt;IF(COUNTIF('15_評価計画・品質ゲート'!$V$4:$V$103,B58)&lt;&gt;1,"参照ID不正",IF(INDEX('15_評価計画・品質ゲート'!$U$4:$U$103,MATCH(B58,'15_評価計画・品質ゲート'!$V$4:$V$103,0))="","",INDEX('15_評価計画・品質ゲート'!$U$4:$U$103,MATCH(B58,'15_評価計画・品質ゲート'!$V$4:$V$103,0))))),"Manifest不一致",IF(IF(COUNTIF('15_評価計画・品質ゲート'!$V$4:$V$103,B58)&lt;&gt;1,"参照ID不正",IF(INDEX('15_評価計画・品質ゲート'!$W$4:$W$103,MATCH(B58,'15_評価計画・品質ゲート'!$V$4:$V$103,0))="","",INDEX('15_評価計画・品質ゲート'!$W$4:$W$103,MATCH(B58,'15_評価計画・品質ゲート'!$V$4:$V$103,0))))&lt;&gt;"計画記録あり","計画未承認・不足","計画・構成一致"))))</f>
        <v/>
      </c>
    </row>
    <row r="59" spans="1:25" ht="66" customHeight="1" x14ac:dyDescent="0.2">
      <c r="A59" s="6"/>
      <c r="B59" s="6"/>
      <c r="C59" s="6"/>
      <c r="D59" s="19"/>
      <c r="E59" s="6"/>
      <c r="F59" s="6"/>
      <c r="G59" s="6"/>
      <c r="H59" s="6"/>
      <c r="I59" s="6"/>
      <c r="J59" s="28" t="str">
        <f>IF(A59="","",IF(COUNTIF('15_評価計画・品質ゲート'!$V$4:$V$103,B59)&lt;&gt;1,"参照ID不正",IF(INDEX('15_評価計画・品質ゲート'!$S$4:$S$103,MATCH(B59,'15_評価計画・品質ゲート'!$V$4:$V$103,0))="","",INDEX('15_評価計画・品質ゲート'!$S$4:$S$103,MATCH(B59,'15_評価計画・品質ゲート'!$V$4:$V$103,0)))))</f>
        <v/>
      </c>
      <c r="K59" s="6"/>
      <c r="L59" s="6"/>
      <c r="M59" s="6"/>
      <c r="N59" s="6"/>
      <c r="O59" s="6"/>
      <c r="P59" s="6"/>
      <c r="Q59" s="6"/>
      <c r="R59" s="19"/>
      <c r="S59" s="28" t="str">
        <f>IF(A59="","",IF(COUNTIF($A$4:$A$103,A59)&lt;&gt;1,"Run ID重複",IF(Y59&lt;&gt;"計画・構成一致",Y59,IF(X59&lt;&gt;"","無効化Run",IF(OR(OR(C59="",E59="",F59="",G59="",H59="",I59="",K59="",M59="",N59="",P59="",T59=""),LEN(L59&amp;"")=0,COUNT(D59,R59)&lt;2),"記録不足",IF(OR(AND(D59&lt;&gt;"",OR(NOT(ISNUMBER(D59)),IFERROR(D59&lt;1,TRUE),IFERROR(INT(D59)&gt;INT(AsOfDate),TRUE))),AND(R59&lt;&gt;"",OR(NOT(ISNUMBER(R59)),IFERROR(R59&lt;1,TRUE),IFERROR(INT(R59)&gt;INT(AsOfDate),TRUE)))),"実績日時不正",IF(R59&lt;D59,"評価承認日時逆転",IF(OR(V59="",W59="",V59=W59),"独立確認Person不足",IF(AND(IF(COUNTIF('15_評価計画・品質ゲート'!$V$4:$V$103,B59)&lt;&gt;1,"参照ID不正",IF(INDEX('15_評価計画・品質ゲート'!$A$4:$A$103,MATCH(B59,'15_評価計画・品質ゲート'!$V$4:$V$103,0))="","",INDEX('15_評価計画・品質ゲート'!$A$4:$A$103,MATCH(B59,'15_評価計画・品質ゲート'!$V$4:$V$103,0))))="E05",U59=""),"Trial状態証拠不足",IF(OR(O59="",O59="未判定",O59="無効/再実行"),"評価判定未確定","記録あり・内容審査別"))))))))))</f>
        <v/>
      </c>
      <c r="T59" s="29"/>
      <c r="U59" s="29"/>
      <c r="V59" s="29"/>
      <c r="W59" s="29"/>
      <c r="X59" s="29"/>
      <c r="Y59" s="28" t="str">
        <f>IF(A59="","",IF(COUNTIF(EvalPlanKeys,B59)&lt;&gt;1,"PlanKey不正",IF(OR(T59="",T59&lt;&gt;IF(COUNTIF('15_評価計画・品質ゲート'!$V$4:$V$103,B59)&lt;&gt;1,"参照ID不正",IF(INDEX('15_評価計画・品質ゲート'!$U$4:$U$103,MATCH(B59,'15_評価計画・品質ゲート'!$V$4:$V$103,0))="","",INDEX('15_評価計画・品質ゲート'!$U$4:$U$103,MATCH(B59,'15_評価計画・品質ゲート'!$V$4:$V$103,0))))),"Manifest不一致",IF(IF(COUNTIF('15_評価計画・品質ゲート'!$V$4:$V$103,B59)&lt;&gt;1,"参照ID不正",IF(INDEX('15_評価計画・品質ゲート'!$W$4:$W$103,MATCH(B59,'15_評価計画・品質ゲート'!$V$4:$V$103,0))="","",INDEX('15_評価計画・品質ゲート'!$W$4:$W$103,MATCH(B59,'15_評価計画・品質ゲート'!$V$4:$V$103,0))))&lt;&gt;"計画記録あり","計画未承認・不足","計画・構成一致"))))</f>
        <v/>
      </c>
    </row>
    <row r="60" spans="1:25" ht="66" customHeight="1" x14ac:dyDescent="0.2">
      <c r="A60" s="6"/>
      <c r="B60" s="6"/>
      <c r="C60" s="6"/>
      <c r="D60" s="19"/>
      <c r="E60" s="6"/>
      <c r="F60" s="6"/>
      <c r="G60" s="6"/>
      <c r="H60" s="6"/>
      <c r="I60" s="6"/>
      <c r="J60" s="28" t="str">
        <f>IF(A60="","",IF(COUNTIF('15_評価計画・品質ゲート'!$V$4:$V$103,B60)&lt;&gt;1,"参照ID不正",IF(INDEX('15_評価計画・品質ゲート'!$S$4:$S$103,MATCH(B60,'15_評価計画・品質ゲート'!$V$4:$V$103,0))="","",INDEX('15_評価計画・品質ゲート'!$S$4:$S$103,MATCH(B60,'15_評価計画・品質ゲート'!$V$4:$V$103,0)))))</f>
        <v/>
      </c>
      <c r="K60" s="6"/>
      <c r="L60" s="6"/>
      <c r="M60" s="6"/>
      <c r="N60" s="6"/>
      <c r="O60" s="6"/>
      <c r="P60" s="6"/>
      <c r="Q60" s="6"/>
      <c r="R60" s="19"/>
      <c r="S60" s="28" t="str">
        <f>IF(A60="","",IF(COUNTIF($A$4:$A$103,A60)&lt;&gt;1,"Run ID重複",IF(Y60&lt;&gt;"計画・構成一致",Y60,IF(X60&lt;&gt;"","無効化Run",IF(OR(OR(C60="",E60="",F60="",G60="",H60="",I60="",K60="",M60="",N60="",P60="",T60=""),LEN(L60&amp;"")=0,COUNT(D60,R60)&lt;2),"記録不足",IF(OR(AND(D60&lt;&gt;"",OR(NOT(ISNUMBER(D60)),IFERROR(D60&lt;1,TRUE),IFERROR(INT(D60)&gt;INT(AsOfDate),TRUE))),AND(R60&lt;&gt;"",OR(NOT(ISNUMBER(R60)),IFERROR(R60&lt;1,TRUE),IFERROR(INT(R60)&gt;INT(AsOfDate),TRUE)))),"実績日時不正",IF(R60&lt;D60,"評価承認日時逆転",IF(OR(V60="",W60="",V60=W60),"独立確認Person不足",IF(AND(IF(COUNTIF('15_評価計画・品質ゲート'!$V$4:$V$103,B60)&lt;&gt;1,"参照ID不正",IF(INDEX('15_評価計画・品質ゲート'!$A$4:$A$103,MATCH(B60,'15_評価計画・品質ゲート'!$V$4:$V$103,0))="","",INDEX('15_評価計画・品質ゲート'!$A$4:$A$103,MATCH(B60,'15_評価計画・品質ゲート'!$V$4:$V$103,0))))="E05",U60=""),"Trial状態証拠不足",IF(OR(O60="",O60="未判定",O60="無効/再実行"),"評価判定未確定","記録あり・内容審査別"))))))))))</f>
        <v/>
      </c>
      <c r="T60" s="29"/>
      <c r="U60" s="29"/>
      <c r="V60" s="29"/>
      <c r="W60" s="29"/>
      <c r="X60" s="29"/>
      <c r="Y60" s="28" t="str">
        <f>IF(A60="","",IF(COUNTIF(EvalPlanKeys,B60)&lt;&gt;1,"PlanKey不正",IF(OR(T60="",T60&lt;&gt;IF(COUNTIF('15_評価計画・品質ゲート'!$V$4:$V$103,B60)&lt;&gt;1,"参照ID不正",IF(INDEX('15_評価計画・品質ゲート'!$U$4:$U$103,MATCH(B60,'15_評価計画・品質ゲート'!$V$4:$V$103,0))="","",INDEX('15_評価計画・品質ゲート'!$U$4:$U$103,MATCH(B60,'15_評価計画・品質ゲート'!$V$4:$V$103,0))))),"Manifest不一致",IF(IF(COUNTIF('15_評価計画・品質ゲート'!$V$4:$V$103,B60)&lt;&gt;1,"参照ID不正",IF(INDEX('15_評価計画・品質ゲート'!$W$4:$W$103,MATCH(B60,'15_評価計画・品質ゲート'!$V$4:$V$103,0))="","",INDEX('15_評価計画・品質ゲート'!$W$4:$W$103,MATCH(B60,'15_評価計画・品質ゲート'!$V$4:$V$103,0))))&lt;&gt;"計画記録あり","計画未承認・不足","計画・構成一致"))))</f>
        <v/>
      </c>
    </row>
    <row r="61" spans="1:25" ht="66" customHeight="1" x14ac:dyDescent="0.2">
      <c r="A61" s="6"/>
      <c r="B61" s="6"/>
      <c r="C61" s="6"/>
      <c r="D61" s="19"/>
      <c r="E61" s="6"/>
      <c r="F61" s="6"/>
      <c r="G61" s="6"/>
      <c r="H61" s="6"/>
      <c r="I61" s="6"/>
      <c r="J61" s="28" t="str">
        <f>IF(A61="","",IF(COUNTIF('15_評価計画・品質ゲート'!$V$4:$V$103,B61)&lt;&gt;1,"参照ID不正",IF(INDEX('15_評価計画・品質ゲート'!$S$4:$S$103,MATCH(B61,'15_評価計画・品質ゲート'!$V$4:$V$103,0))="","",INDEX('15_評価計画・品質ゲート'!$S$4:$S$103,MATCH(B61,'15_評価計画・品質ゲート'!$V$4:$V$103,0)))))</f>
        <v/>
      </c>
      <c r="K61" s="6"/>
      <c r="L61" s="6"/>
      <c r="M61" s="6"/>
      <c r="N61" s="6"/>
      <c r="O61" s="6"/>
      <c r="P61" s="6"/>
      <c r="Q61" s="6"/>
      <c r="R61" s="19"/>
      <c r="S61" s="28" t="str">
        <f>IF(A61="","",IF(COUNTIF($A$4:$A$103,A61)&lt;&gt;1,"Run ID重複",IF(Y61&lt;&gt;"計画・構成一致",Y61,IF(X61&lt;&gt;"","無効化Run",IF(OR(OR(C61="",E61="",F61="",G61="",H61="",I61="",K61="",M61="",N61="",P61="",T61=""),LEN(L61&amp;"")=0,COUNT(D61,R61)&lt;2),"記録不足",IF(OR(AND(D61&lt;&gt;"",OR(NOT(ISNUMBER(D61)),IFERROR(D61&lt;1,TRUE),IFERROR(INT(D61)&gt;INT(AsOfDate),TRUE))),AND(R61&lt;&gt;"",OR(NOT(ISNUMBER(R61)),IFERROR(R61&lt;1,TRUE),IFERROR(INT(R61)&gt;INT(AsOfDate),TRUE)))),"実績日時不正",IF(R61&lt;D61,"評価承認日時逆転",IF(OR(V61="",W61="",V61=W61),"独立確認Person不足",IF(AND(IF(COUNTIF('15_評価計画・品質ゲート'!$V$4:$V$103,B61)&lt;&gt;1,"参照ID不正",IF(INDEX('15_評価計画・品質ゲート'!$A$4:$A$103,MATCH(B61,'15_評価計画・品質ゲート'!$V$4:$V$103,0))="","",INDEX('15_評価計画・品質ゲート'!$A$4:$A$103,MATCH(B61,'15_評価計画・品質ゲート'!$V$4:$V$103,0))))="E05",U61=""),"Trial状態証拠不足",IF(OR(O61="",O61="未判定",O61="無効/再実行"),"評価判定未確定","記録あり・内容審査別"))))))))))</f>
        <v/>
      </c>
      <c r="T61" s="29"/>
      <c r="U61" s="29"/>
      <c r="V61" s="29"/>
      <c r="W61" s="29"/>
      <c r="X61" s="29"/>
      <c r="Y61" s="28" t="str">
        <f>IF(A61="","",IF(COUNTIF(EvalPlanKeys,B61)&lt;&gt;1,"PlanKey不正",IF(OR(T61="",T61&lt;&gt;IF(COUNTIF('15_評価計画・品質ゲート'!$V$4:$V$103,B61)&lt;&gt;1,"参照ID不正",IF(INDEX('15_評価計画・品質ゲート'!$U$4:$U$103,MATCH(B61,'15_評価計画・品質ゲート'!$V$4:$V$103,0))="","",INDEX('15_評価計画・品質ゲート'!$U$4:$U$103,MATCH(B61,'15_評価計画・品質ゲート'!$V$4:$V$103,0))))),"Manifest不一致",IF(IF(COUNTIF('15_評価計画・品質ゲート'!$V$4:$V$103,B61)&lt;&gt;1,"参照ID不正",IF(INDEX('15_評価計画・品質ゲート'!$W$4:$W$103,MATCH(B61,'15_評価計画・品質ゲート'!$V$4:$V$103,0))="","",INDEX('15_評価計画・品質ゲート'!$W$4:$W$103,MATCH(B61,'15_評価計画・品質ゲート'!$V$4:$V$103,0))))&lt;&gt;"計画記録あり","計画未承認・不足","計画・構成一致"))))</f>
        <v/>
      </c>
    </row>
    <row r="62" spans="1:25" ht="66" customHeight="1" x14ac:dyDescent="0.2">
      <c r="A62" s="6"/>
      <c r="B62" s="6"/>
      <c r="C62" s="6"/>
      <c r="D62" s="19"/>
      <c r="E62" s="6"/>
      <c r="F62" s="6"/>
      <c r="G62" s="6"/>
      <c r="H62" s="6"/>
      <c r="I62" s="6"/>
      <c r="J62" s="28" t="str">
        <f>IF(A62="","",IF(COUNTIF('15_評価計画・品質ゲート'!$V$4:$V$103,B62)&lt;&gt;1,"参照ID不正",IF(INDEX('15_評価計画・品質ゲート'!$S$4:$S$103,MATCH(B62,'15_評価計画・品質ゲート'!$V$4:$V$103,0))="","",INDEX('15_評価計画・品質ゲート'!$S$4:$S$103,MATCH(B62,'15_評価計画・品質ゲート'!$V$4:$V$103,0)))))</f>
        <v/>
      </c>
      <c r="K62" s="6"/>
      <c r="L62" s="6"/>
      <c r="M62" s="6"/>
      <c r="N62" s="6"/>
      <c r="O62" s="6"/>
      <c r="P62" s="6"/>
      <c r="Q62" s="6"/>
      <c r="R62" s="19"/>
      <c r="S62" s="28" t="str">
        <f>IF(A62="","",IF(COUNTIF($A$4:$A$103,A62)&lt;&gt;1,"Run ID重複",IF(Y62&lt;&gt;"計画・構成一致",Y62,IF(X62&lt;&gt;"","無効化Run",IF(OR(OR(C62="",E62="",F62="",G62="",H62="",I62="",K62="",M62="",N62="",P62="",T62=""),LEN(L62&amp;"")=0,COUNT(D62,R62)&lt;2),"記録不足",IF(OR(AND(D62&lt;&gt;"",OR(NOT(ISNUMBER(D62)),IFERROR(D62&lt;1,TRUE),IFERROR(INT(D62)&gt;INT(AsOfDate),TRUE))),AND(R62&lt;&gt;"",OR(NOT(ISNUMBER(R62)),IFERROR(R62&lt;1,TRUE),IFERROR(INT(R62)&gt;INT(AsOfDate),TRUE)))),"実績日時不正",IF(R62&lt;D62,"評価承認日時逆転",IF(OR(V62="",W62="",V62=W62),"独立確認Person不足",IF(AND(IF(COUNTIF('15_評価計画・品質ゲート'!$V$4:$V$103,B62)&lt;&gt;1,"参照ID不正",IF(INDEX('15_評価計画・品質ゲート'!$A$4:$A$103,MATCH(B62,'15_評価計画・品質ゲート'!$V$4:$V$103,0))="","",INDEX('15_評価計画・品質ゲート'!$A$4:$A$103,MATCH(B62,'15_評価計画・品質ゲート'!$V$4:$V$103,0))))="E05",U62=""),"Trial状態証拠不足",IF(OR(O62="",O62="未判定",O62="無効/再実行"),"評価判定未確定","記録あり・内容審査別"))))))))))</f>
        <v/>
      </c>
      <c r="T62" s="29"/>
      <c r="U62" s="29"/>
      <c r="V62" s="29"/>
      <c r="W62" s="29"/>
      <c r="X62" s="29"/>
      <c r="Y62" s="28" t="str">
        <f>IF(A62="","",IF(COUNTIF(EvalPlanKeys,B62)&lt;&gt;1,"PlanKey不正",IF(OR(T62="",T62&lt;&gt;IF(COUNTIF('15_評価計画・品質ゲート'!$V$4:$V$103,B62)&lt;&gt;1,"参照ID不正",IF(INDEX('15_評価計画・品質ゲート'!$U$4:$U$103,MATCH(B62,'15_評価計画・品質ゲート'!$V$4:$V$103,0))="","",INDEX('15_評価計画・品質ゲート'!$U$4:$U$103,MATCH(B62,'15_評価計画・品質ゲート'!$V$4:$V$103,0))))),"Manifest不一致",IF(IF(COUNTIF('15_評価計画・品質ゲート'!$V$4:$V$103,B62)&lt;&gt;1,"参照ID不正",IF(INDEX('15_評価計画・品質ゲート'!$W$4:$W$103,MATCH(B62,'15_評価計画・品質ゲート'!$V$4:$V$103,0))="","",INDEX('15_評価計画・品質ゲート'!$W$4:$W$103,MATCH(B62,'15_評価計画・品質ゲート'!$V$4:$V$103,0))))&lt;&gt;"計画記録あり","計画未承認・不足","計画・構成一致"))))</f>
        <v/>
      </c>
    </row>
    <row r="63" spans="1:25" ht="66" customHeight="1" x14ac:dyDescent="0.2">
      <c r="A63" s="6"/>
      <c r="B63" s="6"/>
      <c r="C63" s="6"/>
      <c r="D63" s="19"/>
      <c r="E63" s="6"/>
      <c r="F63" s="6"/>
      <c r="G63" s="6"/>
      <c r="H63" s="6"/>
      <c r="I63" s="6"/>
      <c r="J63" s="28" t="str">
        <f>IF(A63="","",IF(COUNTIF('15_評価計画・品質ゲート'!$V$4:$V$103,B63)&lt;&gt;1,"参照ID不正",IF(INDEX('15_評価計画・品質ゲート'!$S$4:$S$103,MATCH(B63,'15_評価計画・品質ゲート'!$V$4:$V$103,0))="","",INDEX('15_評価計画・品質ゲート'!$S$4:$S$103,MATCH(B63,'15_評価計画・品質ゲート'!$V$4:$V$103,0)))))</f>
        <v/>
      </c>
      <c r="K63" s="6"/>
      <c r="L63" s="6"/>
      <c r="M63" s="6"/>
      <c r="N63" s="6"/>
      <c r="O63" s="6"/>
      <c r="P63" s="6"/>
      <c r="Q63" s="6"/>
      <c r="R63" s="19"/>
      <c r="S63" s="28" t="str">
        <f>IF(A63="","",IF(COUNTIF($A$4:$A$103,A63)&lt;&gt;1,"Run ID重複",IF(Y63&lt;&gt;"計画・構成一致",Y63,IF(X63&lt;&gt;"","無効化Run",IF(OR(OR(C63="",E63="",F63="",G63="",H63="",I63="",K63="",M63="",N63="",P63="",T63=""),LEN(L63&amp;"")=0,COUNT(D63,R63)&lt;2),"記録不足",IF(OR(AND(D63&lt;&gt;"",OR(NOT(ISNUMBER(D63)),IFERROR(D63&lt;1,TRUE),IFERROR(INT(D63)&gt;INT(AsOfDate),TRUE))),AND(R63&lt;&gt;"",OR(NOT(ISNUMBER(R63)),IFERROR(R63&lt;1,TRUE),IFERROR(INT(R63)&gt;INT(AsOfDate),TRUE)))),"実績日時不正",IF(R63&lt;D63,"評価承認日時逆転",IF(OR(V63="",W63="",V63=W63),"独立確認Person不足",IF(AND(IF(COUNTIF('15_評価計画・品質ゲート'!$V$4:$V$103,B63)&lt;&gt;1,"参照ID不正",IF(INDEX('15_評価計画・品質ゲート'!$A$4:$A$103,MATCH(B63,'15_評価計画・品質ゲート'!$V$4:$V$103,0))="","",INDEX('15_評価計画・品質ゲート'!$A$4:$A$103,MATCH(B63,'15_評価計画・品質ゲート'!$V$4:$V$103,0))))="E05",U63=""),"Trial状態証拠不足",IF(OR(O63="",O63="未判定",O63="無効/再実行"),"評価判定未確定","記録あり・内容審査別"))))))))))</f>
        <v/>
      </c>
      <c r="T63" s="29"/>
      <c r="U63" s="29"/>
      <c r="V63" s="29"/>
      <c r="W63" s="29"/>
      <c r="X63" s="29"/>
      <c r="Y63" s="28" t="str">
        <f>IF(A63="","",IF(COUNTIF(EvalPlanKeys,B63)&lt;&gt;1,"PlanKey不正",IF(OR(T63="",T63&lt;&gt;IF(COUNTIF('15_評価計画・品質ゲート'!$V$4:$V$103,B63)&lt;&gt;1,"参照ID不正",IF(INDEX('15_評価計画・品質ゲート'!$U$4:$U$103,MATCH(B63,'15_評価計画・品質ゲート'!$V$4:$V$103,0))="","",INDEX('15_評価計画・品質ゲート'!$U$4:$U$103,MATCH(B63,'15_評価計画・品質ゲート'!$V$4:$V$103,0))))),"Manifest不一致",IF(IF(COUNTIF('15_評価計画・品質ゲート'!$V$4:$V$103,B63)&lt;&gt;1,"参照ID不正",IF(INDEX('15_評価計画・品質ゲート'!$W$4:$W$103,MATCH(B63,'15_評価計画・品質ゲート'!$V$4:$V$103,0))="","",INDEX('15_評価計画・品質ゲート'!$W$4:$W$103,MATCH(B63,'15_評価計画・品質ゲート'!$V$4:$V$103,0))))&lt;&gt;"計画記録あり","計画未承認・不足","計画・構成一致"))))</f>
        <v/>
      </c>
    </row>
    <row r="64" spans="1:25" ht="66" customHeight="1" x14ac:dyDescent="0.2">
      <c r="A64" s="29"/>
      <c r="B64" s="29"/>
      <c r="C64" s="29"/>
      <c r="D64" s="34"/>
      <c r="E64" s="29"/>
      <c r="F64" s="29"/>
      <c r="G64" s="29"/>
      <c r="H64" s="29"/>
      <c r="I64" s="29"/>
      <c r="J64" s="28" t="str">
        <f>IF(A64="","",IF(COUNTIF('15_評価計画・品質ゲート'!$V$4:$V$103,B64)&lt;&gt;1,"参照ID不正",IF(INDEX('15_評価計画・品質ゲート'!$S$4:$S$103,MATCH(B64,'15_評価計画・品質ゲート'!$V$4:$V$103,0))="","",INDEX('15_評価計画・品質ゲート'!$S$4:$S$103,MATCH(B64,'15_評価計画・品質ゲート'!$V$4:$V$103,0)))))</f>
        <v/>
      </c>
      <c r="K64" s="29"/>
      <c r="L64" s="29"/>
      <c r="M64" s="29"/>
      <c r="N64" s="29"/>
      <c r="O64" s="29"/>
      <c r="P64" s="29"/>
      <c r="Q64" s="29"/>
      <c r="R64" s="34"/>
      <c r="S64" s="28" t="str">
        <f>IF(A64="","",IF(COUNTIF($A$4:$A$103,A64)&lt;&gt;1,"Run ID重複",IF(Y64&lt;&gt;"計画・構成一致",Y64,IF(X64&lt;&gt;"","無効化Run",IF(OR(OR(C64="",E64="",F64="",G64="",H64="",I64="",K64="",M64="",N64="",P64="",T64=""),LEN(L64&amp;"")=0,COUNT(D64,R64)&lt;2),"記録不足",IF(OR(AND(D64&lt;&gt;"",OR(NOT(ISNUMBER(D64)),IFERROR(D64&lt;1,TRUE),IFERROR(INT(D64)&gt;INT(AsOfDate),TRUE))),AND(R64&lt;&gt;"",OR(NOT(ISNUMBER(R64)),IFERROR(R64&lt;1,TRUE),IFERROR(INT(R64)&gt;INT(AsOfDate),TRUE)))),"実績日時不正",IF(R64&lt;D64,"評価承認日時逆転",IF(OR(V64="",W64="",V64=W64),"独立確認Person不足",IF(AND(IF(COUNTIF('15_評価計画・品質ゲート'!$V$4:$V$103,B64)&lt;&gt;1,"参照ID不正",IF(INDEX('15_評価計画・品質ゲート'!$A$4:$A$103,MATCH(B64,'15_評価計画・品質ゲート'!$V$4:$V$103,0))="","",INDEX('15_評価計画・品質ゲート'!$A$4:$A$103,MATCH(B64,'15_評価計画・品質ゲート'!$V$4:$V$103,0))))="E05",U64=""),"Trial状態証拠不足",IF(OR(O64="",O64="未判定",O64="無効/再実行"),"評価判定未確定","記録あり・内容審査別"))))))))))</f>
        <v/>
      </c>
      <c r="T64" s="29"/>
      <c r="U64" s="29"/>
      <c r="V64" s="29"/>
      <c r="W64" s="29"/>
      <c r="X64" s="29"/>
      <c r="Y64" s="28" t="str">
        <f>IF(A64="","",IF(COUNTIF(EvalPlanKeys,B64)&lt;&gt;1,"PlanKey不正",IF(OR(T64="",T64&lt;&gt;IF(COUNTIF('15_評価計画・品質ゲート'!$V$4:$V$103,B64)&lt;&gt;1,"参照ID不正",IF(INDEX('15_評価計画・品質ゲート'!$U$4:$U$103,MATCH(B64,'15_評価計画・品質ゲート'!$V$4:$V$103,0))="","",INDEX('15_評価計画・品質ゲート'!$U$4:$U$103,MATCH(B64,'15_評価計画・品質ゲート'!$V$4:$V$103,0))))),"Manifest不一致",IF(IF(COUNTIF('15_評価計画・品質ゲート'!$V$4:$V$103,B64)&lt;&gt;1,"参照ID不正",IF(INDEX('15_評価計画・品質ゲート'!$W$4:$W$103,MATCH(B64,'15_評価計画・品質ゲート'!$V$4:$V$103,0))="","",INDEX('15_評価計画・品質ゲート'!$W$4:$W$103,MATCH(B64,'15_評価計画・品質ゲート'!$V$4:$V$103,0))))&lt;&gt;"計画記録あり","計画未承認・不足","計画・構成一致"))))</f>
        <v/>
      </c>
    </row>
    <row r="65" spans="1:25" ht="66" customHeight="1" x14ac:dyDescent="0.2">
      <c r="A65" s="29"/>
      <c r="B65" s="29"/>
      <c r="C65" s="29"/>
      <c r="D65" s="34"/>
      <c r="E65" s="29"/>
      <c r="F65" s="29"/>
      <c r="G65" s="29"/>
      <c r="H65" s="29"/>
      <c r="I65" s="29"/>
      <c r="J65" s="28" t="str">
        <f>IF(A65="","",IF(COUNTIF('15_評価計画・品質ゲート'!$V$4:$V$103,B65)&lt;&gt;1,"参照ID不正",IF(INDEX('15_評価計画・品質ゲート'!$S$4:$S$103,MATCH(B65,'15_評価計画・品質ゲート'!$V$4:$V$103,0))="","",INDEX('15_評価計画・品質ゲート'!$S$4:$S$103,MATCH(B65,'15_評価計画・品質ゲート'!$V$4:$V$103,0)))))</f>
        <v/>
      </c>
      <c r="K65" s="29"/>
      <c r="L65" s="29"/>
      <c r="M65" s="29"/>
      <c r="N65" s="29"/>
      <c r="O65" s="29"/>
      <c r="P65" s="29"/>
      <c r="Q65" s="29"/>
      <c r="R65" s="34"/>
      <c r="S65" s="28" t="str">
        <f>IF(A65="","",IF(COUNTIF($A$4:$A$103,A65)&lt;&gt;1,"Run ID重複",IF(Y65&lt;&gt;"計画・構成一致",Y65,IF(X65&lt;&gt;"","無効化Run",IF(OR(OR(C65="",E65="",F65="",G65="",H65="",I65="",K65="",M65="",N65="",P65="",T65=""),LEN(L65&amp;"")=0,COUNT(D65,R65)&lt;2),"記録不足",IF(OR(AND(D65&lt;&gt;"",OR(NOT(ISNUMBER(D65)),IFERROR(D65&lt;1,TRUE),IFERROR(INT(D65)&gt;INT(AsOfDate),TRUE))),AND(R65&lt;&gt;"",OR(NOT(ISNUMBER(R65)),IFERROR(R65&lt;1,TRUE),IFERROR(INT(R65)&gt;INT(AsOfDate),TRUE)))),"実績日時不正",IF(R65&lt;D65,"評価承認日時逆転",IF(OR(V65="",W65="",V65=W65),"独立確認Person不足",IF(AND(IF(COUNTIF('15_評価計画・品質ゲート'!$V$4:$V$103,B65)&lt;&gt;1,"参照ID不正",IF(INDEX('15_評価計画・品質ゲート'!$A$4:$A$103,MATCH(B65,'15_評価計画・品質ゲート'!$V$4:$V$103,0))="","",INDEX('15_評価計画・品質ゲート'!$A$4:$A$103,MATCH(B65,'15_評価計画・品質ゲート'!$V$4:$V$103,0))))="E05",U65=""),"Trial状態証拠不足",IF(OR(O65="",O65="未判定",O65="無効/再実行"),"評価判定未確定","記録あり・内容審査別"))))))))))</f>
        <v/>
      </c>
      <c r="T65" s="29"/>
      <c r="U65" s="29"/>
      <c r="V65" s="29"/>
      <c r="W65" s="29"/>
      <c r="X65" s="29"/>
      <c r="Y65" s="28" t="str">
        <f>IF(A65="","",IF(COUNTIF(EvalPlanKeys,B65)&lt;&gt;1,"PlanKey不正",IF(OR(T65="",T65&lt;&gt;IF(COUNTIF('15_評価計画・品質ゲート'!$V$4:$V$103,B65)&lt;&gt;1,"参照ID不正",IF(INDEX('15_評価計画・品質ゲート'!$U$4:$U$103,MATCH(B65,'15_評価計画・品質ゲート'!$V$4:$V$103,0))="","",INDEX('15_評価計画・品質ゲート'!$U$4:$U$103,MATCH(B65,'15_評価計画・品質ゲート'!$V$4:$V$103,0))))),"Manifest不一致",IF(IF(COUNTIF('15_評価計画・品質ゲート'!$V$4:$V$103,B65)&lt;&gt;1,"参照ID不正",IF(INDEX('15_評価計画・品質ゲート'!$W$4:$W$103,MATCH(B65,'15_評価計画・品質ゲート'!$V$4:$V$103,0))="","",INDEX('15_評価計画・品質ゲート'!$W$4:$W$103,MATCH(B65,'15_評価計画・品質ゲート'!$V$4:$V$103,0))))&lt;&gt;"計画記録あり","計画未承認・不足","計画・構成一致"))))</f>
        <v/>
      </c>
    </row>
    <row r="66" spans="1:25" ht="66" customHeight="1" x14ac:dyDescent="0.2">
      <c r="A66" s="29"/>
      <c r="B66" s="29"/>
      <c r="C66" s="29"/>
      <c r="D66" s="34"/>
      <c r="E66" s="29"/>
      <c r="F66" s="29"/>
      <c r="G66" s="29"/>
      <c r="H66" s="29"/>
      <c r="I66" s="29"/>
      <c r="J66" s="28" t="str">
        <f>IF(A66="","",IF(COUNTIF('15_評価計画・品質ゲート'!$V$4:$V$103,B66)&lt;&gt;1,"参照ID不正",IF(INDEX('15_評価計画・品質ゲート'!$S$4:$S$103,MATCH(B66,'15_評価計画・品質ゲート'!$V$4:$V$103,0))="","",INDEX('15_評価計画・品質ゲート'!$S$4:$S$103,MATCH(B66,'15_評価計画・品質ゲート'!$V$4:$V$103,0)))))</f>
        <v/>
      </c>
      <c r="K66" s="29"/>
      <c r="L66" s="29"/>
      <c r="M66" s="29"/>
      <c r="N66" s="29"/>
      <c r="O66" s="29"/>
      <c r="P66" s="29"/>
      <c r="Q66" s="29"/>
      <c r="R66" s="34"/>
      <c r="S66" s="28" t="str">
        <f>IF(A66="","",IF(COUNTIF($A$4:$A$103,A66)&lt;&gt;1,"Run ID重複",IF(Y66&lt;&gt;"計画・構成一致",Y66,IF(X66&lt;&gt;"","無効化Run",IF(OR(OR(C66="",E66="",F66="",G66="",H66="",I66="",K66="",M66="",N66="",P66="",T66=""),LEN(L66&amp;"")=0,COUNT(D66,R66)&lt;2),"記録不足",IF(OR(AND(D66&lt;&gt;"",OR(NOT(ISNUMBER(D66)),IFERROR(D66&lt;1,TRUE),IFERROR(INT(D66)&gt;INT(AsOfDate),TRUE))),AND(R66&lt;&gt;"",OR(NOT(ISNUMBER(R66)),IFERROR(R66&lt;1,TRUE),IFERROR(INT(R66)&gt;INT(AsOfDate),TRUE)))),"実績日時不正",IF(R66&lt;D66,"評価承認日時逆転",IF(OR(V66="",W66="",V66=W66),"独立確認Person不足",IF(AND(IF(COUNTIF('15_評価計画・品質ゲート'!$V$4:$V$103,B66)&lt;&gt;1,"参照ID不正",IF(INDEX('15_評価計画・品質ゲート'!$A$4:$A$103,MATCH(B66,'15_評価計画・品質ゲート'!$V$4:$V$103,0))="","",INDEX('15_評価計画・品質ゲート'!$A$4:$A$103,MATCH(B66,'15_評価計画・品質ゲート'!$V$4:$V$103,0))))="E05",U66=""),"Trial状態証拠不足",IF(OR(O66="",O66="未判定",O66="無効/再実行"),"評価判定未確定","記録あり・内容審査別"))))))))))</f>
        <v/>
      </c>
      <c r="T66" s="29"/>
      <c r="U66" s="29"/>
      <c r="V66" s="29"/>
      <c r="W66" s="29"/>
      <c r="X66" s="29"/>
      <c r="Y66" s="28" t="str">
        <f>IF(A66="","",IF(COUNTIF(EvalPlanKeys,B66)&lt;&gt;1,"PlanKey不正",IF(OR(T66="",T66&lt;&gt;IF(COUNTIF('15_評価計画・品質ゲート'!$V$4:$V$103,B66)&lt;&gt;1,"参照ID不正",IF(INDEX('15_評価計画・品質ゲート'!$U$4:$U$103,MATCH(B66,'15_評価計画・品質ゲート'!$V$4:$V$103,0))="","",INDEX('15_評価計画・品質ゲート'!$U$4:$U$103,MATCH(B66,'15_評価計画・品質ゲート'!$V$4:$V$103,0))))),"Manifest不一致",IF(IF(COUNTIF('15_評価計画・品質ゲート'!$V$4:$V$103,B66)&lt;&gt;1,"参照ID不正",IF(INDEX('15_評価計画・品質ゲート'!$W$4:$W$103,MATCH(B66,'15_評価計画・品質ゲート'!$V$4:$V$103,0))="","",INDEX('15_評価計画・品質ゲート'!$W$4:$W$103,MATCH(B66,'15_評価計画・品質ゲート'!$V$4:$V$103,0))))&lt;&gt;"計画記録あり","計画未承認・不足","計画・構成一致"))))</f>
        <v/>
      </c>
    </row>
    <row r="67" spans="1:25" ht="66" customHeight="1" x14ac:dyDescent="0.2">
      <c r="A67" s="29"/>
      <c r="B67" s="29"/>
      <c r="C67" s="29"/>
      <c r="D67" s="34"/>
      <c r="E67" s="29"/>
      <c r="F67" s="29"/>
      <c r="G67" s="29"/>
      <c r="H67" s="29"/>
      <c r="I67" s="29"/>
      <c r="J67" s="28" t="str">
        <f>IF(A67="","",IF(COUNTIF('15_評価計画・品質ゲート'!$V$4:$V$103,B67)&lt;&gt;1,"参照ID不正",IF(INDEX('15_評価計画・品質ゲート'!$S$4:$S$103,MATCH(B67,'15_評価計画・品質ゲート'!$V$4:$V$103,0))="","",INDEX('15_評価計画・品質ゲート'!$S$4:$S$103,MATCH(B67,'15_評価計画・品質ゲート'!$V$4:$V$103,0)))))</f>
        <v/>
      </c>
      <c r="K67" s="29"/>
      <c r="L67" s="29"/>
      <c r="M67" s="29"/>
      <c r="N67" s="29"/>
      <c r="O67" s="29"/>
      <c r="P67" s="29"/>
      <c r="Q67" s="29"/>
      <c r="R67" s="34"/>
      <c r="S67" s="28" t="str">
        <f>IF(A67="","",IF(COUNTIF($A$4:$A$103,A67)&lt;&gt;1,"Run ID重複",IF(Y67&lt;&gt;"計画・構成一致",Y67,IF(X67&lt;&gt;"","無効化Run",IF(OR(OR(C67="",E67="",F67="",G67="",H67="",I67="",K67="",M67="",N67="",P67="",T67=""),LEN(L67&amp;"")=0,COUNT(D67,R67)&lt;2),"記録不足",IF(OR(AND(D67&lt;&gt;"",OR(NOT(ISNUMBER(D67)),IFERROR(D67&lt;1,TRUE),IFERROR(INT(D67)&gt;INT(AsOfDate),TRUE))),AND(R67&lt;&gt;"",OR(NOT(ISNUMBER(R67)),IFERROR(R67&lt;1,TRUE),IFERROR(INT(R67)&gt;INT(AsOfDate),TRUE)))),"実績日時不正",IF(R67&lt;D67,"評価承認日時逆転",IF(OR(V67="",W67="",V67=W67),"独立確認Person不足",IF(AND(IF(COUNTIF('15_評価計画・品質ゲート'!$V$4:$V$103,B67)&lt;&gt;1,"参照ID不正",IF(INDEX('15_評価計画・品質ゲート'!$A$4:$A$103,MATCH(B67,'15_評価計画・品質ゲート'!$V$4:$V$103,0))="","",INDEX('15_評価計画・品質ゲート'!$A$4:$A$103,MATCH(B67,'15_評価計画・品質ゲート'!$V$4:$V$103,0))))="E05",U67=""),"Trial状態証拠不足",IF(OR(O67="",O67="未判定",O67="無効/再実行"),"評価判定未確定","記録あり・内容審査別"))))))))))</f>
        <v/>
      </c>
      <c r="T67" s="29"/>
      <c r="U67" s="29"/>
      <c r="V67" s="29"/>
      <c r="W67" s="29"/>
      <c r="X67" s="29"/>
      <c r="Y67" s="28" t="str">
        <f>IF(A67="","",IF(COUNTIF(EvalPlanKeys,B67)&lt;&gt;1,"PlanKey不正",IF(OR(T67="",T67&lt;&gt;IF(COUNTIF('15_評価計画・品質ゲート'!$V$4:$V$103,B67)&lt;&gt;1,"参照ID不正",IF(INDEX('15_評価計画・品質ゲート'!$U$4:$U$103,MATCH(B67,'15_評価計画・品質ゲート'!$V$4:$V$103,0))="","",INDEX('15_評価計画・品質ゲート'!$U$4:$U$103,MATCH(B67,'15_評価計画・品質ゲート'!$V$4:$V$103,0))))),"Manifest不一致",IF(IF(COUNTIF('15_評価計画・品質ゲート'!$V$4:$V$103,B67)&lt;&gt;1,"参照ID不正",IF(INDEX('15_評価計画・品質ゲート'!$W$4:$W$103,MATCH(B67,'15_評価計画・品質ゲート'!$V$4:$V$103,0))="","",INDEX('15_評価計画・品質ゲート'!$W$4:$W$103,MATCH(B67,'15_評価計画・品質ゲート'!$V$4:$V$103,0))))&lt;&gt;"計画記録あり","計画未承認・不足","計画・構成一致"))))</f>
        <v/>
      </c>
    </row>
    <row r="68" spans="1:25" ht="66" customHeight="1" x14ac:dyDescent="0.2">
      <c r="A68" s="29"/>
      <c r="B68" s="29"/>
      <c r="C68" s="29"/>
      <c r="D68" s="34"/>
      <c r="E68" s="29"/>
      <c r="F68" s="29"/>
      <c r="G68" s="29"/>
      <c r="H68" s="29"/>
      <c r="I68" s="29"/>
      <c r="J68" s="28" t="str">
        <f>IF(A68="","",IF(COUNTIF('15_評価計画・品質ゲート'!$V$4:$V$103,B68)&lt;&gt;1,"参照ID不正",IF(INDEX('15_評価計画・品質ゲート'!$S$4:$S$103,MATCH(B68,'15_評価計画・品質ゲート'!$V$4:$V$103,0))="","",INDEX('15_評価計画・品質ゲート'!$S$4:$S$103,MATCH(B68,'15_評価計画・品質ゲート'!$V$4:$V$103,0)))))</f>
        <v/>
      </c>
      <c r="K68" s="29"/>
      <c r="L68" s="29"/>
      <c r="M68" s="29"/>
      <c r="N68" s="29"/>
      <c r="O68" s="29"/>
      <c r="P68" s="29"/>
      <c r="Q68" s="29"/>
      <c r="R68" s="34"/>
      <c r="S68" s="28" t="str">
        <f>IF(A68="","",IF(COUNTIF($A$4:$A$103,A68)&lt;&gt;1,"Run ID重複",IF(Y68&lt;&gt;"計画・構成一致",Y68,IF(X68&lt;&gt;"","無効化Run",IF(OR(OR(C68="",E68="",F68="",G68="",H68="",I68="",K68="",M68="",N68="",P68="",T68=""),LEN(L68&amp;"")=0,COUNT(D68,R68)&lt;2),"記録不足",IF(OR(AND(D68&lt;&gt;"",OR(NOT(ISNUMBER(D68)),IFERROR(D68&lt;1,TRUE),IFERROR(INT(D68)&gt;INT(AsOfDate),TRUE))),AND(R68&lt;&gt;"",OR(NOT(ISNUMBER(R68)),IFERROR(R68&lt;1,TRUE),IFERROR(INT(R68)&gt;INT(AsOfDate),TRUE)))),"実績日時不正",IF(R68&lt;D68,"評価承認日時逆転",IF(OR(V68="",W68="",V68=W68),"独立確認Person不足",IF(AND(IF(COUNTIF('15_評価計画・品質ゲート'!$V$4:$V$103,B68)&lt;&gt;1,"参照ID不正",IF(INDEX('15_評価計画・品質ゲート'!$A$4:$A$103,MATCH(B68,'15_評価計画・品質ゲート'!$V$4:$V$103,0))="","",INDEX('15_評価計画・品質ゲート'!$A$4:$A$103,MATCH(B68,'15_評価計画・品質ゲート'!$V$4:$V$103,0))))="E05",U68=""),"Trial状態証拠不足",IF(OR(O68="",O68="未判定",O68="無効/再実行"),"評価判定未確定","記録あり・内容審査別"))))))))))</f>
        <v/>
      </c>
      <c r="T68" s="29"/>
      <c r="U68" s="29"/>
      <c r="V68" s="29"/>
      <c r="W68" s="29"/>
      <c r="X68" s="29"/>
      <c r="Y68" s="28" t="str">
        <f>IF(A68="","",IF(COUNTIF(EvalPlanKeys,B68)&lt;&gt;1,"PlanKey不正",IF(OR(T68="",T68&lt;&gt;IF(COUNTIF('15_評価計画・品質ゲート'!$V$4:$V$103,B68)&lt;&gt;1,"参照ID不正",IF(INDEX('15_評価計画・品質ゲート'!$U$4:$U$103,MATCH(B68,'15_評価計画・品質ゲート'!$V$4:$V$103,0))="","",INDEX('15_評価計画・品質ゲート'!$U$4:$U$103,MATCH(B68,'15_評価計画・品質ゲート'!$V$4:$V$103,0))))),"Manifest不一致",IF(IF(COUNTIF('15_評価計画・品質ゲート'!$V$4:$V$103,B68)&lt;&gt;1,"参照ID不正",IF(INDEX('15_評価計画・品質ゲート'!$W$4:$W$103,MATCH(B68,'15_評価計画・品質ゲート'!$V$4:$V$103,0))="","",INDEX('15_評価計画・品質ゲート'!$W$4:$W$103,MATCH(B68,'15_評価計画・品質ゲート'!$V$4:$V$103,0))))&lt;&gt;"計画記録あり","計画未承認・不足","計画・構成一致"))))</f>
        <v/>
      </c>
    </row>
    <row r="69" spans="1:25" ht="66" customHeight="1" x14ac:dyDescent="0.2">
      <c r="A69" s="29"/>
      <c r="B69" s="29"/>
      <c r="C69" s="29"/>
      <c r="D69" s="34"/>
      <c r="E69" s="29"/>
      <c r="F69" s="29"/>
      <c r="G69" s="29"/>
      <c r="H69" s="29"/>
      <c r="I69" s="29"/>
      <c r="J69" s="28" t="str">
        <f>IF(A69="","",IF(COUNTIF('15_評価計画・品質ゲート'!$V$4:$V$103,B69)&lt;&gt;1,"参照ID不正",IF(INDEX('15_評価計画・品質ゲート'!$S$4:$S$103,MATCH(B69,'15_評価計画・品質ゲート'!$V$4:$V$103,0))="","",INDEX('15_評価計画・品質ゲート'!$S$4:$S$103,MATCH(B69,'15_評価計画・品質ゲート'!$V$4:$V$103,0)))))</f>
        <v/>
      </c>
      <c r="K69" s="29"/>
      <c r="L69" s="29"/>
      <c r="M69" s="29"/>
      <c r="N69" s="29"/>
      <c r="O69" s="29"/>
      <c r="P69" s="29"/>
      <c r="Q69" s="29"/>
      <c r="R69" s="34"/>
      <c r="S69" s="28" t="str">
        <f>IF(A69="","",IF(COUNTIF($A$4:$A$103,A69)&lt;&gt;1,"Run ID重複",IF(Y69&lt;&gt;"計画・構成一致",Y69,IF(X69&lt;&gt;"","無効化Run",IF(OR(OR(C69="",E69="",F69="",G69="",H69="",I69="",K69="",M69="",N69="",P69="",T69=""),LEN(L69&amp;"")=0,COUNT(D69,R69)&lt;2),"記録不足",IF(OR(AND(D69&lt;&gt;"",OR(NOT(ISNUMBER(D69)),IFERROR(D69&lt;1,TRUE),IFERROR(INT(D69)&gt;INT(AsOfDate),TRUE))),AND(R69&lt;&gt;"",OR(NOT(ISNUMBER(R69)),IFERROR(R69&lt;1,TRUE),IFERROR(INT(R69)&gt;INT(AsOfDate),TRUE)))),"実績日時不正",IF(R69&lt;D69,"評価承認日時逆転",IF(OR(V69="",W69="",V69=W69),"独立確認Person不足",IF(AND(IF(COUNTIF('15_評価計画・品質ゲート'!$V$4:$V$103,B69)&lt;&gt;1,"参照ID不正",IF(INDEX('15_評価計画・品質ゲート'!$A$4:$A$103,MATCH(B69,'15_評価計画・品質ゲート'!$V$4:$V$103,0))="","",INDEX('15_評価計画・品質ゲート'!$A$4:$A$103,MATCH(B69,'15_評価計画・品質ゲート'!$V$4:$V$103,0))))="E05",U69=""),"Trial状態証拠不足",IF(OR(O69="",O69="未判定",O69="無効/再実行"),"評価判定未確定","記録あり・内容審査別"))))))))))</f>
        <v/>
      </c>
      <c r="T69" s="29"/>
      <c r="U69" s="29"/>
      <c r="V69" s="29"/>
      <c r="W69" s="29"/>
      <c r="X69" s="29"/>
      <c r="Y69" s="28" t="str">
        <f>IF(A69="","",IF(COUNTIF(EvalPlanKeys,B69)&lt;&gt;1,"PlanKey不正",IF(OR(T69="",T69&lt;&gt;IF(COUNTIF('15_評価計画・品質ゲート'!$V$4:$V$103,B69)&lt;&gt;1,"参照ID不正",IF(INDEX('15_評価計画・品質ゲート'!$U$4:$U$103,MATCH(B69,'15_評価計画・品質ゲート'!$V$4:$V$103,0))="","",INDEX('15_評価計画・品質ゲート'!$U$4:$U$103,MATCH(B69,'15_評価計画・品質ゲート'!$V$4:$V$103,0))))),"Manifest不一致",IF(IF(COUNTIF('15_評価計画・品質ゲート'!$V$4:$V$103,B69)&lt;&gt;1,"参照ID不正",IF(INDEX('15_評価計画・品質ゲート'!$W$4:$W$103,MATCH(B69,'15_評価計画・品質ゲート'!$V$4:$V$103,0))="","",INDEX('15_評価計画・品質ゲート'!$W$4:$W$103,MATCH(B69,'15_評価計画・品質ゲート'!$V$4:$V$103,0))))&lt;&gt;"計画記録あり","計画未承認・不足","計画・構成一致"))))</f>
        <v/>
      </c>
    </row>
    <row r="70" spans="1:25" ht="66" customHeight="1" x14ac:dyDescent="0.2">
      <c r="A70" s="29"/>
      <c r="B70" s="29"/>
      <c r="C70" s="29"/>
      <c r="D70" s="34"/>
      <c r="E70" s="29"/>
      <c r="F70" s="29"/>
      <c r="G70" s="29"/>
      <c r="H70" s="29"/>
      <c r="I70" s="29"/>
      <c r="J70" s="28" t="str">
        <f>IF(A70="","",IF(COUNTIF('15_評価計画・品質ゲート'!$V$4:$V$103,B70)&lt;&gt;1,"参照ID不正",IF(INDEX('15_評価計画・品質ゲート'!$S$4:$S$103,MATCH(B70,'15_評価計画・品質ゲート'!$V$4:$V$103,0))="","",INDEX('15_評価計画・品質ゲート'!$S$4:$S$103,MATCH(B70,'15_評価計画・品質ゲート'!$V$4:$V$103,0)))))</f>
        <v/>
      </c>
      <c r="K70" s="29"/>
      <c r="L70" s="29"/>
      <c r="M70" s="29"/>
      <c r="N70" s="29"/>
      <c r="O70" s="29"/>
      <c r="P70" s="29"/>
      <c r="Q70" s="29"/>
      <c r="R70" s="34"/>
      <c r="S70" s="28" t="str">
        <f>IF(A70="","",IF(COUNTIF($A$4:$A$103,A70)&lt;&gt;1,"Run ID重複",IF(Y70&lt;&gt;"計画・構成一致",Y70,IF(X70&lt;&gt;"","無効化Run",IF(OR(OR(C70="",E70="",F70="",G70="",H70="",I70="",K70="",M70="",N70="",P70="",T70=""),LEN(L70&amp;"")=0,COUNT(D70,R70)&lt;2),"記録不足",IF(OR(AND(D70&lt;&gt;"",OR(NOT(ISNUMBER(D70)),IFERROR(D70&lt;1,TRUE),IFERROR(INT(D70)&gt;INT(AsOfDate),TRUE))),AND(R70&lt;&gt;"",OR(NOT(ISNUMBER(R70)),IFERROR(R70&lt;1,TRUE),IFERROR(INT(R70)&gt;INT(AsOfDate),TRUE)))),"実績日時不正",IF(R70&lt;D70,"評価承認日時逆転",IF(OR(V70="",W70="",V70=W70),"独立確認Person不足",IF(AND(IF(COUNTIF('15_評価計画・品質ゲート'!$V$4:$V$103,B70)&lt;&gt;1,"参照ID不正",IF(INDEX('15_評価計画・品質ゲート'!$A$4:$A$103,MATCH(B70,'15_評価計画・品質ゲート'!$V$4:$V$103,0))="","",INDEX('15_評価計画・品質ゲート'!$A$4:$A$103,MATCH(B70,'15_評価計画・品質ゲート'!$V$4:$V$103,0))))="E05",U70=""),"Trial状態証拠不足",IF(OR(O70="",O70="未判定",O70="無効/再実行"),"評価判定未確定","記録あり・内容審査別"))))))))))</f>
        <v/>
      </c>
      <c r="T70" s="29"/>
      <c r="U70" s="29"/>
      <c r="V70" s="29"/>
      <c r="W70" s="29"/>
      <c r="X70" s="29"/>
      <c r="Y70" s="28" t="str">
        <f>IF(A70="","",IF(COUNTIF(EvalPlanKeys,B70)&lt;&gt;1,"PlanKey不正",IF(OR(T70="",T70&lt;&gt;IF(COUNTIF('15_評価計画・品質ゲート'!$V$4:$V$103,B70)&lt;&gt;1,"参照ID不正",IF(INDEX('15_評価計画・品質ゲート'!$U$4:$U$103,MATCH(B70,'15_評価計画・品質ゲート'!$V$4:$V$103,0))="","",INDEX('15_評価計画・品質ゲート'!$U$4:$U$103,MATCH(B70,'15_評価計画・品質ゲート'!$V$4:$V$103,0))))),"Manifest不一致",IF(IF(COUNTIF('15_評価計画・品質ゲート'!$V$4:$V$103,B70)&lt;&gt;1,"参照ID不正",IF(INDEX('15_評価計画・品質ゲート'!$W$4:$W$103,MATCH(B70,'15_評価計画・品質ゲート'!$V$4:$V$103,0))="","",INDEX('15_評価計画・品質ゲート'!$W$4:$W$103,MATCH(B70,'15_評価計画・品質ゲート'!$V$4:$V$103,0))))&lt;&gt;"計画記録あり","計画未承認・不足","計画・構成一致"))))</f>
        <v/>
      </c>
    </row>
    <row r="71" spans="1:25" ht="66" customHeight="1" x14ac:dyDescent="0.2">
      <c r="A71" s="29"/>
      <c r="B71" s="29"/>
      <c r="C71" s="29"/>
      <c r="D71" s="34"/>
      <c r="E71" s="29"/>
      <c r="F71" s="29"/>
      <c r="G71" s="29"/>
      <c r="H71" s="29"/>
      <c r="I71" s="29"/>
      <c r="J71" s="28" t="str">
        <f>IF(A71="","",IF(COUNTIF('15_評価計画・品質ゲート'!$V$4:$V$103,B71)&lt;&gt;1,"参照ID不正",IF(INDEX('15_評価計画・品質ゲート'!$S$4:$S$103,MATCH(B71,'15_評価計画・品質ゲート'!$V$4:$V$103,0))="","",INDEX('15_評価計画・品質ゲート'!$S$4:$S$103,MATCH(B71,'15_評価計画・品質ゲート'!$V$4:$V$103,0)))))</f>
        <v/>
      </c>
      <c r="K71" s="29"/>
      <c r="L71" s="29"/>
      <c r="M71" s="29"/>
      <c r="N71" s="29"/>
      <c r="O71" s="29"/>
      <c r="P71" s="29"/>
      <c r="Q71" s="29"/>
      <c r="R71" s="34"/>
      <c r="S71" s="28" t="str">
        <f>IF(A71="","",IF(COUNTIF($A$4:$A$103,A71)&lt;&gt;1,"Run ID重複",IF(Y71&lt;&gt;"計画・構成一致",Y71,IF(X71&lt;&gt;"","無効化Run",IF(OR(OR(C71="",E71="",F71="",G71="",H71="",I71="",K71="",M71="",N71="",P71="",T71=""),LEN(L71&amp;"")=0,COUNT(D71,R71)&lt;2),"記録不足",IF(OR(AND(D71&lt;&gt;"",OR(NOT(ISNUMBER(D71)),IFERROR(D71&lt;1,TRUE),IFERROR(INT(D71)&gt;INT(AsOfDate),TRUE))),AND(R71&lt;&gt;"",OR(NOT(ISNUMBER(R71)),IFERROR(R71&lt;1,TRUE),IFERROR(INT(R71)&gt;INT(AsOfDate),TRUE)))),"実績日時不正",IF(R71&lt;D71,"評価承認日時逆転",IF(OR(V71="",W71="",V71=W71),"独立確認Person不足",IF(AND(IF(COUNTIF('15_評価計画・品質ゲート'!$V$4:$V$103,B71)&lt;&gt;1,"参照ID不正",IF(INDEX('15_評価計画・品質ゲート'!$A$4:$A$103,MATCH(B71,'15_評価計画・品質ゲート'!$V$4:$V$103,0))="","",INDEX('15_評価計画・品質ゲート'!$A$4:$A$103,MATCH(B71,'15_評価計画・品質ゲート'!$V$4:$V$103,0))))="E05",U71=""),"Trial状態証拠不足",IF(OR(O71="",O71="未判定",O71="無効/再実行"),"評価判定未確定","記録あり・内容審査別"))))))))))</f>
        <v/>
      </c>
      <c r="T71" s="29"/>
      <c r="U71" s="29"/>
      <c r="V71" s="29"/>
      <c r="W71" s="29"/>
      <c r="X71" s="29"/>
      <c r="Y71" s="28" t="str">
        <f>IF(A71="","",IF(COUNTIF(EvalPlanKeys,B71)&lt;&gt;1,"PlanKey不正",IF(OR(T71="",T71&lt;&gt;IF(COUNTIF('15_評価計画・品質ゲート'!$V$4:$V$103,B71)&lt;&gt;1,"参照ID不正",IF(INDEX('15_評価計画・品質ゲート'!$U$4:$U$103,MATCH(B71,'15_評価計画・品質ゲート'!$V$4:$V$103,0))="","",INDEX('15_評価計画・品質ゲート'!$U$4:$U$103,MATCH(B71,'15_評価計画・品質ゲート'!$V$4:$V$103,0))))),"Manifest不一致",IF(IF(COUNTIF('15_評価計画・品質ゲート'!$V$4:$V$103,B71)&lt;&gt;1,"参照ID不正",IF(INDEX('15_評価計画・品質ゲート'!$W$4:$W$103,MATCH(B71,'15_評価計画・品質ゲート'!$V$4:$V$103,0))="","",INDEX('15_評価計画・品質ゲート'!$W$4:$W$103,MATCH(B71,'15_評価計画・品質ゲート'!$V$4:$V$103,0))))&lt;&gt;"計画記録あり","計画未承認・不足","計画・構成一致"))))</f>
        <v/>
      </c>
    </row>
    <row r="72" spans="1:25" ht="66" customHeight="1" x14ac:dyDescent="0.2">
      <c r="A72" s="29"/>
      <c r="B72" s="29"/>
      <c r="C72" s="29"/>
      <c r="D72" s="34"/>
      <c r="E72" s="29"/>
      <c r="F72" s="29"/>
      <c r="G72" s="29"/>
      <c r="H72" s="29"/>
      <c r="I72" s="29"/>
      <c r="J72" s="28" t="str">
        <f>IF(A72="","",IF(COUNTIF('15_評価計画・品質ゲート'!$V$4:$V$103,B72)&lt;&gt;1,"参照ID不正",IF(INDEX('15_評価計画・品質ゲート'!$S$4:$S$103,MATCH(B72,'15_評価計画・品質ゲート'!$V$4:$V$103,0))="","",INDEX('15_評価計画・品質ゲート'!$S$4:$S$103,MATCH(B72,'15_評価計画・品質ゲート'!$V$4:$V$103,0)))))</f>
        <v/>
      </c>
      <c r="K72" s="29"/>
      <c r="L72" s="29"/>
      <c r="M72" s="29"/>
      <c r="N72" s="29"/>
      <c r="O72" s="29"/>
      <c r="P72" s="29"/>
      <c r="Q72" s="29"/>
      <c r="R72" s="34"/>
      <c r="S72" s="28" t="str">
        <f>IF(A72="","",IF(COUNTIF($A$4:$A$103,A72)&lt;&gt;1,"Run ID重複",IF(Y72&lt;&gt;"計画・構成一致",Y72,IF(X72&lt;&gt;"","無効化Run",IF(OR(OR(C72="",E72="",F72="",G72="",H72="",I72="",K72="",M72="",N72="",P72="",T72=""),LEN(L72&amp;"")=0,COUNT(D72,R72)&lt;2),"記録不足",IF(OR(AND(D72&lt;&gt;"",OR(NOT(ISNUMBER(D72)),IFERROR(D72&lt;1,TRUE),IFERROR(INT(D72)&gt;INT(AsOfDate),TRUE))),AND(R72&lt;&gt;"",OR(NOT(ISNUMBER(R72)),IFERROR(R72&lt;1,TRUE),IFERROR(INT(R72)&gt;INT(AsOfDate),TRUE)))),"実績日時不正",IF(R72&lt;D72,"評価承認日時逆転",IF(OR(V72="",W72="",V72=W72),"独立確認Person不足",IF(AND(IF(COUNTIF('15_評価計画・品質ゲート'!$V$4:$V$103,B72)&lt;&gt;1,"参照ID不正",IF(INDEX('15_評価計画・品質ゲート'!$A$4:$A$103,MATCH(B72,'15_評価計画・品質ゲート'!$V$4:$V$103,0))="","",INDEX('15_評価計画・品質ゲート'!$A$4:$A$103,MATCH(B72,'15_評価計画・品質ゲート'!$V$4:$V$103,0))))="E05",U72=""),"Trial状態証拠不足",IF(OR(O72="",O72="未判定",O72="無効/再実行"),"評価判定未確定","記録あり・内容審査別"))))))))))</f>
        <v/>
      </c>
      <c r="T72" s="29"/>
      <c r="U72" s="29"/>
      <c r="V72" s="29"/>
      <c r="W72" s="29"/>
      <c r="X72" s="29"/>
      <c r="Y72" s="28" t="str">
        <f>IF(A72="","",IF(COUNTIF(EvalPlanKeys,B72)&lt;&gt;1,"PlanKey不正",IF(OR(T72="",T72&lt;&gt;IF(COUNTIF('15_評価計画・品質ゲート'!$V$4:$V$103,B72)&lt;&gt;1,"参照ID不正",IF(INDEX('15_評価計画・品質ゲート'!$U$4:$U$103,MATCH(B72,'15_評価計画・品質ゲート'!$V$4:$V$103,0))="","",INDEX('15_評価計画・品質ゲート'!$U$4:$U$103,MATCH(B72,'15_評価計画・品質ゲート'!$V$4:$V$103,0))))),"Manifest不一致",IF(IF(COUNTIF('15_評価計画・品質ゲート'!$V$4:$V$103,B72)&lt;&gt;1,"参照ID不正",IF(INDEX('15_評価計画・品質ゲート'!$W$4:$W$103,MATCH(B72,'15_評価計画・品質ゲート'!$V$4:$V$103,0))="","",INDEX('15_評価計画・品質ゲート'!$W$4:$W$103,MATCH(B72,'15_評価計画・品質ゲート'!$V$4:$V$103,0))))&lt;&gt;"計画記録あり","計画未承認・不足","計画・構成一致"))))</f>
        <v/>
      </c>
    </row>
    <row r="73" spans="1:25" ht="66" customHeight="1" x14ac:dyDescent="0.2">
      <c r="A73" s="29"/>
      <c r="B73" s="29"/>
      <c r="C73" s="29"/>
      <c r="D73" s="34"/>
      <c r="E73" s="29"/>
      <c r="F73" s="29"/>
      <c r="G73" s="29"/>
      <c r="H73" s="29"/>
      <c r="I73" s="29"/>
      <c r="J73" s="28" t="str">
        <f>IF(A73="","",IF(COUNTIF('15_評価計画・品質ゲート'!$V$4:$V$103,B73)&lt;&gt;1,"参照ID不正",IF(INDEX('15_評価計画・品質ゲート'!$S$4:$S$103,MATCH(B73,'15_評価計画・品質ゲート'!$V$4:$V$103,0))="","",INDEX('15_評価計画・品質ゲート'!$S$4:$S$103,MATCH(B73,'15_評価計画・品質ゲート'!$V$4:$V$103,0)))))</f>
        <v/>
      </c>
      <c r="K73" s="29"/>
      <c r="L73" s="29"/>
      <c r="M73" s="29"/>
      <c r="N73" s="29"/>
      <c r="O73" s="29"/>
      <c r="P73" s="29"/>
      <c r="Q73" s="29"/>
      <c r="R73" s="34"/>
      <c r="S73" s="28" t="str">
        <f>IF(A73="","",IF(COUNTIF($A$4:$A$103,A73)&lt;&gt;1,"Run ID重複",IF(Y73&lt;&gt;"計画・構成一致",Y73,IF(X73&lt;&gt;"","無効化Run",IF(OR(OR(C73="",E73="",F73="",G73="",H73="",I73="",K73="",M73="",N73="",P73="",T73=""),LEN(L73&amp;"")=0,COUNT(D73,R73)&lt;2),"記録不足",IF(OR(AND(D73&lt;&gt;"",OR(NOT(ISNUMBER(D73)),IFERROR(D73&lt;1,TRUE),IFERROR(INT(D73)&gt;INT(AsOfDate),TRUE))),AND(R73&lt;&gt;"",OR(NOT(ISNUMBER(R73)),IFERROR(R73&lt;1,TRUE),IFERROR(INT(R73)&gt;INT(AsOfDate),TRUE)))),"実績日時不正",IF(R73&lt;D73,"評価承認日時逆転",IF(OR(V73="",W73="",V73=W73),"独立確認Person不足",IF(AND(IF(COUNTIF('15_評価計画・品質ゲート'!$V$4:$V$103,B73)&lt;&gt;1,"参照ID不正",IF(INDEX('15_評価計画・品質ゲート'!$A$4:$A$103,MATCH(B73,'15_評価計画・品質ゲート'!$V$4:$V$103,0))="","",INDEX('15_評価計画・品質ゲート'!$A$4:$A$103,MATCH(B73,'15_評価計画・品質ゲート'!$V$4:$V$103,0))))="E05",U73=""),"Trial状態証拠不足",IF(OR(O73="",O73="未判定",O73="無効/再実行"),"評価判定未確定","記録あり・内容審査別"))))))))))</f>
        <v/>
      </c>
      <c r="T73" s="29"/>
      <c r="U73" s="29"/>
      <c r="V73" s="29"/>
      <c r="W73" s="29"/>
      <c r="X73" s="29"/>
      <c r="Y73" s="28" t="str">
        <f>IF(A73="","",IF(COUNTIF(EvalPlanKeys,B73)&lt;&gt;1,"PlanKey不正",IF(OR(T73="",T73&lt;&gt;IF(COUNTIF('15_評価計画・品質ゲート'!$V$4:$V$103,B73)&lt;&gt;1,"参照ID不正",IF(INDEX('15_評価計画・品質ゲート'!$U$4:$U$103,MATCH(B73,'15_評価計画・品質ゲート'!$V$4:$V$103,0))="","",INDEX('15_評価計画・品質ゲート'!$U$4:$U$103,MATCH(B73,'15_評価計画・品質ゲート'!$V$4:$V$103,0))))),"Manifest不一致",IF(IF(COUNTIF('15_評価計画・品質ゲート'!$V$4:$V$103,B73)&lt;&gt;1,"参照ID不正",IF(INDEX('15_評価計画・品質ゲート'!$W$4:$W$103,MATCH(B73,'15_評価計画・品質ゲート'!$V$4:$V$103,0))="","",INDEX('15_評価計画・品質ゲート'!$W$4:$W$103,MATCH(B73,'15_評価計画・品質ゲート'!$V$4:$V$103,0))))&lt;&gt;"計画記録あり","計画未承認・不足","計画・構成一致"))))</f>
        <v/>
      </c>
    </row>
    <row r="74" spans="1:25" ht="66" customHeight="1" x14ac:dyDescent="0.2">
      <c r="A74" s="29"/>
      <c r="B74" s="29"/>
      <c r="C74" s="29"/>
      <c r="D74" s="34"/>
      <c r="E74" s="29"/>
      <c r="F74" s="29"/>
      <c r="G74" s="29"/>
      <c r="H74" s="29"/>
      <c r="I74" s="29"/>
      <c r="J74" s="28" t="str">
        <f>IF(A74="","",IF(COUNTIF('15_評価計画・品質ゲート'!$V$4:$V$103,B74)&lt;&gt;1,"参照ID不正",IF(INDEX('15_評価計画・品質ゲート'!$S$4:$S$103,MATCH(B74,'15_評価計画・品質ゲート'!$V$4:$V$103,0))="","",INDEX('15_評価計画・品質ゲート'!$S$4:$S$103,MATCH(B74,'15_評価計画・品質ゲート'!$V$4:$V$103,0)))))</f>
        <v/>
      </c>
      <c r="K74" s="29"/>
      <c r="L74" s="29"/>
      <c r="M74" s="29"/>
      <c r="N74" s="29"/>
      <c r="O74" s="29"/>
      <c r="P74" s="29"/>
      <c r="Q74" s="29"/>
      <c r="R74" s="34"/>
      <c r="S74" s="28" t="str">
        <f>IF(A74="","",IF(COUNTIF($A$4:$A$103,A74)&lt;&gt;1,"Run ID重複",IF(Y74&lt;&gt;"計画・構成一致",Y74,IF(X74&lt;&gt;"","無効化Run",IF(OR(OR(C74="",E74="",F74="",G74="",H74="",I74="",K74="",M74="",N74="",P74="",T74=""),LEN(L74&amp;"")=0,COUNT(D74,R74)&lt;2),"記録不足",IF(OR(AND(D74&lt;&gt;"",OR(NOT(ISNUMBER(D74)),IFERROR(D74&lt;1,TRUE),IFERROR(INT(D74)&gt;INT(AsOfDate),TRUE))),AND(R74&lt;&gt;"",OR(NOT(ISNUMBER(R74)),IFERROR(R74&lt;1,TRUE),IFERROR(INT(R74)&gt;INT(AsOfDate),TRUE)))),"実績日時不正",IF(R74&lt;D74,"評価承認日時逆転",IF(OR(V74="",W74="",V74=W74),"独立確認Person不足",IF(AND(IF(COUNTIF('15_評価計画・品質ゲート'!$V$4:$V$103,B74)&lt;&gt;1,"参照ID不正",IF(INDEX('15_評価計画・品質ゲート'!$A$4:$A$103,MATCH(B74,'15_評価計画・品質ゲート'!$V$4:$V$103,0))="","",INDEX('15_評価計画・品質ゲート'!$A$4:$A$103,MATCH(B74,'15_評価計画・品質ゲート'!$V$4:$V$103,0))))="E05",U74=""),"Trial状態証拠不足",IF(OR(O74="",O74="未判定",O74="無効/再実行"),"評価判定未確定","記録あり・内容審査別"))))))))))</f>
        <v/>
      </c>
      <c r="T74" s="29"/>
      <c r="U74" s="29"/>
      <c r="V74" s="29"/>
      <c r="W74" s="29"/>
      <c r="X74" s="29"/>
      <c r="Y74" s="28" t="str">
        <f>IF(A74="","",IF(COUNTIF(EvalPlanKeys,B74)&lt;&gt;1,"PlanKey不正",IF(OR(T74="",T74&lt;&gt;IF(COUNTIF('15_評価計画・品質ゲート'!$V$4:$V$103,B74)&lt;&gt;1,"参照ID不正",IF(INDEX('15_評価計画・品質ゲート'!$U$4:$U$103,MATCH(B74,'15_評価計画・品質ゲート'!$V$4:$V$103,0))="","",INDEX('15_評価計画・品質ゲート'!$U$4:$U$103,MATCH(B74,'15_評価計画・品質ゲート'!$V$4:$V$103,0))))),"Manifest不一致",IF(IF(COUNTIF('15_評価計画・品質ゲート'!$V$4:$V$103,B74)&lt;&gt;1,"参照ID不正",IF(INDEX('15_評価計画・品質ゲート'!$W$4:$W$103,MATCH(B74,'15_評価計画・品質ゲート'!$V$4:$V$103,0))="","",INDEX('15_評価計画・品質ゲート'!$W$4:$W$103,MATCH(B74,'15_評価計画・品質ゲート'!$V$4:$V$103,0))))&lt;&gt;"計画記録あり","計画未承認・不足","計画・構成一致"))))</f>
        <v/>
      </c>
    </row>
    <row r="75" spans="1:25" ht="66" customHeight="1" x14ac:dyDescent="0.2">
      <c r="A75" s="29"/>
      <c r="B75" s="29"/>
      <c r="C75" s="29"/>
      <c r="D75" s="34"/>
      <c r="E75" s="29"/>
      <c r="F75" s="29"/>
      <c r="G75" s="29"/>
      <c r="H75" s="29"/>
      <c r="I75" s="29"/>
      <c r="J75" s="28" t="str">
        <f>IF(A75="","",IF(COUNTIF('15_評価計画・品質ゲート'!$V$4:$V$103,B75)&lt;&gt;1,"参照ID不正",IF(INDEX('15_評価計画・品質ゲート'!$S$4:$S$103,MATCH(B75,'15_評価計画・品質ゲート'!$V$4:$V$103,0))="","",INDEX('15_評価計画・品質ゲート'!$S$4:$S$103,MATCH(B75,'15_評価計画・品質ゲート'!$V$4:$V$103,0)))))</f>
        <v/>
      </c>
      <c r="K75" s="29"/>
      <c r="L75" s="29"/>
      <c r="M75" s="29"/>
      <c r="N75" s="29"/>
      <c r="O75" s="29"/>
      <c r="P75" s="29"/>
      <c r="Q75" s="29"/>
      <c r="R75" s="34"/>
      <c r="S75" s="28" t="str">
        <f>IF(A75="","",IF(COUNTIF($A$4:$A$103,A75)&lt;&gt;1,"Run ID重複",IF(Y75&lt;&gt;"計画・構成一致",Y75,IF(X75&lt;&gt;"","無効化Run",IF(OR(OR(C75="",E75="",F75="",G75="",H75="",I75="",K75="",M75="",N75="",P75="",T75=""),LEN(L75&amp;"")=0,COUNT(D75,R75)&lt;2),"記録不足",IF(OR(AND(D75&lt;&gt;"",OR(NOT(ISNUMBER(D75)),IFERROR(D75&lt;1,TRUE),IFERROR(INT(D75)&gt;INT(AsOfDate),TRUE))),AND(R75&lt;&gt;"",OR(NOT(ISNUMBER(R75)),IFERROR(R75&lt;1,TRUE),IFERROR(INT(R75)&gt;INT(AsOfDate),TRUE)))),"実績日時不正",IF(R75&lt;D75,"評価承認日時逆転",IF(OR(V75="",W75="",V75=W75),"独立確認Person不足",IF(AND(IF(COUNTIF('15_評価計画・品質ゲート'!$V$4:$V$103,B75)&lt;&gt;1,"参照ID不正",IF(INDEX('15_評価計画・品質ゲート'!$A$4:$A$103,MATCH(B75,'15_評価計画・品質ゲート'!$V$4:$V$103,0))="","",INDEX('15_評価計画・品質ゲート'!$A$4:$A$103,MATCH(B75,'15_評価計画・品質ゲート'!$V$4:$V$103,0))))="E05",U75=""),"Trial状態証拠不足",IF(OR(O75="",O75="未判定",O75="無効/再実行"),"評価判定未確定","記録あり・内容審査別"))))))))))</f>
        <v/>
      </c>
      <c r="T75" s="29"/>
      <c r="U75" s="29"/>
      <c r="V75" s="29"/>
      <c r="W75" s="29"/>
      <c r="X75" s="29"/>
      <c r="Y75" s="28" t="str">
        <f>IF(A75="","",IF(COUNTIF(EvalPlanKeys,B75)&lt;&gt;1,"PlanKey不正",IF(OR(T75="",T75&lt;&gt;IF(COUNTIF('15_評価計画・品質ゲート'!$V$4:$V$103,B75)&lt;&gt;1,"参照ID不正",IF(INDEX('15_評価計画・品質ゲート'!$U$4:$U$103,MATCH(B75,'15_評価計画・品質ゲート'!$V$4:$V$103,0))="","",INDEX('15_評価計画・品質ゲート'!$U$4:$U$103,MATCH(B75,'15_評価計画・品質ゲート'!$V$4:$V$103,0))))),"Manifest不一致",IF(IF(COUNTIF('15_評価計画・品質ゲート'!$V$4:$V$103,B75)&lt;&gt;1,"参照ID不正",IF(INDEX('15_評価計画・品質ゲート'!$W$4:$W$103,MATCH(B75,'15_評価計画・品質ゲート'!$V$4:$V$103,0))="","",INDEX('15_評価計画・品質ゲート'!$W$4:$W$103,MATCH(B75,'15_評価計画・品質ゲート'!$V$4:$V$103,0))))&lt;&gt;"計画記録あり","計画未承認・不足","計画・構成一致"))))</f>
        <v/>
      </c>
    </row>
    <row r="76" spans="1:25" ht="66" customHeight="1" x14ac:dyDescent="0.2">
      <c r="A76" s="29"/>
      <c r="B76" s="29"/>
      <c r="C76" s="29"/>
      <c r="D76" s="34"/>
      <c r="E76" s="29"/>
      <c r="F76" s="29"/>
      <c r="G76" s="29"/>
      <c r="H76" s="29"/>
      <c r="I76" s="29"/>
      <c r="J76" s="28" t="str">
        <f>IF(A76="","",IF(COUNTIF('15_評価計画・品質ゲート'!$V$4:$V$103,B76)&lt;&gt;1,"参照ID不正",IF(INDEX('15_評価計画・品質ゲート'!$S$4:$S$103,MATCH(B76,'15_評価計画・品質ゲート'!$V$4:$V$103,0))="","",INDEX('15_評価計画・品質ゲート'!$S$4:$S$103,MATCH(B76,'15_評価計画・品質ゲート'!$V$4:$V$103,0)))))</f>
        <v/>
      </c>
      <c r="K76" s="29"/>
      <c r="L76" s="29"/>
      <c r="M76" s="29"/>
      <c r="N76" s="29"/>
      <c r="O76" s="29"/>
      <c r="P76" s="29"/>
      <c r="Q76" s="29"/>
      <c r="R76" s="34"/>
      <c r="S76" s="28" t="str">
        <f>IF(A76="","",IF(COUNTIF($A$4:$A$103,A76)&lt;&gt;1,"Run ID重複",IF(Y76&lt;&gt;"計画・構成一致",Y76,IF(X76&lt;&gt;"","無効化Run",IF(OR(OR(C76="",E76="",F76="",G76="",H76="",I76="",K76="",M76="",N76="",P76="",T76=""),LEN(L76&amp;"")=0,COUNT(D76,R76)&lt;2),"記録不足",IF(OR(AND(D76&lt;&gt;"",OR(NOT(ISNUMBER(D76)),IFERROR(D76&lt;1,TRUE),IFERROR(INT(D76)&gt;INT(AsOfDate),TRUE))),AND(R76&lt;&gt;"",OR(NOT(ISNUMBER(R76)),IFERROR(R76&lt;1,TRUE),IFERROR(INT(R76)&gt;INT(AsOfDate),TRUE)))),"実績日時不正",IF(R76&lt;D76,"評価承認日時逆転",IF(OR(V76="",W76="",V76=W76),"独立確認Person不足",IF(AND(IF(COUNTIF('15_評価計画・品質ゲート'!$V$4:$V$103,B76)&lt;&gt;1,"参照ID不正",IF(INDEX('15_評価計画・品質ゲート'!$A$4:$A$103,MATCH(B76,'15_評価計画・品質ゲート'!$V$4:$V$103,0))="","",INDEX('15_評価計画・品質ゲート'!$A$4:$A$103,MATCH(B76,'15_評価計画・品質ゲート'!$V$4:$V$103,0))))="E05",U76=""),"Trial状態証拠不足",IF(OR(O76="",O76="未判定",O76="無効/再実行"),"評価判定未確定","記録あり・内容審査別"))))))))))</f>
        <v/>
      </c>
      <c r="T76" s="29"/>
      <c r="U76" s="29"/>
      <c r="V76" s="29"/>
      <c r="W76" s="29"/>
      <c r="X76" s="29"/>
      <c r="Y76" s="28" t="str">
        <f>IF(A76="","",IF(COUNTIF(EvalPlanKeys,B76)&lt;&gt;1,"PlanKey不正",IF(OR(T76="",T76&lt;&gt;IF(COUNTIF('15_評価計画・品質ゲート'!$V$4:$V$103,B76)&lt;&gt;1,"参照ID不正",IF(INDEX('15_評価計画・品質ゲート'!$U$4:$U$103,MATCH(B76,'15_評価計画・品質ゲート'!$V$4:$V$103,0))="","",INDEX('15_評価計画・品質ゲート'!$U$4:$U$103,MATCH(B76,'15_評価計画・品質ゲート'!$V$4:$V$103,0))))),"Manifest不一致",IF(IF(COUNTIF('15_評価計画・品質ゲート'!$V$4:$V$103,B76)&lt;&gt;1,"参照ID不正",IF(INDEX('15_評価計画・品質ゲート'!$W$4:$W$103,MATCH(B76,'15_評価計画・品質ゲート'!$V$4:$V$103,0))="","",INDEX('15_評価計画・品質ゲート'!$W$4:$W$103,MATCH(B76,'15_評価計画・品質ゲート'!$V$4:$V$103,0))))&lt;&gt;"計画記録あり","計画未承認・不足","計画・構成一致"))))</f>
        <v/>
      </c>
    </row>
    <row r="77" spans="1:25" ht="66" customHeight="1" x14ac:dyDescent="0.2">
      <c r="A77" s="29"/>
      <c r="B77" s="29"/>
      <c r="C77" s="29"/>
      <c r="D77" s="34"/>
      <c r="E77" s="29"/>
      <c r="F77" s="29"/>
      <c r="G77" s="29"/>
      <c r="H77" s="29"/>
      <c r="I77" s="29"/>
      <c r="J77" s="28" t="str">
        <f>IF(A77="","",IF(COUNTIF('15_評価計画・品質ゲート'!$V$4:$V$103,B77)&lt;&gt;1,"参照ID不正",IF(INDEX('15_評価計画・品質ゲート'!$S$4:$S$103,MATCH(B77,'15_評価計画・品質ゲート'!$V$4:$V$103,0))="","",INDEX('15_評価計画・品質ゲート'!$S$4:$S$103,MATCH(B77,'15_評価計画・品質ゲート'!$V$4:$V$103,0)))))</f>
        <v/>
      </c>
      <c r="K77" s="29"/>
      <c r="L77" s="29"/>
      <c r="M77" s="29"/>
      <c r="N77" s="29"/>
      <c r="O77" s="29"/>
      <c r="P77" s="29"/>
      <c r="Q77" s="29"/>
      <c r="R77" s="34"/>
      <c r="S77" s="28" t="str">
        <f>IF(A77="","",IF(COUNTIF($A$4:$A$103,A77)&lt;&gt;1,"Run ID重複",IF(Y77&lt;&gt;"計画・構成一致",Y77,IF(X77&lt;&gt;"","無効化Run",IF(OR(OR(C77="",E77="",F77="",G77="",H77="",I77="",K77="",M77="",N77="",P77="",T77=""),LEN(L77&amp;"")=0,COUNT(D77,R77)&lt;2),"記録不足",IF(OR(AND(D77&lt;&gt;"",OR(NOT(ISNUMBER(D77)),IFERROR(D77&lt;1,TRUE),IFERROR(INT(D77)&gt;INT(AsOfDate),TRUE))),AND(R77&lt;&gt;"",OR(NOT(ISNUMBER(R77)),IFERROR(R77&lt;1,TRUE),IFERROR(INT(R77)&gt;INT(AsOfDate),TRUE)))),"実績日時不正",IF(R77&lt;D77,"評価承認日時逆転",IF(OR(V77="",W77="",V77=W77),"独立確認Person不足",IF(AND(IF(COUNTIF('15_評価計画・品質ゲート'!$V$4:$V$103,B77)&lt;&gt;1,"参照ID不正",IF(INDEX('15_評価計画・品質ゲート'!$A$4:$A$103,MATCH(B77,'15_評価計画・品質ゲート'!$V$4:$V$103,0))="","",INDEX('15_評価計画・品質ゲート'!$A$4:$A$103,MATCH(B77,'15_評価計画・品質ゲート'!$V$4:$V$103,0))))="E05",U77=""),"Trial状態証拠不足",IF(OR(O77="",O77="未判定",O77="無効/再実行"),"評価判定未確定","記録あり・内容審査別"))))))))))</f>
        <v/>
      </c>
      <c r="T77" s="29"/>
      <c r="U77" s="29"/>
      <c r="V77" s="29"/>
      <c r="W77" s="29"/>
      <c r="X77" s="29"/>
      <c r="Y77" s="28" t="str">
        <f>IF(A77="","",IF(COUNTIF(EvalPlanKeys,B77)&lt;&gt;1,"PlanKey不正",IF(OR(T77="",T77&lt;&gt;IF(COUNTIF('15_評価計画・品質ゲート'!$V$4:$V$103,B77)&lt;&gt;1,"参照ID不正",IF(INDEX('15_評価計画・品質ゲート'!$U$4:$U$103,MATCH(B77,'15_評価計画・品質ゲート'!$V$4:$V$103,0))="","",INDEX('15_評価計画・品質ゲート'!$U$4:$U$103,MATCH(B77,'15_評価計画・品質ゲート'!$V$4:$V$103,0))))),"Manifest不一致",IF(IF(COUNTIF('15_評価計画・品質ゲート'!$V$4:$V$103,B77)&lt;&gt;1,"参照ID不正",IF(INDEX('15_評価計画・品質ゲート'!$W$4:$W$103,MATCH(B77,'15_評価計画・品質ゲート'!$V$4:$V$103,0))="","",INDEX('15_評価計画・品質ゲート'!$W$4:$W$103,MATCH(B77,'15_評価計画・品質ゲート'!$V$4:$V$103,0))))&lt;&gt;"計画記録あり","計画未承認・不足","計画・構成一致"))))</f>
        <v/>
      </c>
    </row>
    <row r="78" spans="1:25" ht="66" customHeight="1" x14ac:dyDescent="0.2">
      <c r="A78" s="29"/>
      <c r="B78" s="29"/>
      <c r="C78" s="29"/>
      <c r="D78" s="34"/>
      <c r="E78" s="29"/>
      <c r="F78" s="29"/>
      <c r="G78" s="29"/>
      <c r="H78" s="29"/>
      <c r="I78" s="29"/>
      <c r="J78" s="28" t="str">
        <f>IF(A78="","",IF(COUNTIF('15_評価計画・品質ゲート'!$V$4:$V$103,B78)&lt;&gt;1,"参照ID不正",IF(INDEX('15_評価計画・品質ゲート'!$S$4:$S$103,MATCH(B78,'15_評価計画・品質ゲート'!$V$4:$V$103,0))="","",INDEX('15_評価計画・品質ゲート'!$S$4:$S$103,MATCH(B78,'15_評価計画・品質ゲート'!$V$4:$V$103,0)))))</f>
        <v/>
      </c>
      <c r="K78" s="29"/>
      <c r="L78" s="29"/>
      <c r="M78" s="29"/>
      <c r="N78" s="29"/>
      <c r="O78" s="29"/>
      <c r="P78" s="29"/>
      <c r="Q78" s="29"/>
      <c r="R78" s="34"/>
      <c r="S78" s="28" t="str">
        <f>IF(A78="","",IF(COUNTIF($A$4:$A$103,A78)&lt;&gt;1,"Run ID重複",IF(Y78&lt;&gt;"計画・構成一致",Y78,IF(X78&lt;&gt;"","無効化Run",IF(OR(OR(C78="",E78="",F78="",G78="",H78="",I78="",K78="",M78="",N78="",P78="",T78=""),LEN(L78&amp;"")=0,COUNT(D78,R78)&lt;2),"記録不足",IF(OR(AND(D78&lt;&gt;"",OR(NOT(ISNUMBER(D78)),IFERROR(D78&lt;1,TRUE),IFERROR(INT(D78)&gt;INT(AsOfDate),TRUE))),AND(R78&lt;&gt;"",OR(NOT(ISNUMBER(R78)),IFERROR(R78&lt;1,TRUE),IFERROR(INT(R78)&gt;INT(AsOfDate),TRUE)))),"実績日時不正",IF(R78&lt;D78,"評価承認日時逆転",IF(OR(V78="",W78="",V78=W78),"独立確認Person不足",IF(AND(IF(COUNTIF('15_評価計画・品質ゲート'!$V$4:$V$103,B78)&lt;&gt;1,"参照ID不正",IF(INDEX('15_評価計画・品質ゲート'!$A$4:$A$103,MATCH(B78,'15_評価計画・品質ゲート'!$V$4:$V$103,0))="","",INDEX('15_評価計画・品質ゲート'!$A$4:$A$103,MATCH(B78,'15_評価計画・品質ゲート'!$V$4:$V$103,0))))="E05",U78=""),"Trial状態証拠不足",IF(OR(O78="",O78="未判定",O78="無効/再実行"),"評価判定未確定","記録あり・内容審査別"))))))))))</f>
        <v/>
      </c>
      <c r="T78" s="29"/>
      <c r="U78" s="29"/>
      <c r="V78" s="29"/>
      <c r="W78" s="29"/>
      <c r="X78" s="29"/>
      <c r="Y78" s="28" t="str">
        <f>IF(A78="","",IF(COUNTIF(EvalPlanKeys,B78)&lt;&gt;1,"PlanKey不正",IF(OR(T78="",T78&lt;&gt;IF(COUNTIF('15_評価計画・品質ゲート'!$V$4:$V$103,B78)&lt;&gt;1,"参照ID不正",IF(INDEX('15_評価計画・品質ゲート'!$U$4:$U$103,MATCH(B78,'15_評価計画・品質ゲート'!$V$4:$V$103,0))="","",INDEX('15_評価計画・品質ゲート'!$U$4:$U$103,MATCH(B78,'15_評価計画・品質ゲート'!$V$4:$V$103,0))))),"Manifest不一致",IF(IF(COUNTIF('15_評価計画・品質ゲート'!$V$4:$V$103,B78)&lt;&gt;1,"参照ID不正",IF(INDEX('15_評価計画・品質ゲート'!$W$4:$W$103,MATCH(B78,'15_評価計画・品質ゲート'!$V$4:$V$103,0))="","",INDEX('15_評価計画・品質ゲート'!$W$4:$W$103,MATCH(B78,'15_評価計画・品質ゲート'!$V$4:$V$103,0))))&lt;&gt;"計画記録あり","計画未承認・不足","計画・構成一致"))))</f>
        <v/>
      </c>
    </row>
    <row r="79" spans="1:25" ht="66" customHeight="1" x14ac:dyDescent="0.2">
      <c r="A79" s="29"/>
      <c r="B79" s="29"/>
      <c r="C79" s="29"/>
      <c r="D79" s="34"/>
      <c r="E79" s="29"/>
      <c r="F79" s="29"/>
      <c r="G79" s="29"/>
      <c r="H79" s="29"/>
      <c r="I79" s="29"/>
      <c r="J79" s="28" t="str">
        <f>IF(A79="","",IF(COUNTIF('15_評価計画・品質ゲート'!$V$4:$V$103,B79)&lt;&gt;1,"参照ID不正",IF(INDEX('15_評価計画・品質ゲート'!$S$4:$S$103,MATCH(B79,'15_評価計画・品質ゲート'!$V$4:$V$103,0))="","",INDEX('15_評価計画・品質ゲート'!$S$4:$S$103,MATCH(B79,'15_評価計画・品質ゲート'!$V$4:$V$103,0)))))</f>
        <v/>
      </c>
      <c r="K79" s="29"/>
      <c r="L79" s="29"/>
      <c r="M79" s="29"/>
      <c r="N79" s="29"/>
      <c r="O79" s="29"/>
      <c r="P79" s="29"/>
      <c r="Q79" s="29"/>
      <c r="R79" s="34"/>
      <c r="S79" s="28" t="str">
        <f>IF(A79="","",IF(COUNTIF($A$4:$A$103,A79)&lt;&gt;1,"Run ID重複",IF(Y79&lt;&gt;"計画・構成一致",Y79,IF(X79&lt;&gt;"","無効化Run",IF(OR(OR(C79="",E79="",F79="",G79="",H79="",I79="",K79="",M79="",N79="",P79="",T79=""),LEN(L79&amp;"")=0,COUNT(D79,R79)&lt;2),"記録不足",IF(OR(AND(D79&lt;&gt;"",OR(NOT(ISNUMBER(D79)),IFERROR(D79&lt;1,TRUE),IFERROR(INT(D79)&gt;INT(AsOfDate),TRUE))),AND(R79&lt;&gt;"",OR(NOT(ISNUMBER(R79)),IFERROR(R79&lt;1,TRUE),IFERROR(INT(R79)&gt;INT(AsOfDate),TRUE)))),"実績日時不正",IF(R79&lt;D79,"評価承認日時逆転",IF(OR(V79="",W79="",V79=W79),"独立確認Person不足",IF(AND(IF(COUNTIF('15_評価計画・品質ゲート'!$V$4:$V$103,B79)&lt;&gt;1,"参照ID不正",IF(INDEX('15_評価計画・品質ゲート'!$A$4:$A$103,MATCH(B79,'15_評価計画・品質ゲート'!$V$4:$V$103,0))="","",INDEX('15_評価計画・品質ゲート'!$A$4:$A$103,MATCH(B79,'15_評価計画・品質ゲート'!$V$4:$V$103,0))))="E05",U79=""),"Trial状態証拠不足",IF(OR(O79="",O79="未判定",O79="無効/再実行"),"評価判定未確定","記録あり・内容審査別"))))))))))</f>
        <v/>
      </c>
      <c r="T79" s="29"/>
      <c r="U79" s="29"/>
      <c r="V79" s="29"/>
      <c r="W79" s="29"/>
      <c r="X79" s="29"/>
      <c r="Y79" s="28" t="str">
        <f>IF(A79="","",IF(COUNTIF(EvalPlanKeys,B79)&lt;&gt;1,"PlanKey不正",IF(OR(T79="",T79&lt;&gt;IF(COUNTIF('15_評価計画・品質ゲート'!$V$4:$V$103,B79)&lt;&gt;1,"参照ID不正",IF(INDEX('15_評価計画・品質ゲート'!$U$4:$U$103,MATCH(B79,'15_評価計画・品質ゲート'!$V$4:$V$103,0))="","",INDEX('15_評価計画・品質ゲート'!$U$4:$U$103,MATCH(B79,'15_評価計画・品質ゲート'!$V$4:$V$103,0))))),"Manifest不一致",IF(IF(COUNTIF('15_評価計画・品質ゲート'!$V$4:$V$103,B79)&lt;&gt;1,"参照ID不正",IF(INDEX('15_評価計画・品質ゲート'!$W$4:$W$103,MATCH(B79,'15_評価計画・品質ゲート'!$V$4:$V$103,0))="","",INDEX('15_評価計画・品質ゲート'!$W$4:$W$103,MATCH(B79,'15_評価計画・品質ゲート'!$V$4:$V$103,0))))&lt;&gt;"計画記録あり","計画未承認・不足","計画・構成一致"))))</f>
        <v/>
      </c>
    </row>
    <row r="80" spans="1:25" ht="66" customHeight="1" x14ac:dyDescent="0.2">
      <c r="A80" s="29"/>
      <c r="B80" s="29"/>
      <c r="C80" s="29"/>
      <c r="D80" s="34"/>
      <c r="E80" s="29"/>
      <c r="F80" s="29"/>
      <c r="G80" s="29"/>
      <c r="H80" s="29"/>
      <c r="I80" s="29"/>
      <c r="J80" s="28" t="str">
        <f>IF(A80="","",IF(COUNTIF('15_評価計画・品質ゲート'!$V$4:$V$103,B80)&lt;&gt;1,"参照ID不正",IF(INDEX('15_評価計画・品質ゲート'!$S$4:$S$103,MATCH(B80,'15_評価計画・品質ゲート'!$V$4:$V$103,0))="","",INDEX('15_評価計画・品質ゲート'!$S$4:$S$103,MATCH(B80,'15_評価計画・品質ゲート'!$V$4:$V$103,0)))))</f>
        <v/>
      </c>
      <c r="K80" s="29"/>
      <c r="L80" s="29"/>
      <c r="M80" s="29"/>
      <c r="N80" s="29"/>
      <c r="O80" s="29"/>
      <c r="P80" s="29"/>
      <c r="Q80" s="29"/>
      <c r="R80" s="34"/>
      <c r="S80" s="28" t="str">
        <f>IF(A80="","",IF(COUNTIF($A$4:$A$103,A80)&lt;&gt;1,"Run ID重複",IF(Y80&lt;&gt;"計画・構成一致",Y80,IF(X80&lt;&gt;"","無効化Run",IF(OR(OR(C80="",E80="",F80="",G80="",H80="",I80="",K80="",M80="",N80="",P80="",T80=""),LEN(L80&amp;"")=0,COUNT(D80,R80)&lt;2),"記録不足",IF(OR(AND(D80&lt;&gt;"",OR(NOT(ISNUMBER(D80)),IFERROR(D80&lt;1,TRUE),IFERROR(INT(D80)&gt;INT(AsOfDate),TRUE))),AND(R80&lt;&gt;"",OR(NOT(ISNUMBER(R80)),IFERROR(R80&lt;1,TRUE),IFERROR(INT(R80)&gt;INT(AsOfDate),TRUE)))),"実績日時不正",IF(R80&lt;D80,"評価承認日時逆転",IF(OR(V80="",W80="",V80=W80),"独立確認Person不足",IF(AND(IF(COUNTIF('15_評価計画・品質ゲート'!$V$4:$V$103,B80)&lt;&gt;1,"参照ID不正",IF(INDEX('15_評価計画・品質ゲート'!$A$4:$A$103,MATCH(B80,'15_評価計画・品質ゲート'!$V$4:$V$103,0))="","",INDEX('15_評価計画・品質ゲート'!$A$4:$A$103,MATCH(B80,'15_評価計画・品質ゲート'!$V$4:$V$103,0))))="E05",U80=""),"Trial状態証拠不足",IF(OR(O80="",O80="未判定",O80="無効/再実行"),"評価判定未確定","記録あり・内容審査別"))))))))))</f>
        <v/>
      </c>
      <c r="T80" s="29"/>
      <c r="U80" s="29"/>
      <c r="V80" s="29"/>
      <c r="W80" s="29"/>
      <c r="X80" s="29"/>
      <c r="Y80" s="28" t="str">
        <f>IF(A80="","",IF(COUNTIF(EvalPlanKeys,B80)&lt;&gt;1,"PlanKey不正",IF(OR(T80="",T80&lt;&gt;IF(COUNTIF('15_評価計画・品質ゲート'!$V$4:$V$103,B80)&lt;&gt;1,"参照ID不正",IF(INDEX('15_評価計画・品質ゲート'!$U$4:$U$103,MATCH(B80,'15_評価計画・品質ゲート'!$V$4:$V$103,0))="","",INDEX('15_評価計画・品質ゲート'!$U$4:$U$103,MATCH(B80,'15_評価計画・品質ゲート'!$V$4:$V$103,0))))),"Manifest不一致",IF(IF(COUNTIF('15_評価計画・品質ゲート'!$V$4:$V$103,B80)&lt;&gt;1,"参照ID不正",IF(INDEX('15_評価計画・品質ゲート'!$W$4:$W$103,MATCH(B80,'15_評価計画・品質ゲート'!$V$4:$V$103,0))="","",INDEX('15_評価計画・品質ゲート'!$W$4:$W$103,MATCH(B80,'15_評価計画・品質ゲート'!$V$4:$V$103,0))))&lt;&gt;"計画記録あり","計画未承認・不足","計画・構成一致"))))</f>
        <v/>
      </c>
    </row>
    <row r="81" spans="1:25" ht="66" customHeight="1" x14ac:dyDescent="0.2">
      <c r="A81" s="29"/>
      <c r="B81" s="29"/>
      <c r="C81" s="29"/>
      <c r="D81" s="34"/>
      <c r="E81" s="29"/>
      <c r="F81" s="29"/>
      <c r="G81" s="29"/>
      <c r="H81" s="29"/>
      <c r="I81" s="29"/>
      <c r="J81" s="28" t="str">
        <f>IF(A81="","",IF(COUNTIF('15_評価計画・品質ゲート'!$V$4:$V$103,B81)&lt;&gt;1,"参照ID不正",IF(INDEX('15_評価計画・品質ゲート'!$S$4:$S$103,MATCH(B81,'15_評価計画・品質ゲート'!$V$4:$V$103,0))="","",INDEX('15_評価計画・品質ゲート'!$S$4:$S$103,MATCH(B81,'15_評価計画・品質ゲート'!$V$4:$V$103,0)))))</f>
        <v/>
      </c>
      <c r="K81" s="29"/>
      <c r="L81" s="29"/>
      <c r="M81" s="29"/>
      <c r="N81" s="29"/>
      <c r="O81" s="29"/>
      <c r="P81" s="29"/>
      <c r="Q81" s="29"/>
      <c r="R81" s="34"/>
      <c r="S81" s="28" t="str">
        <f>IF(A81="","",IF(COUNTIF($A$4:$A$103,A81)&lt;&gt;1,"Run ID重複",IF(Y81&lt;&gt;"計画・構成一致",Y81,IF(X81&lt;&gt;"","無効化Run",IF(OR(OR(C81="",E81="",F81="",G81="",H81="",I81="",K81="",M81="",N81="",P81="",T81=""),LEN(L81&amp;"")=0,COUNT(D81,R81)&lt;2),"記録不足",IF(OR(AND(D81&lt;&gt;"",OR(NOT(ISNUMBER(D81)),IFERROR(D81&lt;1,TRUE),IFERROR(INT(D81)&gt;INT(AsOfDate),TRUE))),AND(R81&lt;&gt;"",OR(NOT(ISNUMBER(R81)),IFERROR(R81&lt;1,TRUE),IFERROR(INT(R81)&gt;INT(AsOfDate),TRUE)))),"実績日時不正",IF(R81&lt;D81,"評価承認日時逆転",IF(OR(V81="",W81="",V81=W81),"独立確認Person不足",IF(AND(IF(COUNTIF('15_評価計画・品質ゲート'!$V$4:$V$103,B81)&lt;&gt;1,"参照ID不正",IF(INDEX('15_評価計画・品質ゲート'!$A$4:$A$103,MATCH(B81,'15_評価計画・品質ゲート'!$V$4:$V$103,0))="","",INDEX('15_評価計画・品質ゲート'!$A$4:$A$103,MATCH(B81,'15_評価計画・品質ゲート'!$V$4:$V$103,0))))="E05",U81=""),"Trial状態証拠不足",IF(OR(O81="",O81="未判定",O81="無効/再実行"),"評価判定未確定","記録あり・内容審査別"))))))))))</f>
        <v/>
      </c>
      <c r="T81" s="29"/>
      <c r="U81" s="29"/>
      <c r="V81" s="29"/>
      <c r="W81" s="29"/>
      <c r="X81" s="29"/>
      <c r="Y81" s="28" t="str">
        <f>IF(A81="","",IF(COUNTIF(EvalPlanKeys,B81)&lt;&gt;1,"PlanKey不正",IF(OR(T81="",T81&lt;&gt;IF(COUNTIF('15_評価計画・品質ゲート'!$V$4:$V$103,B81)&lt;&gt;1,"参照ID不正",IF(INDEX('15_評価計画・品質ゲート'!$U$4:$U$103,MATCH(B81,'15_評価計画・品質ゲート'!$V$4:$V$103,0))="","",INDEX('15_評価計画・品質ゲート'!$U$4:$U$103,MATCH(B81,'15_評価計画・品質ゲート'!$V$4:$V$103,0))))),"Manifest不一致",IF(IF(COUNTIF('15_評価計画・品質ゲート'!$V$4:$V$103,B81)&lt;&gt;1,"参照ID不正",IF(INDEX('15_評価計画・品質ゲート'!$W$4:$W$103,MATCH(B81,'15_評価計画・品質ゲート'!$V$4:$V$103,0))="","",INDEX('15_評価計画・品質ゲート'!$W$4:$W$103,MATCH(B81,'15_評価計画・品質ゲート'!$V$4:$V$103,0))))&lt;&gt;"計画記録あり","計画未承認・不足","計画・構成一致"))))</f>
        <v/>
      </c>
    </row>
    <row r="82" spans="1:25" ht="66" customHeight="1" x14ac:dyDescent="0.2">
      <c r="A82" s="29"/>
      <c r="B82" s="29"/>
      <c r="C82" s="29"/>
      <c r="D82" s="34"/>
      <c r="E82" s="29"/>
      <c r="F82" s="29"/>
      <c r="G82" s="29"/>
      <c r="H82" s="29"/>
      <c r="I82" s="29"/>
      <c r="J82" s="28" t="str">
        <f>IF(A82="","",IF(COUNTIF('15_評価計画・品質ゲート'!$V$4:$V$103,B82)&lt;&gt;1,"参照ID不正",IF(INDEX('15_評価計画・品質ゲート'!$S$4:$S$103,MATCH(B82,'15_評価計画・品質ゲート'!$V$4:$V$103,0))="","",INDEX('15_評価計画・品質ゲート'!$S$4:$S$103,MATCH(B82,'15_評価計画・品質ゲート'!$V$4:$V$103,0)))))</f>
        <v/>
      </c>
      <c r="K82" s="29"/>
      <c r="L82" s="29"/>
      <c r="M82" s="29"/>
      <c r="N82" s="29"/>
      <c r="O82" s="29"/>
      <c r="P82" s="29"/>
      <c r="Q82" s="29"/>
      <c r="R82" s="34"/>
      <c r="S82" s="28" t="str">
        <f>IF(A82="","",IF(COUNTIF($A$4:$A$103,A82)&lt;&gt;1,"Run ID重複",IF(Y82&lt;&gt;"計画・構成一致",Y82,IF(X82&lt;&gt;"","無効化Run",IF(OR(OR(C82="",E82="",F82="",G82="",H82="",I82="",K82="",M82="",N82="",P82="",T82=""),LEN(L82&amp;"")=0,COUNT(D82,R82)&lt;2),"記録不足",IF(OR(AND(D82&lt;&gt;"",OR(NOT(ISNUMBER(D82)),IFERROR(D82&lt;1,TRUE),IFERROR(INT(D82)&gt;INT(AsOfDate),TRUE))),AND(R82&lt;&gt;"",OR(NOT(ISNUMBER(R82)),IFERROR(R82&lt;1,TRUE),IFERROR(INT(R82)&gt;INT(AsOfDate),TRUE)))),"実績日時不正",IF(R82&lt;D82,"評価承認日時逆転",IF(OR(V82="",W82="",V82=W82),"独立確認Person不足",IF(AND(IF(COUNTIF('15_評価計画・品質ゲート'!$V$4:$V$103,B82)&lt;&gt;1,"参照ID不正",IF(INDEX('15_評価計画・品質ゲート'!$A$4:$A$103,MATCH(B82,'15_評価計画・品質ゲート'!$V$4:$V$103,0))="","",INDEX('15_評価計画・品質ゲート'!$A$4:$A$103,MATCH(B82,'15_評価計画・品質ゲート'!$V$4:$V$103,0))))="E05",U82=""),"Trial状態証拠不足",IF(OR(O82="",O82="未判定",O82="無効/再実行"),"評価判定未確定","記録あり・内容審査別"))))))))))</f>
        <v/>
      </c>
      <c r="T82" s="29"/>
      <c r="U82" s="29"/>
      <c r="V82" s="29"/>
      <c r="W82" s="29"/>
      <c r="X82" s="29"/>
      <c r="Y82" s="28" t="str">
        <f>IF(A82="","",IF(COUNTIF(EvalPlanKeys,B82)&lt;&gt;1,"PlanKey不正",IF(OR(T82="",T82&lt;&gt;IF(COUNTIF('15_評価計画・品質ゲート'!$V$4:$V$103,B82)&lt;&gt;1,"参照ID不正",IF(INDEX('15_評価計画・品質ゲート'!$U$4:$U$103,MATCH(B82,'15_評価計画・品質ゲート'!$V$4:$V$103,0))="","",INDEX('15_評価計画・品質ゲート'!$U$4:$U$103,MATCH(B82,'15_評価計画・品質ゲート'!$V$4:$V$103,0))))),"Manifest不一致",IF(IF(COUNTIF('15_評価計画・品質ゲート'!$V$4:$V$103,B82)&lt;&gt;1,"参照ID不正",IF(INDEX('15_評価計画・品質ゲート'!$W$4:$W$103,MATCH(B82,'15_評価計画・品質ゲート'!$V$4:$V$103,0))="","",INDEX('15_評価計画・品質ゲート'!$W$4:$W$103,MATCH(B82,'15_評価計画・品質ゲート'!$V$4:$V$103,0))))&lt;&gt;"計画記録あり","計画未承認・不足","計画・構成一致"))))</f>
        <v/>
      </c>
    </row>
    <row r="83" spans="1:25" ht="66" customHeight="1" x14ac:dyDescent="0.2">
      <c r="A83" s="29"/>
      <c r="B83" s="29"/>
      <c r="C83" s="29"/>
      <c r="D83" s="34"/>
      <c r="E83" s="29"/>
      <c r="F83" s="29"/>
      <c r="G83" s="29"/>
      <c r="H83" s="29"/>
      <c r="I83" s="29"/>
      <c r="J83" s="28" t="str">
        <f>IF(A83="","",IF(COUNTIF('15_評価計画・品質ゲート'!$V$4:$V$103,B83)&lt;&gt;1,"参照ID不正",IF(INDEX('15_評価計画・品質ゲート'!$S$4:$S$103,MATCH(B83,'15_評価計画・品質ゲート'!$V$4:$V$103,0))="","",INDEX('15_評価計画・品質ゲート'!$S$4:$S$103,MATCH(B83,'15_評価計画・品質ゲート'!$V$4:$V$103,0)))))</f>
        <v/>
      </c>
      <c r="K83" s="29"/>
      <c r="L83" s="29"/>
      <c r="M83" s="29"/>
      <c r="N83" s="29"/>
      <c r="O83" s="29"/>
      <c r="P83" s="29"/>
      <c r="Q83" s="29"/>
      <c r="R83" s="34"/>
      <c r="S83" s="28" t="str">
        <f>IF(A83="","",IF(COUNTIF($A$4:$A$103,A83)&lt;&gt;1,"Run ID重複",IF(Y83&lt;&gt;"計画・構成一致",Y83,IF(X83&lt;&gt;"","無効化Run",IF(OR(OR(C83="",E83="",F83="",G83="",H83="",I83="",K83="",M83="",N83="",P83="",T83=""),LEN(L83&amp;"")=0,COUNT(D83,R83)&lt;2),"記録不足",IF(OR(AND(D83&lt;&gt;"",OR(NOT(ISNUMBER(D83)),IFERROR(D83&lt;1,TRUE),IFERROR(INT(D83)&gt;INT(AsOfDate),TRUE))),AND(R83&lt;&gt;"",OR(NOT(ISNUMBER(R83)),IFERROR(R83&lt;1,TRUE),IFERROR(INT(R83)&gt;INT(AsOfDate),TRUE)))),"実績日時不正",IF(R83&lt;D83,"評価承認日時逆転",IF(OR(V83="",W83="",V83=W83),"独立確認Person不足",IF(AND(IF(COUNTIF('15_評価計画・品質ゲート'!$V$4:$V$103,B83)&lt;&gt;1,"参照ID不正",IF(INDEX('15_評価計画・品質ゲート'!$A$4:$A$103,MATCH(B83,'15_評価計画・品質ゲート'!$V$4:$V$103,0))="","",INDEX('15_評価計画・品質ゲート'!$A$4:$A$103,MATCH(B83,'15_評価計画・品質ゲート'!$V$4:$V$103,0))))="E05",U83=""),"Trial状態証拠不足",IF(OR(O83="",O83="未判定",O83="無効/再実行"),"評価判定未確定","記録あり・内容審査別"))))))))))</f>
        <v/>
      </c>
      <c r="T83" s="29"/>
      <c r="U83" s="29"/>
      <c r="V83" s="29"/>
      <c r="W83" s="29"/>
      <c r="X83" s="29"/>
      <c r="Y83" s="28" t="str">
        <f>IF(A83="","",IF(COUNTIF(EvalPlanKeys,B83)&lt;&gt;1,"PlanKey不正",IF(OR(T83="",T83&lt;&gt;IF(COUNTIF('15_評価計画・品質ゲート'!$V$4:$V$103,B83)&lt;&gt;1,"参照ID不正",IF(INDEX('15_評価計画・品質ゲート'!$U$4:$U$103,MATCH(B83,'15_評価計画・品質ゲート'!$V$4:$V$103,0))="","",INDEX('15_評価計画・品質ゲート'!$U$4:$U$103,MATCH(B83,'15_評価計画・品質ゲート'!$V$4:$V$103,0))))),"Manifest不一致",IF(IF(COUNTIF('15_評価計画・品質ゲート'!$V$4:$V$103,B83)&lt;&gt;1,"参照ID不正",IF(INDEX('15_評価計画・品質ゲート'!$W$4:$W$103,MATCH(B83,'15_評価計画・品質ゲート'!$V$4:$V$103,0))="","",INDEX('15_評価計画・品質ゲート'!$W$4:$W$103,MATCH(B83,'15_評価計画・品質ゲート'!$V$4:$V$103,0))))&lt;&gt;"計画記録あり","計画未承認・不足","計画・構成一致"))))</f>
        <v/>
      </c>
    </row>
    <row r="84" spans="1:25" ht="66" customHeight="1" x14ac:dyDescent="0.2">
      <c r="A84" s="29"/>
      <c r="B84" s="29"/>
      <c r="C84" s="29"/>
      <c r="D84" s="34"/>
      <c r="E84" s="29"/>
      <c r="F84" s="29"/>
      <c r="G84" s="29"/>
      <c r="H84" s="29"/>
      <c r="I84" s="29"/>
      <c r="J84" s="28" t="str">
        <f>IF(A84="","",IF(COUNTIF('15_評価計画・品質ゲート'!$V$4:$V$103,B84)&lt;&gt;1,"参照ID不正",IF(INDEX('15_評価計画・品質ゲート'!$S$4:$S$103,MATCH(B84,'15_評価計画・品質ゲート'!$V$4:$V$103,0))="","",INDEX('15_評価計画・品質ゲート'!$S$4:$S$103,MATCH(B84,'15_評価計画・品質ゲート'!$V$4:$V$103,0)))))</f>
        <v/>
      </c>
      <c r="K84" s="29"/>
      <c r="L84" s="29"/>
      <c r="M84" s="29"/>
      <c r="N84" s="29"/>
      <c r="O84" s="29"/>
      <c r="P84" s="29"/>
      <c r="Q84" s="29"/>
      <c r="R84" s="34"/>
      <c r="S84" s="28" t="str">
        <f>IF(A84="","",IF(COUNTIF($A$4:$A$103,A84)&lt;&gt;1,"Run ID重複",IF(Y84&lt;&gt;"計画・構成一致",Y84,IF(X84&lt;&gt;"","無効化Run",IF(OR(OR(C84="",E84="",F84="",G84="",H84="",I84="",K84="",M84="",N84="",P84="",T84=""),LEN(L84&amp;"")=0,COUNT(D84,R84)&lt;2),"記録不足",IF(OR(AND(D84&lt;&gt;"",OR(NOT(ISNUMBER(D84)),IFERROR(D84&lt;1,TRUE),IFERROR(INT(D84)&gt;INT(AsOfDate),TRUE))),AND(R84&lt;&gt;"",OR(NOT(ISNUMBER(R84)),IFERROR(R84&lt;1,TRUE),IFERROR(INT(R84)&gt;INT(AsOfDate),TRUE)))),"実績日時不正",IF(R84&lt;D84,"評価承認日時逆転",IF(OR(V84="",W84="",V84=W84),"独立確認Person不足",IF(AND(IF(COUNTIF('15_評価計画・品質ゲート'!$V$4:$V$103,B84)&lt;&gt;1,"参照ID不正",IF(INDEX('15_評価計画・品質ゲート'!$A$4:$A$103,MATCH(B84,'15_評価計画・品質ゲート'!$V$4:$V$103,0))="","",INDEX('15_評価計画・品質ゲート'!$A$4:$A$103,MATCH(B84,'15_評価計画・品質ゲート'!$V$4:$V$103,0))))="E05",U84=""),"Trial状態証拠不足",IF(OR(O84="",O84="未判定",O84="無効/再実行"),"評価判定未確定","記録あり・内容審査別"))))))))))</f>
        <v/>
      </c>
      <c r="T84" s="29"/>
      <c r="U84" s="29"/>
      <c r="V84" s="29"/>
      <c r="W84" s="29"/>
      <c r="X84" s="29"/>
      <c r="Y84" s="28" t="str">
        <f>IF(A84="","",IF(COUNTIF(EvalPlanKeys,B84)&lt;&gt;1,"PlanKey不正",IF(OR(T84="",T84&lt;&gt;IF(COUNTIF('15_評価計画・品質ゲート'!$V$4:$V$103,B84)&lt;&gt;1,"参照ID不正",IF(INDEX('15_評価計画・品質ゲート'!$U$4:$U$103,MATCH(B84,'15_評価計画・品質ゲート'!$V$4:$V$103,0))="","",INDEX('15_評価計画・品質ゲート'!$U$4:$U$103,MATCH(B84,'15_評価計画・品質ゲート'!$V$4:$V$103,0))))),"Manifest不一致",IF(IF(COUNTIF('15_評価計画・品質ゲート'!$V$4:$V$103,B84)&lt;&gt;1,"参照ID不正",IF(INDEX('15_評価計画・品質ゲート'!$W$4:$W$103,MATCH(B84,'15_評価計画・品質ゲート'!$V$4:$V$103,0))="","",INDEX('15_評価計画・品質ゲート'!$W$4:$W$103,MATCH(B84,'15_評価計画・品質ゲート'!$V$4:$V$103,0))))&lt;&gt;"計画記録あり","計画未承認・不足","計画・構成一致"))))</f>
        <v/>
      </c>
    </row>
    <row r="85" spans="1:25" ht="66" customHeight="1" x14ac:dyDescent="0.2">
      <c r="A85" s="29"/>
      <c r="B85" s="29"/>
      <c r="C85" s="29"/>
      <c r="D85" s="34"/>
      <c r="E85" s="29"/>
      <c r="F85" s="29"/>
      <c r="G85" s="29"/>
      <c r="H85" s="29"/>
      <c r="I85" s="29"/>
      <c r="J85" s="28" t="str">
        <f>IF(A85="","",IF(COUNTIF('15_評価計画・品質ゲート'!$V$4:$V$103,B85)&lt;&gt;1,"参照ID不正",IF(INDEX('15_評価計画・品質ゲート'!$S$4:$S$103,MATCH(B85,'15_評価計画・品質ゲート'!$V$4:$V$103,0))="","",INDEX('15_評価計画・品質ゲート'!$S$4:$S$103,MATCH(B85,'15_評価計画・品質ゲート'!$V$4:$V$103,0)))))</f>
        <v/>
      </c>
      <c r="K85" s="29"/>
      <c r="L85" s="29"/>
      <c r="M85" s="29"/>
      <c r="N85" s="29"/>
      <c r="O85" s="29"/>
      <c r="P85" s="29"/>
      <c r="Q85" s="29"/>
      <c r="R85" s="34"/>
      <c r="S85" s="28" t="str">
        <f>IF(A85="","",IF(COUNTIF($A$4:$A$103,A85)&lt;&gt;1,"Run ID重複",IF(Y85&lt;&gt;"計画・構成一致",Y85,IF(X85&lt;&gt;"","無効化Run",IF(OR(OR(C85="",E85="",F85="",G85="",H85="",I85="",K85="",M85="",N85="",P85="",T85=""),LEN(L85&amp;"")=0,COUNT(D85,R85)&lt;2),"記録不足",IF(OR(AND(D85&lt;&gt;"",OR(NOT(ISNUMBER(D85)),IFERROR(D85&lt;1,TRUE),IFERROR(INT(D85)&gt;INT(AsOfDate),TRUE))),AND(R85&lt;&gt;"",OR(NOT(ISNUMBER(R85)),IFERROR(R85&lt;1,TRUE),IFERROR(INT(R85)&gt;INT(AsOfDate),TRUE)))),"実績日時不正",IF(R85&lt;D85,"評価承認日時逆転",IF(OR(V85="",W85="",V85=W85),"独立確認Person不足",IF(AND(IF(COUNTIF('15_評価計画・品質ゲート'!$V$4:$V$103,B85)&lt;&gt;1,"参照ID不正",IF(INDEX('15_評価計画・品質ゲート'!$A$4:$A$103,MATCH(B85,'15_評価計画・品質ゲート'!$V$4:$V$103,0))="","",INDEX('15_評価計画・品質ゲート'!$A$4:$A$103,MATCH(B85,'15_評価計画・品質ゲート'!$V$4:$V$103,0))))="E05",U85=""),"Trial状態証拠不足",IF(OR(O85="",O85="未判定",O85="無効/再実行"),"評価判定未確定","記録あり・内容審査別"))))))))))</f>
        <v/>
      </c>
      <c r="T85" s="29"/>
      <c r="U85" s="29"/>
      <c r="V85" s="29"/>
      <c r="W85" s="29"/>
      <c r="X85" s="29"/>
      <c r="Y85" s="28" t="str">
        <f>IF(A85="","",IF(COUNTIF(EvalPlanKeys,B85)&lt;&gt;1,"PlanKey不正",IF(OR(T85="",T85&lt;&gt;IF(COUNTIF('15_評価計画・品質ゲート'!$V$4:$V$103,B85)&lt;&gt;1,"参照ID不正",IF(INDEX('15_評価計画・品質ゲート'!$U$4:$U$103,MATCH(B85,'15_評価計画・品質ゲート'!$V$4:$V$103,0))="","",INDEX('15_評価計画・品質ゲート'!$U$4:$U$103,MATCH(B85,'15_評価計画・品質ゲート'!$V$4:$V$103,0))))),"Manifest不一致",IF(IF(COUNTIF('15_評価計画・品質ゲート'!$V$4:$V$103,B85)&lt;&gt;1,"参照ID不正",IF(INDEX('15_評価計画・品質ゲート'!$W$4:$W$103,MATCH(B85,'15_評価計画・品質ゲート'!$V$4:$V$103,0))="","",INDEX('15_評価計画・品質ゲート'!$W$4:$W$103,MATCH(B85,'15_評価計画・品質ゲート'!$V$4:$V$103,0))))&lt;&gt;"計画記録あり","計画未承認・不足","計画・構成一致"))))</f>
        <v/>
      </c>
    </row>
    <row r="86" spans="1:25" ht="66" customHeight="1" x14ac:dyDescent="0.2">
      <c r="A86" s="29"/>
      <c r="B86" s="29"/>
      <c r="C86" s="29"/>
      <c r="D86" s="34"/>
      <c r="E86" s="29"/>
      <c r="F86" s="29"/>
      <c r="G86" s="29"/>
      <c r="H86" s="29"/>
      <c r="I86" s="29"/>
      <c r="J86" s="28" t="str">
        <f>IF(A86="","",IF(COUNTIF('15_評価計画・品質ゲート'!$V$4:$V$103,B86)&lt;&gt;1,"参照ID不正",IF(INDEX('15_評価計画・品質ゲート'!$S$4:$S$103,MATCH(B86,'15_評価計画・品質ゲート'!$V$4:$V$103,0))="","",INDEX('15_評価計画・品質ゲート'!$S$4:$S$103,MATCH(B86,'15_評価計画・品質ゲート'!$V$4:$V$103,0)))))</f>
        <v/>
      </c>
      <c r="K86" s="29"/>
      <c r="L86" s="29"/>
      <c r="M86" s="29"/>
      <c r="N86" s="29"/>
      <c r="O86" s="29"/>
      <c r="P86" s="29"/>
      <c r="Q86" s="29"/>
      <c r="R86" s="34"/>
      <c r="S86" s="28" t="str">
        <f>IF(A86="","",IF(COUNTIF($A$4:$A$103,A86)&lt;&gt;1,"Run ID重複",IF(Y86&lt;&gt;"計画・構成一致",Y86,IF(X86&lt;&gt;"","無効化Run",IF(OR(OR(C86="",E86="",F86="",G86="",H86="",I86="",K86="",M86="",N86="",P86="",T86=""),LEN(L86&amp;"")=0,COUNT(D86,R86)&lt;2),"記録不足",IF(OR(AND(D86&lt;&gt;"",OR(NOT(ISNUMBER(D86)),IFERROR(D86&lt;1,TRUE),IFERROR(INT(D86)&gt;INT(AsOfDate),TRUE))),AND(R86&lt;&gt;"",OR(NOT(ISNUMBER(R86)),IFERROR(R86&lt;1,TRUE),IFERROR(INT(R86)&gt;INT(AsOfDate),TRUE)))),"実績日時不正",IF(R86&lt;D86,"評価承認日時逆転",IF(OR(V86="",W86="",V86=W86),"独立確認Person不足",IF(AND(IF(COUNTIF('15_評価計画・品質ゲート'!$V$4:$V$103,B86)&lt;&gt;1,"参照ID不正",IF(INDEX('15_評価計画・品質ゲート'!$A$4:$A$103,MATCH(B86,'15_評価計画・品質ゲート'!$V$4:$V$103,0))="","",INDEX('15_評価計画・品質ゲート'!$A$4:$A$103,MATCH(B86,'15_評価計画・品質ゲート'!$V$4:$V$103,0))))="E05",U86=""),"Trial状態証拠不足",IF(OR(O86="",O86="未判定",O86="無効/再実行"),"評価判定未確定","記録あり・内容審査別"))))))))))</f>
        <v/>
      </c>
      <c r="T86" s="29"/>
      <c r="U86" s="29"/>
      <c r="V86" s="29"/>
      <c r="W86" s="29"/>
      <c r="X86" s="29"/>
      <c r="Y86" s="28" t="str">
        <f>IF(A86="","",IF(COUNTIF(EvalPlanKeys,B86)&lt;&gt;1,"PlanKey不正",IF(OR(T86="",T86&lt;&gt;IF(COUNTIF('15_評価計画・品質ゲート'!$V$4:$V$103,B86)&lt;&gt;1,"参照ID不正",IF(INDEX('15_評価計画・品質ゲート'!$U$4:$U$103,MATCH(B86,'15_評価計画・品質ゲート'!$V$4:$V$103,0))="","",INDEX('15_評価計画・品質ゲート'!$U$4:$U$103,MATCH(B86,'15_評価計画・品質ゲート'!$V$4:$V$103,0))))),"Manifest不一致",IF(IF(COUNTIF('15_評価計画・品質ゲート'!$V$4:$V$103,B86)&lt;&gt;1,"参照ID不正",IF(INDEX('15_評価計画・品質ゲート'!$W$4:$W$103,MATCH(B86,'15_評価計画・品質ゲート'!$V$4:$V$103,0))="","",INDEX('15_評価計画・品質ゲート'!$W$4:$W$103,MATCH(B86,'15_評価計画・品質ゲート'!$V$4:$V$103,0))))&lt;&gt;"計画記録あり","計画未承認・不足","計画・構成一致"))))</f>
        <v/>
      </c>
    </row>
    <row r="87" spans="1:25" ht="66" customHeight="1" x14ac:dyDescent="0.2">
      <c r="A87" s="29"/>
      <c r="B87" s="29"/>
      <c r="C87" s="29"/>
      <c r="D87" s="34"/>
      <c r="E87" s="29"/>
      <c r="F87" s="29"/>
      <c r="G87" s="29"/>
      <c r="H87" s="29"/>
      <c r="I87" s="29"/>
      <c r="J87" s="28" t="str">
        <f>IF(A87="","",IF(COUNTIF('15_評価計画・品質ゲート'!$V$4:$V$103,B87)&lt;&gt;1,"参照ID不正",IF(INDEX('15_評価計画・品質ゲート'!$S$4:$S$103,MATCH(B87,'15_評価計画・品質ゲート'!$V$4:$V$103,0))="","",INDEX('15_評価計画・品質ゲート'!$S$4:$S$103,MATCH(B87,'15_評価計画・品質ゲート'!$V$4:$V$103,0)))))</f>
        <v/>
      </c>
      <c r="K87" s="29"/>
      <c r="L87" s="29"/>
      <c r="M87" s="29"/>
      <c r="N87" s="29"/>
      <c r="O87" s="29"/>
      <c r="P87" s="29"/>
      <c r="Q87" s="29"/>
      <c r="R87" s="34"/>
      <c r="S87" s="28" t="str">
        <f>IF(A87="","",IF(COUNTIF($A$4:$A$103,A87)&lt;&gt;1,"Run ID重複",IF(Y87&lt;&gt;"計画・構成一致",Y87,IF(X87&lt;&gt;"","無効化Run",IF(OR(OR(C87="",E87="",F87="",G87="",H87="",I87="",K87="",M87="",N87="",P87="",T87=""),LEN(L87&amp;"")=0,COUNT(D87,R87)&lt;2),"記録不足",IF(OR(AND(D87&lt;&gt;"",OR(NOT(ISNUMBER(D87)),IFERROR(D87&lt;1,TRUE),IFERROR(INT(D87)&gt;INT(AsOfDate),TRUE))),AND(R87&lt;&gt;"",OR(NOT(ISNUMBER(R87)),IFERROR(R87&lt;1,TRUE),IFERROR(INT(R87)&gt;INT(AsOfDate),TRUE)))),"実績日時不正",IF(R87&lt;D87,"評価承認日時逆転",IF(OR(V87="",W87="",V87=W87),"独立確認Person不足",IF(AND(IF(COUNTIF('15_評価計画・品質ゲート'!$V$4:$V$103,B87)&lt;&gt;1,"参照ID不正",IF(INDEX('15_評価計画・品質ゲート'!$A$4:$A$103,MATCH(B87,'15_評価計画・品質ゲート'!$V$4:$V$103,0))="","",INDEX('15_評価計画・品質ゲート'!$A$4:$A$103,MATCH(B87,'15_評価計画・品質ゲート'!$V$4:$V$103,0))))="E05",U87=""),"Trial状態証拠不足",IF(OR(O87="",O87="未判定",O87="無効/再実行"),"評価判定未確定","記録あり・内容審査別"))))))))))</f>
        <v/>
      </c>
      <c r="T87" s="29"/>
      <c r="U87" s="29"/>
      <c r="V87" s="29"/>
      <c r="W87" s="29"/>
      <c r="X87" s="29"/>
      <c r="Y87" s="28" t="str">
        <f>IF(A87="","",IF(COUNTIF(EvalPlanKeys,B87)&lt;&gt;1,"PlanKey不正",IF(OR(T87="",T87&lt;&gt;IF(COUNTIF('15_評価計画・品質ゲート'!$V$4:$V$103,B87)&lt;&gt;1,"参照ID不正",IF(INDEX('15_評価計画・品質ゲート'!$U$4:$U$103,MATCH(B87,'15_評価計画・品質ゲート'!$V$4:$V$103,0))="","",INDEX('15_評価計画・品質ゲート'!$U$4:$U$103,MATCH(B87,'15_評価計画・品質ゲート'!$V$4:$V$103,0))))),"Manifest不一致",IF(IF(COUNTIF('15_評価計画・品質ゲート'!$V$4:$V$103,B87)&lt;&gt;1,"参照ID不正",IF(INDEX('15_評価計画・品質ゲート'!$W$4:$W$103,MATCH(B87,'15_評価計画・品質ゲート'!$V$4:$V$103,0))="","",INDEX('15_評価計画・品質ゲート'!$W$4:$W$103,MATCH(B87,'15_評価計画・品質ゲート'!$V$4:$V$103,0))))&lt;&gt;"計画記録あり","計画未承認・不足","計画・構成一致"))))</f>
        <v/>
      </c>
    </row>
    <row r="88" spans="1:25" ht="66" customHeight="1" x14ac:dyDescent="0.2">
      <c r="A88" s="29"/>
      <c r="B88" s="29"/>
      <c r="C88" s="29"/>
      <c r="D88" s="34"/>
      <c r="E88" s="29"/>
      <c r="F88" s="29"/>
      <c r="G88" s="29"/>
      <c r="H88" s="29"/>
      <c r="I88" s="29"/>
      <c r="J88" s="28" t="str">
        <f>IF(A88="","",IF(COUNTIF('15_評価計画・品質ゲート'!$V$4:$V$103,B88)&lt;&gt;1,"参照ID不正",IF(INDEX('15_評価計画・品質ゲート'!$S$4:$S$103,MATCH(B88,'15_評価計画・品質ゲート'!$V$4:$V$103,0))="","",INDEX('15_評価計画・品質ゲート'!$S$4:$S$103,MATCH(B88,'15_評価計画・品質ゲート'!$V$4:$V$103,0)))))</f>
        <v/>
      </c>
      <c r="K88" s="29"/>
      <c r="L88" s="29"/>
      <c r="M88" s="29"/>
      <c r="N88" s="29"/>
      <c r="O88" s="29"/>
      <c r="P88" s="29"/>
      <c r="Q88" s="29"/>
      <c r="R88" s="34"/>
      <c r="S88" s="28" t="str">
        <f>IF(A88="","",IF(COUNTIF($A$4:$A$103,A88)&lt;&gt;1,"Run ID重複",IF(Y88&lt;&gt;"計画・構成一致",Y88,IF(X88&lt;&gt;"","無効化Run",IF(OR(OR(C88="",E88="",F88="",G88="",H88="",I88="",K88="",M88="",N88="",P88="",T88=""),LEN(L88&amp;"")=0,COUNT(D88,R88)&lt;2),"記録不足",IF(OR(AND(D88&lt;&gt;"",OR(NOT(ISNUMBER(D88)),IFERROR(D88&lt;1,TRUE),IFERROR(INT(D88)&gt;INT(AsOfDate),TRUE))),AND(R88&lt;&gt;"",OR(NOT(ISNUMBER(R88)),IFERROR(R88&lt;1,TRUE),IFERROR(INT(R88)&gt;INT(AsOfDate),TRUE)))),"実績日時不正",IF(R88&lt;D88,"評価承認日時逆転",IF(OR(V88="",W88="",V88=W88),"独立確認Person不足",IF(AND(IF(COUNTIF('15_評価計画・品質ゲート'!$V$4:$V$103,B88)&lt;&gt;1,"参照ID不正",IF(INDEX('15_評価計画・品質ゲート'!$A$4:$A$103,MATCH(B88,'15_評価計画・品質ゲート'!$V$4:$V$103,0))="","",INDEX('15_評価計画・品質ゲート'!$A$4:$A$103,MATCH(B88,'15_評価計画・品質ゲート'!$V$4:$V$103,0))))="E05",U88=""),"Trial状態証拠不足",IF(OR(O88="",O88="未判定",O88="無効/再実行"),"評価判定未確定","記録あり・内容審査別"))))))))))</f>
        <v/>
      </c>
      <c r="T88" s="29"/>
      <c r="U88" s="29"/>
      <c r="V88" s="29"/>
      <c r="W88" s="29"/>
      <c r="X88" s="29"/>
      <c r="Y88" s="28" t="str">
        <f>IF(A88="","",IF(COUNTIF(EvalPlanKeys,B88)&lt;&gt;1,"PlanKey不正",IF(OR(T88="",T88&lt;&gt;IF(COUNTIF('15_評価計画・品質ゲート'!$V$4:$V$103,B88)&lt;&gt;1,"参照ID不正",IF(INDEX('15_評価計画・品質ゲート'!$U$4:$U$103,MATCH(B88,'15_評価計画・品質ゲート'!$V$4:$V$103,0))="","",INDEX('15_評価計画・品質ゲート'!$U$4:$U$103,MATCH(B88,'15_評価計画・品質ゲート'!$V$4:$V$103,0))))),"Manifest不一致",IF(IF(COUNTIF('15_評価計画・品質ゲート'!$V$4:$V$103,B88)&lt;&gt;1,"参照ID不正",IF(INDEX('15_評価計画・品質ゲート'!$W$4:$W$103,MATCH(B88,'15_評価計画・品質ゲート'!$V$4:$V$103,0))="","",INDEX('15_評価計画・品質ゲート'!$W$4:$W$103,MATCH(B88,'15_評価計画・品質ゲート'!$V$4:$V$103,0))))&lt;&gt;"計画記録あり","計画未承認・不足","計画・構成一致"))))</f>
        <v/>
      </c>
    </row>
    <row r="89" spans="1:25" ht="66" customHeight="1" x14ac:dyDescent="0.2">
      <c r="A89" s="29"/>
      <c r="B89" s="29"/>
      <c r="C89" s="29"/>
      <c r="D89" s="34"/>
      <c r="E89" s="29"/>
      <c r="F89" s="29"/>
      <c r="G89" s="29"/>
      <c r="H89" s="29"/>
      <c r="I89" s="29"/>
      <c r="J89" s="28" t="str">
        <f>IF(A89="","",IF(COUNTIF('15_評価計画・品質ゲート'!$V$4:$V$103,B89)&lt;&gt;1,"参照ID不正",IF(INDEX('15_評価計画・品質ゲート'!$S$4:$S$103,MATCH(B89,'15_評価計画・品質ゲート'!$V$4:$V$103,0))="","",INDEX('15_評価計画・品質ゲート'!$S$4:$S$103,MATCH(B89,'15_評価計画・品質ゲート'!$V$4:$V$103,0)))))</f>
        <v/>
      </c>
      <c r="K89" s="29"/>
      <c r="L89" s="29"/>
      <c r="M89" s="29"/>
      <c r="N89" s="29"/>
      <c r="O89" s="29"/>
      <c r="P89" s="29"/>
      <c r="Q89" s="29"/>
      <c r="R89" s="34"/>
      <c r="S89" s="28" t="str">
        <f>IF(A89="","",IF(COUNTIF($A$4:$A$103,A89)&lt;&gt;1,"Run ID重複",IF(Y89&lt;&gt;"計画・構成一致",Y89,IF(X89&lt;&gt;"","無効化Run",IF(OR(OR(C89="",E89="",F89="",G89="",H89="",I89="",K89="",M89="",N89="",P89="",T89=""),LEN(L89&amp;"")=0,COUNT(D89,R89)&lt;2),"記録不足",IF(OR(AND(D89&lt;&gt;"",OR(NOT(ISNUMBER(D89)),IFERROR(D89&lt;1,TRUE),IFERROR(INT(D89)&gt;INT(AsOfDate),TRUE))),AND(R89&lt;&gt;"",OR(NOT(ISNUMBER(R89)),IFERROR(R89&lt;1,TRUE),IFERROR(INT(R89)&gt;INT(AsOfDate),TRUE)))),"実績日時不正",IF(R89&lt;D89,"評価承認日時逆転",IF(OR(V89="",W89="",V89=W89),"独立確認Person不足",IF(AND(IF(COUNTIF('15_評価計画・品質ゲート'!$V$4:$V$103,B89)&lt;&gt;1,"参照ID不正",IF(INDEX('15_評価計画・品質ゲート'!$A$4:$A$103,MATCH(B89,'15_評価計画・品質ゲート'!$V$4:$V$103,0))="","",INDEX('15_評価計画・品質ゲート'!$A$4:$A$103,MATCH(B89,'15_評価計画・品質ゲート'!$V$4:$V$103,0))))="E05",U89=""),"Trial状態証拠不足",IF(OR(O89="",O89="未判定",O89="無効/再実行"),"評価判定未確定","記録あり・内容審査別"))))))))))</f>
        <v/>
      </c>
      <c r="T89" s="29"/>
      <c r="U89" s="29"/>
      <c r="V89" s="29"/>
      <c r="W89" s="29"/>
      <c r="X89" s="29"/>
      <c r="Y89" s="28" t="str">
        <f>IF(A89="","",IF(COUNTIF(EvalPlanKeys,B89)&lt;&gt;1,"PlanKey不正",IF(OR(T89="",T89&lt;&gt;IF(COUNTIF('15_評価計画・品質ゲート'!$V$4:$V$103,B89)&lt;&gt;1,"参照ID不正",IF(INDEX('15_評価計画・品質ゲート'!$U$4:$U$103,MATCH(B89,'15_評価計画・品質ゲート'!$V$4:$V$103,0))="","",INDEX('15_評価計画・品質ゲート'!$U$4:$U$103,MATCH(B89,'15_評価計画・品質ゲート'!$V$4:$V$103,0))))),"Manifest不一致",IF(IF(COUNTIF('15_評価計画・品質ゲート'!$V$4:$V$103,B89)&lt;&gt;1,"参照ID不正",IF(INDEX('15_評価計画・品質ゲート'!$W$4:$W$103,MATCH(B89,'15_評価計画・品質ゲート'!$V$4:$V$103,0))="","",INDEX('15_評価計画・品質ゲート'!$W$4:$W$103,MATCH(B89,'15_評価計画・品質ゲート'!$V$4:$V$103,0))))&lt;&gt;"計画記録あり","計画未承認・不足","計画・構成一致"))))</f>
        <v/>
      </c>
    </row>
    <row r="90" spans="1:25" ht="66" customHeight="1" x14ac:dyDescent="0.2">
      <c r="A90" s="29"/>
      <c r="B90" s="29"/>
      <c r="C90" s="29"/>
      <c r="D90" s="34"/>
      <c r="E90" s="29"/>
      <c r="F90" s="29"/>
      <c r="G90" s="29"/>
      <c r="H90" s="29"/>
      <c r="I90" s="29"/>
      <c r="J90" s="28" t="str">
        <f>IF(A90="","",IF(COUNTIF('15_評価計画・品質ゲート'!$V$4:$V$103,B90)&lt;&gt;1,"参照ID不正",IF(INDEX('15_評価計画・品質ゲート'!$S$4:$S$103,MATCH(B90,'15_評価計画・品質ゲート'!$V$4:$V$103,0))="","",INDEX('15_評価計画・品質ゲート'!$S$4:$S$103,MATCH(B90,'15_評価計画・品質ゲート'!$V$4:$V$103,0)))))</f>
        <v/>
      </c>
      <c r="K90" s="29"/>
      <c r="L90" s="29"/>
      <c r="M90" s="29"/>
      <c r="N90" s="29"/>
      <c r="O90" s="29"/>
      <c r="P90" s="29"/>
      <c r="Q90" s="29"/>
      <c r="R90" s="34"/>
      <c r="S90" s="28" t="str">
        <f>IF(A90="","",IF(COUNTIF($A$4:$A$103,A90)&lt;&gt;1,"Run ID重複",IF(Y90&lt;&gt;"計画・構成一致",Y90,IF(X90&lt;&gt;"","無効化Run",IF(OR(OR(C90="",E90="",F90="",G90="",H90="",I90="",K90="",M90="",N90="",P90="",T90=""),LEN(L90&amp;"")=0,COUNT(D90,R90)&lt;2),"記録不足",IF(OR(AND(D90&lt;&gt;"",OR(NOT(ISNUMBER(D90)),IFERROR(D90&lt;1,TRUE),IFERROR(INT(D90)&gt;INT(AsOfDate),TRUE))),AND(R90&lt;&gt;"",OR(NOT(ISNUMBER(R90)),IFERROR(R90&lt;1,TRUE),IFERROR(INT(R90)&gt;INT(AsOfDate),TRUE)))),"実績日時不正",IF(R90&lt;D90,"評価承認日時逆転",IF(OR(V90="",W90="",V90=W90),"独立確認Person不足",IF(AND(IF(COUNTIF('15_評価計画・品質ゲート'!$V$4:$V$103,B90)&lt;&gt;1,"参照ID不正",IF(INDEX('15_評価計画・品質ゲート'!$A$4:$A$103,MATCH(B90,'15_評価計画・品質ゲート'!$V$4:$V$103,0))="","",INDEX('15_評価計画・品質ゲート'!$A$4:$A$103,MATCH(B90,'15_評価計画・品質ゲート'!$V$4:$V$103,0))))="E05",U90=""),"Trial状態証拠不足",IF(OR(O90="",O90="未判定",O90="無効/再実行"),"評価判定未確定","記録あり・内容審査別"))))))))))</f>
        <v/>
      </c>
      <c r="T90" s="29"/>
      <c r="U90" s="29"/>
      <c r="V90" s="29"/>
      <c r="W90" s="29"/>
      <c r="X90" s="29"/>
      <c r="Y90" s="28" t="str">
        <f>IF(A90="","",IF(COUNTIF(EvalPlanKeys,B90)&lt;&gt;1,"PlanKey不正",IF(OR(T90="",T90&lt;&gt;IF(COUNTIF('15_評価計画・品質ゲート'!$V$4:$V$103,B90)&lt;&gt;1,"参照ID不正",IF(INDEX('15_評価計画・品質ゲート'!$U$4:$U$103,MATCH(B90,'15_評価計画・品質ゲート'!$V$4:$V$103,0))="","",INDEX('15_評価計画・品質ゲート'!$U$4:$U$103,MATCH(B90,'15_評価計画・品質ゲート'!$V$4:$V$103,0))))),"Manifest不一致",IF(IF(COUNTIF('15_評価計画・品質ゲート'!$V$4:$V$103,B90)&lt;&gt;1,"参照ID不正",IF(INDEX('15_評価計画・品質ゲート'!$W$4:$W$103,MATCH(B90,'15_評価計画・品質ゲート'!$V$4:$V$103,0))="","",INDEX('15_評価計画・品質ゲート'!$W$4:$W$103,MATCH(B90,'15_評価計画・品質ゲート'!$V$4:$V$103,0))))&lt;&gt;"計画記録あり","計画未承認・不足","計画・構成一致"))))</f>
        <v/>
      </c>
    </row>
    <row r="91" spans="1:25" ht="66" customHeight="1" x14ac:dyDescent="0.2">
      <c r="A91" s="29"/>
      <c r="B91" s="29"/>
      <c r="C91" s="29"/>
      <c r="D91" s="34"/>
      <c r="E91" s="29"/>
      <c r="F91" s="29"/>
      <c r="G91" s="29"/>
      <c r="H91" s="29"/>
      <c r="I91" s="29"/>
      <c r="J91" s="28" t="str">
        <f>IF(A91="","",IF(COUNTIF('15_評価計画・品質ゲート'!$V$4:$V$103,B91)&lt;&gt;1,"参照ID不正",IF(INDEX('15_評価計画・品質ゲート'!$S$4:$S$103,MATCH(B91,'15_評価計画・品質ゲート'!$V$4:$V$103,0))="","",INDEX('15_評価計画・品質ゲート'!$S$4:$S$103,MATCH(B91,'15_評価計画・品質ゲート'!$V$4:$V$103,0)))))</f>
        <v/>
      </c>
      <c r="K91" s="29"/>
      <c r="L91" s="29"/>
      <c r="M91" s="29"/>
      <c r="N91" s="29"/>
      <c r="O91" s="29"/>
      <c r="P91" s="29"/>
      <c r="Q91" s="29"/>
      <c r="R91" s="34"/>
      <c r="S91" s="28" t="str">
        <f>IF(A91="","",IF(COUNTIF($A$4:$A$103,A91)&lt;&gt;1,"Run ID重複",IF(Y91&lt;&gt;"計画・構成一致",Y91,IF(X91&lt;&gt;"","無効化Run",IF(OR(OR(C91="",E91="",F91="",G91="",H91="",I91="",K91="",M91="",N91="",P91="",T91=""),LEN(L91&amp;"")=0,COUNT(D91,R91)&lt;2),"記録不足",IF(OR(AND(D91&lt;&gt;"",OR(NOT(ISNUMBER(D91)),IFERROR(D91&lt;1,TRUE),IFERROR(INT(D91)&gt;INT(AsOfDate),TRUE))),AND(R91&lt;&gt;"",OR(NOT(ISNUMBER(R91)),IFERROR(R91&lt;1,TRUE),IFERROR(INT(R91)&gt;INT(AsOfDate),TRUE)))),"実績日時不正",IF(R91&lt;D91,"評価承認日時逆転",IF(OR(V91="",W91="",V91=W91),"独立確認Person不足",IF(AND(IF(COUNTIF('15_評価計画・品質ゲート'!$V$4:$V$103,B91)&lt;&gt;1,"参照ID不正",IF(INDEX('15_評価計画・品質ゲート'!$A$4:$A$103,MATCH(B91,'15_評価計画・品質ゲート'!$V$4:$V$103,0))="","",INDEX('15_評価計画・品質ゲート'!$A$4:$A$103,MATCH(B91,'15_評価計画・品質ゲート'!$V$4:$V$103,0))))="E05",U91=""),"Trial状態証拠不足",IF(OR(O91="",O91="未判定",O91="無効/再実行"),"評価判定未確定","記録あり・内容審査別"))))))))))</f>
        <v/>
      </c>
      <c r="T91" s="29"/>
      <c r="U91" s="29"/>
      <c r="V91" s="29"/>
      <c r="W91" s="29"/>
      <c r="X91" s="29"/>
      <c r="Y91" s="28" t="str">
        <f>IF(A91="","",IF(COUNTIF(EvalPlanKeys,B91)&lt;&gt;1,"PlanKey不正",IF(OR(T91="",T91&lt;&gt;IF(COUNTIF('15_評価計画・品質ゲート'!$V$4:$V$103,B91)&lt;&gt;1,"参照ID不正",IF(INDEX('15_評価計画・品質ゲート'!$U$4:$U$103,MATCH(B91,'15_評価計画・品質ゲート'!$V$4:$V$103,0))="","",INDEX('15_評価計画・品質ゲート'!$U$4:$U$103,MATCH(B91,'15_評価計画・品質ゲート'!$V$4:$V$103,0))))),"Manifest不一致",IF(IF(COUNTIF('15_評価計画・品質ゲート'!$V$4:$V$103,B91)&lt;&gt;1,"参照ID不正",IF(INDEX('15_評価計画・品質ゲート'!$W$4:$W$103,MATCH(B91,'15_評価計画・品質ゲート'!$V$4:$V$103,0))="","",INDEX('15_評価計画・品質ゲート'!$W$4:$W$103,MATCH(B91,'15_評価計画・品質ゲート'!$V$4:$V$103,0))))&lt;&gt;"計画記録あり","計画未承認・不足","計画・構成一致"))))</f>
        <v/>
      </c>
    </row>
    <row r="92" spans="1:25" ht="66" customHeight="1" x14ac:dyDescent="0.2">
      <c r="A92" s="29"/>
      <c r="B92" s="29"/>
      <c r="C92" s="29"/>
      <c r="D92" s="34"/>
      <c r="E92" s="29"/>
      <c r="F92" s="29"/>
      <c r="G92" s="29"/>
      <c r="H92" s="29"/>
      <c r="I92" s="29"/>
      <c r="J92" s="28" t="str">
        <f>IF(A92="","",IF(COUNTIF('15_評価計画・品質ゲート'!$V$4:$V$103,B92)&lt;&gt;1,"参照ID不正",IF(INDEX('15_評価計画・品質ゲート'!$S$4:$S$103,MATCH(B92,'15_評価計画・品質ゲート'!$V$4:$V$103,0))="","",INDEX('15_評価計画・品質ゲート'!$S$4:$S$103,MATCH(B92,'15_評価計画・品質ゲート'!$V$4:$V$103,0)))))</f>
        <v/>
      </c>
      <c r="K92" s="29"/>
      <c r="L92" s="29"/>
      <c r="M92" s="29"/>
      <c r="N92" s="29"/>
      <c r="O92" s="29"/>
      <c r="P92" s="29"/>
      <c r="Q92" s="29"/>
      <c r="R92" s="34"/>
      <c r="S92" s="28" t="str">
        <f>IF(A92="","",IF(COUNTIF($A$4:$A$103,A92)&lt;&gt;1,"Run ID重複",IF(Y92&lt;&gt;"計画・構成一致",Y92,IF(X92&lt;&gt;"","無効化Run",IF(OR(OR(C92="",E92="",F92="",G92="",H92="",I92="",K92="",M92="",N92="",P92="",T92=""),LEN(L92&amp;"")=0,COUNT(D92,R92)&lt;2),"記録不足",IF(OR(AND(D92&lt;&gt;"",OR(NOT(ISNUMBER(D92)),IFERROR(D92&lt;1,TRUE),IFERROR(INT(D92)&gt;INT(AsOfDate),TRUE))),AND(R92&lt;&gt;"",OR(NOT(ISNUMBER(R92)),IFERROR(R92&lt;1,TRUE),IFERROR(INT(R92)&gt;INT(AsOfDate),TRUE)))),"実績日時不正",IF(R92&lt;D92,"評価承認日時逆転",IF(OR(V92="",W92="",V92=W92),"独立確認Person不足",IF(AND(IF(COUNTIF('15_評価計画・品質ゲート'!$V$4:$V$103,B92)&lt;&gt;1,"参照ID不正",IF(INDEX('15_評価計画・品質ゲート'!$A$4:$A$103,MATCH(B92,'15_評価計画・品質ゲート'!$V$4:$V$103,0))="","",INDEX('15_評価計画・品質ゲート'!$A$4:$A$103,MATCH(B92,'15_評価計画・品質ゲート'!$V$4:$V$103,0))))="E05",U92=""),"Trial状態証拠不足",IF(OR(O92="",O92="未判定",O92="無効/再実行"),"評価判定未確定","記録あり・内容審査別"))))))))))</f>
        <v/>
      </c>
      <c r="T92" s="29"/>
      <c r="U92" s="29"/>
      <c r="V92" s="29"/>
      <c r="W92" s="29"/>
      <c r="X92" s="29"/>
      <c r="Y92" s="28" t="str">
        <f>IF(A92="","",IF(COUNTIF(EvalPlanKeys,B92)&lt;&gt;1,"PlanKey不正",IF(OR(T92="",T92&lt;&gt;IF(COUNTIF('15_評価計画・品質ゲート'!$V$4:$V$103,B92)&lt;&gt;1,"参照ID不正",IF(INDEX('15_評価計画・品質ゲート'!$U$4:$U$103,MATCH(B92,'15_評価計画・品質ゲート'!$V$4:$V$103,0))="","",INDEX('15_評価計画・品質ゲート'!$U$4:$U$103,MATCH(B92,'15_評価計画・品質ゲート'!$V$4:$V$103,0))))),"Manifest不一致",IF(IF(COUNTIF('15_評価計画・品質ゲート'!$V$4:$V$103,B92)&lt;&gt;1,"参照ID不正",IF(INDEX('15_評価計画・品質ゲート'!$W$4:$W$103,MATCH(B92,'15_評価計画・品質ゲート'!$V$4:$V$103,0))="","",INDEX('15_評価計画・品質ゲート'!$W$4:$W$103,MATCH(B92,'15_評価計画・品質ゲート'!$V$4:$V$103,0))))&lt;&gt;"計画記録あり","計画未承認・不足","計画・構成一致"))))</f>
        <v/>
      </c>
    </row>
    <row r="93" spans="1:25" ht="66" customHeight="1" x14ac:dyDescent="0.2">
      <c r="A93" s="29"/>
      <c r="B93" s="29"/>
      <c r="C93" s="29"/>
      <c r="D93" s="34"/>
      <c r="E93" s="29"/>
      <c r="F93" s="29"/>
      <c r="G93" s="29"/>
      <c r="H93" s="29"/>
      <c r="I93" s="29"/>
      <c r="J93" s="28" t="str">
        <f>IF(A93="","",IF(COUNTIF('15_評価計画・品質ゲート'!$V$4:$V$103,B93)&lt;&gt;1,"参照ID不正",IF(INDEX('15_評価計画・品質ゲート'!$S$4:$S$103,MATCH(B93,'15_評価計画・品質ゲート'!$V$4:$V$103,0))="","",INDEX('15_評価計画・品質ゲート'!$S$4:$S$103,MATCH(B93,'15_評価計画・品質ゲート'!$V$4:$V$103,0)))))</f>
        <v/>
      </c>
      <c r="K93" s="29"/>
      <c r="L93" s="29"/>
      <c r="M93" s="29"/>
      <c r="N93" s="29"/>
      <c r="O93" s="29"/>
      <c r="P93" s="29"/>
      <c r="Q93" s="29"/>
      <c r="R93" s="34"/>
      <c r="S93" s="28" t="str">
        <f>IF(A93="","",IF(COUNTIF($A$4:$A$103,A93)&lt;&gt;1,"Run ID重複",IF(Y93&lt;&gt;"計画・構成一致",Y93,IF(X93&lt;&gt;"","無効化Run",IF(OR(OR(C93="",E93="",F93="",G93="",H93="",I93="",K93="",M93="",N93="",P93="",T93=""),LEN(L93&amp;"")=0,COUNT(D93,R93)&lt;2),"記録不足",IF(OR(AND(D93&lt;&gt;"",OR(NOT(ISNUMBER(D93)),IFERROR(D93&lt;1,TRUE),IFERROR(INT(D93)&gt;INT(AsOfDate),TRUE))),AND(R93&lt;&gt;"",OR(NOT(ISNUMBER(R93)),IFERROR(R93&lt;1,TRUE),IFERROR(INT(R93)&gt;INT(AsOfDate),TRUE)))),"実績日時不正",IF(R93&lt;D93,"評価承認日時逆転",IF(OR(V93="",W93="",V93=W93),"独立確認Person不足",IF(AND(IF(COUNTIF('15_評価計画・品質ゲート'!$V$4:$V$103,B93)&lt;&gt;1,"参照ID不正",IF(INDEX('15_評価計画・品質ゲート'!$A$4:$A$103,MATCH(B93,'15_評価計画・品質ゲート'!$V$4:$V$103,0))="","",INDEX('15_評価計画・品質ゲート'!$A$4:$A$103,MATCH(B93,'15_評価計画・品質ゲート'!$V$4:$V$103,0))))="E05",U93=""),"Trial状態証拠不足",IF(OR(O93="",O93="未判定",O93="無効/再実行"),"評価判定未確定","記録あり・内容審査別"))))))))))</f>
        <v/>
      </c>
      <c r="T93" s="29"/>
      <c r="U93" s="29"/>
      <c r="V93" s="29"/>
      <c r="W93" s="29"/>
      <c r="X93" s="29"/>
      <c r="Y93" s="28" t="str">
        <f>IF(A93="","",IF(COUNTIF(EvalPlanKeys,B93)&lt;&gt;1,"PlanKey不正",IF(OR(T93="",T93&lt;&gt;IF(COUNTIF('15_評価計画・品質ゲート'!$V$4:$V$103,B93)&lt;&gt;1,"参照ID不正",IF(INDEX('15_評価計画・品質ゲート'!$U$4:$U$103,MATCH(B93,'15_評価計画・品質ゲート'!$V$4:$V$103,0))="","",INDEX('15_評価計画・品質ゲート'!$U$4:$U$103,MATCH(B93,'15_評価計画・品質ゲート'!$V$4:$V$103,0))))),"Manifest不一致",IF(IF(COUNTIF('15_評価計画・品質ゲート'!$V$4:$V$103,B93)&lt;&gt;1,"参照ID不正",IF(INDEX('15_評価計画・品質ゲート'!$W$4:$W$103,MATCH(B93,'15_評価計画・品質ゲート'!$V$4:$V$103,0))="","",INDEX('15_評価計画・品質ゲート'!$W$4:$W$103,MATCH(B93,'15_評価計画・品質ゲート'!$V$4:$V$103,0))))&lt;&gt;"計画記録あり","計画未承認・不足","計画・構成一致"))))</f>
        <v/>
      </c>
    </row>
    <row r="94" spans="1:25" ht="66" customHeight="1" x14ac:dyDescent="0.2">
      <c r="A94" s="29"/>
      <c r="B94" s="29"/>
      <c r="C94" s="29"/>
      <c r="D94" s="34"/>
      <c r="E94" s="29"/>
      <c r="F94" s="29"/>
      <c r="G94" s="29"/>
      <c r="H94" s="29"/>
      <c r="I94" s="29"/>
      <c r="J94" s="28" t="str">
        <f>IF(A94="","",IF(COUNTIF('15_評価計画・品質ゲート'!$V$4:$V$103,B94)&lt;&gt;1,"参照ID不正",IF(INDEX('15_評価計画・品質ゲート'!$S$4:$S$103,MATCH(B94,'15_評価計画・品質ゲート'!$V$4:$V$103,0))="","",INDEX('15_評価計画・品質ゲート'!$S$4:$S$103,MATCH(B94,'15_評価計画・品質ゲート'!$V$4:$V$103,0)))))</f>
        <v/>
      </c>
      <c r="K94" s="29"/>
      <c r="L94" s="29"/>
      <c r="M94" s="29"/>
      <c r="N94" s="29"/>
      <c r="O94" s="29"/>
      <c r="P94" s="29"/>
      <c r="Q94" s="29"/>
      <c r="R94" s="34"/>
      <c r="S94" s="28" t="str">
        <f>IF(A94="","",IF(COUNTIF($A$4:$A$103,A94)&lt;&gt;1,"Run ID重複",IF(Y94&lt;&gt;"計画・構成一致",Y94,IF(X94&lt;&gt;"","無効化Run",IF(OR(OR(C94="",E94="",F94="",G94="",H94="",I94="",K94="",M94="",N94="",P94="",T94=""),LEN(L94&amp;"")=0,COUNT(D94,R94)&lt;2),"記録不足",IF(OR(AND(D94&lt;&gt;"",OR(NOT(ISNUMBER(D94)),IFERROR(D94&lt;1,TRUE),IFERROR(INT(D94)&gt;INT(AsOfDate),TRUE))),AND(R94&lt;&gt;"",OR(NOT(ISNUMBER(R94)),IFERROR(R94&lt;1,TRUE),IFERROR(INT(R94)&gt;INT(AsOfDate),TRUE)))),"実績日時不正",IF(R94&lt;D94,"評価承認日時逆転",IF(OR(V94="",W94="",V94=W94),"独立確認Person不足",IF(AND(IF(COUNTIF('15_評価計画・品質ゲート'!$V$4:$V$103,B94)&lt;&gt;1,"参照ID不正",IF(INDEX('15_評価計画・品質ゲート'!$A$4:$A$103,MATCH(B94,'15_評価計画・品質ゲート'!$V$4:$V$103,0))="","",INDEX('15_評価計画・品質ゲート'!$A$4:$A$103,MATCH(B94,'15_評価計画・品質ゲート'!$V$4:$V$103,0))))="E05",U94=""),"Trial状態証拠不足",IF(OR(O94="",O94="未判定",O94="無効/再実行"),"評価判定未確定","記録あり・内容審査別"))))))))))</f>
        <v/>
      </c>
      <c r="T94" s="29"/>
      <c r="U94" s="29"/>
      <c r="V94" s="29"/>
      <c r="W94" s="29"/>
      <c r="X94" s="29"/>
      <c r="Y94" s="28" t="str">
        <f>IF(A94="","",IF(COUNTIF(EvalPlanKeys,B94)&lt;&gt;1,"PlanKey不正",IF(OR(T94="",T94&lt;&gt;IF(COUNTIF('15_評価計画・品質ゲート'!$V$4:$V$103,B94)&lt;&gt;1,"参照ID不正",IF(INDEX('15_評価計画・品質ゲート'!$U$4:$U$103,MATCH(B94,'15_評価計画・品質ゲート'!$V$4:$V$103,0))="","",INDEX('15_評価計画・品質ゲート'!$U$4:$U$103,MATCH(B94,'15_評価計画・品質ゲート'!$V$4:$V$103,0))))),"Manifest不一致",IF(IF(COUNTIF('15_評価計画・品質ゲート'!$V$4:$V$103,B94)&lt;&gt;1,"参照ID不正",IF(INDEX('15_評価計画・品質ゲート'!$W$4:$W$103,MATCH(B94,'15_評価計画・品質ゲート'!$V$4:$V$103,0))="","",INDEX('15_評価計画・品質ゲート'!$W$4:$W$103,MATCH(B94,'15_評価計画・品質ゲート'!$V$4:$V$103,0))))&lt;&gt;"計画記録あり","計画未承認・不足","計画・構成一致"))))</f>
        <v/>
      </c>
    </row>
    <row r="95" spans="1:25" ht="66" customHeight="1" x14ac:dyDescent="0.2">
      <c r="A95" s="29"/>
      <c r="B95" s="29"/>
      <c r="C95" s="29"/>
      <c r="D95" s="34"/>
      <c r="E95" s="29"/>
      <c r="F95" s="29"/>
      <c r="G95" s="29"/>
      <c r="H95" s="29"/>
      <c r="I95" s="29"/>
      <c r="J95" s="28" t="str">
        <f>IF(A95="","",IF(COUNTIF('15_評価計画・品質ゲート'!$V$4:$V$103,B95)&lt;&gt;1,"参照ID不正",IF(INDEX('15_評価計画・品質ゲート'!$S$4:$S$103,MATCH(B95,'15_評価計画・品質ゲート'!$V$4:$V$103,0))="","",INDEX('15_評価計画・品質ゲート'!$S$4:$S$103,MATCH(B95,'15_評価計画・品質ゲート'!$V$4:$V$103,0)))))</f>
        <v/>
      </c>
      <c r="K95" s="29"/>
      <c r="L95" s="29"/>
      <c r="M95" s="29"/>
      <c r="N95" s="29"/>
      <c r="O95" s="29"/>
      <c r="P95" s="29"/>
      <c r="Q95" s="29"/>
      <c r="R95" s="34"/>
      <c r="S95" s="28" t="str">
        <f>IF(A95="","",IF(COUNTIF($A$4:$A$103,A95)&lt;&gt;1,"Run ID重複",IF(Y95&lt;&gt;"計画・構成一致",Y95,IF(X95&lt;&gt;"","無効化Run",IF(OR(OR(C95="",E95="",F95="",G95="",H95="",I95="",K95="",M95="",N95="",P95="",T95=""),LEN(L95&amp;"")=0,COUNT(D95,R95)&lt;2),"記録不足",IF(OR(AND(D95&lt;&gt;"",OR(NOT(ISNUMBER(D95)),IFERROR(D95&lt;1,TRUE),IFERROR(INT(D95)&gt;INT(AsOfDate),TRUE))),AND(R95&lt;&gt;"",OR(NOT(ISNUMBER(R95)),IFERROR(R95&lt;1,TRUE),IFERROR(INT(R95)&gt;INT(AsOfDate),TRUE)))),"実績日時不正",IF(R95&lt;D95,"評価承認日時逆転",IF(OR(V95="",W95="",V95=W95),"独立確認Person不足",IF(AND(IF(COUNTIF('15_評価計画・品質ゲート'!$V$4:$V$103,B95)&lt;&gt;1,"参照ID不正",IF(INDEX('15_評価計画・品質ゲート'!$A$4:$A$103,MATCH(B95,'15_評価計画・品質ゲート'!$V$4:$V$103,0))="","",INDEX('15_評価計画・品質ゲート'!$A$4:$A$103,MATCH(B95,'15_評価計画・品質ゲート'!$V$4:$V$103,0))))="E05",U95=""),"Trial状態証拠不足",IF(OR(O95="",O95="未判定",O95="無効/再実行"),"評価判定未確定","記録あり・内容審査別"))))))))))</f>
        <v/>
      </c>
      <c r="T95" s="29"/>
      <c r="U95" s="29"/>
      <c r="V95" s="29"/>
      <c r="W95" s="29"/>
      <c r="X95" s="29"/>
      <c r="Y95" s="28" t="str">
        <f>IF(A95="","",IF(COUNTIF(EvalPlanKeys,B95)&lt;&gt;1,"PlanKey不正",IF(OR(T95="",T95&lt;&gt;IF(COUNTIF('15_評価計画・品質ゲート'!$V$4:$V$103,B95)&lt;&gt;1,"参照ID不正",IF(INDEX('15_評価計画・品質ゲート'!$U$4:$U$103,MATCH(B95,'15_評価計画・品質ゲート'!$V$4:$V$103,0))="","",INDEX('15_評価計画・品質ゲート'!$U$4:$U$103,MATCH(B95,'15_評価計画・品質ゲート'!$V$4:$V$103,0))))),"Manifest不一致",IF(IF(COUNTIF('15_評価計画・品質ゲート'!$V$4:$V$103,B95)&lt;&gt;1,"参照ID不正",IF(INDEX('15_評価計画・品質ゲート'!$W$4:$W$103,MATCH(B95,'15_評価計画・品質ゲート'!$V$4:$V$103,0))="","",INDEX('15_評価計画・品質ゲート'!$W$4:$W$103,MATCH(B95,'15_評価計画・品質ゲート'!$V$4:$V$103,0))))&lt;&gt;"計画記録あり","計画未承認・不足","計画・構成一致"))))</f>
        <v/>
      </c>
    </row>
    <row r="96" spans="1:25" ht="66" customHeight="1" x14ac:dyDescent="0.2">
      <c r="A96" s="29"/>
      <c r="B96" s="29"/>
      <c r="C96" s="29"/>
      <c r="D96" s="34"/>
      <c r="E96" s="29"/>
      <c r="F96" s="29"/>
      <c r="G96" s="29"/>
      <c r="H96" s="29"/>
      <c r="I96" s="29"/>
      <c r="J96" s="28" t="str">
        <f>IF(A96="","",IF(COUNTIF('15_評価計画・品質ゲート'!$V$4:$V$103,B96)&lt;&gt;1,"参照ID不正",IF(INDEX('15_評価計画・品質ゲート'!$S$4:$S$103,MATCH(B96,'15_評価計画・品質ゲート'!$V$4:$V$103,0))="","",INDEX('15_評価計画・品質ゲート'!$S$4:$S$103,MATCH(B96,'15_評価計画・品質ゲート'!$V$4:$V$103,0)))))</f>
        <v/>
      </c>
      <c r="K96" s="29"/>
      <c r="L96" s="29"/>
      <c r="M96" s="29"/>
      <c r="N96" s="29"/>
      <c r="O96" s="29"/>
      <c r="P96" s="29"/>
      <c r="Q96" s="29"/>
      <c r="R96" s="34"/>
      <c r="S96" s="28" t="str">
        <f>IF(A96="","",IF(COUNTIF($A$4:$A$103,A96)&lt;&gt;1,"Run ID重複",IF(Y96&lt;&gt;"計画・構成一致",Y96,IF(X96&lt;&gt;"","無効化Run",IF(OR(OR(C96="",E96="",F96="",G96="",H96="",I96="",K96="",M96="",N96="",P96="",T96=""),LEN(L96&amp;"")=0,COUNT(D96,R96)&lt;2),"記録不足",IF(OR(AND(D96&lt;&gt;"",OR(NOT(ISNUMBER(D96)),IFERROR(D96&lt;1,TRUE),IFERROR(INT(D96)&gt;INT(AsOfDate),TRUE))),AND(R96&lt;&gt;"",OR(NOT(ISNUMBER(R96)),IFERROR(R96&lt;1,TRUE),IFERROR(INT(R96)&gt;INT(AsOfDate),TRUE)))),"実績日時不正",IF(R96&lt;D96,"評価承認日時逆転",IF(OR(V96="",W96="",V96=W96),"独立確認Person不足",IF(AND(IF(COUNTIF('15_評価計画・品質ゲート'!$V$4:$V$103,B96)&lt;&gt;1,"参照ID不正",IF(INDEX('15_評価計画・品質ゲート'!$A$4:$A$103,MATCH(B96,'15_評価計画・品質ゲート'!$V$4:$V$103,0))="","",INDEX('15_評価計画・品質ゲート'!$A$4:$A$103,MATCH(B96,'15_評価計画・品質ゲート'!$V$4:$V$103,0))))="E05",U96=""),"Trial状態証拠不足",IF(OR(O96="",O96="未判定",O96="無効/再実行"),"評価判定未確定","記録あり・内容審査別"))))))))))</f>
        <v/>
      </c>
      <c r="T96" s="29"/>
      <c r="U96" s="29"/>
      <c r="V96" s="29"/>
      <c r="W96" s="29"/>
      <c r="X96" s="29"/>
      <c r="Y96" s="28" t="str">
        <f>IF(A96="","",IF(COUNTIF(EvalPlanKeys,B96)&lt;&gt;1,"PlanKey不正",IF(OR(T96="",T96&lt;&gt;IF(COUNTIF('15_評価計画・品質ゲート'!$V$4:$V$103,B96)&lt;&gt;1,"参照ID不正",IF(INDEX('15_評価計画・品質ゲート'!$U$4:$U$103,MATCH(B96,'15_評価計画・品質ゲート'!$V$4:$V$103,0))="","",INDEX('15_評価計画・品質ゲート'!$U$4:$U$103,MATCH(B96,'15_評価計画・品質ゲート'!$V$4:$V$103,0))))),"Manifest不一致",IF(IF(COUNTIF('15_評価計画・品質ゲート'!$V$4:$V$103,B96)&lt;&gt;1,"参照ID不正",IF(INDEX('15_評価計画・品質ゲート'!$W$4:$W$103,MATCH(B96,'15_評価計画・品質ゲート'!$V$4:$V$103,0))="","",INDEX('15_評価計画・品質ゲート'!$W$4:$W$103,MATCH(B96,'15_評価計画・品質ゲート'!$V$4:$V$103,0))))&lt;&gt;"計画記録あり","計画未承認・不足","計画・構成一致"))))</f>
        <v/>
      </c>
    </row>
    <row r="97" spans="1:25" ht="66" customHeight="1" x14ac:dyDescent="0.2">
      <c r="A97" s="29"/>
      <c r="B97" s="29"/>
      <c r="C97" s="29"/>
      <c r="D97" s="34"/>
      <c r="E97" s="29"/>
      <c r="F97" s="29"/>
      <c r="G97" s="29"/>
      <c r="H97" s="29"/>
      <c r="I97" s="29"/>
      <c r="J97" s="28" t="str">
        <f>IF(A97="","",IF(COUNTIF('15_評価計画・品質ゲート'!$V$4:$V$103,B97)&lt;&gt;1,"参照ID不正",IF(INDEX('15_評価計画・品質ゲート'!$S$4:$S$103,MATCH(B97,'15_評価計画・品質ゲート'!$V$4:$V$103,0))="","",INDEX('15_評価計画・品質ゲート'!$S$4:$S$103,MATCH(B97,'15_評価計画・品質ゲート'!$V$4:$V$103,0)))))</f>
        <v/>
      </c>
      <c r="K97" s="29"/>
      <c r="L97" s="29"/>
      <c r="M97" s="29"/>
      <c r="N97" s="29"/>
      <c r="O97" s="29"/>
      <c r="P97" s="29"/>
      <c r="Q97" s="29"/>
      <c r="R97" s="34"/>
      <c r="S97" s="28" t="str">
        <f>IF(A97="","",IF(COUNTIF($A$4:$A$103,A97)&lt;&gt;1,"Run ID重複",IF(Y97&lt;&gt;"計画・構成一致",Y97,IF(X97&lt;&gt;"","無効化Run",IF(OR(OR(C97="",E97="",F97="",G97="",H97="",I97="",K97="",M97="",N97="",P97="",T97=""),LEN(L97&amp;"")=0,COUNT(D97,R97)&lt;2),"記録不足",IF(OR(AND(D97&lt;&gt;"",OR(NOT(ISNUMBER(D97)),IFERROR(D97&lt;1,TRUE),IFERROR(INT(D97)&gt;INT(AsOfDate),TRUE))),AND(R97&lt;&gt;"",OR(NOT(ISNUMBER(R97)),IFERROR(R97&lt;1,TRUE),IFERROR(INT(R97)&gt;INT(AsOfDate),TRUE)))),"実績日時不正",IF(R97&lt;D97,"評価承認日時逆転",IF(OR(V97="",W97="",V97=W97),"独立確認Person不足",IF(AND(IF(COUNTIF('15_評価計画・品質ゲート'!$V$4:$V$103,B97)&lt;&gt;1,"参照ID不正",IF(INDEX('15_評価計画・品質ゲート'!$A$4:$A$103,MATCH(B97,'15_評価計画・品質ゲート'!$V$4:$V$103,0))="","",INDEX('15_評価計画・品質ゲート'!$A$4:$A$103,MATCH(B97,'15_評価計画・品質ゲート'!$V$4:$V$103,0))))="E05",U97=""),"Trial状態証拠不足",IF(OR(O97="",O97="未判定",O97="無効/再実行"),"評価判定未確定","記録あり・内容審査別"))))))))))</f>
        <v/>
      </c>
      <c r="T97" s="29"/>
      <c r="U97" s="29"/>
      <c r="V97" s="29"/>
      <c r="W97" s="29"/>
      <c r="X97" s="29"/>
      <c r="Y97" s="28" t="str">
        <f>IF(A97="","",IF(COUNTIF(EvalPlanKeys,B97)&lt;&gt;1,"PlanKey不正",IF(OR(T97="",T97&lt;&gt;IF(COUNTIF('15_評価計画・品質ゲート'!$V$4:$V$103,B97)&lt;&gt;1,"参照ID不正",IF(INDEX('15_評価計画・品質ゲート'!$U$4:$U$103,MATCH(B97,'15_評価計画・品質ゲート'!$V$4:$V$103,0))="","",INDEX('15_評価計画・品質ゲート'!$U$4:$U$103,MATCH(B97,'15_評価計画・品質ゲート'!$V$4:$V$103,0))))),"Manifest不一致",IF(IF(COUNTIF('15_評価計画・品質ゲート'!$V$4:$V$103,B97)&lt;&gt;1,"参照ID不正",IF(INDEX('15_評価計画・品質ゲート'!$W$4:$W$103,MATCH(B97,'15_評価計画・品質ゲート'!$V$4:$V$103,0))="","",INDEX('15_評価計画・品質ゲート'!$W$4:$W$103,MATCH(B97,'15_評価計画・品質ゲート'!$V$4:$V$103,0))))&lt;&gt;"計画記録あり","計画未承認・不足","計画・構成一致"))))</f>
        <v/>
      </c>
    </row>
    <row r="98" spans="1:25" ht="66" customHeight="1" x14ac:dyDescent="0.2">
      <c r="A98" s="29"/>
      <c r="B98" s="29"/>
      <c r="C98" s="29"/>
      <c r="D98" s="34"/>
      <c r="E98" s="29"/>
      <c r="F98" s="29"/>
      <c r="G98" s="29"/>
      <c r="H98" s="29"/>
      <c r="I98" s="29"/>
      <c r="J98" s="28" t="str">
        <f>IF(A98="","",IF(COUNTIF('15_評価計画・品質ゲート'!$V$4:$V$103,B98)&lt;&gt;1,"参照ID不正",IF(INDEX('15_評価計画・品質ゲート'!$S$4:$S$103,MATCH(B98,'15_評価計画・品質ゲート'!$V$4:$V$103,0))="","",INDEX('15_評価計画・品質ゲート'!$S$4:$S$103,MATCH(B98,'15_評価計画・品質ゲート'!$V$4:$V$103,0)))))</f>
        <v/>
      </c>
      <c r="K98" s="29"/>
      <c r="L98" s="29"/>
      <c r="M98" s="29"/>
      <c r="N98" s="29"/>
      <c r="O98" s="29"/>
      <c r="P98" s="29"/>
      <c r="Q98" s="29"/>
      <c r="R98" s="34"/>
      <c r="S98" s="28" t="str">
        <f>IF(A98="","",IF(COUNTIF($A$4:$A$103,A98)&lt;&gt;1,"Run ID重複",IF(Y98&lt;&gt;"計画・構成一致",Y98,IF(X98&lt;&gt;"","無効化Run",IF(OR(OR(C98="",E98="",F98="",G98="",H98="",I98="",K98="",M98="",N98="",P98="",T98=""),LEN(L98&amp;"")=0,COUNT(D98,R98)&lt;2),"記録不足",IF(OR(AND(D98&lt;&gt;"",OR(NOT(ISNUMBER(D98)),IFERROR(D98&lt;1,TRUE),IFERROR(INT(D98)&gt;INT(AsOfDate),TRUE))),AND(R98&lt;&gt;"",OR(NOT(ISNUMBER(R98)),IFERROR(R98&lt;1,TRUE),IFERROR(INT(R98)&gt;INT(AsOfDate),TRUE)))),"実績日時不正",IF(R98&lt;D98,"評価承認日時逆転",IF(OR(V98="",W98="",V98=W98),"独立確認Person不足",IF(AND(IF(COUNTIF('15_評価計画・品質ゲート'!$V$4:$V$103,B98)&lt;&gt;1,"参照ID不正",IF(INDEX('15_評価計画・品質ゲート'!$A$4:$A$103,MATCH(B98,'15_評価計画・品質ゲート'!$V$4:$V$103,0))="","",INDEX('15_評価計画・品質ゲート'!$A$4:$A$103,MATCH(B98,'15_評価計画・品質ゲート'!$V$4:$V$103,0))))="E05",U98=""),"Trial状態証拠不足",IF(OR(O98="",O98="未判定",O98="無効/再実行"),"評価判定未確定","記録あり・内容審査別"))))))))))</f>
        <v/>
      </c>
      <c r="T98" s="29"/>
      <c r="U98" s="29"/>
      <c r="V98" s="29"/>
      <c r="W98" s="29"/>
      <c r="X98" s="29"/>
      <c r="Y98" s="28" t="str">
        <f>IF(A98="","",IF(COUNTIF(EvalPlanKeys,B98)&lt;&gt;1,"PlanKey不正",IF(OR(T98="",T98&lt;&gt;IF(COUNTIF('15_評価計画・品質ゲート'!$V$4:$V$103,B98)&lt;&gt;1,"参照ID不正",IF(INDEX('15_評価計画・品質ゲート'!$U$4:$U$103,MATCH(B98,'15_評価計画・品質ゲート'!$V$4:$V$103,0))="","",INDEX('15_評価計画・品質ゲート'!$U$4:$U$103,MATCH(B98,'15_評価計画・品質ゲート'!$V$4:$V$103,0))))),"Manifest不一致",IF(IF(COUNTIF('15_評価計画・品質ゲート'!$V$4:$V$103,B98)&lt;&gt;1,"参照ID不正",IF(INDEX('15_評価計画・品質ゲート'!$W$4:$W$103,MATCH(B98,'15_評価計画・品質ゲート'!$V$4:$V$103,0))="","",INDEX('15_評価計画・品質ゲート'!$W$4:$W$103,MATCH(B98,'15_評価計画・品質ゲート'!$V$4:$V$103,0))))&lt;&gt;"計画記録あり","計画未承認・不足","計画・構成一致"))))</f>
        <v/>
      </c>
    </row>
    <row r="99" spans="1:25" ht="66" customHeight="1" x14ac:dyDescent="0.2">
      <c r="A99" s="29"/>
      <c r="B99" s="29"/>
      <c r="C99" s="29"/>
      <c r="D99" s="34"/>
      <c r="E99" s="29"/>
      <c r="F99" s="29"/>
      <c r="G99" s="29"/>
      <c r="H99" s="29"/>
      <c r="I99" s="29"/>
      <c r="J99" s="28" t="str">
        <f>IF(A99="","",IF(COUNTIF('15_評価計画・品質ゲート'!$V$4:$V$103,B99)&lt;&gt;1,"参照ID不正",IF(INDEX('15_評価計画・品質ゲート'!$S$4:$S$103,MATCH(B99,'15_評価計画・品質ゲート'!$V$4:$V$103,0))="","",INDEX('15_評価計画・品質ゲート'!$S$4:$S$103,MATCH(B99,'15_評価計画・品質ゲート'!$V$4:$V$103,0)))))</f>
        <v/>
      </c>
      <c r="K99" s="29"/>
      <c r="L99" s="29"/>
      <c r="M99" s="29"/>
      <c r="N99" s="29"/>
      <c r="O99" s="29"/>
      <c r="P99" s="29"/>
      <c r="Q99" s="29"/>
      <c r="R99" s="34"/>
      <c r="S99" s="28" t="str">
        <f>IF(A99="","",IF(COUNTIF($A$4:$A$103,A99)&lt;&gt;1,"Run ID重複",IF(Y99&lt;&gt;"計画・構成一致",Y99,IF(X99&lt;&gt;"","無効化Run",IF(OR(OR(C99="",E99="",F99="",G99="",H99="",I99="",K99="",M99="",N99="",P99="",T99=""),LEN(L99&amp;"")=0,COUNT(D99,R99)&lt;2),"記録不足",IF(OR(AND(D99&lt;&gt;"",OR(NOT(ISNUMBER(D99)),IFERROR(D99&lt;1,TRUE),IFERROR(INT(D99)&gt;INT(AsOfDate),TRUE))),AND(R99&lt;&gt;"",OR(NOT(ISNUMBER(R99)),IFERROR(R99&lt;1,TRUE),IFERROR(INT(R99)&gt;INT(AsOfDate),TRUE)))),"実績日時不正",IF(R99&lt;D99,"評価承認日時逆転",IF(OR(V99="",W99="",V99=W99),"独立確認Person不足",IF(AND(IF(COUNTIF('15_評価計画・品質ゲート'!$V$4:$V$103,B99)&lt;&gt;1,"参照ID不正",IF(INDEX('15_評価計画・品質ゲート'!$A$4:$A$103,MATCH(B99,'15_評価計画・品質ゲート'!$V$4:$V$103,0))="","",INDEX('15_評価計画・品質ゲート'!$A$4:$A$103,MATCH(B99,'15_評価計画・品質ゲート'!$V$4:$V$103,0))))="E05",U99=""),"Trial状態証拠不足",IF(OR(O99="",O99="未判定",O99="無効/再実行"),"評価判定未確定","記録あり・内容審査別"))))))))))</f>
        <v/>
      </c>
      <c r="T99" s="29"/>
      <c r="U99" s="29"/>
      <c r="V99" s="29"/>
      <c r="W99" s="29"/>
      <c r="X99" s="29"/>
      <c r="Y99" s="28" t="str">
        <f>IF(A99="","",IF(COUNTIF(EvalPlanKeys,B99)&lt;&gt;1,"PlanKey不正",IF(OR(T99="",T99&lt;&gt;IF(COUNTIF('15_評価計画・品質ゲート'!$V$4:$V$103,B99)&lt;&gt;1,"参照ID不正",IF(INDEX('15_評価計画・品質ゲート'!$U$4:$U$103,MATCH(B99,'15_評価計画・品質ゲート'!$V$4:$V$103,0))="","",INDEX('15_評価計画・品質ゲート'!$U$4:$U$103,MATCH(B99,'15_評価計画・品質ゲート'!$V$4:$V$103,0))))),"Manifest不一致",IF(IF(COUNTIF('15_評価計画・品質ゲート'!$V$4:$V$103,B99)&lt;&gt;1,"参照ID不正",IF(INDEX('15_評価計画・品質ゲート'!$W$4:$W$103,MATCH(B99,'15_評価計画・品質ゲート'!$V$4:$V$103,0))="","",INDEX('15_評価計画・品質ゲート'!$W$4:$W$103,MATCH(B99,'15_評価計画・品質ゲート'!$V$4:$V$103,0))))&lt;&gt;"計画記録あり","計画未承認・不足","計画・構成一致"))))</f>
        <v/>
      </c>
    </row>
    <row r="100" spans="1:25" ht="66" customHeight="1" x14ac:dyDescent="0.2">
      <c r="A100" s="29"/>
      <c r="B100" s="29"/>
      <c r="C100" s="29"/>
      <c r="D100" s="34"/>
      <c r="E100" s="29"/>
      <c r="F100" s="29"/>
      <c r="G100" s="29"/>
      <c r="H100" s="29"/>
      <c r="I100" s="29"/>
      <c r="J100" s="28" t="str">
        <f>IF(A100="","",IF(COUNTIF('15_評価計画・品質ゲート'!$V$4:$V$103,B100)&lt;&gt;1,"参照ID不正",IF(INDEX('15_評価計画・品質ゲート'!$S$4:$S$103,MATCH(B100,'15_評価計画・品質ゲート'!$V$4:$V$103,0))="","",INDEX('15_評価計画・品質ゲート'!$S$4:$S$103,MATCH(B100,'15_評価計画・品質ゲート'!$V$4:$V$103,0)))))</f>
        <v/>
      </c>
      <c r="K100" s="29"/>
      <c r="L100" s="29"/>
      <c r="M100" s="29"/>
      <c r="N100" s="29"/>
      <c r="O100" s="29"/>
      <c r="P100" s="29"/>
      <c r="Q100" s="29"/>
      <c r="R100" s="34"/>
      <c r="S100" s="28" t="str">
        <f>IF(A100="","",IF(COUNTIF($A$4:$A$103,A100)&lt;&gt;1,"Run ID重複",IF(Y100&lt;&gt;"計画・構成一致",Y100,IF(X100&lt;&gt;"","無効化Run",IF(OR(OR(C100="",E100="",F100="",G100="",H100="",I100="",K100="",M100="",N100="",P100="",T100=""),LEN(L100&amp;"")=0,COUNT(D100,R100)&lt;2),"記録不足",IF(OR(AND(D100&lt;&gt;"",OR(NOT(ISNUMBER(D100)),IFERROR(D100&lt;1,TRUE),IFERROR(INT(D100)&gt;INT(AsOfDate),TRUE))),AND(R100&lt;&gt;"",OR(NOT(ISNUMBER(R100)),IFERROR(R100&lt;1,TRUE),IFERROR(INT(R100)&gt;INT(AsOfDate),TRUE)))),"実績日時不正",IF(R100&lt;D100,"評価承認日時逆転",IF(OR(V100="",W100="",V100=W100),"独立確認Person不足",IF(AND(IF(COUNTIF('15_評価計画・品質ゲート'!$V$4:$V$103,B100)&lt;&gt;1,"参照ID不正",IF(INDEX('15_評価計画・品質ゲート'!$A$4:$A$103,MATCH(B100,'15_評価計画・品質ゲート'!$V$4:$V$103,0))="","",INDEX('15_評価計画・品質ゲート'!$A$4:$A$103,MATCH(B100,'15_評価計画・品質ゲート'!$V$4:$V$103,0))))="E05",U100=""),"Trial状態証拠不足",IF(OR(O100="",O100="未判定",O100="無効/再実行"),"評価判定未確定","記録あり・内容審査別"))))))))))</f>
        <v/>
      </c>
      <c r="T100" s="29"/>
      <c r="U100" s="29"/>
      <c r="V100" s="29"/>
      <c r="W100" s="29"/>
      <c r="X100" s="29"/>
      <c r="Y100" s="28" t="str">
        <f>IF(A100="","",IF(COUNTIF(EvalPlanKeys,B100)&lt;&gt;1,"PlanKey不正",IF(OR(T100="",T100&lt;&gt;IF(COUNTIF('15_評価計画・品質ゲート'!$V$4:$V$103,B100)&lt;&gt;1,"参照ID不正",IF(INDEX('15_評価計画・品質ゲート'!$U$4:$U$103,MATCH(B100,'15_評価計画・品質ゲート'!$V$4:$V$103,0))="","",INDEX('15_評価計画・品質ゲート'!$U$4:$U$103,MATCH(B100,'15_評価計画・品質ゲート'!$V$4:$V$103,0))))),"Manifest不一致",IF(IF(COUNTIF('15_評価計画・品質ゲート'!$V$4:$V$103,B100)&lt;&gt;1,"参照ID不正",IF(INDEX('15_評価計画・品質ゲート'!$W$4:$W$103,MATCH(B100,'15_評価計画・品質ゲート'!$V$4:$V$103,0))="","",INDEX('15_評価計画・品質ゲート'!$W$4:$W$103,MATCH(B100,'15_評価計画・品質ゲート'!$V$4:$V$103,0))))&lt;&gt;"計画記録あり","計画未承認・不足","計画・構成一致"))))</f>
        <v/>
      </c>
    </row>
    <row r="101" spans="1:25" ht="66" customHeight="1" x14ac:dyDescent="0.2">
      <c r="A101" s="29"/>
      <c r="B101" s="29"/>
      <c r="C101" s="29"/>
      <c r="D101" s="34"/>
      <c r="E101" s="29"/>
      <c r="F101" s="29"/>
      <c r="G101" s="29"/>
      <c r="H101" s="29"/>
      <c r="I101" s="29"/>
      <c r="J101" s="28" t="str">
        <f>IF(A101="","",IF(COUNTIF('15_評価計画・品質ゲート'!$V$4:$V$103,B101)&lt;&gt;1,"参照ID不正",IF(INDEX('15_評価計画・品質ゲート'!$S$4:$S$103,MATCH(B101,'15_評価計画・品質ゲート'!$V$4:$V$103,0))="","",INDEX('15_評価計画・品質ゲート'!$S$4:$S$103,MATCH(B101,'15_評価計画・品質ゲート'!$V$4:$V$103,0)))))</f>
        <v/>
      </c>
      <c r="K101" s="29"/>
      <c r="L101" s="29"/>
      <c r="M101" s="29"/>
      <c r="N101" s="29"/>
      <c r="O101" s="29"/>
      <c r="P101" s="29"/>
      <c r="Q101" s="29"/>
      <c r="R101" s="34"/>
      <c r="S101" s="28" t="str">
        <f>IF(A101="","",IF(COUNTIF($A$4:$A$103,A101)&lt;&gt;1,"Run ID重複",IF(Y101&lt;&gt;"計画・構成一致",Y101,IF(X101&lt;&gt;"","無効化Run",IF(OR(OR(C101="",E101="",F101="",G101="",H101="",I101="",K101="",M101="",N101="",P101="",T101=""),LEN(L101&amp;"")=0,COUNT(D101,R101)&lt;2),"記録不足",IF(OR(AND(D101&lt;&gt;"",OR(NOT(ISNUMBER(D101)),IFERROR(D101&lt;1,TRUE),IFERROR(INT(D101)&gt;INT(AsOfDate),TRUE))),AND(R101&lt;&gt;"",OR(NOT(ISNUMBER(R101)),IFERROR(R101&lt;1,TRUE),IFERROR(INT(R101)&gt;INT(AsOfDate),TRUE)))),"実績日時不正",IF(R101&lt;D101,"評価承認日時逆転",IF(OR(V101="",W101="",V101=W101),"独立確認Person不足",IF(AND(IF(COUNTIF('15_評価計画・品質ゲート'!$V$4:$V$103,B101)&lt;&gt;1,"参照ID不正",IF(INDEX('15_評価計画・品質ゲート'!$A$4:$A$103,MATCH(B101,'15_評価計画・品質ゲート'!$V$4:$V$103,0))="","",INDEX('15_評価計画・品質ゲート'!$A$4:$A$103,MATCH(B101,'15_評価計画・品質ゲート'!$V$4:$V$103,0))))="E05",U101=""),"Trial状態証拠不足",IF(OR(O101="",O101="未判定",O101="無効/再実行"),"評価判定未確定","記録あり・内容審査別"))))))))))</f>
        <v/>
      </c>
      <c r="T101" s="29"/>
      <c r="U101" s="29"/>
      <c r="V101" s="29"/>
      <c r="W101" s="29"/>
      <c r="X101" s="29"/>
      <c r="Y101" s="28" t="str">
        <f>IF(A101="","",IF(COUNTIF(EvalPlanKeys,B101)&lt;&gt;1,"PlanKey不正",IF(OR(T101="",T101&lt;&gt;IF(COUNTIF('15_評価計画・品質ゲート'!$V$4:$V$103,B101)&lt;&gt;1,"参照ID不正",IF(INDEX('15_評価計画・品質ゲート'!$U$4:$U$103,MATCH(B101,'15_評価計画・品質ゲート'!$V$4:$V$103,0))="","",INDEX('15_評価計画・品質ゲート'!$U$4:$U$103,MATCH(B101,'15_評価計画・品質ゲート'!$V$4:$V$103,0))))),"Manifest不一致",IF(IF(COUNTIF('15_評価計画・品質ゲート'!$V$4:$V$103,B101)&lt;&gt;1,"参照ID不正",IF(INDEX('15_評価計画・品質ゲート'!$W$4:$W$103,MATCH(B101,'15_評価計画・品質ゲート'!$V$4:$V$103,0))="","",INDEX('15_評価計画・品質ゲート'!$W$4:$W$103,MATCH(B101,'15_評価計画・品質ゲート'!$V$4:$V$103,0))))&lt;&gt;"計画記録あり","計画未承認・不足","計画・構成一致"))))</f>
        <v/>
      </c>
    </row>
    <row r="102" spans="1:25" ht="66" customHeight="1" x14ac:dyDescent="0.2">
      <c r="A102" s="29"/>
      <c r="B102" s="29"/>
      <c r="C102" s="29"/>
      <c r="D102" s="34"/>
      <c r="E102" s="29"/>
      <c r="F102" s="29"/>
      <c r="G102" s="29"/>
      <c r="H102" s="29"/>
      <c r="I102" s="29"/>
      <c r="J102" s="28" t="str">
        <f>IF(A102="","",IF(COUNTIF('15_評価計画・品質ゲート'!$V$4:$V$103,B102)&lt;&gt;1,"参照ID不正",IF(INDEX('15_評価計画・品質ゲート'!$S$4:$S$103,MATCH(B102,'15_評価計画・品質ゲート'!$V$4:$V$103,0))="","",INDEX('15_評価計画・品質ゲート'!$S$4:$S$103,MATCH(B102,'15_評価計画・品質ゲート'!$V$4:$V$103,0)))))</f>
        <v/>
      </c>
      <c r="K102" s="29"/>
      <c r="L102" s="29"/>
      <c r="M102" s="29"/>
      <c r="N102" s="29"/>
      <c r="O102" s="29"/>
      <c r="P102" s="29"/>
      <c r="Q102" s="29"/>
      <c r="R102" s="34"/>
      <c r="S102" s="28" t="str">
        <f>IF(A102="","",IF(COUNTIF($A$4:$A$103,A102)&lt;&gt;1,"Run ID重複",IF(Y102&lt;&gt;"計画・構成一致",Y102,IF(X102&lt;&gt;"","無効化Run",IF(OR(OR(C102="",E102="",F102="",G102="",H102="",I102="",K102="",M102="",N102="",P102="",T102=""),LEN(L102&amp;"")=0,COUNT(D102,R102)&lt;2),"記録不足",IF(OR(AND(D102&lt;&gt;"",OR(NOT(ISNUMBER(D102)),IFERROR(D102&lt;1,TRUE),IFERROR(INT(D102)&gt;INT(AsOfDate),TRUE))),AND(R102&lt;&gt;"",OR(NOT(ISNUMBER(R102)),IFERROR(R102&lt;1,TRUE),IFERROR(INT(R102)&gt;INT(AsOfDate),TRUE)))),"実績日時不正",IF(R102&lt;D102,"評価承認日時逆転",IF(OR(V102="",W102="",V102=W102),"独立確認Person不足",IF(AND(IF(COUNTIF('15_評価計画・品質ゲート'!$V$4:$V$103,B102)&lt;&gt;1,"参照ID不正",IF(INDEX('15_評価計画・品質ゲート'!$A$4:$A$103,MATCH(B102,'15_評価計画・品質ゲート'!$V$4:$V$103,0))="","",INDEX('15_評価計画・品質ゲート'!$A$4:$A$103,MATCH(B102,'15_評価計画・品質ゲート'!$V$4:$V$103,0))))="E05",U102=""),"Trial状態証拠不足",IF(OR(O102="",O102="未判定",O102="無効/再実行"),"評価判定未確定","記録あり・内容審査別"))))))))))</f>
        <v/>
      </c>
      <c r="T102" s="29"/>
      <c r="U102" s="29"/>
      <c r="V102" s="29"/>
      <c r="W102" s="29"/>
      <c r="X102" s="29"/>
      <c r="Y102" s="28" t="str">
        <f>IF(A102="","",IF(COUNTIF(EvalPlanKeys,B102)&lt;&gt;1,"PlanKey不正",IF(OR(T102="",T102&lt;&gt;IF(COUNTIF('15_評価計画・品質ゲート'!$V$4:$V$103,B102)&lt;&gt;1,"参照ID不正",IF(INDEX('15_評価計画・品質ゲート'!$U$4:$U$103,MATCH(B102,'15_評価計画・品質ゲート'!$V$4:$V$103,0))="","",INDEX('15_評価計画・品質ゲート'!$U$4:$U$103,MATCH(B102,'15_評価計画・品質ゲート'!$V$4:$V$103,0))))),"Manifest不一致",IF(IF(COUNTIF('15_評価計画・品質ゲート'!$V$4:$V$103,B102)&lt;&gt;1,"参照ID不正",IF(INDEX('15_評価計画・品質ゲート'!$W$4:$W$103,MATCH(B102,'15_評価計画・品質ゲート'!$V$4:$V$103,0))="","",INDEX('15_評価計画・品質ゲート'!$W$4:$W$103,MATCH(B102,'15_評価計画・品質ゲート'!$V$4:$V$103,0))))&lt;&gt;"計画記録あり","計画未承認・不足","計画・構成一致"))))</f>
        <v/>
      </c>
    </row>
    <row r="103" spans="1:25" ht="66" customHeight="1" x14ac:dyDescent="0.2">
      <c r="A103" s="29"/>
      <c r="B103" s="29"/>
      <c r="C103" s="29"/>
      <c r="D103" s="34"/>
      <c r="E103" s="29"/>
      <c r="F103" s="29"/>
      <c r="G103" s="29"/>
      <c r="H103" s="29"/>
      <c r="I103" s="29"/>
      <c r="J103" s="28" t="str">
        <f>IF(A103="","",IF(COUNTIF('15_評価計画・品質ゲート'!$V$4:$V$103,B103)&lt;&gt;1,"参照ID不正",IF(INDEX('15_評価計画・品質ゲート'!$S$4:$S$103,MATCH(B103,'15_評価計画・品質ゲート'!$V$4:$V$103,0))="","",INDEX('15_評価計画・品質ゲート'!$S$4:$S$103,MATCH(B103,'15_評価計画・品質ゲート'!$V$4:$V$103,0)))))</f>
        <v/>
      </c>
      <c r="K103" s="29"/>
      <c r="L103" s="29"/>
      <c r="M103" s="29"/>
      <c r="N103" s="29"/>
      <c r="O103" s="29"/>
      <c r="P103" s="29"/>
      <c r="Q103" s="29"/>
      <c r="R103" s="34"/>
      <c r="S103" s="28" t="str">
        <f>IF(A103="","",IF(COUNTIF($A$4:$A$103,A103)&lt;&gt;1,"Run ID重複",IF(Y103&lt;&gt;"計画・構成一致",Y103,IF(X103&lt;&gt;"","無効化Run",IF(OR(OR(C103="",E103="",F103="",G103="",H103="",I103="",K103="",M103="",N103="",P103="",T103=""),LEN(L103&amp;"")=0,COUNT(D103,R103)&lt;2),"記録不足",IF(OR(AND(D103&lt;&gt;"",OR(NOT(ISNUMBER(D103)),IFERROR(D103&lt;1,TRUE),IFERROR(INT(D103)&gt;INT(AsOfDate),TRUE))),AND(R103&lt;&gt;"",OR(NOT(ISNUMBER(R103)),IFERROR(R103&lt;1,TRUE),IFERROR(INT(R103)&gt;INT(AsOfDate),TRUE)))),"実績日時不正",IF(R103&lt;D103,"評価承認日時逆転",IF(OR(V103="",W103="",V103=W103),"独立確認Person不足",IF(AND(IF(COUNTIF('15_評価計画・品質ゲート'!$V$4:$V$103,B103)&lt;&gt;1,"参照ID不正",IF(INDEX('15_評価計画・品質ゲート'!$A$4:$A$103,MATCH(B103,'15_評価計画・品質ゲート'!$V$4:$V$103,0))="","",INDEX('15_評価計画・品質ゲート'!$A$4:$A$103,MATCH(B103,'15_評価計画・品質ゲート'!$V$4:$V$103,0))))="E05",U103=""),"Trial状態証拠不足",IF(OR(O103="",O103="未判定",O103="無効/再実行"),"評価判定未確定","記録あり・内容審査別"))))))))))</f>
        <v/>
      </c>
      <c r="T103" s="29"/>
      <c r="U103" s="29"/>
      <c r="V103" s="29"/>
      <c r="W103" s="29"/>
      <c r="X103" s="29"/>
      <c r="Y103" s="28" t="str">
        <f>IF(A103="","",IF(COUNTIF(EvalPlanKeys,B103)&lt;&gt;1,"PlanKey不正",IF(OR(T103="",T103&lt;&gt;IF(COUNTIF('15_評価計画・品質ゲート'!$V$4:$V$103,B103)&lt;&gt;1,"参照ID不正",IF(INDEX('15_評価計画・品質ゲート'!$U$4:$U$103,MATCH(B103,'15_評価計画・品質ゲート'!$V$4:$V$103,0))="","",INDEX('15_評価計画・品質ゲート'!$U$4:$U$103,MATCH(B103,'15_評価計画・品質ゲート'!$V$4:$V$103,0))))),"Manifest不一致",IF(IF(COUNTIF('15_評価計画・品質ゲート'!$V$4:$V$103,B103)&lt;&gt;1,"参照ID不正",IF(INDEX('15_評価計画・品質ゲート'!$W$4:$W$103,MATCH(B103,'15_評価計画・品質ゲート'!$V$4:$V$103,0))="","",INDEX('15_評価計画・品質ゲート'!$W$4:$W$103,MATCH(B103,'15_評価計画・品質ゲート'!$V$4:$V$103,0))))&lt;&gt;"計画記録あり","計画未承認・不足","計画・構成一致"))))</f>
        <v/>
      </c>
    </row>
  </sheetData>
  <autoFilter ref="A3:Y103" xr:uid="{00000000-0009-0000-0000-000010000000}"/>
  <mergeCells count="2">
    <mergeCell ref="A2:I2"/>
    <mergeCell ref="A1:G1"/>
  </mergeCells>
  <phoneticPr fontId="12"/>
  <conditionalFormatting sqref="S4:S63">
    <cfRule type="expression" dxfId="66" priority="1">
      <formula>ISNUMBER(SEARCH("不足",S4))</formula>
    </cfRule>
    <cfRule type="expression" dxfId="65" priority="2">
      <formula>ISNUMBER(SEARCH("不正",S4))</formula>
    </cfRule>
    <cfRule type="expression" dxfId="64" priority="3">
      <formula>ISNUMBER(SEARCH("未判定",S4))</formula>
    </cfRule>
    <cfRule type="expression" dxfId="63" priority="4">
      <formula>ISNUMBER(SEARCH("未承認",S4))</formula>
    </cfRule>
    <cfRule type="expression" dxfId="62" priority="5">
      <formula>ISNUMBER(SEARCH("超過",S4))</formula>
    </cfRule>
    <cfRule type="expression" dxfId="61" priority="6">
      <formula>ISNUMBER(SEARCH("要確認",S4))</formula>
    </cfRule>
  </conditionalFormatting>
  <conditionalFormatting sqref="S4:S103">
    <cfRule type="expression" dxfId="60" priority="7">
      <formula>OR(ISNUMBER(SEARCH("不正",S4)),ISNUMBER(SEARCH("不足",S4)),ISNUMBER(SEARCH("超過",S4)),ISNUMBER(SEARCH("不一致",S4)),ISNUMBER(SEARCH("失効",S4)),ISNUMBER(SEARCH("矛盾",S4)))</formula>
    </cfRule>
  </conditionalFormatting>
  <conditionalFormatting sqref="Y4:Y103">
    <cfRule type="expression" dxfId="59" priority="8">
      <formula>OR(ISNUMBER(SEARCH("不正",Y4)),ISNUMBER(SEARCH("不足",Y4)),ISNUMBER(SEARCH("超過",Y4)),ISNUMBER(SEARCH("不一致",Y4)),ISNUMBER(SEARCH("失効",Y4)),ISNUMBER(SEARCH("矛盾",Y4)))</formula>
    </cfRule>
  </conditionalFormatting>
  <dataValidations count="2">
    <dataValidation type="list" allowBlank="1" showErrorMessage="1" errorTitle="入力値を確認" error="候補・値域を確認してください。貼付や外部取込後も点検が必要です。" sqref="B4:B103" xr:uid="{00000000-0002-0000-1000-000000000000}">
      <formula1>EvalPlanKeys</formula1>
    </dataValidation>
    <dataValidation type="list" allowBlank="1" showErrorMessage="1" errorTitle="入力値を確認" error="候補・値域を確認してください。貼付や外部取込後も点検が必要です。" sqref="O4:O103" xr:uid="{00000000-0002-0000-1000-000001000000}">
      <formula1>"未判定,合格,不合格,条件付,無効/再実行"</formula1>
    </dataValidation>
  </dataValidations>
  <pageMargins left="0.25" right="0.25" top="0.4" bottom="0.4" header="0.5" footer="0.5"/>
  <pageSetup paperSize="8" fitToHeight="0" orientation="landscape"/>
  <headerFooter>
    <oddFooter>&amp;CAI自社事業PJ v1.0 | &amp;A&amp;R&amp;P / &amp;N</oddFooter>
  </headerFooter>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5494"/>
    <outlinePr summaryRight="0"/>
    <pageSetUpPr fitToPage="1"/>
  </sheetPr>
  <dimension ref="A1:BF135"/>
  <sheetViews>
    <sheetView showGridLines="0" zoomScale="80" workbookViewId="0">
      <pane xSplit="3" ySplit="3" topLeftCell="D4" activePane="bottomRight" state="frozen"/>
      <selection pane="topRight"/>
      <selection pane="bottomLeft"/>
      <selection pane="bottomRight"/>
    </sheetView>
  </sheetViews>
  <sheetFormatPr defaultRowHeight="13" outlineLevelCol="1" x14ac:dyDescent="0.2"/>
  <cols>
    <col min="1" max="1" width="13" customWidth="1"/>
    <col min="2" max="2" width="15" customWidth="1"/>
    <col min="3" max="3" width="43" customWidth="1"/>
    <col min="4" max="4" width="44" customWidth="1"/>
    <col min="5" max="5" width="19" customWidth="1"/>
    <col min="6" max="6" width="65" customWidth="1"/>
    <col min="7" max="7" width="24" customWidth="1"/>
    <col min="8" max="12" width="19" customWidth="1"/>
    <col min="13" max="13" width="64" customWidth="1"/>
    <col min="14" max="14" width="25" customWidth="1"/>
    <col min="15" max="15" width="20" customWidth="1"/>
    <col min="16" max="17" width="18" customWidth="1"/>
    <col min="18" max="18" width="55" customWidth="1"/>
    <col min="19" max="19" width="30" customWidth="1"/>
    <col min="20" max="20" width="28" customWidth="1"/>
    <col min="21" max="21" width="20" customWidth="1"/>
    <col min="22" max="22" width="57" customWidth="1"/>
    <col min="23" max="23" width="30" customWidth="1"/>
    <col min="24" max="24" width="29" customWidth="1"/>
    <col min="25" max="25" width="23" customWidth="1"/>
    <col min="26" max="26" width="33" customWidth="1"/>
    <col min="27" max="27" width="16" customWidth="1"/>
    <col min="28" max="28" width="15" hidden="1" customWidth="1" outlineLevel="1"/>
    <col min="29" max="43" width="13" customWidth="1"/>
    <col min="44" max="45" width="19" customWidth="1"/>
    <col min="46" max="54" width="21" customWidth="1"/>
    <col min="55" max="56" width="26" customWidth="1"/>
    <col min="57" max="58" width="21" customWidth="1"/>
  </cols>
  <sheetData>
    <row r="1" spans="1:58" ht="34" customHeight="1" x14ac:dyDescent="0.55000000000000004">
      <c r="A1" s="44" t="s">
        <v>3576</v>
      </c>
      <c r="B1" s="45"/>
      <c r="C1" s="45"/>
      <c r="D1" s="45"/>
      <c r="E1" s="45"/>
      <c r="F1" s="45"/>
      <c r="G1" s="45"/>
    </row>
    <row r="2" spans="1:58" ht="43" customHeight="1" x14ac:dyDescent="0.2">
      <c r="A2" s="47" t="s">
        <v>3577</v>
      </c>
      <c r="B2" s="45"/>
      <c r="C2" s="45"/>
      <c r="D2" s="45"/>
      <c r="E2" s="45"/>
      <c r="F2" s="45"/>
      <c r="G2" s="45"/>
      <c r="H2" s="45"/>
      <c r="I2" s="45"/>
    </row>
    <row r="3" spans="1:58" ht="36" customHeight="1" x14ac:dyDescent="0.2">
      <c r="A3" s="1" t="s">
        <v>2894</v>
      </c>
      <c r="B3" s="1" t="s">
        <v>153</v>
      </c>
      <c r="C3" s="1" t="s">
        <v>249</v>
      </c>
      <c r="D3" s="1" t="s">
        <v>3578</v>
      </c>
      <c r="E3" s="1" t="s">
        <v>3132</v>
      </c>
      <c r="F3" s="1" t="s">
        <v>3579</v>
      </c>
      <c r="G3" s="1" t="s">
        <v>3580</v>
      </c>
      <c r="H3" s="1" t="s">
        <v>3581</v>
      </c>
      <c r="I3" s="1" t="s">
        <v>3582</v>
      </c>
      <c r="J3" s="1" t="s">
        <v>3583</v>
      </c>
      <c r="K3" s="1" t="s">
        <v>3584</v>
      </c>
      <c r="L3" s="1" t="s">
        <v>3111</v>
      </c>
      <c r="M3" s="1" t="s">
        <v>3585</v>
      </c>
      <c r="N3" s="1" t="s">
        <v>3586</v>
      </c>
      <c r="O3" s="1" t="s">
        <v>3587</v>
      </c>
      <c r="P3" s="1" t="s">
        <v>87</v>
      </c>
      <c r="Q3" s="1" t="s">
        <v>3588</v>
      </c>
      <c r="R3" s="1" t="s">
        <v>3589</v>
      </c>
      <c r="S3" s="1" t="s">
        <v>3590</v>
      </c>
      <c r="T3" s="1" t="s">
        <v>3591</v>
      </c>
      <c r="U3" s="1" t="s">
        <v>3592</v>
      </c>
      <c r="V3" s="1" t="s">
        <v>3593</v>
      </c>
      <c r="W3" s="1" t="s">
        <v>3594</v>
      </c>
      <c r="X3" s="1" t="s">
        <v>3595</v>
      </c>
      <c r="Y3" s="1" t="s">
        <v>3596</v>
      </c>
      <c r="Z3" s="1" t="s">
        <v>3597</v>
      </c>
      <c r="AA3" s="1" t="s">
        <v>3598</v>
      </c>
      <c r="AB3" s="1" t="s">
        <v>3599</v>
      </c>
      <c r="AC3" s="1" t="s">
        <v>3600</v>
      </c>
      <c r="AD3" s="1" t="s">
        <v>3601</v>
      </c>
      <c r="AE3" s="1" t="s">
        <v>3602</v>
      </c>
      <c r="AF3" s="1" t="s">
        <v>3603</v>
      </c>
      <c r="AG3" s="1" t="s">
        <v>3604</v>
      </c>
      <c r="AH3" s="1" t="s">
        <v>3605</v>
      </c>
      <c r="AI3" s="1" t="s">
        <v>3606</v>
      </c>
      <c r="AJ3" s="1" t="s">
        <v>3607</v>
      </c>
      <c r="AK3" s="1" t="s">
        <v>3608</v>
      </c>
      <c r="AL3" s="1" t="s">
        <v>3609</v>
      </c>
      <c r="AM3" s="1" t="s">
        <v>3610</v>
      </c>
      <c r="AN3" s="1" t="s">
        <v>3611</v>
      </c>
      <c r="AO3" s="1" t="s">
        <v>3612</v>
      </c>
      <c r="AP3" s="1" t="s">
        <v>3613</v>
      </c>
      <c r="AQ3" s="1" t="s">
        <v>3614</v>
      </c>
      <c r="AR3" s="1" t="s">
        <v>3615</v>
      </c>
      <c r="AS3" s="1" t="s">
        <v>3616</v>
      </c>
      <c r="AT3" s="1" t="s">
        <v>3617</v>
      </c>
      <c r="AU3" s="1" t="s">
        <v>3618</v>
      </c>
      <c r="AV3" s="1" t="s">
        <v>3619</v>
      </c>
      <c r="AW3" s="1" t="s">
        <v>3508</v>
      </c>
      <c r="AX3" s="1" t="s">
        <v>3620</v>
      </c>
      <c r="AY3" s="1" t="s">
        <v>3621</v>
      </c>
      <c r="AZ3" s="1" t="s">
        <v>3622</v>
      </c>
      <c r="BA3" s="1" t="s">
        <v>3623</v>
      </c>
      <c r="BB3" s="1" t="s">
        <v>3624</v>
      </c>
      <c r="BC3" s="1" t="s">
        <v>3625</v>
      </c>
      <c r="BD3" s="1" t="s">
        <v>3626</v>
      </c>
      <c r="BE3" s="1" t="s">
        <v>3627</v>
      </c>
      <c r="BF3" s="1" t="s">
        <v>3628</v>
      </c>
    </row>
    <row r="4" spans="1:58" ht="38" customHeight="1" x14ac:dyDescent="0.2">
      <c r="A4" s="2" t="s">
        <v>266</v>
      </c>
      <c r="B4" s="28" t="str">
        <f>IF(COUNTIF('02_工程タスク'!$A$4:$A$135,A4)&lt;&gt;1,"参照ID不正",IF(INDEX('02_工程タスク'!$B$4:$B$135,MATCH(A4,'02_工程タスク'!$A$4:$A$135,0))="","",INDEX('02_工程タスク'!$B$4:$B$135,MATCH(A4,'02_工程タスク'!$A$4:$A$135,0))))</f>
        <v>企画</v>
      </c>
      <c r="C4" s="28" t="str">
        <f>IF(COUNTIF('02_工程タスク'!$A$4:$A$135,A4)&lt;&gt;1,"参照ID不正",IF(INDEX('02_工程タスク'!$D$4:$D$135,MATCH(A4,'02_工程タスク'!$A$4:$A$135,0))="","",INDEX('02_工程タスク'!$D$4:$D$135,MATCH(A4,'02_工程タスク'!$A$4:$A$135,0))))</f>
        <v>探索責任者・初期枠の設定</v>
      </c>
      <c r="D4" s="6"/>
      <c r="E4" s="6" t="s">
        <v>1598</v>
      </c>
      <c r="F4" s="6"/>
      <c r="G4" s="6"/>
      <c r="H4" s="5"/>
      <c r="I4" s="5"/>
      <c r="J4" s="5"/>
      <c r="K4" s="5"/>
      <c r="L4" s="6" t="s">
        <v>3629</v>
      </c>
      <c r="M4" s="6"/>
      <c r="N4" s="6"/>
      <c r="O4" s="5"/>
      <c r="P4" s="17"/>
      <c r="Q4" s="17"/>
      <c r="R4" s="6"/>
      <c r="S4" s="6"/>
      <c r="T4" s="6"/>
      <c r="U4" s="5"/>
      <c r="V4" s="6"/>
      <c r="W4" s="28" t="str">
        <f t="shared" ref="W4:W35" si="0">IF(OR(COUNTIF(TaskIDs,A4)&lt;&gt;1,COUNTIF($A$4:$A$135,A4)&lt;&gt;1),"Task ID不正・重複",IF(OR(AND(P4&lt;&gt;"",OR(NOT(ISNUMBER(P4)),IFERROR(P4&lt;0,TRUE))),AND(Q4&lt;&gt;"",OR(NOT(ISNUMBER(Q4)),IFERROR(Q4&lt;0,TRUE)))),"人時間不正",IF(OR(AND(J4&lt;&gt;"",OR(NOT(ISNUMBER(J4)),IFERROR(J4&lt;1,TRUE),IFERROR(INT(J4)&gt;INT(AsOfDate),TRUE))),AND(K4&lt;&gt;"",OR(NOT(ISNUMBER(K4)),IFERROR(K4&lt;1,TRUE),IFERROR(INT(K4)&gt;INT(AsOfDate),TRUE))),AND(O4&lt;&gt;"",OR(NOT(ISNUMBER(O4)),IFERROR(O4&lt;1,TRUE),IFERROR(INT(O4)&gt;INT(AsOfDate),TRUE))),AND(U4&lt;&gt;"",OR(NOT(ISNUMBER(U4)),IFERROR(U4&lt;1,TRUE),IFERROR(INT(U4)&gt;INT(AsOfDate),TRUE))),AND(BA4&lt;&gt;"",OR(NOT(ISNUMBER(BA4)),IFERROR(BA4&lt;1,TRUE),IFERROR(INT(BA4)&gt;INT(AsOfDate),TRUE)))),"実績・承認日不正",IF(AND(COUNT(H4:I4)=2,H4&gt;I4),"予定日不正",IF(E4="未判定","適用未判定",IF(E4="対象外",IF(OR(F4="",T4="",NOT(ISNUMBER(U4))),"除外承認不足","除外記録済"),IF(E4&lt;&gt;"適用","適用判定不正",IF(OR(T4="",NOT(ISNUMBER(U4))),"適用承認不足",IF(AND(V4&lt;&gt;BB4,OR(AY4="",AZ4="",NOT(ISNUMBER(BA4)))),"依存変更承認不足",IF(L4&lt;&gt;"完了","未完了",IF(OR(OR(G4="",M4="",N4="",BE4="",BF4=""),COUNT(J4:K4)&lt;2,NOT(ISNUMBER(O4))),"完了証拠不足",IF(OR(J4&gt;K4,O4&lt;K4,U4&gt;J4),"完了・適用日逆転",IF(BD4&lt;&gt;"開始根拠あり",BD4,IF(AND(AS4="R19",OR(G4=N4,BE4=BF4)),"独立承認不足","完了記録済"))))))))))))))</f>
        <v>適用未判定</v>
      </c>
      <c r="X4" s="28" t="str">
        <f t="shared" ref="X4:X35" si="1">IF(E4&lt;&gt;"適用","",IF(AND(V4&lt;&gt;BB4,OR(AY4="",AZ4="",NOT(ISNUMBER(BA4)))),"依存変更承認不足",IF(BC4="依存なし","なし",IF(BC4&lt;&gt;"記法OK",BC4,IF(COUNTIF(AJ4:AQ4,"ID不正")&gt;0,"依存ID不正",IF(COUNTIF(AJ4:AQ4,"未充足")&gt;0,"前提未充足","記録上充足"))))))</f>
        <v/>
      </c>
      <c r="Y4" s="25" t="str">
        <f t="shared" ref="Y4:Y35" si="2">IF(OR(E4&lt;&gt;"適用",L4="完了",I4=""),"",IF(NOT(ISNUMBER(I4)),"予定日不正",IF(I4&lt;AsOfDate,"期限超過","期限内")))</f>
        <v/>
      </c>
      <c r="Z4" s="25" t="str">
        <f t="shared" ref="Z4:Z35" si="3">IF(W4="完了記録済",IF(OR(X4="なし",X4="記録上充足"),"完了記録・前提充足",X4),W4)</f>
        <v>適用未判定</v>
      </c>
      <c r="AA4" s="25">
        <f t="shared" ref="AA4:AA35" si="4">IF(AND(E4="適用",L4="完了",W4="完了記録済",OR(X4="なし",X4="記録上充足")),1,0)</f>
        <v>0</v>
      </c>
      <c r="AB4" s="25" t="str">
        <f t="shared" ref="AB4:AB35" si="5">TRIM(MID(SUBSTITUTE($V4,",",REPT(" ",64)),1,64))</f>
        <v/>
      </c>
      <c r="AC4" s="25" t="str">
        <f t="shared" ref="AC4:AC35" si="6">TRIM(MID(SUBSTITUTE($V4,",",REPT(" ",64)),65,64))</f>
        <v/>
      </c>
      <c r="AD4" s="25" t="str">
        <f t="shared" ref="AD4:AD35" si="7">TRIM(MID(SUBSTITUTE($V4,",",REPT(" ",64)),129,64))</f>
        <v/>
      </c>
      <c r="AE4" s="25" t="str">
        <f t="shared" ref="AE4:AE35" si="8">TRIM(MID(SUBSTITUTE($V4,",",REPT(" ",64)),193,64))</f>
        <v/>
      </c>
      <c r="AF4" s="25" t="str">
        <f t="shared" ref="AF4:AF35" si="9">TRIM(MID(SUBSTITUTE($V4,",",REPT(" ",64)),257,64))</f>
        <v/>
      </c>
      <c r="AG4" s="25" t="str">
        <f t="shared" ref="AG4:AG35" si="10">TRIM(MID(SUBSTITUTE($V4,",",REPT(" ",64)),321,64))</f>
        <v/>
      </c>
      <c r="AH4" s="25" t="str">
        <f t="shared" ref="AH4:AH35" si="11">TRIM(MID(SUBSTITUTE($V4,",",REPT(" ",64)),385,64))</f>
        <v/>
      </c>
      <c r="AI4" s="25" t="str">
        <f t="shared" ref="AI4:AI35" si="12">TRIM(MID(SUBSTITUTE($V4,",",REPT(" ",64)),449,64))</f>
        <v/>
      </c>
      <c r="AJ4" s="25" t="str">
        <f t="shared" ref="AJ4:AJ35" si="13">IF(AB4="","",IF(OR(AB4=$A4,COUNTIF($A$4:$A$135,AB4)&lt;&gt;1,COUNTIF($AB4:$AI4,AB4)&gt;1),"ID不正",IFERROR(IF(OR(INDEX($W$4:$W$135,MATCH(AB4,$A$4:$A$135,0))="完了記録済",INDEX($W$4:$W$135,MATCH(AB4,$A$4:$A$135,0))="除外記録済"),"記録充足","未充足"),"ID不正")))</f>
        <v/>
      </c>
      <c r="AK4" s="25" t="str">
        <f t="shared" ref="AK4:AK35" si="14">IF(AC4="","",IF(OR(AC4=$A4,COUNTIF($A$4:$A$135,AC4)&lt;&gt;1,COUNTIF($AB4:$AI4,AC4)&gt;1),"ID不正",IFERROR(IF(OR(INDEX($W$4:$W$135,MATCH(AC4,$A$4:$A$135,0))="完了記録済",INDEX($W$4:$W$135,MATCH(AC4,$A$4:$A$135,0))="除外記録済"),"記録充足","未充足"),"ID不正")))</f>
        <v/>
      </c>
      <c r="AL4" s="25" t="str">
        <f t="shared" ref="AL4:AL35" si="15">IF(AD4="","",IF(OR(AD4=$A4,COUNTIF($A$4:$A$135,AD4)&lt;&gt;1,COUNTIF($AB4:$AI4,AD4)&gt;1),"ID不正",IFERROR(IF(OR(INDEX($W$4:$W$135,MATCH(AD4,$A$4:$A$135,0))="完了記録済",INDEX($W$4:$W$135,MATCH(AD4,$A$4:$A$135,0))="除外記録済"),"記録充足","未充足"),"ID不正")))</f>
        <v/>
      </c>
      <c r="AM4" s="25" t="str">
        <f t="shared" ref="AM4:AM35" si="16">IF(AE4="","",IF(OR(AE4=$A4,COUNTIF($A$4:$A$135,AE4)&lt;&gt;1,COUNTIF($AB4:$AI4,AE4)&gt;1),"ID不正",IFERROR(IF(OR(INDEX($W$4:$W$135,MATCH(AE4,$A$4:$A$135,0))="完了記録済",INDEX($W$4:$W$135,MATCH(AE4,$A$4:$A$135,0))="除外記録済"),"記録充足","未充足"),"ID不正")))</f>
        <v/>
      </c>
      <c r="AN4" s="25" t="str">
        <f t="shared" ref="AN4:AN35" si="17">IF(AF4="","",IF(OR(AF4=$A4,COUNTIF($A$4:$A$135,AF4)&lt;&gt;1,COUNTIF($AB4:$AI4,AF4)&gt;1),"ID不正",IFERROR(IF(OR(INDEX($W$4:$W$135,MATCH(AF4,$A$4:$A$135,0))="完了記録済",INDEX($W$4:$W$135,MATCH(AF4,$A$4:$A$135,0))="除外記録済"),"記録充足","未充足"),"ID不正")))</f>
        <v/>
      </c>
      <c r="AO4" s="25" t="str">
        <f t="shared" ref="AO4:AO35" si="18">IF(AG4="","",IF(OR(AG4=$A4,COUNTIF($A$4:$A$135,AG4)&lt;&gt;1,COUNTIF($AB4:$AI4,AG4)&gt;1),"ID不正",IFERROR(IF(OR(INDEX($W$4:$W$135,MATCH(AG4,$A$4:$A$135,0))="完了記録済",INDEX($W$4:$W$135,MATCH(AG4,$A$4:$A$135,0))="除外記録済"),"記録充足","未充足"),"ID不正")))</f>
        <v/>
      </c>
      <c r="AP4" s="25" t="str">
        <f t="shared" ref="AP4:AP35" si="19">IF(AH4="","",IF(OR(AH4=$A4,COUNTIF($A$4:$A$135,AH4)&lt;&gt;1,COUNTIF($AB4:$AI4,AH4)&gt;1),"ID不正",IFERROR(IF(OR(INDEX($W$4:$W$135,MATCH(AH4,$A$4:$A$135,0))="完了記録済",INDEX($W$4:$W$135,MATCH(AH4,$A$4:$A$135,0))="除外記録済"),"記録充足","未充足"),"ID不正")))</f>
        <v/>
      </c>
      <c r="AQ4" s="25" t="str">
        <f t="shared" ref="AQ4:AQ35" si="20">IF(AI4="","",IF(OR(AI4=$A4,COUNTIF($A$4:$A$135,AI4)&lt;&gt;1,COUNTIF($AB4:$AI4,AI4)&gt;1),"ID不正",IFERROR(IF(OR(INDEX($W$4:$W$135,MATCH(AI4,$A$4:$A$135,0))="完了記録済",INDEX($W$4:$W$135,MATCH(AI4,$A$4:$A$135,0))="除外記録済"),"記録充足","未充足"),"ID不正")))</f>
        <v/>
      </c>
      <c r="AR4" s="35" t="str">
        <f t="shared" ref="AR4:AR35" si="21">IF(COUNT(P4:Q4)&lt;2,"",Q4-P4)</f>
        <v/>
      </c>
      <c r="AS4" s="28" t="str">
        <f>IF(COUNTIF('02_工程タスク'!$A$4:$A$135,A4)&lt;&gt;1,"参照ID不正",IF(INDEX('02_工程タスク'!$H$4:$H$135,MATCH(A4,'02_工程タスク'!$A$4:$A$135,0))="","",INDEX('02_工程タスク'!$H$4:$H$135,MATCH(A4,'02_工程タスク'!$A$4:$A$135,0))))</f>
        <v>R01</v>
      </c>
      <c r="AT4" s="28" t="str">
        <f t="shared" ref="AT4:AT35" si="22">IF(A4="","","INIT-"&amp;A4)</f>
        <v>INIT-B0-01</v>
      </c>
      <c r="AU4" s="29" t="s">
        <v>3630</v>
      </c>
      <c r="AV4" s="29"/>
      <c r="AW4" s="29"/>
      <c r="AX4" s="32"/>
      <c r="AY4" s="29"/>
      <c r="AZ4" s="29"/>
      <c r="BA4" s="32"/>
      <c r="BB4" s="28" t="str">
        <f>IF(COUNTIF('02_工程タスク'!$A$4:$A$135,A4)&lt;&gt;1,"参照ID不正",IF(INDEX('02_工程タスク'!$O$4:$O$135,MATCH(A4,'02_工程タスク'!$A$4:$A$135,0))="","",INDEX('02_工程タスク'!$O$4:$O$135,MATCH(A4,'02_工程タスク'!$A$4:$A$135,0))))</f>
        <v/>
      </c>
      <c r="BC4" s="28" t="str">
        <f t="shared" ref="BC4:BC35" si="23">IF(V4="","依存なし",IF(OR(LEFT(V4,1)=",",RIGHT(V4,1)=",",ISNUMBER(SEARCH(",,",SUBSTITUTE(V4," ",""))),LEN(V4)&lt;&gt;LEN(SUBSTITUTE(V4," ","")),ISNUMBER(SEARCH("，",V4))),"依存記法不正",IF(LEN(V4)-LEN(SUBSTITUTE(V4,",",""))&gt;7,"依存8件超過","記法OK")))</f>
        <v>依存なし</v>
      </c>
      <c r="BD4" s="28" t="str">
        <f>IF(A4="B6-01",IF(OR(AV4="",COUNTIF('29_ゲート承認記録'!$F$4:$F$83,AV4)&lt;&gt;1),"終了開始根拠不足",IF(IF(COUNTIF('29_ゲート承認記録'!$F$4:$F$83,AV4)&lt;&gt;1,"参照ID不正",IF(INDEX('29_ゲート承認記録'!$L$4:$L$83,MATCH(AV4,'29_ゲート承認記録'!$F$4:$F$83,0))="","",INDEX('29_ゲート承認記録'!$L$4:$L$83,MATCH(AV4,'29_ゲート承認記録'!$F$4:$F$83,0))))&lt;&gt;"Stop","Stop判断要確認","開始根拠あり")),IF(AND(A4="B5-18",AU4="事故"),IF(AV4="","事故レビュー参照不足","開始根拠あり"),"開始根拠あり"))</f>
        <v>開始根拠あり</v>
      </c>
      <c r="BE4" s="29"/>
      <c r="BF4" s="29"/>
    </row>
    <row r="5" spans="1:58" ht="38" customHeight="1" x14ac:dyDescent="0.2">
      <c r="A5" s="2" t="s">
        <v>280</v>
      </c>
      <c r="B5" s="28" t="str">
        <f>IF(COUNTIF('02_工程タスク'!$A$4:$A$135,A5)&lt;&gt;1,"参照ID不正",IF(INDEX('02_工程タスク'!$B$4:$B$135,MATCH(A5,'02_工程タスク'!$A$4:$A$135,0))="","",INDEX('02_工程タスク'!$B$4:$B$135,MATCH(A5,'02_工程タスク'!$A$4:$A$135,0))))</f>
        <v>企画</v>
      </c>
      <c r="C5" s="28" t="str">
        <f>IF(COUNTIF('02_工程タスク'!$A$4:$A$135,A5)&lt;&gt;1,"参照ID不正",IF(INDEX('02_工程タスク'!$D$4:$D$135,MATCH(A5,'02_工程タスク'!$A$4:$A$135,0))="","",INDEX('02_工程タスク'!$D$4:$D$135,MATCH(A5,'02_工程タスク'!$A$4:$A$135,0))))</f>
        <v>市場・競合・規制候補の調査</v>
      </c>
      <c r="D5" s="6"/>
      <c r="E5" s="6" t="s">
        <v>1598</v>
      </c>
      <c r="F5" s="6"/>
      <c r="G5" s="6"/>
      <c r="H5" s="5"/>
      <c r="I5" s="5"/>
      <c r="J5" s="5"/>
      <c r="K5" s="5"/>
      <c r="L5" s="6" t="s">
        <v>3629</v>
      </c>
      <c r="M5" s="6"/>
      <c r="N5" s="6"/>
      <c r="O5" s="5"/>
      <c r="P5" s="17"/>
      <c r="Q5" s="17"/>
      <c r="R5" s="6"/>
      <c r="S5" s="6"/>
      <c r="T5" s="6"/>
      <c r="U5" s="5"/>
      <c r="V5" s="6" t="s">
        <v>266</v>
      </c>
      <c r="W5" s="28" t="str">
        <f t="shared" si="0"/>
        <v>適用未判定</v>
      </c>
      <c r="X5" s="28" t="str">
        <f t="shared" si="1"/>
        <v/>
      </c>
      <c r="Y5" s="26" t="str">
        <f t="shared" si="2"/>
        <v/>
      </c>
      <c r="Z5" s="26" t="str">
        <f t="shared" si="3"/>
        <v>適用未判定</v>
      </c>
      <c r="AA5" s="26">
        <f t="shared" si="4"/>
        <v>0</v>
      </c>
      <c r="AB5" s="26" t="str">
        <f t="shared" si="5"/>
        <v>B0-01</v>
      </c>
      <c r="AC5" s="26" t="str">
        <f t="shared" si="6"/>
        <v/>
      </c>
      <c r="AD5" s="26" t="str">
        <f t="shared" si="7"/>
        <v/>
      </c>
      <c r="AE5" s="26" t="str">
        <f t="shared" si="8"/>
        <v/>
      </c>
      <c r="AF5" s="26" t="str">
        <f t="shared" si="9"/>
        <v/>
      </c>
      <c r="AG5" s="26" t="str">
        <f t="shared" si="10"/>
        <v/>
      </c>
      <c r="AH5" s="26" t="str">
        <f t="shared" si="11"/>
        <v/>
      </c>
      <c r="AI5" s="26" t="str">
        <f t="shared" si="12"/>
        <v/>
      </c>
      <c r="AJ5" s="26" t="str">
        <f t="shared" si="13"/>
        <v>未充足</v>
      </c>
      <c r="AK5" s="26" t="str">
        <f t="shared" si="14"/>
        <v/>
      </c>
      <c r="AL5" s="26" t="str">
        <f t="shared" si="15"/>
        <v/>
      </c>
      <c r="AM5" s="26" t="str">
        <f t="shared" si="16"/>
        <v/>
      </c>
      <c r="AN5" s="26" t="str">
        <f t="shared" si="17"/>
        <v/>
      </c>
      <c r="AO5" s="26" t="str">
        <f t="shared" si="18"/>
        <v/>
      </c>
      <c r="AP5" s="26" t="str">
        <f t="shared" si="19"/>
        <v/>
      </c>
      <c r="AQ5" s="26" t="str">
        <f t="shared" si="20"/>
        <v/>
      </c>
      <c r="AR5" s="36" t="str">
        <f t="shared" si="21"/>
        <v/>
      </c>
      <c r="AS5" s="28" t="str">
        <f>IF(COUNTIF('02_工程タスク'!$A$4:$A$135,A5)&lt;&gt;1,"参照ID不正",IF(INDEX('02_工程タスク'!$H$4:$H$135,MATCH(A5,'02_工程タスク'!$A$4:$A$135,0))="","",INDEX('02_工程タスク'!$H$4:$H$135,MATCH(A5,'02_工程タスク'!$A$4:$A$135,0))))</f>
        <v>R02</v>
      </c>
      <c r="AT5" s="28" t="str">
        <f t="shared" si="22"/>
        <v>INIT-B0-02</v>
      </c>
      <c r="AU5" s="29" t="s">
        <v>3630</v>
      </c>
      <c r="AV5" s="29"/>
      <c r="AW5" s="29"/>
      <c r="AX5" s="32"/>
      <c r="AY5" s="29"/>
      <c r="AZ5" s="29"/>
      <c r="BA5" s="32"/>
      <c r="BB5" s="28" t="str">
        <f>IF(COUNTIF('02_工程タスク'!$A$4:$A$135,A5)&lt;&gt;1,"参照ID不正",IF(INDEX('02_工程タスク'!$O$4:$O$135,MATCH(A5,'02_工程タスク'!$A$4:$A$135,0))="","",INDEX('02_工程タスク'!$O$4:$O$135,MATCH(A5,'02_工程タスク'!$A$4:$A$135,0))))</f>
        <v>B0-01</v>
      </c>
      <c r="BC5" s="28" t="str">
        <f t="shared" si="23"/>
        <v>記法OK</v>
      </c>
      <c r="BD5" s="28" t="str">
        <f>IF(A5="B6-01",IF(OR(AV5="",COUNTIF('29_ゲート承認記録'!$F$4:$F$83,AV5)&lt;&gt;1),"終了開始根拠不足",IF(IF(COUNTIF('29_ゲート承認記録'!$F$4:$F$83,AV5)&lt;&gt;1,"参照ID不正",IF(INDEX('29_ゲート承認記録'!$L$4:$L$83,MATCH(AV5,'29_ゲート承認記録'!$F$4:$F$83,0))="","",INDEX('29_ゲート承認記録'!$L$4:$L$83,MATCH(AV5,'29_ゲート承認記録'!$F$4:$F$83,0))))&lt;&gt;"Stop","Stop判断要確認","開始根拠あり")),IF(AND(A5="B5-18",AU5="事故"),IF(AV5="","事故レビュー参照不足","開始根拠あり"),"開始根拠あり"))</f>
        <v>開始根拠あり</v>
      </c>
      <c r="BE5" s="29"/>
      <c r="BF5" s="29"/>
    </row>
    <row r="6" spans="1:58" ht="38" customHeight="1" x14ac:dyDescent="0.2">
      <c r="A6" s="2" t="s">
        <v>292</v>
      </c>
      <c r="B6" s="28" t="str">
        <f>IF(COUNTIF('02_工程タスク'!$A$4:$A$135,A6)&lt;&gt;1,"参照ID不正",IF(INDEX('02_工程タスク'!$B$4:$B$135,MATCH(A6,'02_工程タスク'!$A$4:$A$135,0))="","",INDEX('02_工程タスク'!$B$4:$B$135,MATCH(A6,'02_工程タスク'!$A$4:$A$135,0))))</f>
        <v>企画</v>
      </c>
      <c r="C6" s="28" t="str">
        <f>IF(COUNTIF('02_工程タスク'!$A$4:$A$135,A6)&lt;&gt;1,"参照ID不正",IF(INDEX('02_工程タスク'!$D$4:$D$135,MATCH(A6,'02_工程タスク'!$A$4:$A$135,0))="","",INDEX('02_工程タスク'!$D$4:$D$135,MATCH(A6,'02_工程タスク'!$A$4:$A$135,0))))</f>
        <v>利用者・購買者の仮説分解</v>
      </c>
      <c r="D6" s="6"/>
      <c r="E6" s="6" t="s">
        <v>1598</v>
      </c>
      <c r="F6" s="6"/>
      <c r="G6" s="6"/>
      <c r="H6" s="5"/>
      <c r="I6" s="5"/>
      <c r="J6" s="5"/>
      <c r="K6" s="5"/>
      <c r="L6" s="6" t="s">
        <v>3629</v>
      </c>
      <c r="M6" s="6"/>
      <c r="N6" s="6"/>
      <c r="O6" s="5"/>
      <c r="P6" s="17"/>
      <c r="Q6" s="17"/>
      <c r="R6" s="6"/>
      <c r="S6" s="6"/>
      <c r="T6" s="6"/>
      <c r="U6" s="5"/>
      <c r="V6" s="6" t="s">
        <v>280</v>
      </c>
      <c r="W6" s="28" t="str">
        <f t="shared" si="0"/>
        <v>適用未判定</v>
      </c>
      <c r="X6" s="28" t="str">
        <f t="shared" si="1"/>
        <v/>
      </c>
      <c r="Y6" s="25" t="str">
        <f t="shared" si="2"/>
        <v/>
      </c>
      <c r="Z6" s="25" t="str">
        <f t="shared" si="3"/>
        <v>適用未判定</v>
      </c>
      <c r="AA6" s="25">
        <f t="shared" si="4"/>
        <v>0</v>
      </c>
      <c r="AB6" s="25" t="str">
        <f t="shared" si="5"/>
        <v>B0-02</v>
      </c>
      <c r="AC6" s="25" t="str">
        <f t="shared" si="6"/>
        <v/>
      </c>
      <c r="AD6" s="25" t="str">
        <f t="shared" si="7"/>
        <v/>
      </c>
      <c r="AE6" s="25" t="str">
        <f t="shared" si="8"/>
        <v/>
      </c>
      <c r="AF6" s="25" t="str">
        <f t="shared" si="9"/>
        <v/>
      </c>
      <c r="AG6" s="25" t="str">
        <f t="shared" si="10"/>
        <v/>
      </c>
      <c r="AH6" s="25" t="str">
        <f t="shared" si="11"/>
        <v/>
      </c>
      <c r="AI6" s="25" t="str">
        <f t="shared" si="12"/>
        <v/>
      </c>
      <c r="AJ6" s="25" t="str">
        <f t="shared" si="13"/>
        <v>未充足</v>
      </c>
      <c r="AK6" s="25" t="str">
        <f t="shared" si="14"/>
        <v/>
      </c>
      <c r="AL6" s="25" t="str">
        <f t="shared" si="15"/>
        <v/>
      </c>
      <c r="AM6" s="25" t="str">
        <f t="shared" si="16"/>
        <v/>
      </c>
      <c r="AN6" s="25" t="str">
        <f t="shared" si="17"/>
        <v/>
      </c>
      <c r="AO6" s="25" t="str">
        <f t="shared" si="18"/>
        <v/>
      </c>
      <c r="AP6" s="25" t="str">
        <f t="shared" si="19"/>
        <v/>
      </c>
      <c r="AQ6" s="25" t="str">
        <f t="shared" si="20"/>
        <v/>
      </c>
      <c r="AR6" s="35" t="str">
        <f t="shared" si="21"/>
        <v/>
      </c>
      <c r="AS6" s="28" t="str">
        <f>IF(COUNTIF('02_工程タスク'!$A$4:$A$135,A6)&lt;&gt;1,"参照ID不正",IF(INDEX('02_工程タスク'!$H$4:$H$135,MATCH(A6,'02_工程タスク'!$A$4:$A$135,0))="","",INDEX('02_工程タスク'!$H$4:$H$135,MATCH(A6,'02_工程タスク'!$A$4:$A$135,0))))</f>
        <v>R02</v>
      </c>
      <c r="AT6" s="28" t="str">
        <f t="shared" si="22"/>
        <v>INIT-B0-03</v>
      </c>
      <c r="AU6" s="29" t="s">
        <v>3630</v>
      </c>
      <c r="AV6" s="29"/>
      <c r="AW6" s="29"/>
      <c r="AX6" s="32"/>
      <c r="AY6" s="29"/>
      <c r="AZ6" s="29"/>
      <c r="BA6" s="32"/>
      <c r="BB6" s="28" t="str">
        <f>IF(COUNTIF('02_工程タスク'!$A$4:$A$135,A6)&lt;&gt;1,"参照ID不正",IF(INDEX('02_工程タスク'!$O$4:$O$135,MATCH(A6,'02_工程タスク'!$A$4:$A$135,0))="","",INDEX('02_工程タスク'!$O$4:$O$135,MATCH(A6,'02_工程タスク'!$A$4:$A$135,0))))</f>
        <v>B0-02</v>
      </c>
      <c r="BC6" s="28" t="str">
        <f t="shared" si="23"/>
        <v>記法OK</v>
      </c>
      <c r="BD6" s="28" t="str">
        <f>IF(A6="B6-01",IF(OR(AV6="",COUNTIF('29_ゲート承認記録'!$F$4:$F$83,AV6)&lt;&gt;1),"終了開始根拠不足",IF(IF(COUNTIF('29_ゲート承認記録'!$F$4:$F$83,AV6)&lt;&gt;1,"参照ID不正",IF(INDEX('29_ゲート承認記録'!$L$4:$L$83,MATCH(AV6,'29_ゲート承認記録'!$F$4:$F$83,0))="","",INDEX('29_ゲート承認記録'!$L$4:$L$83,MATCH(AV6,'29_ゲート承認記録'!$F$4:$F$83,0))))&lt;&gt;"Stop","Stop判断要確認","開始根拠あり")),IF(AND(A6="B5-18",AU6="事故"),IF(AV6="","事故レビュー参照不足","開始根拠あり"),"開始根拠あり"))</f>
        <v>開始根拠あり</v>
      </c>
      <c r="BE6" s="29"/>
      <c r="BF6" s="29"/>
    </row>
    <row r="7" spans="1:58" ht="38" customHeight="1" x14ac:dyDescent="0.2">
      <c r="A7" s="2" t="s">
        <v>302</v>
      </c>
      <c r="B7" s="28" t="str">
        <f>IF(COUNTIF('02_工程タスク'!$A$4:$A$135,A7)&lt;&gt;1,"参照ID不正",IF(INDEX('02_工程タスク'!$B$4:$B$135,MATCH(A7,'02_工程タスク'!$A$4:$A$135,0))="","",INDEX('02_工程タスク'!$B$4:$B$135,MATCH(A7,'02_工程タスク'!$A$4:$A$135,0))))</f>
        <v>企画</v>
      </c>
      <c r="C7" s="28" t="str">
        <f>IF(COUNTIF('02_工程タスク'!$A$4:$A$135,A7)&lt;&gt;1,"参照ID不正",IF(INDEX('02_工程タスク'!$D$4:$D$135,MATCH(A7,'02_工程タスク'!$A$4:$A$135,0))="","",INDEX('02_工程タスク'!$D$4:$D$135,MATCH(A7,'02_工程タスク'!$A$4:$A$135,0))))</f>
        <v>インタビュー・現場観察</v>
      </c>
      <c r="D7" s="6"/>
      <c r="E7" s="6" t="s">
        <v>1598</v>
      </c>
      <c r="F7" s="6"/>
      <c r="G7" s="6"/>
      <c r="H7" s="5"/>
      <c r="I7" s="5"/>
      <c r="J7" s="5"/>
      <c r="K7" s="5"/>
      <c r="L7" s="6" t="s">
        <v>3629</v>
      </c>
      <c r="M7" s="6"/>
      <c r="N7" s="6"/>
      <c r="O7" s="5"/>
      <c r="P7" s="17"/>
      <c r="Q7" s="17"/>
      <c r="R7" s="6"/>
      <c r="S7" s="6"/>
      <c r="T7" s="6"/>
      <c r="U7" s="5"/>
      <c r="V7" s="6" t="s">
        <v>292</v>
      </c>
      <c r="W7" s="28" t="str">
        <f t="shared" si="0"/>
        <v>適用未判定</v>
      </c>
      <c r="X7" s="28" t="str">
        <f t="shared" si="1"/>
        <v/>
      </c>
      <c r="Y7" s="26" t="str">
        <f t="shared" si="2"/>
        <v/>
      </c>
      <c r="Z7" s="26" t="str">
        <f t="shared" si="3"/>
        <v>適用未判定</v>
      </c>
      <c r="AA7" s="26">
        <f t="shared" si="4"/>
        <v>0</v>
      </c>
      <c r="AB7" s="26" t="str">
        <f t="shared" si="5"/>
        <v>B0-03</v>
      </c>
      <c r="AC7" s="26" t="str">
        <f t="shared" si="6"/>
        <v/>
      </c>
      <c r="AD7" s="26" t="str">
        <f t="shared" si="7"/>
        <v/>
      </c>
      <c r="AE7" s="26" t="str">
        <f t="shared" si="8"/>
        <v/>
      </c>
      <c r="AF7" s="26" t="str">
        <f t="shared" si="9"/>
        <v/>
      </c>
      <c r="AG7" s="26" t="str">
        <f t="shared" si="10"/>
        <v/>
      </c>
      <c r="AH7" s="26" t="str">
        <f t="shared" si="11"/>
        <v/>
      </c>
      <c r="AI7" s="26" t="str">
        <f t="shared" si="12"/>
        <v/>
      </c>
      <c r="AJ7" s="26" t="str">
        <f t="shared" si="13"/>
        <v>未充足</v>
      </c>
      <c r="AK7" s="26" t="str">
        <f t="shared" si="14"/>
        <v/>
      </c>
      <c r="AL7" s="26" t="str">
        <f t="shared" si="15"/>
        <v/>
      </c>
      <c r="AM7" s="26" t="str">
        <f t="shared" si="16"/>
        <v/>
      </c>
      <c r="AN7" s="26" t="str">
        <f t="shared" si="17"/>
        <v/>
      </c>
      <c r="AO7" s="26" t="str">
        <f t="shared" si="18"/>
        <v/>
      </c>
      <c r="AP7" s="26" t="str">
        <f t="shared" si="19"/>
        <v/>
      </c>
      <c r="AQ7" s="26" t="str">
        <f t="shared" si="20"/>
        <v/>
      </c>
      <c r="AR7" s="36" t="str">
        <f t="shared" si="21"/>
        <v/>
      </c>
      <c r="AS7" s="28" t="str">
        <f>IF(COUNTIF('02_工程タスク'!$A$4:$A$135,A7)&lt;&gt;1,"参照ID不正",IF(INDEX('02_工程タスク'!$H$4:$H$135,MATCH(A7,'02_工程タスク'!$A$4:$A$135,0))="","",INDEX('02_工程タスク'!$H$4:$H$135,MATCH(A7,'02_工程タスク'!$A$4:$A$135,0))))</f>
        <v>R02</v>
      </c>
      <c r="AT7" s="28" t="str">
        <f t="shared" si="22"/>
        <v>INIT-B0-04</v>
      </c>
      <c r="AU7" s="29" t="s">
        <v>3630</v>
      </c>
      <c r="AV7" s="29"/>
      <c r="AW7" s="29"/>
      <c r="AX7" s="32"/>
      <c r="AY7" s="29"/>
      <c r="AZ7" s="29"/>
      <c r="BA7" s="32"/>
      <c r="BB7" s="28" t="str">
        <f>IF(COUNTIF('02_工程タスク'!$A$4:$A$135,A7)&lt;&gt;1,"参照ID不正",IF(INDEX('02_工程タスク'!$O$4:$O$135,MATCH(A7,'02_工程タスク'!$A$4:$A$135,0))="","",INDEX('02_工程タスク'!$O$4:$O$135,MATCH(A7,'02_工程タスク'!$A$4:$A$135,0))))</f>
        <v>B0-03</v>
      </c>
      <c r="BC7" s="28" t="str">
        <f t="shared" si="23"/>
        <v>記法OK</v>
      </c>
      <c r="BD7" s="28" t="str">
        <f>IF(A7="B6-01",IF(OR(AV7="",COUNTIF('29_ゲート承認記録'!$F$4:$F$83,AV7)&lt;&gt;1),"終了開始根拠不足",IF(IF(COUNTIF('29_ゲート承認記録'!$F$4:$F$83,AV7)&lt;&gt;1,"参照ID不正",IF(INDEX('29_ゲート承認記録'!$L$4:$L$83,MATCH(AV7,'29_ゲート承認記録'!$F$4:$F$83,0))="","",INDEX('29_ゲート承認記録'!$L$4:$L$83,MATCH(AV7,'29_ゲート承認記録'!$F$4:$F$83,0))))&lt;&gt;"Stop","Stop判断要確認","開始根拠あり")),IF(AND(A7="B5-18",AU7="事故"),IF(AV7="","事故レビュー参照不足","開始根拠あり"),"開始根拠あり"))</f>
        <v>開始根拠あり</v>
      </c>
      <c r="BE7" s="29"/>
      <c r="BF7" s="29"/>
    </row>
    <row r="8" spans="1:58" ht="38" customHeight="1" x14ac:dyDescent="0.2">
      <c r="A8" s="2" t="s">
        <v>310</v>
      </c>
      <c r="B8" s="28" t="str">
        <f>IF(COUNTIF('02_工程タスク'!$A$4:$A$135,A8)&lt;&gt;1,"参照ID不正",IF(INDEX('02_工程タスク'!$B$4:$B$135,MATCH(A8,'02_工程タスク'!$A$4:$A$135,0))="","",INDEX('02_工程タスク'!$B$4:$B$135,MATCH(A8,'02_工程タスク'!$A$4:$A$135,0))))</f>
        <v>企画</v>
      </c>
      <c r="C8" s="28" t="str">
        <f>IF(COUNTIF('02_工程タスク'!$A$4:$A$135,A8)&lt;&gt;1,"参照ID不正",IF(INDEX('02_工程タスク'!$D$4:$D$135,MATCH(A8,'02_工程タスク'!$A$4:$A$135,0))="","",INDEX('02_工程タスク'!$D$4:$D$135,MATCH(A8,'02_工程タスク'!$A$4:$A$135,0))))</f>
        <v>課題・価値・差別化の定義</v>
      </c>
      <c r="D8" s="6"/>
      <c r="E8" s="6" t="s">
        <v>1598</v>
      </c>
      <c r="F8" s="6"/>
      <c r="G8" s="6"/>
      <c r="H8" s="5"/>
      <c r="I8" s="5"/>
      <c r="J8" s="5"/>
      <c r="K8" s="5"/>
      <c r="L8" s="6" t="s">
        <v>3629</v>
      </c>
      <c r="M8" s="6"/>
      <c r="N8" s="6"/>
      <c r="O8" s="5"/>
      <c r="P8" s="17"/>
      <c r="Q8" s="17"/>
      <c r="R8" s="6"/>
      <c r="S8" s="6"/>
      <c r="T8" s="6"/>
      <c r="U8" s="5"/>
      <c r="V8" s="6" t="s">
        <v>302</v>
      </c>
      <c r="W8" s="28" t="str">
        <f t="shared" si="0"/>
        <v>適用未判定</v>
      </c>
      <c r="X8" s="28" t="str">
        <f t="shared" si="1"/>
        <v/>
      </c>
      <c r="Y8" s="25" t="str">
        <f t="shared" si="2"/>
        <v/>
      </c>
      <c r="Z8" s="25" t="str">
        <f t="shared" si="3"/>
        <v>適用未判定</v>
      </c>
      <c r="AA8" s="25">
        <f t="shared" si="4"/>
        <v>0</v>
      </c>
      <c r="AB8" s="25" t="str">
        <f t="shared" si="5"/>
        <v>B0-04</v>
      </c>
      <c r="AC8" s="25" t="str">
        <f t="shared" si="6"/>
        <v/>
      </c>
      <c r="AD8" s="25" t="str">
        <f t="shared" si="7"/>
        <v/>
      </c>
      <c r="AE8" s="25" t="str">
        <f t="shared" si="8"/>
        <v/>
      </c>
      <c r="AF8" s="25" t="str">
        <f t="shared" si="9"/>
        <v/>
      </c>
      <c r="AG8" s="25" t="str">
        <f t="shared" si="10"/>
        <v/>
      </c>
      <c r="AH8" s="25" t="str">
        <f t="shared" si="11"/>
        <v/>
      </c>
      <c r="AI8" s="25" t="str">
        <f t="shared" si="12"/>
        <v/>
      </c>
      <c r="AJ8" s="25" t="str">
        <f t="shared" si="13"/>
        <v>未充足</v>
      </c>
      <c r="AK8" s="25" t="str">
        <f t="shared" si="14"/>
        <v/>
      </c>
      <c r="AL8" s="25" t="str">
        <f t="shared" si="15"/>
        <v/>
      </c>
      <c r="AM8" s="25" t="str">
        <f t="shared" si="16"/>
        <v/>
      </c>
      <c r="AN8" s="25" t="str">
        <f t="shared" si="17"/>
        <v/>
      </c>
      <c r="AO8" s="25" t="str">
        <f t="shared" si="18"/>
        <v/>
      </c>
      <c r="AP8" s="25" t="str">
        <f t="shared" si="19"/>
        <v/>
      </c>
      <c r="AQ8" s="25" t="str">
        <f t="shared" si="20"/>
        <v/>
      </c>
      <c r="AR8" s="35" t="str">
        <f t="shared" si="21"/>
        <v/>
      </c>
      <c r="AS8" s="28" t="str">
        <f>IF(COUNTIF('02_工程タスク'!$A$4:$A$135,A8)&lt;&gt;1,"参照ID不正",IF(INDEX('02_工程タスク'!$H$4:$H$135,MATCH(A8,'02_工程タスク'!$A$4:$A$135,0))="","",INDEX('02_工程タスク'!$H$4:$H$135,MATCH(A8,'02_工程タスク'!$A$4:$A$135,0))))</f>
        <v>R01</v>
      </c>
      <c r="AT8" s="28" t="str">
        <f t="shared" si="22"/>
        <v>INIT-B0-05</v>
      </c>
      <c r="AU8" s="29" t="s">
        <v>3630</v>
      </c>
      <c r="AV8" s="29"/>
      <c r="AW8" s="29"/>
      <c r="AX8" s="32"/>
      <c r="AY8" s="29"/>
      <c r="AZ8" s="29"/>
      <c r="BA8" s="32"/>
      <c r="BB8" s="28" t="str">
        <f>IF(COUNTIF('02_工程タスク'!$A$4:$A$135,A8)&lt;&gt;1,"参照ID不正",IF(INDEX('02_工程タスク'!$O$4:$O$135,MATCH(A8,'02_工程タスク'!$A$4:$A$135,0))="","",INDEX('02_工程タスク'!$O$4:$O$135,MATCH(A8,'02_工程タスク'!$A$4:$A$135,0))))</f>
        <v>B0-04</v>
      </c>
      <c r="BC8" s="28" t="str">
        <f t="shared" si="23"/>
        <v>記法OK</v>
      </c>
      <c r="BD8" s="28" t="str">
        <f>IF(A8="B6-01",IF(OR(AV8="",COUNTIF('29_ゲート承認記録'!$F$4:$F$83,AV8)&lt;&gt;1),"終了開始根拠不足",IF(IF(COUNTIF('29_ゲート承認記録'!$F$4:$F$83,AV8)&lt;&gt;1,"参照ID不正",IF(INDEX('29_ゲート承認記録'!$L$4:$L$83,MATCH(AV8,'29_ゲート承認記録'!$F$4:$F$83,0))="","",INDEX('29_ゲート承認記録'!$L$4:$L$83,MATCH(AV8,'29_ゲート承認記録'!$F$4:$F$83,0))))&lt;&gt;"Stop","Stop判断要確認","開始根拠あり")),IF(AND(A8="B5-18",AU8="事故"),IF(AV8="","事故レビュー参照不足","開始根拠あり"),"開始根拠あり"))</f>
        <v>開始根拠あり</v>
      </c>
      <c r="BE8" s="29"/>
      <c r="BF8" s="29"/>
    </row>
    <row r="9" spans="1:58" ht="38" customHeight="1" x14ac:dyDescent="0.2">
      <c r="A9" s="2" t="s">
        <v>319</v>
      </c>
      <c r="B9" s="28" t="str">
        <f>IF(COUNTIF('02_工程タスク'!$A$4:$A$135,A9)&lt;&gt;1,"参照ID不正",IF(INDEX('02_工程タスク'!$B$4:$B$135,MATCH(A9,'02_工程タスク'!$A$4:$A$135,0))="","",INDEX('02_工程タスク'!$B$4:$B$135,MATCH(A9,'02_工程タスク'!$A$4:$A$135,0))))</f>
        <v>企画</v>
      </c>
      <c r="C9" s="28" t="str">
        <f>IF(COUNTIF('02_工程タスク'!$A$4:$A$135,A9)&lt;&gt;1,"参照ID不正",IF(INDEX('02_工程タスク'!$D$4:$D$135,MATCH(A9,'02_工程タスク'!$A$4:$A$135,0))="","",INDEX('02_工程タスク'!$D$4:$D$135,MATCH(A9,'02_工程タスク'!$A$4:$A$135,0))))</f>
        <v>非AI・Build/Buy/Partnerの比較</v>
      </c>
      <c r="D9" s="6"/>
      <c r="E9" s="6" t="s">
        <v>1598</v>
      </c>
      <c r="F9" s="6"/>
      <c r="G9" s="6"/>
      <c r="H9" s="5"/>
      <c r="I9" s="5"/>
      <c r="J9" s="5"/>
      <c r="K9" s="5"/>
      <c r="L9" s="6" t="s">
        <v>3629</v>
      </c>
      <c r="M9" s="6"/>
      <c r="N9" s="6"/>
      <c r="O9" s="5"/>
      <c r="P9" s="17"/>
      <c r="Q9" s="17"/>
      <c r="R9" s="6"/>
      <c r="S9" s="6"/>
      <c r="T9" s="6"/>
      <c r="U9" s="5"/>
      <c r="V9" s="6" t="s">
        <v>310</v>
      </c>
      <c r="W9" s="28" t="str">
        <f t="shared" si="0"/>
        <v>適用未判定</v>
      </c>
      <c r="X9" s="28" t="str">
        <f t="shared" si="1"/>
        <v/>
      </c>
      <c r="Y9" s="26" t="str">
        <f t="shared" si="2"/>
        <v/>
      </c>
      <c r="Z9" s="26" t="str">
        <f t="shared" si="3"/>
        <v>適用未判定</v>
      </c>
      <c r="AA9" s="26">
        <f t="shared" si="4"/>
        <v>0</v>
      </c>
      <c r="AB9" s="26" t="str">
        <f t="shared" si="5"/>
        <v>B0-05</v>
      </c>
      <c r="AC9" s="26" t="str">
        <f t="shared" si="6"/>
        <v/>
      </c>
      <c r="AD9" s="26" t="str">
        <f t="shared" si="7"/>
        <v/>
      </c>
      <c r="AE9" s="26" t="str">
        <f t="shared" si="8"/>
        <v/>
      </c>
      <c r="AF9" s="26" t="str">
        <f t="shared" si="9"/>
        <v/>
      </c>
      <c r="AG9" s="26" t="str">
        <f t="shared" si="10"/>
        <v/>
      </c>
      <c r="AH9" s="26" t="str">
        <f t="shared" si="11"/>
        <v/>
      </c>
      <c r="AI9" s="26" t="str">
        <f t="shared" si="12"/>
        <v/>
      </c>
      <c r="AJ9" s="26" t="str">
        <f t="shared" si="13"/>
        <v>未充足</v>
      </c>
      <c r="AK9" s="26" t="str">
        <f t="shared" si="14"/>
        <v/>
      </c>
      <c r="AL9" s="26" t="str">
        <f t="shared" si="15"/>
        <v/>
      </c>
      <c r="AM9" s="26" t="str">
        <f t="shared" si="16"/>
        <v/>
      </c>
      <c r="AN9" s="26" t="str">
        <f t="shared" si="17"/>
        <v/>
      </c>
      <c r="AO9" s="26" t="str">
        <f t="shared" si="18"/>
        <v/>
      </c>
      <c r="AP9" s="26" t="str">
        <f t="shared" si="19"/>
        <v/>
      </c>
      <c r="AQ9" s="26" t="str">
        <f t="shared" si="20"/>
        <v/>
      </c>
      <c r="AR9" s="36" t="str">
        <f t="shared" si="21"/>
        <v/>
      </c>
      <c r="AS9" s="28" t="str">
        <f>IF(COUNTIF('02_工程タスク'!$A$4:$A$135,A9)&lt;&gt;1,"参照ID不正",IF(INDEX('02_工程タスク'!$H$4:$H$135,MATCH(A9,'02_工程タスク'!$A$4:$A$135,0))="","",INDEX('02_工程タスク'!$H$4:$H$135,MATCH(A9,'02_工程タスク'!$A$4:$A$135,0))))</f>
        <v>R01</v>
      </c>
      <c r="AT9" s="28" t="str">
        <f t="shared" si="22"/>
        <v>INIT-B0-06</v>
      </c>
      <c r="AU9" s="29" t="s">
        <v>3630</v>
      </c>
      <c r="AV9" s="29"/>
      <c r="AW9" s="29"/>
      <c r="AX9" s="32"/>
      <c r="AY9" s="29"/>
      <c r="AZ9" s="29"/>
      <c r="BA9" s="32"/>
      <c r="BB9" s="28" t="str">
        <f>IF(COUNTIF('02_工程タスク'!$A$4:$A$135,A9)&lt;&gt;1,"参照ID不正",IF(INDEX('02_工程タスク'!$O$4:$O$135,MATCH(A9,'02_工程タスク'!$A$4:$A$135,0))="","",INDEX('02_工程タスク'!$O$4:$O$135,MATCH(A9,'02_工程タスク'!$A$4:$A$135,0))))</f>
        <v>B0-05</v>
      </c>
      <c r="BC9" s="28" t="str">
        <f t="shared" si="23"/>
        <v>記法OK</v>
      </c>
      <c r="BD9" s="28" t="str">
        <f>IF(A9="B6-01",IF(OR(AV9="",COUNTIF('29_ゲート承認記録'!$F$4:$F$83,AV9)&lt;&gt;1),"終了開始根拠不足",IF(IF(COUNTIF('29_ゲート承認記録'!$F$4:$F$83,AV9)&lt;&gt;1,"参照ID不正",IF(INDEX('29_ゲート承認記録'!$L$4:$L$83,MATCH(AV9,'29_ゲート承認記録'!$F$4:$F$83,0))="","",INDEX('29_ゲート承認記録'!$L$4:$L$83,MATCH(AV9,'29_ゲート承認記録'!$F$4:$F$83,0))))&lt;&gt;"Stop","Stop判断要確認","開始根拠あり")),IF(AND(A9="B5-18",AU9="事故"),IF(AV9="","事故レビュー参照不足","開始根拠あり"),"開始根拠あり"))</f>
        <v>開始根拠あり</v>
      </c>
      <c r="BE9" s="29"/>
      <c r="BF9" s="29"/>
    </row>
    <row r="10" spans="1:58" ht="38" customHeight="1" x14ac:dyDescent="0.2">
      <c r="A10" s="2" t="s">
        <v>330</v>
      </c>
      <c r="B10" s="28" t="str">
        <f>IF(COUNTIF('02_工程タスク'!$A$4:$A$135,A10)&lt;&gt;1,"参照ID不正",IF(INDEX('02_工程タスク'!$B$4:$B$135,MATCH(A10,'02_工程タスク'!$A$4:$A$135,0))="","",INDEX('02_工程タスク'!$B$4:$B$135,MATCH(A10,'02_工程タスク'!$A$4:$A$135,0))))</f>
        <v>企画</v>
      </c>
      <c r="C10" s="28" t="str">
        <f>IF(COUNTIF('02_工程タスク'!$A$4:$A$135,A10)&lt;&gt;1,"参照ID不正",IF(INDEX('02_工程タスク'!$D$4:$D$135,MATCH(A10,'02_工程タスク'!$A$4:$A$135,0))="","",INDEX('02_工程タスク'!$D$4:$D$135,MATCH(A10,'02_工程タスク'!$A$4:$A$135,0))))</f>
        <v>データ資産・権利の棚卸し</v>
      </c>
      <c r="D10" s="6"/>
      <c r="E10" s="6" t="s">
        <v>1598</v>
      </c>
      <c r="F10" s="6"/>
      <c r="G10" s="6"/>
      <c r="H10" s="5"/>
      <c r="I10" s="5"/>
      <c r="J10" s="5"/>
      <c r="K10" s="5"/>
      <c r="L10" s="6" t="s">
        <v>3629</v>
      </c>
      <c r="M10" s="6"/>
      <c r="N10" s="6"/>
      <c r="O10" s="5"/>
      <c r="P10" s="17"/>
      <c r="Q10" s="17"/>
      <c r="R10" s="6"/>
      <c r="S10" s="6"/>
      <c r="T10" s="6"/>
      <c r="U10" s="5"/>
      <c r="V10" s="6" t="s">
        <v>310</v>
      </c>
      <c r="W10" s="28" t="str">
        <f t="shared" si="0"/>
        <v>適用未判定</v>
      </c>
      <c r="X10" s="28" t="str">
        <f t="shared" si="1"/>
        <v/>
      </c>
      <c r="Y10" s="25" t="str">
        <f t="shared" si="2"/>
        <v/>
      </c>
      <c r="Z10" s="25" t="str">
        <f t="shared" si="3"/>
        <v>適用未判定</v>
      </c>
      <c r="AA10" s="25">
        <f t="shared" si="4"/>
        <v>0</v>
      </c>
      <c r="AB10" s="25" t="str">
        <f t="shared" si="5"/>
        <v>B0-05</v>
      </c>
      <c r="AC10" s="25" t="str">
        <f t="shared" si="6"/>
        <v/>
      </c>
      <c r="AD10" s="25" t="str">
        <f t="shared" si="7"/>
        <v/>
      </c>
      <c r="AE10" s="25" t="str">
        <f t="shared" si="8"/>
        <v/>
      </c>
      <c r="AF10" s="25" t="str">
        <f t="shared" si="9"/>
        <v/>
      </c>
      <c r="AG10" s="25" t="str">
        <f t="shared" si="10"/>
        <v/>
      </c>
      <c r="AH10" s="25" t="str">
        <f t="shared" si="11"/>
        <v/>
      </c>
      <c r="AI10" s="25" t="str">
        <f t="shared" si="12"/>
        <v/>
      </c>
      <c r="AJ10" s="25" t="str">
        <f t="shared" si="13"/>
        <v>未充足</v>
      </c>
      <c r="AK10" s="25" t="str">
        <f t="shared" si="14"/>
        <v/>
      </c>
      <c r="AL10" s="25" t="str">
        <f t="shared" si="15"/>
        <v/>
      </c>
      <c r="AM10" s="25" t="str">
        <f t="shared" si="16"/>
        <v/>
      </c>
      <c r="AN10" s="25" t="str">
        <f t="shared" si="17"/>
        <v/>
      </c>
      <c r="AO10" s="25" t="str">
        <f t="shared" si="18"/>
        <v/>
      </c>
      <c r="AP10" s="25" t="str">
        <f t="shared" si="19"/>
        <v/>
      </c>
      <c r="AQ10" s="25" t="str">
        <f t="shared" si="20"/>
        <v/>
      </c>
      <c r="AR10" s="35" t="str">
        <f t="shared" si="21"/>
        <v/>
      </c>
      <c r="AS10" s="28" t="str">
        <f>IF(COUNTIF('02_工程タスク'!$A$4:$A$135,A10)&lt;&gt;1,"参照ID不正",IF(INDEX('02_工程タスク'!$H$4:$H$135,MATCH(A10,'02_工程タスク'!$A$4:$A$135,0))="","",INDEX('02_工程タスク'!$H$4:$H$135,MATCH(A10,'02_工程タスク'!$A$4:$A$135,0))))</f>
        <v>R10</v>
      </c>
      <c r="AT10" s="28" t="str">
        <f t="shared" si="22"/>
        <v>INIT-B0-07</v>
      </c>
      <c r="AU10" s="29" t="s">
        <v>3630</v>
      </c>
      <c r="AV10" s="29"/>
      <c r="AW10" s="29"/>
      <c r="AX10" s="32"/>
      <c r="AY10" s="29"/>
      <c r="AZ10" s="29"/>
      <c r="BA10" s="32"/>
      <c r="BB10" s="28" t="str">
        <f>IF(COUNTIF('02_工程タスク'!$A$4:$A$135,A10)&lt;&gt;1,"参照ID不正",IF(INDEX('02_工程タスク'!$O$4:$O$135,MATCH(A10,'02_工程タスク'!$A$4:$A$135,0))="","",INDEX('02_工程タスク'!$O$4:$O$135,MATCH(A10,'02_工程タスク'!$A$4:$A$135,0))))</f>
        <v>B0-05</v>
      </c>
      <c r="BC10" s="28" t="str">
        <f t="shared" si="23"/>
        <v>記法OK</v>
      </c>
      <c r="BD10" s="28" t="str">
        <f>IF(A10="B6-01",IF(OR(AV10="",COUNTIF('29_ゲート承認記録'!$F$4:$F$83,AV10)&lt;&gt;1),"終了開始根拠不足",IF(IF(COUNTIF('29_ゲート承認記録'!$F$4:$F$83,AV10)&lt;&gt;1,"参照ID不正",IF(INDEX('29_ゲート承認記録'!$L$4:$L$83,MATCH(AV10,'29_ゲート承認記録'!$F$4:$F$83,0))="","",INDEX('29_ゲート承認記録'!$L$4:$L$83,MATCH(AV10,'29_ゲート承認記録'!$F$4:$F$83,0))))&lt;&gt;"Stop","Stop判断要確認","開始根拠あり")),IF(AND(A10="B5-18",AU10="事故"),IF(AV10="","事故レビュー参照不足","開始根拠あり"),"開始根拠あり"))</f>
        <v>開始根拠あり</v>
      </c>
      <c r="BE10" s="29"/>
      <c r="BF10" s="29"/>
    </row>
    <row r="11" spans="1:58" ht="38" customHeight="1" x14ac:dyDescent="0.2">
      <c r="A11" s="2" t="s">
        <v>342</v>
      </c>
      <c r="B11" s="28" t="str">
        <f>IF(COUNTIF('02_工程タスク'!$A$4:$A$135,A11)&lt;&gt;1,"参照ID不正",IF(INDEX('02_工程タスク'!$B$4:$B$135,MATCH(A11,'02_工程タスク'!$A$4:$A$135,0))="","",INDEX('02_工程タスク'!$B$4:$B$135,MATCH(A11,'02_工程タスク'!$A$4:$A$135,0))))</f>
        <v>企画</v>
      </c>
      <c r="C11" s="28" t="str">
        <f>IF(COUNTIF('02_工程タスク'!$A$4:$A$135,A11)&lt;&gt;1,"参照ID不正",IF(INDEX('02_工程タスク'!$D$4:$D$135,MATCH(A11,'02_工程タスク'!$A$4:$A$135,0))="","",INDEX('02_工程タスク'!$D$4:$D$135,MATCH(A11,'02_工程タスク'!$A$4:$A$135,0))))</f>
        <v>製品AI・開発AIの初期リスク分類</v>
      </c>
      <c r="D11" s="6"/>
      <c r="E11" s="6" t="s">
        <v>1598</v>
      </c>
      <c r="F11" s="6"/>
      <c r="G11" s="6"/>
      <c r="H11" s="5"/>
      <c r="I11" s="5"/>
      <c r="J11" s="5"/>
      <c r="K11" s="5"/>
      <c r="L11" s="6" t="s">
        <v>3629</v>
      </c>
      <c r="M11" s="6"/>
      <c r="N11" s="6"/>
      <c r="O11" s="5"/>
      <c r="P11" s="17"/>
      <c r="Q11" s="17"/>
      <c r="R11" s="6"/>
      <c r="S11" s="6"/>
      <c r="T11" s="6"/>
      <c r="U11" s="5"/>
      <c r="V11" s="6" t="s">
        <v>349</v>
      </c>
      <c r="W11" s="28" t="str">
        <f t="shared" si="0"/>
        <v>適用未判定</v>
      </c>
      <c r="X11" s="28" t="str">
        <f t="shared" si="1"/>
        <v/>
      </c>
      <c r="Y11" s="26" t="str">
        <f t="shared" si="2"/>
        <v/>
      </c>
      <c r="Z11" s="26" t="str">
        <f t="shared" si="3"/>
        <v>適用未判定</v>
      </c>
      <c r="AA11" s="26">
        <f t="shared" si="4"/>
        <v>0</v>
      </c>
      <c r="AB11" s="26" t="str">
        <f t="shared" si="5"/>
        <v>B0-06</v>
      </c>
      <c r="AC11" s="26" t="str">
        <f t="shared" si="6"/>
        <v>B0-07</v>
      </c>
      <c r="AD11" s="26" t="str">
        <f t="shared" si="7"/>
        <v/>
      </c>
      <c r="AE11" s="26" t="str">
        <f t="shared" si="8"/>
        <v/>
      </c>
      <c r="AF11" s="26" t="str">
        <f t="shared" si="9"/>
        <v/>
      </c>
      <c r="AG11" s="26" t="str">
        <f t="shared" si="10"/>
        <v/>
      </c>
      <c r="AH11" s="26" t="str">
        <f t="shared" si="11"/>
        <v/>
      </c>
      <c r="AI11" s="26" t="str">
        <f t="shared" si="12"/>
        <v/>
      </c>
      <c r="AJ11" s="26" t="str">
        <f t="shared" si="13"/>
        <v>未充足</v>
      </c>
      <c r="AK11" s="26" t="str">
        <f t="shared" si="14"/>
        <v>未充足</v>
      </c>
      <c r="AL11" s="26" t="str">
        <f t="shared" si="15"/>
        <v/>
      </c>
      <c r="AM11" s="26" t="str">
        <f t="shared" si="16"/>
        <v/>
      </c>
      <c r="AN11" s="26" t="str">
        <f t="shared" si="17"/>
        <v/>
      </c>
      <c r="AO11" s="26" t="str">
        <f t="shared" si="18"/>
        <v/>
      </c>
      <c r="AP11" s="26" t="str">
        <f t="shared" si="19"/>
        <v/>
      </c>
      <c r="AQ11" s="26" t="str">
        <f t="shared" si="20"/>
        <v/>
      </c>
      <c r="AR11" s="36" t="str">
        <f t="shared" si="21"/>
        <v/>
      </c>
      <c r="AS11" s="28" t="str">
        <f>IF(COUNTIF('02_工程タスク'!$A$4:$A$135,A11)&lt;&gt;1,"参照ID不正",IF(INDEX('02_工程タスク'!$H$4:$H$135,MATCH(A11,'02_工程タスク'!$A$4:$A$135,0))="","",INDEX('02_工程タスク'!$H$4:$H$135,MATCH(A11,'02_工程タスク'!$A$4:$A$135,0))))</f>
        <v>R01</v>
      </c>
      <c r="AT11" s="28" t="str">
        <f t="shared" si="22"/>
        <v>INIT-B0-08</v>
      </c>
      <c r="AU11" s="29" t="s">
        <v>3630</v>
      </c>
      <c r="AV11" s="29"/>
      <c r="AW11" s="29"/>
      <c r="AX11" s="32"/>
      <c r="AY11" s="29"/>
      <c r="AZ11" s="29"/>
      <c r="BA11" s="32"/>
      <c r="BB11" s="28" t="str">
        <f>IF(COUNTIF('02_工程タスク'!$A$4:$A$135,A11)&lt;&gt;1,"参照ID不正",IF(INDEX('02_工程タスク'!$O$4:$O$135,MATCH(A11,'02_工程タスク'!$A$4:$A$135,0))="","",INDEX('02_工程タスク'!$O$4:$O$135,MATCH(A11,'02_工程タスク'!$A$4:$A$135,0))))</f>
        <v>B0-06,B0-07</v>
      </c>
      <c r="BC11" s="28" t="str">
        <f t="shared" si="23"/>
        <v>記法OK</v>
      </c>
      <c r="BD11" s="28" t="str">
        <f>IF(A11="B6-01",IF(OR(AV11="",COUNTIF('29_ゲート承認記録'!$F$4:$F$83,AV11)&lt;&gt;1),"終了開始根拠不足",IF(IF(COUNTIF('29_ゲート承認記録'!$F$4:$F$83,AV11)&lt;&gt;1,"参照ID不正",IF(INDEX('29_ゲート承認記録'!$L$4:$L$83,MATCH(AV11,'29_ゲート承認記録'!$F$4:$F$83,0))="","",INDEX('29_ゲート承認記録'!$L$4:$L$83,MATCH(AV11,'29_ゲート承認記録'!$F$4:$F$83,0))))&lt;&gt;"Stop","Stop判断要確認","開始根拠あり")),IF(AND(A11="B5-18",AU11="事故"),IF(AV11="","事故レビュー参照不足","開始根拠あり"),"開始根拠あり"))</f>
        <v>開始根拠あり</v>
      </c>
      <c r="BE11" s="29"/>
      <c r="BF11" s="29"/>
    </row>
    <row r="12" spans="1:58" ht="38" customHeight="1" x14ac:dyDescent="0.2">
      <c r="A12" s="2" t="s">
        <v>354</v>
      </c>
      <c r="B12" s="28" t="str">
        <f>IF(COUNTIF('02_工程タスク'!$A$4:$A$135,A12)&lt;&gt;1,"参照ID不正",IF(INDEX('02_工程タスク'!$B$4:$B$135,MATCH(A12,'02_工程タスク'!$A$4:$A$135,0))="","",INDEX('02_工程タスク'!$B$4:$B$135,MATCH(A12,'02_工程タスク'!$A$4:$A$135,0))))</f>
        <v>企画</v>
      </c>
      <c r="C12" s="28" t="str">
        <f>IF(COUNTIF('02_工程タスク'!$A$4:$A$135,A12)&lt;&gt;1,"参照ID不正",IF(INDEX('02_工程タスク'!$D$4:$D$135,MATCH(A12,'02_工程タスク'!$A$4:$A$135,0))="","",INDEX('02_工程タスク'!$D$4:$D$135,MATCH(A12,'02_工程タスク'!$A$4:$A$135,0))))</f>
        <v>価格・支払意思・提供形態の仮説</v>
      </c>
      <c r="D12" s="6"/>
      <c r="E12" s="6" t="s">
        <v>1598</v>
      </c>
      <c r="F12" s="6"/>
      <c r="G12" s="6"/>
      <c r="H12" s="5"/>
      <c r="I12" s="5"/>
      <c r="J12" s="5"/>
      <c r="K12" s="5"/>
      <c r="L12" s="6" t="s">
        <v>3629</v>
      </c>
      <c r="M12" s="6"/>
      <c r="N12" s="6"/>
      <c r="O12" s="5"/>
      <c r="P12" s="17"/>
      <c r="Q12" s="17"/>
      <c r="R12" s="6"/>
      <c r="S12" s="6"/>
      <c r="T12" s="6"/>
      <c r="U12" s="5"/>
      <c r="V12" s="6" t="s">
        <v>310</v>
      </c>
      <c r="W12" s="28" t="str">
        <f t="shared" si="0"/>
        <v>適用未判定</v>
      </c>
      <c r="X12" s="28" t="str">
        <f t="shared" si="1"/>
        <v/>
      </c>
      <c r="Y12" s="25" t="str">
        <f t="shared" si="2"/>
        <v/>
      </c>
      <c r="Z12" s="25" t="str">
        <f t="shared" si="3"/>
        <v>適用未判定</v>
      </c>
      <c r="AA12" s="25">
        <f t="shared" si="4"/>
        <v>0</v>
      </c>
      <c r="AB12" s="25" t="str">
        <f t="shared" si="5"/>
        <v>B0-05</v>
      </c>
      <c r="AC12" s="25" t="str">
        <f t="shared" si="6"/>
        <v/>
      </c>
      <c r="AD12" s="25" t="str">
        <f t="shared" si="7"/>
        <v/>
      </c>
      <c r="AE12" s="25" t="str">
        <f t="shared" si="8"/>
        <v/>
      </c>
      <c r="AF12" s="25" t="str">
        <f t="shared" si="9"/>
        <v/>
      </c>
      <c r="AG12" s="25" t="str">
        <f t="shared" si="10"/>
        <v/>
      </c>
      <c r="AH12" s="25" t="str">
        <f t="shared" si="11"/>
        <v/>
      </c>
      <c r="AI12" s="25" t="str">
        <f t="shared" si="12"/>
        <v/>
      </c>
      <c r="AJ12" s="25" t="str">
        <f t="shared" si="13"/>
        <v>未充足</v>
      </c>
      <c r="AK12" s="25" t="str">
        <f t="shared" si="14"/>
        <v/>
      </c>
      <c r="AL12" s="25" t="str">
        <f t="shared" si="15"/>
        <v/>
      </c>
      <c r="AM12" s="25" t="str">
        <f t="shared" si="16"/>
        <v/>
      </c>
      <c r="AN12" s="25" t="str">
        <f t="shared" si="17"/>
        <v/>
      </c>
      <c r="AO12" s="25" t="str">
        <f t="shared" si="18"/>
        <v/>
      </c>
      <c r="AP12" s="25" t="str">
        <f t="shared" si="19"/>
        <v/>
      </c>
      <c r="AQ12" s="25" t="str">
        <f t="shared" si="20"/>
        <v/>
      </c>
      <c r="AR12" s="35" t="str">
        <f t="shared" si="21"/>
        <v/>
      </c>
      <c r="AS12" s="28" t="str">
        <f>IF(COUNTIF('02_工程タスク'!$A$4:$A$135,A12)&lt;&gt;1,"参照ID不正",IF(INDEX('02_工程タスク'!$H$4:$H$135,MATCH(A12,'02_工程タスク'!$A$4:$A$135,0))="","",INDEX('02_工程タスク'!$H$4:$H$135,MATCH(A12,'02_工程タスク'!$A$4:$A$135,0))))</f>
        <v>R01</v>
      </c>
      <c r="AT12" s="28" t="str">
        <f t="shared" si="22"/>
        <v>INIT-B0-09</v>
      </c>
      <c r="AU12" s="29" t="s">
        <v>3630</v>
      </c>
      <c r="AV12" s="29"/>
      <c r="AW12" s="29"/>
      <c r="AX12" s="32"/>
      <c r="AY12" s="29"/>
      <c r="AZ12" s="29"/>
      <c r="BA12" s="32"/>
      <c r="BB12" s="28" t="str">
        <f>IF(COUNTIF('02_工程タスク'!$A$4:$A$135,A12)&lt;&gt;1,"参照ID不正",IF(INDEX('02_工程タスク'!$O$4:$O$135,MATCH(A12,'02_工程タスク'!$A$4:$A$135,0))="","",INDEX('02_工程タスク'!$O$4:$O$135,MATCH(A12,'02_工程タスク'!$A$4:$A$135,0))))</f>
        <v>B0-05</v>
      </c>
      <c r="BC12" s="28" t="str">
        <f t="shared" si="23"/>
        <v>記法OK</v>
      </c>
      <c r="BD12" s="28" t="str">
        <f>IF(A12="B6-01",IF(OR(AV12="",COUNTIF('29_ゲート承認記録'!$F$4:$F$83,AV12)&lt;&gt;1),"終了開始根拠不足",IF(IF(COUNTIF('29_ゲート承認記録'!$F$4:$F$83,AV12)&lt;&gt;1,"参照ID不正",IF(INDEX('29_ゲート承認記録'!$L$4:$L$83,MATCH(AV12,'29_ゲート承認記録'!$F$4:$F$83,0))="","",INDEX('29_ゲート承認記録'!$L$4:$L$83,MATCH(AV12,'29_ゲート承認記録'!$F$4:$F$83,0))))&lt;&gt;"Stop","Stop判断要確認","開始根拠あり")),IF(AND(A12="B5-18",AU12="事故"),IF(AV12="","事故レビュー参照不足","開始根拠あり"),"開始根拠あり"))</f>
        <v>開始根拠あり</v>
      </c>
      <c r="BE12" s="29"/>
      <c r="BF12" s="29"/>
    </row>
    <row r="13" spans="1:58" ht="38" customHeight="1" x14ac:dyDescent="0.2">
      <c r="A13" s="2" t="s">
        <v>363</v>
      </c>
      <c r="B13" s="28" t="str">
        <f>IF(COUNTIF('02_工程タスク'!$A$4:$A$135,A13)&lt;&gt;1,"参照ID不正",IF(INDEX('02_工程タスク'!$B$4:$B$135,MATCH(A13,'02_工程タスク'!$A$4:$A$135,0))="","",INDEX('02_工程タスク'!$B$4:$B$135,MATCH(A13,'02_工程タスク'!$A$4:$A$135,0))))</f>
        <v>企画</v>
      </c>
      <c r="C13" s="28" t="str">
        <f>IF(COUNTIF('02_工程タスク'!$A$4:$A$135,A13)&lt;&gt;1,"参照ID不正",IF(INDEX('02_工程タスク'!$D$4:$D$135,MATCH(A13,'02_工程タスク'!$A$4:$A$135,0))="","",INDEX('02_工程タスク'!$D$4:$D$135,MATCH(A13,'02_工程タスク'!$A$4:$A$135,0))))</f>
        <v>単位経済性・TCO・感度分析</v>
      </c>
      <c r="D13" s="6"/>
      <c r="E13" s="6" t="s">
        <v>1598</v>
      </c>
      <c r="F13" s="6"/>
      <c r="G13" s="6"/>
      <c r="H13" s="5"/>
      <c r="I13" s="5"/>
      <c r="J13" s="5"/>
      <c r="K13" s="5"/>
      <c r="L13" s="6" t="s">
        <v>3629</v>
      </c>
      <c r="M13" s="6"/>
      <c r="N13" s="6"/>
      <c r="O13" s="5"/>
      <c r="P13" s="17"/>
      <c r="Q13" s="17"/>
      <c r="R13" s="6"/>
      <c r="S13" s="6"/>
      <c r="T13" s="6"/>
      <c r="U13" s="5"/>
      <c r="V13" s="6" t="s">
        <v>370</v>
      </c>
      <c r="W13" s="28" t="str">
        <f t="shared" si="0"/>
        <v>適用未判定</v>
      </c>
      <c r="X13" s="28" t="str">
        <f t="shared" si="1"/>
        <v/>
      </c>
      <c r="Y13" s="26" t="str">
        <f t="shared" si="2"/>
        <v/>
      </c>
      <c r="Z13" s="26" t="str">
        <f t="shared" si="3"/>
        <v>適用未判定</v>
      </c>
      <c r="AA13" s="26">
        <f t="shared" si="4"/>
        <v>0</v>
      </c>
      <c r="AB13" s="26" t="str">
        <f t="shared" si="5"/>
        <v>B0-06</v>
      </c>
      <c r="AC13" s="26" t="str">
        <f t="shared" si="6"/>
        <v>B0-09</v>
      </c>
      <c r="AD13" s="26" t="str">
        <f t="shared" si="7"/>
        <v/>
      </c>
      <c r="AE13" s="26" t="str">
        <f t="shared" si="8"/>
        <v/>
      </c>
      <c r="AF13" s="26" t="str">
        <f t="shared" si="9"/>
        <v/>
      </c>
      <c r="AG13" s="26" t="str">
        <f t="shared" si="10"/>
        <v/>
      </c>
      <c r="AH13" s="26" t="str">
        <f t="shared" si="11"/>
        <v/>
      </c>
      <c r="AI13" s="26" t="str">
        <f t="shared" si="12"/>
        <v/>
      </c>
      <c r="AJ13" s="26" t="str">
        <f t="shared" si="13"/>
        <v>未充足</v>
      </c>
      <c r="AK13" s="26" t="str">
        <f t="shared" si="14"/>
        <v>未充足</v>
      </c>
      <c r="AL13" s="26" t="str">
        <f t="shared" si="15"/>
        <v/>
      </c>
      <c r="AM13" s="26" t="str">
        <f t="shared" si="16"/>
        <v/>
      </c>
      <c r="AN13" s="26" t="str">
        <f t="shared" si="17"/>
        <v/>
      </c>
      <c r="AO13" s="26" t="str">
        <f t="shared" si="18"/>
        <v/>
      </c>
      <c r="AP13" s="26" t="str">
        <f t="shared" si="19"/>
        <v/>
      </c>
      <c r="AQ13" s="26" t="str">
        <f t="shared" si="20"/>
        <v/>
      </c>
      <c r="AR13" s="36" t="str">
        <f t="shared" si="21"/>
        <v/>
      </c>
      <c r="AS13" s="28" t="str">
        <f>IF(COUNTIF('02_工程タスク'!$A$4:$A$135,A13)&lt;&gt;1,"参照ID不正",IF(INDEX('02_工程タスク'!$H$4:$H$135,MATCH(A13,'02_工程タスク'!$A$4:$A$135,0))="","",INDEX('02_工程タスク'!$H$4:$H$135,MATCH(A13,'02_工程タスク'!$A$4:$A$135,0))))</f>
        <v>R01</v>
      </c>
      <c r="AT13" s="28" t="str">
        <f t="shared" si="22"/>
        <v>INIT-B0-10</v>
      </c>
      <c r="AU13" s="29" t="s">
        <v>3630</v>
      </c>
      <c r="AV13" s="29"/>
      <c r="AW13" s="29"/>
      <c r="AX13" s="32"/>
      <c r="AY13" s="29"/>
      <c r="AZ13" s="29"/>
      <c r="BA13" s="32"/>
      <c r="BB13" s="28" t="str">
        <f>IF(COUNTIF('02_工程タスク'!$A$4:$A$135,A13)&lt;&gt;1,"参照ID不正",IF(INDEX('02_工程タスク'!$O$4:$O$135,MATCH(A13,'02_工程タスク'!$A$4:$A$135,0))="","",INDEX('02_工程タスク'!$O$4:$O$135,MATCH(A13,'02_工程タスク'!$A$4:$A$135,0))))</f>
        <v>B0-06,B0-09</v>
      </c>
      <c r="BC13" s="28" t="str">
        <f t="shared" si="23"/>
        <v>記法OK</v>
      </c>
      <c r="BD13" s="28" t="str">
        <f>IF(A13="B6-01",IF(OR(AV13="",COUNTIF('29_ゲート承認記録'!$F$4:$F$83,AV13)&lt;&gt;1),"終了開始根拠不足",IF(IF(COUNTIF('29_ゲート承認記録'!$F$4:$F$83,AV13)&lt;&gt;1,"参照ID不正",IF(INDEX('29_ゲート承認記録'!$L$4:$L$83,MATCH(AV13,'29_ゲート承認記録'!$F$4:$F$83,0))="","",INDEX('29_ゲート承認記録'!$L$4:$L$83,MATCH(AV13,'29_ゲート承認記録'!$F$4:$F$83,0))))&lt;&gt;"Stop","Stop判断要確認","開始根拠あり")),IF(AND(A13="B5-18",AU13="事故"),IF(AV13="","事故レビュー参照不足","開始根拠あり"),"開始根拠あり"))</f>
        <v>開始根拠あり</v>
      </c>
      <c r="BE13" s="29"/>
      <c r="BF13" s="29"/>
    </row>
    <row r="14" spans="1:58" ht="38" customHeight="1" x14ac:dyDescent="0.2">
      <c r="A14" s="2" t="s">
        <v>375</v>
      </c>
      <c r="B14" s="28" t="str">
        <f>IF(COUNTIF('02_工程タスク'!$A$4:$A$135,A14)&lt;&gt;1,"参照ID不正",IF(INDEX('02_工程タスク'!$B$4:$B$135,MATCH(A14,'02_工程タスク'!$A$4:$A$135,0))="","",INDEX('02_工程タスク'!$B$4:$B$135,MATCH(A14,'02_工程タスク'!$A$4:$A$135,0))))</f>
        <v>企画</v>
      </c>
      <c r="C14" s="28" t="str">
        <f>IF(COUNTIF('02_工程タスク'!$A$4:$A$135,A14)&lt;&gt;1,"参照ID不正",IF(INDEX('02_工程タスク'!$D$4:$D$135,MATCH(A14,'02_工程タスク'!$A$4:$A$135,0))="","",INDEX('02_工程タスク'!$D$4:$D$135,MATCH(A14,'02_工程タスク'!$A$4:$A$135,0))))</f>
        <v>最大不確実性と検証順の設定</v>
      </c>
      <c r="D14" s="6"/>
      <c r="E14" s="6" t="s">
        <v>1598</v>
      </c>
      <c r="F14" s="6"/>
      <c r="G14" s="6"/>
      <c r="H14" s="5"/>
      <c r="I14" s="5"/>
      <c r="J14" s="5"/>
      <c r="K14" s="5"/>
      <c r="L14" s="6" t="s">
        <v>3629</v>
      </c>
      <c r="M14" s="6"/>
      <c r="N14" s="6"/>
      <c r="O14" s="5"/>
      <c r="P14" s="17"/>
      <c r="Q14" s="17"/>
      <c r="R14" s="6"/>
      <c r="S14" s="6"/>
      <c r="T14" s="6"/>
      <c r="U14" s="5"/>
      <c r="V14" s="6" t="s">
        <v>382</v>
      </c>
      <c r="W14" s="28" t="str">
        <f t="shared" si="0"/>
        <v>適用未判定</v>
      </c>
      <c r="X14" s="28" t="str">
        <f t="shared" si="1"/>
        <v/>
      </c>
      <c r="Y14" s="25" t="str">
        <f t="shared" si="2"/>
        <v/>
      </c>
      <c r="Z14" s="25" t="str">
        <f t="shared" si="3"/>
        <v>適用未判定</v>
      </c>
      <c r="AA14" s="25">
        <f t="shared" si="4"/>
        <v>0</v>
      </c>
      <c r="AB14" s="25" t="str">
        <f t="shared" si="5"/>
        <v>B0-08</v>
      </c>
      <c r="AC14" s="25" t="str">
        <f t="shared" si="6"/>
        <v>B0-10</v>
      </c>
      <c r="AD14" s="25" t="str">
        <f t="shared" si="7"/>
        <v/>
      </c>
      <c r="AE14" s="25" t="str">
        <f t="shared" si="8"/>
        <v/>
      </c>
      <c r="AF14" s="25" t="str">
        <f t="shared" si="9"/>
        <v/>
      </c>
      <c r="AG14" s="25" t="str">
        <f t="shared" si="10"/>
        <v/>
      </c>
      <c r="AH14" s="25" t="str">
        <f t="shared" si="11"/>
        <v/>
      </c>
      <c r="AI14" s="25" t="str">
        <f t="shared" si="12"/>
        <v/>
      </c>
      <c r="AJ14" s="25" t="str">
        <f t="shared" si="13"/>
        <v>未充足</v>
      </c>
      <c r="AK14" s="25" t="str">
        <f t="shared" si="14"/>
        <v>未充足</v>
      </c>
      <c r="AL14" s="25" t="str">
        <f t="shared" si="15"/>
        <v/>
      </c>
      <c r="AM14" s="25" t="str">
        <f t="shared" si="16"/>
        <v/>
      </c>
      <c r="AN14" s="25" t="str">
        <f t="shared" si="17"/>
        <v/>
      </c>
      <c r="AO14" s="25" t="str">
        <f t="shared" si="18"/>
        <v/>
      </c>
      <c r="AP14" s="25" t="str">
        <f t="shared" si="19"/>
        <v/>
      </c>
      <c r="AQ14" s="25" t="str">
        <f t="shared" si="20"/>
        <v/>
      </c>
      <c r="AR14" s="35" t="str">
        <f t="shared" si="21"/>
        <v/>
      </c>
      <c r="AS14" s="28" t="str">
        <f>IF(COUNTIF('02_工程タスク'!$A$4:$A$135,A14)&lt;&gt;1,"参照ID不正",IF(INDEX('02_工程タスク'!$H$4:$H$135,MATCH(A14,'02_工程タスク'!$A$4:$A$135,0))="","",INDEX('02_工程タスク'!$H$4:$H$135,MATCH(A14,'02_工程タスク'!$A$4:$A$135,0))))</f>
        <v>R02</v>
      </c>
      <c r="AT14" s="28" t="str">
        <f t="shared" si="22"/>
        <v>INIT-B0-11</v>
      </c>
      <c r="AU14" s="29" t="s">
        <v>3630</v>
      </c>
      <c r="AV14" s="29"/>
      <c r="AW14" s="29"/>
      <c r="AX14" s="32"/>
      <c r="AY14" s="29"/>
      <c r="AZ14" s="29"/>
      <c r="BA14" s="32"/>
      <c r="BB14" s="28" t="str">
        <f>IF(COUNTIF('02_工程タスク'!$A$4:$A$135,A14)&lt;&gt;1,"参照ID不正",IF(INDEX('02_工程タスク'!$O$4:$O$135,MATCH(A14,'02_工程タスク'!$A$4:$A$135,0))="","",INDEX('02_工程タスク'!$O$4:$O$135,MATCH(A14,'02_工程タスク'!$A$4:$A$135,0))))</f>
        <v>B0-08,B0-10</v>
      </c>
      <c r="BC14" s="28" t="str">
        <f t="shared" si="23"/>
        <v>記法OK</v>
      </c>
      <c r="BD14" s="28" t="str">
        <f>IF(A14="B6-01",IF(OR(AV14="",COUNTIF('29_ゲート承認記録'!$F$4:$F$83,AV14)&lt;&gt;1),"終了開始根拠不足",IF(IF(COUNTIF('29_ゲート承認記録'!$F$4:$F$83,AV14)&lt;&gt;1,"参照ID不正",IF(INDEX('29_ゲート承認記録'!$L$4:$L$83,MATCH(AV14,'29_ゲート承認記録'!$F$4:$F$83,0))="","",INDEX('29_ゲート承認記録'!$L$4:$L$83,MATCH(AV14,'29_ゲート承認記録'!$F$4:$F$83,0))))&lt;&gt;"Stop","Stop判断要確認","開始根拠あり")),IF(AND(A14="B5-18",AU14="事故"),IF(AV14="","事故レビュー参照不足","開始根拠あり"),"開始根拠あり"))</f>
        <v>開始根拠あり</v>
      </c>
      <c r="BE14" s="29"/>
      <c r="BF14" s="29"/>
    </row>
    <row r="15" spans="1:58" ht="38" customHeight="1" x14ac:dyDescent="0.2">
      <c r="A15" s="2" t="s">
        <v>385</v>
      </c>
      <c r="B15" s="28" t="str">
        <f>IF(COUNTIF('02_工程タスク'!$A$4:$A$135,A15)&lt;&gt;1,"参照ID不正",IF(INDEX('02_工程タスク'!$B$4:$B$135,MATCH(A15,'02_工程タスク'!$A$4:$A$135,0))="","",INDEX('02_工程タスク'!$B$4:$B$135,MATCH(A15,'02_工程タスク'!$A$4:$A$135,0))))</f>
        <v>企画</v>
      </c>
      <c r="C15" s="28" t="str">
        <f>IF(COUNTIF('02_工程タスク'!$A$4:$A$135,A15)&lt;&gt;1,"参照ID不正",IF(INDEX('02_工程タスク'!$D$4:$D$135,MATCH(A15,'02_工程タスク'!$A$4:$A$135,0))="","",INDEX('02_工程タスク'!$D$4:$D$135,MATCH(A15,'02_工程タスク'!$A$4:$A$135,0))))</f>
        <v>コンセプト・手動代替による需要検証</v>
      </c>
      <c r="D15" s="6"/>
      <c r="E15" s="6" t="s">
        <v>1598</v>
      </c>
      <c r="F15" s="6"/>
      <c r="G15" s="6"/>
      <c r="H15" s="5"/>
      <c r="I15" s="5"/>
      <c r="J15" s="5"/>
      <c r="K15" s="5"/>
      <c r="L15" s="6" t="s">
        <v>3629</v>
      </c>
      <c r="M15" s="6"/>
      <c r="N15" s="6"/>
      <c r="O15" s="5"/>
      <c r="P15" s="17"/>
      <c r="Q15" s="17"/>
      <c r="R15" s="6"/>
      <c r="S15" s="6"/>
      <c r="T15" s="6"/>
      <c r="U15" s="5"/>
      <c r="V15" s="6" t="s">
        <v>375</v>
      </c>
      <c r="W15" s="28" t="str">
        <f t="shared" si="0"/>
        <v>適用未判定</v>
      </c>
      <c r="X15" s="28" t="str">
        <f t="shared" si="1"/>
        <v/>
      </c>
      <c r="Y15" s="26" t="str">
        <f t="shared" si="2"/>
        <v/>
      </c>
      <c r="Z15" s="26" t="str">
        <f t="shared" si="3"/>
        <v>適用未判定</v>
      </c>
      <c r="AA15" s="26">
        <f t="shared" si="4"/>
        <v>0</v>
      </c>
      <c r="AB15" s="26" t="str">
        <f t="shared" si="5"/>
        <v>B0-11</v>
      </c>
      <c r="AC15" s="26" t="str">
        <f t="shared" si="6"/>
        <v/>
      </c>
      <c r="AD15" s="26" t="str">
        <f t="shared" si="7"/>
        <v/>
      </c>
      <c r="AE15" s="26" t="str">
        <f t="shared" si="8"/>
        <v/>
      </c>
      <c r="AF15" s="26" t="str">
        <f t="shared" si="9"/>
        <v/>
      </c>
      <c r="AG15" s="26" t="str">
        <f t="shared" si="10"/>
        <v/>
      </c>
      <c r="AH15" s="26" t="str">
        <f t="shared" si="11"/>
        <v/>
      </c>
      <c r="AI15" s="26" t="str">
        <f t="shared" si="12"/>
        <v/>
      </c>
      <c r="AJ15" s="26" t="str">
        <f t="shared" si="13"/>
        <v>未充足</v>
      </c>
      <c r="AK15" s="26" t="str">
        <f t="shared" si="14"/>
        <v/>
      </c>
      <c r="AL15" s="26" t="str">
        <f t="shared" si="15"/>
        <v/>
      </c>
      <c r="AM15" s="26" t="str">
        <f t="shared" si="16"/>
        <v/>
      </c>
      <c r="AN15" s="26" t="str">
        <f t="shared" si="17"/>
        <v/>
      </c>
      <c r="AO15" s="26" t="str">
        <f t="shared" si="18"/>
        <v/>
      </c>
      <c r="AP15" s="26" t="str">
        <f t="shared" si="19"/>
        <v/>
      </c>
      <c r="AQ15" s="26" t="str">
        <f t="shared" si="20"/>
        <v/>
      </c>
      <c r="AR15" s="36" t="str">
        <f t="shared" si="21"/>
        <v/>
      </c>
      <c r="AS15" s="28" t="str">
        <f>IF(COUNTIF('02_工程タスク'!$A$4:$A$135,A15)&lt;&gt;1,"参照ID不正",IF(INDEX('02_工程タスク'!$H$4:$H$135,MATCH(A15,'02_工程タスク'!$A$4:$A$135,0))="","",INDEX('02_工程タスク'!$H$4:$H$135,MATCH(A15,'02_工程タスク'!$A$4:$A$135,0))))</f>
        <v>R02</v>
      </c>
      <c r="AT15" s="28" t="str">
        <f t="shared" si="22"/>
        <v>INIT-B0-12</v>
      </c>
      <c r="AU15" s="29" t="s">
        <v>3630</v>
      </c>
      <c r="AV15" s="29"/>
      <c r="AW15" s="29"/>
      <c r="AX15" s="32"/>
      <c r="AY15" s="29"/>
      <c r="AZ15" s="29"/>
      <c r="BA15" s="32"/>
      <c r="BB15" s="28" t="str">
        <f>IF(COUNTIF('02_工程タスク'!$A$4:$A$135,A15)&lt;&gt;1,"参照ID不正",IF(INDEX('02_工程タスク'!$O$4:$O$135,MATCH(A15,'02_工程タスク'!$A$4:$A$135,0))="","",INDEX('02_工程タスク'!$O$4:$O$135,MATCH(A15,'02_工程タスク'!$A$4:$A$135,0))))</f>
        <v>B0-11</v>
      </c>
      <c r="BC15" s="28" t="str">
        <f t="shared" si="23"/>
        <v>記法OK</v>
      </c>
      <c r="BD15" s="28" t="str">
        <f>IF(A15="B6-01",IF(OR(AV15="",COUNTIF('29_ゲート承認記録'!$F$4:$F$83,AV15)&lt;&gt;1),"終了開始根拠不足",IF(IF(COUNTIF('29_ゲート承認記録'!$F$4:$F$83,AV15)&lt;&gt;1,"参照ID不正",IF(INDEX('29_ゲート承認記録'!$L$4:$L$83,MATCH(AV15,'29_ゲート承認記録'!$F$4:$F$83,0))="","",INDEX('29_ゲート承認記録'!$L$4:$L$83,MATCH(AV15,'29_ゲート承認記録'!$F$4:$F$83,0))))&lt;&gt;"Stop","Stop判断要確認","開始根拠あり")),IF(AND(A15="B5-18",AU15="事故"),IF(AV15="","事故レビュー参照不足","開始根拠あり"),"開始根拠あり"))</f>
        <v>開始根拠あり</v>
      </c>
      <c r="BE15" s="29"/>
      <c r="BF15" s="29"/>
    </row>
    <row r="16" spans="1:58" ht="38" customHeight="1" x14ac:dyDescent="0.2">
      <c r="A16" s="2" t="s">
        <v>396</v>
      </c>
      <c r="B16" s="28" t="str">
        <f>IF(COUNTIF('02_工程タスク'!$A$4:$A$135,A16)&lt;&gt;1,"参照ID不正",IF(INDEX('02_工程タスク'!$B$4:$B$135,MATCH(A16,'02_工程タスク'!$A$4:$A$135,0))="","",INDEX('02_工程タスク'!$B$4:$B$135,MATCH(A16,'02_工程タスク'!$A$4:$A$135,0))))</f>
        <v>企画</v>
      </c>
      <c r="C16" s="28" t="str">
        <f>IF(COUNTIF('02_工程タスク'!$A$4:$A$135,A16)&lt;&gt;1,"参照ID不正",IF(INDEX('02_工程タスク'!$D$4:$D$135,MATCH(A16,'02_工程タスク'!$A$4:$A$135,0))="","",INDEX('02_工程タスク'!$D$4:$D$135,MATCH(A16,'02_工程タスク'!$A$4:$A$135,0))))</f>
        <v>限定プロトタイプ・非AIベースライン</v>
      </c>
      <c r="D16" s="6"/>
      <c r="E16" s="6" t="s">
        <v>1598</v>
      </c>
      <c r="F16" s="6"/>
      <c r="G16" s="6"/>
      <c r="H16" s="5"/>
      <c r="I16" s="5"/>
      <c r="J16" s="5"/>
      <c r="K16" s="5"/>
      <c r="L16" s="6" t="s">
        <v>3629</v>
      </c>
      <c r="M16" s="6"/>
      <c r="N16" s="6"/>
      <c r="O16" s="5"/>
      <c r="P16" s="17"/>
      <c r="Q16" s="17"/>
      <c r="R16" s="6"/>
      <c r="S16" s="6"/>
      <c r="T16" s="6"/>
      <c r="U16" s="5"/>
      <c r="V16" s="6" t="s">
        <v>404</v>
      </c>
      <c r="W16" s="28" t="str">
        <f t="shared" si="0"/>
        <v>適用未判定</v>
      </c>
      <c r="X16" s="28" t="str">
        <f t="shared" si="1"/>
        <v/>
      </c>
      <c r="Y16" s="25" t="str">
        <f t="shared" si="2"/>
        <v/>
      </c>
      <c r="Z16" s="25" t="str">
        <f t="shared" si="3"/>
        <v>適用未判定</v>
      </c>
      <c r="AA16" s="25">
        <f t="shared" si="4"/>
        <v>0</v>
      </c>
      <c r="AB16" s="25" t="str">
        <f t="shared" si="5"/>
        <v>B0-07</v>
      </c>
      <c r="AC16" s="25" t="str">
        <f t="shared" si="6"/>
        <v>B0-08</v>
      </c>
      <c r="AD16" s="25" t="str">
        <f t="shared" si="7"/>
        <v>B0-11</v>
      </c>
      <c r="AE16" s="25" t="str">
        <f t="shared" si="8"/>
        <v/>
      </c>
      <c r="AF16" s="25" t="str">
        <f t="shared" si="9"/>
        <v/>
      </c>
      <c r="AG16" s="25" t="str">
        <f t="shared" si="10"/>
        <v/>
      </c>
      <c r="AH16" s="25" t="str">
        <f t="shared" si="11"/>
        <v/>
      </c>
      <c r="AI16" s="25" t="str">
        <f t="shared" si="12"/>
        <v/>
      </c>
      <c r="AJ16" s="25" t="str">
        <f t="shared" si="13"/>
        <v>未充足</v>
      </c>
      <c r="AK16" s="25" t="str">
        <f t="shared" si="14"/>
        <v>未充足</v>
      </c>
      <c r="AL16" s="25" t="str">
        <f t="shared" si="15"/>
        <v>未充足</v>
      </c>
      <c r="AM16" s="25" t="str">
        <f t="shared" si="16"/>
        <v/>
      </c>
      <c r="AN16" s="25" t="str">
        <f t="shared" si="17"/>
        <v/>
      </c>
      <c r="AO16" s="25" t="str">
        <f t="shared" si="18"/>
        <v/>
      </c>
      <c r="AP16" s="25" t="str">
        <f t="shared" si="19"/>
        <v/>
      </c>
      <c r="AQ16" s="25" t="str">
        <f t="shared" si="20"/>
        <v/>
      </c>
      <c r="AR16" s="35" t="str">
        <f t="shared" si="21"/>
        <v/>
      </c>
      <c r="AS16" s="28" t="str">
        <f>IF(COUNTIF('02_工程タスク'!$A$4:$A$135,A16)&lt;&gt;1,"参照ID不正",IF(INDEX('02_工程タスク'!$H$4:$H$135,MATCH(A16,'02_工程タスク'!$A$4:$A$135,0))="","",INDEX('02_工程タスク'!$H$4:$H$135,MATCH(A16,'02_工程タスク'!$A$4:$A$135,0))))</f>
        <v>R06</v>
      </c>
      <c r="AT16" s="28" t="str">
        <f t="shared" si="22"/>
        <v>INIT-B0-13</v>
      </c>
      <c r="AU16" s="29" t="s">
        <v>3630</v>
      </c>
      <c r="AV16" s="29"/>
      <c r="AW16" s="29"/>
      <c r="AX16" s="32"/>
      <c r="AY16" s="29"/>
      <c r="AZ16" s="29"/>
      <c r="BA16" s="32"/>
      <c r="BB16" s="28" t="str">
        <f>IF(COUNTIF('02_工程タスク'!$A$4:$A$135,A16)&lt;&gt;1,"参照ID不正",IF(INDEX('02_工程タスク'!$O$4:$O$135,MATCH(A16,'02_工程タスク'!$A$4:$A$135,0))="","",INDEX('02_工程タスク'!$O$4:$O$135,MATCH(A16,'02_工程タスク'!$A$4:$A$135,0))))</f>
        <v>B0-07,B0-08,B0-11</v>
      </c>
      <c r="BC16" s="28" t="str">
        <f t="shared" si="23"/>
        <v>記法OK</v>
      </c>
      <c r="BD16" s="28" t="str">
        <f>IF(A16="B6-01",IF(OR(AV16="",COUNTIF('29_ゲート承認記録'!$F$4:$F$83,AV16)&lt;&gt;1),"終了開始根拠不足",IF(IF(COUNTIF('29_ゲート承認記録'!$F$4:$F$83,AV16)&lt;&gt;1,"参照ID不正",IF(INDEX('29_ゲート承認記録'!$L$4:$L$83,MATCH(AV16,'29_ゲート承認記録'!$F$4:$F$83,0))="","",INDEX('29_ゲート承認記録'!$L$4:$L$83,MATCH(AV16,'29_ゲート承認記録'!$F$4:$F$83,0))))&lt;&gt;"Stop","Stop判断要確認","開始根拠あり")),IF(AND(A16="B5-18",AU16="事故"),IF(AV16="","事故レビュー参照不足","開始根拠あり"),"開始根拠あり"))</f>
        <v>開始根拠あり</v>
      </c>
      <c r="BE16" s="29"/>
      <c r="BF16" s="29"/>
    </row>
    <row r="17" spans="1:58" ht="38" customHeight="1" x14ac:dyDescent="0.2">
      <c r="A17" s="2" t="s">
        <v>407</v>
      </c>
      <c r="B17" s="28" t="str">
        <f>IF(COUNTIF('02_工程タスク'!$A$4:$A$135,A17)&lt;&gt;1,"参照ID不正",IF(INDEX('02_工程タスク'!$B$4:$B$135,MATCH(A17,'02_工程タスク'!$A$4:$A$135,0))="","",INDEX('02_工程タスク'!$B$4:$B$135,MATCH(A17,'02_工程タスク'!$A$4:$A$135,0))))</f>
        <v>企画</v>
      </c>
      <c r="C17" s="28" t="str">
        <f>IF(COUNTIF('02_工程タスク'!$A$4:$A$135,A17)&lt;&gt;1,"参照ID不正",IF(INDEX('02_工程タスク'!$D$4:$D$135,MATCH(A17,'02_工程タスク'!$A$4:$A$135,0))="","",INDEX('02_工程タスク'!$D$4:$D$135,MATCH(A17,'02_工程タスク'!$A$4:$A$135,0))))</f>
        <v>提供・販売・サポート経路の仮設計</v>
      </c>
      <c r="D17" s="6"/>
      <c r="E17" s="6" t="s">
        <v>1598</v>
      </c>
      <c r="F17" s="6"/>
      <c r="G17" s="6"/>
      <c r="H17" s="5"/>
      <c r="I17" s="5"/>
      <c r="J17" s="5"/>
      <c r="K17" s="5"/>
      <c r="L17" s="6" t="s">
        <v>3629</v>
      </c>
      <c r="M17" s="6"/>
      <c r="N17" s="6"/>
      <c r="O17" s="5"/>
      <c r="P17" s="17"/>
      <c r="Q17" s="17"/>
      <c r="R17" s="6"/>
      <c r="S17" s="6"/>
      <c r="T17" s="6"/>
      <c r="U17" s="5"/>
      <c r="V17" s="6" t="s">
        <v>354</v>
      </c>
      <c r="W17" s="28" t="str">
        <f t="shared" si="0"/>
        <v>適用未判定</v>
      </c>
      <c r="X17" s="28" t="str">
        <f t="shared" si="1"/>
        <v/>
      </c>
      <c r="Y17" s="26" t="str">
        <f t="shared" si="2"/>
        <v/>
      </c>
      <c r="Z17" s="26" t="str">
        <f t="shared" si="3"/>
        <v>適用未判定</v>
      </c>
      <c r="AA17" s="26">
        <f t="shared" si="4"/>
        <v>0</v>
      </c>
      <c r="AB17" s="26" t="str">
        <f t="shared" si="5"/>
        <v>B0-09</v>
      </c>
      <c r="AC17" s="26" t="str">
        <f t="shared" si="6"/>
        <v/>
      </c>
      <c r="AD17" s="26" t="str">
        <f t="shared" si="7"/>
        <v/>
      </c>
      <c r="AE17" s="26" t="str">
        <f t="shared" si="8"/>
        <v/>
      </c>
      <c r="AF17" s="26" t="str">
        <f t="shared" si="9"/>
        <v/>
      </c>
      <c r="AG17" s="26" t="str">
        <f t="shared" si="10"/>
        <v/>
      </c>
      <c r="AH17" s="26" t="str">
        <f t="shared" si="11"/>
        <v/>
      </c>
      <c r="AI17" s="26" t="str">
        <f t="shared" si="12"/>
        <v/>
      </c>
      <c r="AJ17" s="26" t="str">
        <f t="shared" si="13"/>
        <v>未充足</v>
      </c>
      <c r="AK17" s="26" t="str">
        <f t="shared" si="14"/>
        <v/>
      </c>
      <c r="AL17" s="26" t="str">
        <f t="shared" si="15"/>
        <v/>
      </c>
      <c r="AM17" s="26" t="str">
        <f t="shared" si="16"/>
        <v/>
      </c>
      <c r="AN17" s="26" t="str">
        <f t="shared" si="17"/>
        <v/>
      </c>
      <c r="AO17" s="26" t="str">
        <f t="shared" si="18"/>
        <v/>
      </c>
      <c r="AP17" s="26" t="str">
        <f t="shared" si="19"/>
        <v/>
      </c>
      <c r="AQ17" s="26" t="str">
        <f t="shared" si="20"/>
        <v/>
      </c>
      <c r="AR17" s="36" t="str">
        <f t="shared" si="21"/>
        <v/>
      </c>
      <c r="AS17" s="28" t="str">
        <f>IF(COUNTIF('02_工程タスク'!$A$4:$A$135,A17)&lt;&gt;1,"参照ID不正",IF(INDEX('02_工程タスク'!$H$4:$H$135,MATCH(A17,'02_工程タスク'!$A$4:$A$135,0))="","",INDEX('02_工程タスク'!$H$4:$H$135,MATCH(A17,'02_工程タスク'!$A$4:$A$135,0))))</f>
        <v>R01</v>
      </c>
      <c r="AT17" s="28" t="str">
        <f t="shared" si="22"/>
        <v>INIT-B0-14</v>
      </c>
      <c r="AU17" s="29" t="s">
        <v>3630</v>
      </c>
      <c r="AV17" s="29"/>
      <c r="AW17" s="29"/>
      <c r="AX17" s="32"/>
      <c r="AY17" s="29"/>
      <c r="AZ17" s="29"/>
      <c r="BA17" s="32"/>
      <c r="BB17" s="28" t="str">
        <f>IF(COUNTIF('02_工程タスク'!$A$4:$A$135,A17)&lt;&gt;1,"参照ID不正",IF(INDEX('02_工程タスク'!$O$4:$O$135,MATCH(A17,'02_工程タスク'!$A$4:$A$135,0))="","",INDEX('02_工程タスク'!$O$4:$O$135,MATCH(A17,'02_工程タスク'!$A$4:$A$135,0))))</f>
        <v>B0-09</v>
      </c>
      <c r="BC17" s="28" t="str">
        <f t="shared" si="23"/>
        <v>記法OK</v>
      </c>
      <c r="BD17" s="28" t="str">
        <f>IF(A17="B6-01",IF(OR(AV17="",COUNTIF('29_ゲート承認記録'!$F$4:$F$83,AV17)&lt;&gt;1),"終了開始根拠不足",IF(IF(COUNTIF('29_ゲート承認記録'!$F$4:$F$83,AV17)&lt;&gt;1,"参照ID不正",IF(INDEX('29_ゲート承認記録'!$L$4:$L$83,MATCH(AV17,'29_ゲート承認記録'!$F$4:$F$83,0))="","",INDEX('29_ゲート承認記録'!$L$4:$L$83,MATCH(AV17,'29_ゲート承認記録'!$F$4:$F$83,0))))&lt;&gt;"Stop","Stop判断要確認","開始根拠あり")),IF(AND(A17="B5-18",AU17="事故"),IF(AV17="","事故レビュー参照不足","開始根拠あり"),"開始根拠あり"))</f>
        <v>開始根拠あり</v>
      </c>
      <c r="BE17" s="29"/>
      <c r="BF17" s="29"/>
    </row>
    <row r="18" spans="1:58" ht="38" customHeight="1" x14ac:dyDescent="0.2">
      <c r="A18" s="2" t="s">
        <v>416</v>
      </c>
      <c r="B18" s="28" t="str">
        <f>IF(COUNTIF('02_工程タスク'!$A$4:$A$135,A18)&lt;&gt;1,"参照ID不正",IF(INDEX('02_工程タスク'!$B$4:$B$135,MATCH(A18,'02_工程タスク'!$A$4:$A$135,0))="","",INDEX('02_工程タスク'!$B$4:$B$135,MATCH(A18,'02_工程タスク'!$A$4:$A$135,0))))</f>
        <v>企画</v>
      </c>
      <c r="C18" s="28" t="str">
        <f>IF(COUNTIF('02_工程タスク'!$A$4:$A$135,A18)&lt;&gt;1,"参照ID不正",IF(INDEX('02_工程タスク'!$D$4:$D$135,MATCH(A18,'02_工程タスク'!$A$4:$A$135,0))="","",INDEX('02_工程タスク'!$D$4:$D$135,MATCH(A18,'02_工程タスク'!$A$4:$A$135,0))))</f>
        <v>ロール・能力ギャップ・要員計画</v>
      </c>
      <c r="D18" s="6"/>
      <c r="E18" s="6" t="s">
        <v>1598</v>
      </c>
      <c r="F18" s="6"/>
      <c r="G18" s="6"/>
      <c r="H18" s="5"/>
      <c r="I18" s="5"/>
      <c r="J18" s="5"/>
      <c r="K18" s="5"/>
      <c r="L18" s="6" t="s">
        <v>3629</v>
      </c>
      <c r="M18" s="6"/>
      <c r="N18" s="6"/>
      <c r="O18" s="5"/>
      <c r="P18" s="17"/>
      <c r="Q18" s="17"/>
      <c r="R18" s="6"/>
      <c r="S18" s="6"/>
      <c r="T18" s="6"/>
      <c r="U18" s="5"/>
      <c r="V18" s="6" t="s">
        <v>342</v>
      </c>
      <c r="W18" s="28" t="str">
        <f t="shared" si="0"/>
        <v>適用未判定</v>
      </c>
      <c r="X18" s="28" t="str">
        <f t="shared" si="1"/>
        <v/>
      </c>
      <c r="Y18" s="25" t="str">
        <f t="shared" si="2"/>
        <v/>
      </c>
      <c r="Z18" s="25" t="str">
        <f t="shared" si="3"/>
        <v>適用未判定</v>
      </c>
      <c r="AA18" s="25">
        <f t="shared" si="4"/>
        <v>0</v>
      </c>
      <c r="AB18" s="25" t="str">
        <f t="shared" si="5"/>
        <v>B0-08</v>
      </c>
      <c r="AC18" s="25" t="str">
        <f t="shared" si="6"/>
        <v/>
      </c>
      <c r="AD18" s="25" t="str">
        <f t="shared" si="7"/>
        <v/>
      </c>
      <c r="AE18" s="25" t="str">
        <f t="shared" si="8"/>
        <v/>
      </c>
      <c r="AF18" s="25" t="str">
        <f t="shared" si="9"/>
        <v/>
      </c>
      <c r="AG18" s="25" t="str">
        <f t="shared" si="10"/>
        <v/>
      </c>
      <c r="AH18" s="25" t="str">
        <f t="shared" si="11"/>
        <v/>
      </c>
      <c r="AI18" s="25" t="str">
        <f t="shared" si="12"/>
        <v/>
      </c>
      <c r="AJ18" s="25" t="str">
        <f t="shared" si="13"/>
        <v>未充足</v>
      </c>
      <c r="AK18" s="25" t="str">
        <f t="shared" si="14"/>
        <v/>
      </c>
      <c r="AL18" s="25" t="str">
        <f t="shared" si="15"/>
        <v/>
      </c>
      <c r="AM18" s="25" t="str">
        <f t="shared" si="16"/>
        <v/>
      </c>
      <c r="AN18" s="25" t="str">
        <f t="shared" si="17"/>
        <v/>
      </c>
      <c r="AO18" s="25" t="str">
        <f t="shared" si="18"/>
        <v/>
      </c>
      <c r="AP18" s="25" t="str">
        <f t="shared" si="19"/>
        <v/>
      </c>
      <c r="AQ18" s="25" t="str">
        <f t="shared" si="20"/>
        <v/>
      </c>
      <c r="AR18" s="35" t="str">
        <f t="shared" si="21"/>
        <v/>
      </c>
      <c r="AS18" s="28" t="str">
        <f>IF(COUNTIF('02_工程タスク'!$A$4:$A$135,A18)&lt;&gt;1,"参照ID不正",IF(INDEX('02_工程タスク'!$H$4:$H$135,MATCH(A18,'02_工程タスク'!$A$4:$A$135,0))="","",INDEX('02_工程タスク'!$H$4:$H$135,MATCH(A18,'02_工程タスク'!$A$4:$A$135,0))))</f>
        <v>R01</v>
      </c>
      <c r="AT18" s="28" t="str">
        <f t="shared" si="22"/>
        <v>INIT-B0-15</v>
      </c>
      <c r="AU18" s="29" t="s">
        <v>3630</v>
      </c>
      <c r="AV18" s="29"/>
      <c r="AW18" s="29"/>
      <c r="AX18" s="32"/>
      <c r="AY18" s="29"/>
      <c r="AZ18" s="29"/>
      <c r="BA18" s="32"/>
      <c r="BB18" s="28" t="str">
        <f>IF(COUNTIF('02_工程タスク'!$A$4:$A$135,A18)&lt;&gt;1,"参照ID不正",IF(INDEX('02_工程タスク'!$O$4:$O$135,MATCH(A18,'02_工程タスク'!$A$4:$A$135,0))="","",INDEX('02_工程タスク'!$O$4:$O$135,MATCH(A18,'02_工程タスク'!$A$4:$A$135,0))))</f>
        <v>B0-08</v>
      </c>
      <c r="BC18" s="28" t="str">
        <f t="shared" si="23"/>
        <v>記法OK</v>
      </c>
      <c r="BD18" s="28" t="str">
        <f>IF(A18="B6-01",IF(OR(AV18="",COUNTIF('29_ゲート承認記録'!$F$4:$F$83,AV18)&lt;&gt;1),"終了開始根拠不足",IF(IF(COUNTIF('29_ゲート承認記録'!$F$4:$F$83,AV18)&lt;&gt;1,"参照ID不正",IF(INDEX('29_ゲート承認記録'!$L$4:$L$83,MATCH(AV18,'29_ゲート承認記録'!$F$4:$F$83,0))="","",INDEX('29_ゲート承認記録'!$L$4:$L$83,MATCH(AV18,'29_ゲート承認記録'!$F$4:$F$83,0))))&lt;&gt;"Stop","Stop判断要確認","開始根拠あり")),IF(AND(A18="B5-18",AU18="事故"),IF(AV18="","事故レビュー参照不足","開始根拠あり"),"開始根拠あり"))</f>
        <v>開始根拠あり</v>
      </c>
      <c r="BE18" s="29"/>
      <c r="BF18" s="29"/>
    </row>
    <row r="19" spans="1:58" ht="38" customHeight="1" x14ac:dyDescent="0.2">
      <c r="A19" s="2" t="s">
        <v>425</v>
      </c>
      <c r="B19" s="28" t="str">
        <f>IF(COUNTIF('02_工程タスク'!$A$4:$A$135,A19)&lt;&gt;1,"参照ID不正",IF(INDEX('02_工程タスク'!$B$4:$B$135,MATCH(A19,'02_工程タスク'!$A$4:$A$135,0))="","",INDEX('02_工程タスク'!$B$4:$B$135,MATCH(A19,'02_工程タスク'!$A$4:$A$135,0))))</f>
        <v>企画</v>
      </c>
      <c r="C19" s="28" t="str">
        <f>IF(COUNTIF('02_工程タスク'!$A$4:$A$135,A19)&lt;&gt;1,"参照ID不正",IF(INDEX('02_工程タスク'!$D$4:$D$135,MATCH(A19,'02_工程タスク'!$A$4:$A$135,0))="","",INDEX('02_工程タスク'!$D$4:$D$135,MATCH(A19,'02_工程タスク'!$A$4:$A$135,0))))</f>
        <v>規模・適用・段階投資の設定</v>
      </c>
      <c r="D19" s="6"/>
      <c r="E19" s="6" t="s">
        <v>1598</v>
      </c>
      <c r="F19" s="6"/>
      <c r="G19" s="6"/>
      <c r="H19" s="5"/>
      <c r="I19" s="5"/>
      <c r="J19" s="5"/>
      <c r="K19" s="5"/>
      <c r="L19" s="6" t="s">
        <v>3629</v>
      </c>
      <c r="M19" s="6"/>
      <c r="N19" s="6"/>
      <c r="O19" s="5"/>
      <c r="P19" s="17"/>
      <c r="Q19" s="17"/>
      <c r="R19" s="6"/>
      <c r="S19" s="6"/>
      <c r="T19" s="6"/>
      <c r="U19" s="5"/>
      <c r="V19" s="6" t="s">
        <v>432</v>
      </c>
      <c r="W19" s="28" t="str">
        <f t="shared" si="0"/>
        <v>適用未判定</v>
      </c>
      <c r="X19" s="28" t="str">
        <f t="shared" si="1"/>
        <v/>
      </c>
      <c r="Y19" s="26" t="str">
        <f t="shared" si="2"/>
        <v/>
      </c>
      <c r="Z19" s="26" t="str">
        <f t="shared" si="3"/>
        <v>適用未判定</v>
      </c>
      <c r="AA19" s="26">
        <f t="shared" si="4"/>
        <v>0</v>
      </c>
      <c r="AB19" s="26" t="str">
        <f t="shared" si="5"/>
        <v>B0-11</v>
      </c>
      <c r="AC19" s="26" t="str">
        <f t="shared" si="6"/>
        <v>B0-15</v>
      </c>
      <c r="AD19" s="26" t="str">
        <f t="shared" si="7"/>
        <v/>
      </c>
      <c r="AE19" s="26" t="str">
        <f t="shared" si="8"/>
        <v/>
      </c>
      <c r="AF19" s="26" t="str">
        <f t="shared" si="9"/>
        <v/>
      </c>
      <c r="AG19" s="26" t="str">
        <f t="shared" si="10"/>
        <v/>
      </c>
      <c r="AH19" s="26" t="str">
        <f t="shared" si="11"/>
        <v/>
      </c>
      <c r="AI19" s="26" t="str">
        <f t="shared" si="12"/>
        <v/>
      </c>
      <c r="AJ19" s="26" t="str">
        <f t="shared" si="13"/>
        <v>未充足</v>
      </c>
      <c r="AK19" s="26" t="str">
        <f t="shared" si="14"/>
        <v>未充足</v>
      </c>
      <c r="AL19" s="26" t="str">
        <f t="shared" si="15"/>
        <v/>
      </c>
      <c r="AM19" s="26" t="str">
        <f t="shared" si="16"/>
        <v/>
      </c>
      <c r="AN19" s="26" t="str">
        <f t="shared" si="17"/>
        <v/>
      </c>
      <c r="AO19" s="26" t="str">
        <f t="shared" si="18"/>
        <v/>
      </c>
      <c r="AP19" s="26" t="str">
        <f t="shared" si="19"/>
        <v/>
      </c>
      <c r="AQ19" s="26" t="str">
        <f t="shared" si="20"/>
        <v/>
      </c>
      <c r="AR19" s="36" t="str">
        <f t="shared" si="21"/>
        <v/>
      </c>
      <c r="AS19" s="28" t="str">
        <f>IF(COUNTIF('02_工程タスク'!$A$4:$A$135,A19)&lt;&gt;1,"参照ID不正",IF(INDEX('02_工程タスク'!$H$4:$H$135,MATCH(A19,'02_工程タスク'!$A$4:$A$135,0))="","",INDEX('02_工程タスク'!$H$4:$H$135,MATCH(A19,'02_工程タスク'!$A$4:$A$135,0))))</f>
        <v>R01</v>
      </c>
      <c r="AT19" s="28" t="str">
        <f t="shared" si="22"/>
        <v>INIT-B0-16</v>
      </c>
      <c r="AU19" s="29" t="s">
        <v>3630</v>
      </c>
      <c r="AV19" s="29"/>
      <c r="AW19" s="29"/>
      <c r="AX19" s="32"/>
      <c r="AY19" s="29"/>
      <c r="AZ19" s="29"/>
      <c r="BA19" s="32"/>
      <c r="BB19" s="28" t="str">
        <f>IF(COUNTIF('02_工程タスク'!$A$4:$A$135,A19)&lt;&gt;1,"参照ID不正",IF(INDEX('02_工程タスク'!$O$4:$O$135,MATCH(A19,'02_工程タスク'!$A$4:$A$135,0))="","",INDEX('02_工程タスク'!$O$4:$O$135,MATCH(A19,'02_工程タスク'!$A$4:$A$135,0))))</f>
        <v>B0-11,B0-15</v>
      </c>
      <c r="BC19" s="28" t="str">
        <f t="shared" si="23"/>
        <v>記法OK</v>
      </c>
      <c r="BD19" s="28" t="str">
        <f>IF(A19="B6-01",IF(OR(AV19="",COUNTIF('29_ゲート承認記録'!$F$4:$F$83,AV19)&lt;&gt;1),"終了開始根拠不足",IF(IF(COUNTIF('29_ゲート承認記録'!$F$4:$F$83,AV19)&lt;&gt;1,"参照ID不正",IF(INDEX('29_ゲート承認記録'!$L$4:$L$83,MATCH(AV19,'29_ゲート承認記録'!$F$4:$F$83,0))="","",INDEX('29_ゲート承認記録'!$L$4:$L$83,MATCH(AV19,'29_ゲート承認記録'!$F$4:$F$83,0))))&lt;&gt;"Stop","Stop判断要確認","開始根拠あり")),IF(AND(A19="B5-18",AU19="事故"),IF(AV19="","事故レビュー参照不足","開始根拠あり"),"開始根拠あり"))</f>
        <v>開始根拠あり</v>
      </c>
      <c r="BE19" s="29"/>
      <c r="BF19" s="29"/>
    </row>
    <row r="20" spans="1:58" ht="38" customHeight="1" x14ac:dyDescent="0.2">
      <c r="A20" s="2" t="s">
        <v>435</v>
      </c>
      <c r="B20" s="28" t="str">
        <f>IF(COUNTIF('02_工程タスク'!$A$4:$A$135,A20)&lt;&gt;1,"参照ID不正",IF(INDEX('02_工程タスク'!$B$4:$B$135,MATCH(A20,'02_工程タスク'!$A$4:$A$135,0))="","",INDEX('02_工程タスク'!$B$4:$B$135,MATCH(A20,'02_工程タスク'!$A$4:$A$135,0))))</f>
        <v>企画</v>
      </c>
      <c r="C20" s="28" t="str">
        <f>IF(COUNTIF('02_工程タスク'!$A$4:$A$135,A20)&lt;&gt;1,"参照ID不正",IF(INDEX('02_工程タスク'!$D$4:$D$135,MATCH(A20,'02_工程タスク'!$A$4:$A$135,0))="","",INDEX('02_工程タスク'!$D$4:$D$135,MATCH(A20,'02_工程タスク'!$A$4:$A$135,0))))</f>
        <v>探索証拠と反証の整理</v>
      </c>
      <c r="D20" s="6"/>
      <c r="E20" s="6" t="s">
        <v>1598</v>
      </c>
      <c r="F20" s="6"/>
      <c r="G20" s="6"/>
      <c r="H20" s="5"/>
      <c r="I20" s="5"/>
      <c r="J20" s="5"/>
      <c r="K20" s="5"/>
      <c r="L20" s="6" t="s">
        <v>3629</v>
      </c>
      <c r="M20" s="6"/>
      <c r="N20" s="6"/>
      <c r="O20" s="5"/>
      <c r="P20" s="17"/>
      <c r="Q20" s="17"/>
      <c r="R20" s="6"/>
      <c r="S20" s="6"/>
      <c r="T20" s="6"/>
      <c r="U20" s="5"/>
      <c r="V20" s="6" t="s">
        <v>442</v>
      </c>
      <c r="W20" s="28" t="str">
        <f t="shared" si="0"/>
        <v>適用未判定</v>
      </c>
      <c r="X20" s="28" t="str">
        <f t="shared" si="1"/>
        <v/>
      </c>
      <c r="Y20" s="25" t="str">
        <f t="shared" si="2"/>
        <v/>
      </c>
      <c r="Z20" s="25" t="str">
        <f t="shared" si="3"/>
        <v>適用未判定</v>
      </c>
      <c r="AA20" s="25">
        <f t="shared" si="4"/>
        <v>0</v>
      </c>
      <c r="AB20" s="25" t="str">
        <f t="shared" si="5"/>
        <v>B0-11</v>
      </c>
      <c r="AC20" s="25" t="str">
        <f t="shared" si="6"/>
        <v>B0-16</v>
      </c>
      <c r="AD20" s="25" t="str">
        <f t="shared" si="7"/>
        <v/>
      </c>
      <c r="AE20" s="25" t="str">
        <f t="shared" si="8"/>
        <v/>
      </c>
      <c r="AF20" s="25" t="str">
        <f t="shared" si="9"/>
        <v/>
      </c>
      <c r="AG20" s="25" t="str">
        <f t="shared" si="10"/>
        <v/>
      </c>
      <c r="AH20" s="25" t="str">
        <f t="shared" si="11"/>
        <v/>
      </c>
      <c r="AI20" s="25" t="str">
        <f t="shared" si="12"/>
        <v/>
      </c>
      <c r="AJ20" s="25" t="str">
        <f t="shared" si="13"/>
        <v>未充足</v>
      </c>
      <c r="AK20" s="25" t="str">
        <f t="shared" si="14"/>
        <v>未充足</v>
      </c>
      <c r="AL20" s="25" t="str">
        <f t="shared" si="15"/>
        <v/>
      </c>
      <c r="AM20" s="25" t="str">
        <f t="shared" si="16"/>
        <v/>
      </c>
      <c r="AN20" s="25" t="str">
        <f t="shared" si="17"/>
        <v/>
      </c>
      <c r="AO20" s="25" t="str">
        <f t="shared" si="18"/>
        <v/>
      </c>
      <c r="AP20" s="25" t="str">
        <f t="shared" si="19"/>
        <v/>
      </c>
      <c r="AQ20" s="25" t="str">
        <f t="shared" si="20"/>
        <v/>
      </c>
      <c r="AR20" s="35" t="str">
        <f t="shared" si="21"/>
        <v/>
      </c>
      <c r="AS20" s="28" t="str">
        <f>IF(COUNTIF('02_工程タスク'!$A$4:$A$135,A20)&lt;&gt;1,"参照ID不正",IF(INDEX('02_工程タスク'!$H$4:$H$135,MATCH(A20,'02_工程タスク'!$A$4:$A$135,0))="","",INDEX('02_工程タスク'!$H$4:$H$135,MATCH(A20,'02_工程タスク'!$A$4:$A$135,0))))</f>
        <v>R01</v>
      </c>
      <c r="AT20" s="28" t="str">
        <f t="shared" si="22"/>
        <v>INIT-B0-17</v>
      </c>
      <c r="AU20" s="29" t="s">
        <v>3630</v>
      </c>
      <c r="AV20" s="29"/>
      <c r="AW20" s="29"/>
      <c r="AX20" s="32"/>
      <c r="AY20" s="29"/>
      <c r="AZ20" s="29"/>
      <c r="BA20" s="32"/>
      <c r="BB20" s="28" t="str">
        <f>IF(COUNTIF('02_工程タスク'!$A$4:$A$135,A20)&lt;&gt;1,"参照ID不正",IF(INDEX('02_工程タスク'!$O$4:$O$135,MATCH(A20,'02_工程タスク'!$A$4:$A$135,0))="","",INDEX('02_工程タスク'!$O$4:$O$135,MATCH(A20,'02_工程タスク'!$A$4:$A$135,0))))</f>
        <v>B0-11,B0-16</v>
      </c>
      <c r="BC20" s="28" t="str">
        <f t="shared" si="23"/>
        <v>記法OK</v>
      </c>
      <c r="BD20" s="28" t="str">
        <f>IF(A20="B6-01",IF(OR(AV20="",COUNTIF('29_ゲート承認記録'!$F$4:$F$83,AV20)&lt;&gt;1),"終了開始根拠不足",IF(IF(COUNTIF('29_ゲート承認記録'!$F$4:$F$83,AV20)&lt;&gt;1,"参照ID不正",IF(INDEX('29_ゲート承認記録'!$L$4:$L$83,MATCH(AV20,'29_ゲート承認記録'!$F$4:$F$83,0))="","",INDEX('29_ゲート承認記録'!$L$4:$L$83,MATCH(AV20,'29_ゲート承認記録'!$F$4:$F$83,0))))&lt;&gt;"Stop","Stop判断要確認","開始根拠あり")),IF(AND(A20="B5-18",AU20="事故"),IF(AV20="","事故レビュー参照不足","開始根拠あり"),"開始根拠あり"))</f>
        <v>開始根拠あり</v>
      </c>
      <c r="BE20" s="29"/>
      <c r="BF20" s="29"/>
    </row>
    <row r="21" spans="1:58" ht="38" customHeight="1" x14ac:dyDescent="0.2">
      <c r="A21" s="2" t="s">
        <v>445</v>
      </c>
      <c r="B21" s="28" t="str">
        <f>IF(COUNTIF('02_工程タスク'!$A$4:$A$135,A21)&lt;&gt;1,"参照ID不正",IF(INDEX('02_工程タスク'!$B$4:$B$135,MATCH(A21,'02_工程タスク'!$A$4:$A$135,0))="","",INDEX('02_工程タスク'!$B$4:$B$135,MATCH(A21,'02_工程タスク'!$A$4:$A$135,0))))</f>
        <v>企画</v>
      </c>
      <c r="C21" s="28" t="str">
        <f>IF(COUNTIF('02_工程タスク'!$A$4:$A$135,A21)&lt;&gt;1,"参照ID不正",IF(INDEX('02_工程タスク'!$D$4:$D$135,MATCH(A21,'02_工程タスク'!$A$4:$A$135,0))="","",INDEX('02_工程タスク'!$D$4:$D$135,MATCH(A21,'02_工程タスク'!$A$4:$A$135,0))))</f>
        <v>事業探索・予算枠承認</v>
      </c>
      <c r="D21" s="6"/>
      <c r="E21" s="6" t="s">
        <v>1598</v>
      </c>
      <c r="F21" s="6"/>
      <c r="G21" s="6"/>
      <c r="H21" s="5"/>
      <c r="I21" s="5"/>
      <c r="J21" s="5"/>
      <c r="K21" s="5"/>
      <c r="L21" s="6" t="s">
        <v>3629</v>
      </c>
      <c r="M21" s="6"/>
      <c r="N21" s="6"/>
      <c r="O21" s="5"/>
      <c r="P21" s="17"/>
      <c r="Q21" s="17"/>
      <c r="R21" s="6"/>
      <c r="S21" s="6"/>
      <c r="T21" s="6"/>
      <c r="U21" s="5"/>
      <c r="V21" s="6" t="s">
        <v>450</v>
      </c>
      <c r="W21" s="28" t="str">
        <f t="shared" si="0"/>
        <v>適用未判定</v>
      </c>
      <c r="X21" s="28" t="str">
        <f t="shared" si="1"/>
        <v/>
      </c>
      <c r="Y21" s="26" t="str">
        <f t="shared" si="2"/>
        <v/>
      </c>
      <c r="Z21" s="26" t="str">
        <f t="shared" si="3"/>
        <v>適用未判定</v>
      </c>
      <c r="AA21" s="26">
        <f t="shared" si="4"/>
        <v>0</v>
      </c>
      <c r="AB21" s="26" t="str">
        <f t="shared" si="5"/>
        <v>B0-17</v>
      </c>
      <c r="AC21" s="26" t="str">
        <f t="shared" si="6"/>
        <v>B0-10</v>
      </c>
      <c r="AD21" s="26" t="str">
        <f t="shared" si="7"/>
        <v>B0-15</v>
      </c>
      <c r="AE21" s="26" t="str">
        <f t="shared" si="8"/>
        <v/>
      </c>
      <c r="AF21" s="26" t="str">
        <f t="shared" si="9"/>
        <v/>
      </c>
      <c r="AG21" s="26" t="str">
        <f t="shared" si="10"/>
        <v/>
      </c>
      <c r="AH21" s="26" t="str">
        <f t="shared" si="11"/>
        <v/>
      </c>
      <c r="AI21" s="26" t="str">
        <f t="shared" si="12"/>
        <v/>
      </c>
      <c r="AJ21" s="26" t="str">
        <f t="shared" si="13"/>
        <v>未充足</v>
      </c>
      <c r="AK21" s="26" t="str">
        <f t="shared" si="14"/>
        <v>未充足</v>
      </c>
      <c r="AL21" s="26" t="str">
        <f t="shared" si="15"/>
        <v>未充足</v>
      </c>
      <c r="AM21" s="26" t="str">
        <f t="shared" si="16"/>
        <v/>
      </c>
      <c r="AN21" s="26" t="str">
        <f t="shared" si="17"/>
        <v/>
      </c>
      <c r="AO21" s="26" t="str">
        <f t="shared" si="18"/>
        <v/>
      </c>
      <c r="AP21" s="26" t="str">
        <f t="shared" si="19"/>
        <v/>
      </c>
      <c r="AQ21" s="26" t="str">
        <f t="shared" si="20"/>
        <v/>
      </c>
      <c r="AR21" s="36" t="str">
        <f t="shared" si="21"/>
        <v/>
      </c>
      <c r="AS21" s="28" t="str">
        <f>IF(COUNTIF('02_工程タスク'!$A$4:$A$135,A21)&lt;&gt;1,"参照ID不正",IF(INDEX('02_工程タスク'!$H$4:$H$135,MATCH(A21,'02_工程タスク'!$A$4:$A$135,0))="","",INDEX('02_工程タスク'!$H$4:$H$135,MATCH(A21,'02_工程タスク'!$A$4:$A$135,0))))</f>
        <v>R01</v>
      </c>
      <c r="AT21" s="28" t="str">
        <f t="shared" si="22"/>
        <v>INIT-B0-18</v>
      </c>
      <c r="AU21" s="29" t="s">
        <v>3630</v>
      </c>
      <c r="AV21" s="29"/>
      <c r="AW21" s="29"/>
      <c r="AX21" s="32"/>
      <c r="AY21" s="29"/>
      <c r="AZ21" s="29"/>
      <c r="BA21" s="32"/>
      <c r="BB21" s="28" t="str">
        <f>IF(COUNTIF('02_工程タスク'!$A$4:$A$135,A21)&lt;&gt;1,"参照ID不正",IF(INDEX('02_工程タスク'!$O$4:$O$135,MATCH(A21,'02_工程タスク'!$A$4:$A$135,0))="","",INDEX('02_工程タスク'!$O$4:$O$135,MATCH(A21,'02_工程タスク'!$A$4:$A$135,0))))</f>
        <v>B0-17,B0-10,B0-15</v>
      </c>
      <c r="BC21" s="28" t="str">
        <f t="shared" si="23"/>
        <v>記法OK</v>
      </c>
      <c r="BD21" s="28" t="str">
        <f>IF(A21="B6-01",IF(OR(AV21="",COUNTIF('29_ゲート承認記録'!$F$4:$F$83,AV21)&lt;&gt;1),"終了開始根拠不足",IF(IF(COUNTIF('29_ゲート承認記録'!$F$4:$F$83,AV21)&lt;&gt;1,"参照ID不正",IF(INDEX('29_ゲート承認記録'!$L$4:$L$83,MATCH(AV21,'29_ゲート承認記録'!$F$4:$F$83,0))="","",INDEX('29_ゲート承認記録'!$L$4:$L$83,MATCH(AV21,'29_ゲート承認記録'!$F$4:$F$83,0))))&lt;&gt;"Stop","Stop判断要確認","開始根拠あり")),IF(AND(A21="B5-18",AU21="事故"),IF(AV21="","事故レビュー参照不足","開始根拠あり"),"開始根拠あり"))</f>
        <v>開始根拠あり</v>
      </c>
      <c r="BE21" s="29"/>
      <c r="BF21" s="29"/>
    </row>
    <row r="22" spans="1:58" ht="38" customHeight="1" x14ac:dyDescent="0.2">
      <c r="A22" s="10" t="s">
        <v>453</v>
      </c>
      <c r="B22" s="28" t="str">
        <f>IF(COUNTIF('02_工程タスク'!$A$4:$A$135,A22)&lt;&gt;1,"参照ID不正",IF(INDEX('02_工程タスク'!$B$4:$B$135,MATCH(A22,'02_工程タスク'!$A$4:$A$135,0))="","",INDEX('02_工程タスク'!$B$4:$B$135,MATCH(A22,'02_工程タスク'!$A$4:$A$135,0))))</f>
        <v>要件</v>
      </c>
      <c r="C22" s="28" t="str">
        <f>IF(COUNTIF('02_工程タスク'!$A$4:$A$135,A22)&lt;&gt;1,"参照ID不正",IF(INDEX('02_工程タスク'!$D$4:$D$135,MATCH(A22,'02_工程タスク'!$A$4:$A$135,0))="","",INDEX('02_工程タスク'!$D$4:$D$135,MATCH(A22,'02_工程タスク'!$A$4:$A$135,0))))</f>
        <v>Product Goal・KPIツリー</v>
      </c>
      <c r="D22" s="6"/>
      <c r="E22" s="6" t="s">
        <v>1598</v>
      </c>
      <c r="F22" s="6"/>
      <c r="G22" s="6"/>
      <c r="H22" s="5"/>
      <c r="I22" s="5"/>
      <c r="J22" s="5"/>
      <c r="K22" s="5"/>
      <c r="L22" s="6" t="s">
        <v>3629</v>
      </c>
      <c r="M22" s="6"/>
      <c r="N22" s="6"/>
      <c r="O22" s="5"/>
      <c r="P22" s="17"/>
      <c r="Q22" s="17"/>
      <c r="R22" s="6"/>
      <c r="S22" s="6"/>
      <c r="T22" s="6"/>
      <c r="U22" s="5"/>
      <c r="V22" s="6" t="s">
        <v>445</v>
      </c>
      <c r="W22" s="28" t="str">
        <f t="shared" si="0"/>
        <v>適用未判定</v>
      </c>
      <c r="X22" s="28" t="str">
        <f t="shared" si="1"/>
        <v/>
      </c>
      <c r="Y22" s="25" t="str">
        <f t="shared" si="2"/>
        <v/>
      </c>
      <c r="Z22" s="25" t="str">
        <f t="shared" si="3"/>
        <v>適用未判定</v>
      </c>
      <c r="AA22" s="25">
        <f t="shared" si="4"/>
        <v>0</v>
      </c>
      <c r="AB22" s="25" t="str">
        <f t="shared" si="5"/>
        <v>B0-18</v>
      </c>
      <c r="AC22" s="25" t="str">
        <f t="shared" si="6"/>
        <v/>
      </c>
      <c r="AD22" s="25" t="str">
        <f t="shared" si="7"/>
        <v/>
      </c>
      <c r="AE22" s="25" t="str">
        <f t="shared" si="8"/>
        <v/>
      </c>
      <c r="AF22" s="25" t="str">
        <f t="shared" si="9"/>
        <v/>
      </c>
      <c r="AG22" s="25" t="str">
        <f t="shared" si="10"/>
        <v/>
      </c>
      <c r="AH22" s="25" t="str">
        <f t="shared" si="11"/>
        <v/>
      </c>
      <c r="AI22" s="25" t="str">
        <f t="shared" si="12"/>
        <v/>
      </c>
      <c r="AJ22" s="25" t="str">
        <f t="shared" si="13"/>
        <v>未充足</v>
      </c>
      <c r="AK22" s="25" t="str">
        <f t="shared" si="14"/>
        <v/>
      </c>
      <c r="AL22" s="25" t="str">
        <f t="shared" si="15"/>
        <v/>
      </c>
      <c r="AM22" s="25" t="str">
        <f t="shared" si="16"/>
        <v/>
      </c>
      <c r="AN22" s="25" t="str">
        <f t="shared" si="17"/>
        <v/>
      </c>
      <c r="AO22" s="25" t="str">
        <f t="shared" si="18"/>
        <v/>
      </c>
      <c r="AP22" s="25" t="str">
        <f t="shared" si="19"/>
        <v/>
      </c>
      <c r="AQ22" s="25" t="str">
        <f t="shared" si="20"/>
        <v/>
      </c>
      <c r="AR22" s="35" t="str">
        <f t="shared" si="21"/>
        <v/>
      </c>
      <c r="AS22" s="28" t="str">
        <f>IF(COUNTIF('02_工程タスク'!$A$4:$A$135,A22)&lt;&gt;1,"参照ID不正",IF(INDEX('02_工程タスク'!$H$4:$H$135,MATCH(A22,'02_工程タスク'!$A$4:$A$135,0))="","",INDEX('02_工程タスク'!$H$4:$H$135,MATCH(A22,'02_工程タスク'!$A$4:$A$135,0))))</f>
        <v>R01</v>
      </c>
      <c r="AT22" s="28" t="str">
        <f t="shared" si="22"/>
        <v>INIT-B1-01</v>
      </c>
      <c r="AU22" s="29" t="s">
        <v>3630</v>
      </c>
      <c r="AV22" s="29"/>
      <c r="AW22" s="29"/>
      <c r="AX22" s="32"/>
      <c r="AY22" s="29"/>
      <c r="AZ22" s="29"/>
      <c r="BA22" s="32"/>
      <c r="BB22" s="28" t="str">
        <f>IF(COUNTIF('02_工程タスク'!$A$4:$A$135,A22)&lt;&gt;1,"参照ID不正",IF(INDEX('02_工程タスク'!$O$4:$O$135,MATCH(A22,'02_工程タスク'!$A$4:$A$135,0))="","",INDEX('02_工程タスク'!$O$4:$O$135,MATCH(A22,'02_工程タスク'!$A$4:$A$135,0))))</f>
        <v>B0-18</v>
      </c>
      <c r="BC22" s="28" t="str">
        <f t="shared" si="23"/>
        <v>記法OK</v>
      </c>
      <c r="BD22" s="28" t="str">
        <f>IF(A22="B6-01",IF(OR(AV22="",COUNTIF('29_ゲート承認記録'!$F$4:$F$83,AV22)&lt;&gt;1),"終了開始根拠不足",IF(IF(COUNTIF('29_ゲート承認記録'!$F$4:$F$83,AV22)&lt;&gt;1,"参照ID不正",IF(INDEX('29_ゲート承認記録'!$L$4:$L$83,MATCH(AV22,'29_ゲート承認記録'!$F$4:$F$83,0))="","",INDEX('29_ゲート承認記録'!$L$4:$L$83,MATCH(AV22,'29_ゲート承認記録'!$F$4:$F$83,0))))&lt;&gt;"Stop","Stop判断要確認","開始根拠あり")),IF(AND(A22="B5-18",AU22="事故"),IF(AV22="","事故レビュー参照不足","開始根拠あり"),"開始根拠あり"))</f>
        <v>開始根拠あり</v>
      </c>
      <c r="BE22" s="29"/>
      <c r="BF22" s="29"/>
    </row>
    <row r="23" spans="1:58" ht="38" customHeight="1" x14ac:dyDescent="0.2">
      <c r="A23" s="10" t="s">
        <v>463</v>
      </c>
      <c r="B23" s="28" t="str">
        <f>IF(COUNTIF('02_工程タスク'!$A$4:$A$135,A23)&lt;&gt;1,"参照ID不正",IF(INDEX('02_工程タスク'!$B$4:$B$135,MATCH(A23,'02_工程タスク'!$A$4:$A$135,0))="","",INDEX('02_工程タスク'!$B$4:$B$135,MATCH(A23,'02_工程タスク'!$A$4:$A$135,0))))</f>
        <v>要件</v>
      </c>
      <c r="C23" s="28" t="str">
        <f>IF(COUNTIF('02_工程タスク'!$A$4:$A$135,A23)&lt;&gt;1,"参照ID不正",IF(INDEX('02_工程タスク'!$D$4:$D$135,MATCH(A23,'02_工程タスク'!$A$4:$A$135,0))="","",INDEX('02_工程タスク'!$D$4:$D$135,MATCH(A23,'02_工程タスク'!$A$4:$A$135,0))))</f>
        <v>As-Is/To-BeとHuman-AI分担</v>
      </c>
      <c r="D23" s="6"/>
      <c r="E23" s="6" t="s">
        <v>1598</v>
      </c>
      <c r="F23" s="6"/>
      <c r="G23" s="6"/>
      <c r="H23" s="5"/>
      <c r="I23" s="5"/>
      <c r="J23" s="5"/>
      <c r="K23" s="5"/>
      <c r="L23" s="6" t="s">
        <v>3629</v>
      </c>
      <c r="M23" s="6"/>
      <c r="N23" s="6"/>
      <c r="O23" s="5"/>
      <c r="P23" s="17"/>
      <c r="Q23" s="17"/>
      <c r="R23" s="6"/>
      <c r="S23" s="6"/>
      <c r="T23" s="6"/>
      <c r="U23" s="5"/>
      <c r="V23" s="6" t="s">
        <v>453</v>
      </c>
      <c r="W23" s="28" t="str">
        <f t="shared" si="0"/>
        <v>適用未判定</v>
      </c>
      <c r="X23" s="28" t="str">
        <f t="shared" si="1"/>
        <v/>
      </c>
      <c r="Y23" s="26" t="str">
        <f t="shared" si="2"/>
        <v/>
      </c>
      <c r="Z23" s="26" t="str">
        <f t="shared" si="3"/>
        <v>適用未判定</v>
      </c>
      <c r="AA23" s="26">
        <f t="shared" si="4"/>
        <v>0</v>
      </c>
      <c r="AB23" s="26" t="str">
        <f t="shared" si="5"/>
        <v>B1-01</v>
      </c>
      <c r="AC23" s="26" t="str">
        <f t="shared" si="6"/>
        <v/>
      </c>
      <c r="AD23" s="26" t="str">
        <f t="shared" si="7"/>
        <v/>
      </c>
      <c r="AE23" s="26" t="str">
        <f t="shared" si="8"/>
        <v/>
      </c>
      <c r="AF23" s="26" t="str">
        <f t="shared" si="9"/>
        <v/>
      </c>
      <c r="AG23" s="26" t="str">
        <f t="shared" si="10"/>
        <v/>
      </c>
      <c r="AH23" s="26" t="str">
        <f t="shared" si="11"/>
        <v/>
      </c>
      <c r="AI23" s="26" t="str">
        <f t="shared" si="12"/>
        <v/>
      </c>
      <c r="AJ23" s="26" t="str">
        <f t="shared" si="13"/>
        <v>未充足</v>
      </c>
      <c r="AK23" s="26" t="str">
        <f t="shared" si="14"/>
        <v/>
      </c>
      <c r="AL23" s="26" t="str">
        <f t="shared" si="15"/>
        <v/>
      </c>
      <c r="AM23" s="26" t="str">
        <f t="shared" si="16"/>
        <v/>
      </c>
      <c r="AN23" s="26" t="str">
        <f t="shared" si="17"/>
        <v/>
      </c>
      <c r="AO23" s="26" t="str">
        <f t="shared" si="18"/>
        <v/>
      </c>
      <c r="AP23" s="26" t="str">
        <f t="shared" si="19"/>
        <v/>
      </c>
      <c r="AQ23" s="26" t="str">
        <f t="shared" si="20"/>
        <v/>
      </c>
      <c r="AR23" s="36" t="str">
        <f t="shared" si="21"/>
        <v/>
      </c>
      <c r="AS23" s="28" t="str">
        <f>IF(COUNTIF('02_工程タスク'!$A$4:$A$135,A23)&lt;&gt;1,"参照ID不正",IF(INDEX('02_工程タスク'!$H$4:$H$135,MATCH(A23,'02_工程タスク'!$A$4:$A$135,0))="","",INDEX('02_工程タスク'!$H$4:$H$135,MATCH(A23,'02_工程タスク'!$A$4:$A$135,0))))</f>
        <v>R02</v>
      </c>
      <c r="AT23" s="28" t="str">
        <f t="shared" si="22"/>
        <v>INIT-B1-02</v>
      </c>
      <c r="AU23" s="29" t="s">
        <v>3630</v>
      </c>
      <c r="AV23" s="29"/>
      <c r="AW23" s="29"/>
      <c r="AX23" s="32"/>
      <c r="AY23" s="29"/>
      <c r="AZ23" s="29"/>
      <c r="BA23" s="32"/>
      <c r="BB23" s="28" t="str">
        <f>IF(COUNTIF('02_工程タスク'!$A$4:$A$135,A23)&lt;&gt;1,"参照ID不正",IF(INDEX('02_工程タスク'!$O$4:$O$135,MATCH(A23,'02_工程タスク'!$A$4:$A$135,0))="","",INDEX('02_工程タスク'!$O$4:$O$135,MATCH(A23,'02_工程タスク'!$A$4:$A$135,0))))</f>
        <v>B1-01</v>
      </c>
      <c r="BC23" s="28" t="str">
        <f t="shared" si="23"/>
        <v>記法OK</v>
      </c>
      <c r="BD23" s="28" t="str">
        <f>IF(A23="B6-01",IF(OR(AV23="",COUNTIF('29_ゲート承認記録'!$F$4:$F$83,AV23)&lt;&gt;1),"終了開始根拠不足",IF(IF(COUNTIF('29_ゲート承認記録'!$F$4:$F$83,AV23)&lt;&gt;1,"参照ID不正",IF(INDEX('29_ゲート承認記録'!$L$4:$L$83,MATCH(AV23,'29_ゲート承認記録'!$F$4:$F$83,0))="","",INDEX('29_ゲート承認記録'!$L$4:$L$83,MATCH(AV23,'29_ゲート承認記録'!$F$4:$F$83,0))))&lt;&gt;"Stop","Stop判断要確認","開始根拠あり")),IF(AND(A23="B5-18",AU23="事故"),IF(AV23="","事故レビュー参照不足","開始根拠あり"),"開始根拠あり"))</f>
        <v>開始根拠あり</v>
      </c>
      <c r="BE23" s="29"/>
      <c r="BF23" s="29"/>
    </row>
    <row r="24" spans="1:58" ht="38" customHeight="1" x14ac:dyDescent="0.2">
      <c r="A24" s="10" t="s">
        <v>472</v>
      </c>
      <c r="B24" s="28" t="str">
        <f>IF(COUNTIF('02_工程タスク'!$A$4:$A$135,A24)&lt;&gt;1,"参照ID不正",IF(INDEX('02_工程タスク'!$B$4:$B$135,MATCH(A24,'02_工程タスク'!$A$4:$A$135,0))="","",INDEX('02_工程タスク'!$B$4:$B$135,MATCH(A24,'02_工程タスク'!$A$4:$A$135,0))))</f>
        <v>要件</v>
      </c>
      <c r="C24" s="28" t="str">
        <f>IF(COUNTIF('02_工程タスク'!$A$4:$A$135,A24)&lt;&gt;1,"参照ID不正",IF(INDEX('02_工程タスク'!$D$4:$D$135,MATCH(A24,'02_工程タスク'!$A$4:$A$135,0))="","",INDEX('02_工程タスク'!$D$4:$D$135,MATCH(A24,'02_工程タスク'!$A$4:$A$135,0))))</f>
        <v>User Story・受入条件・禁止事項</v>
      </c>
      <c r="D24" s="6"/>
      <c r="E24" s="6" t="s">
        <v>1598</v>
      </c>
      <c r="F24" s="6"/>
      <c r="G24" s="6"/>
      <c r="H24" s="5"/>
      <c r="I24" s="5"/>
      <c r="J24" s="5"/>
      <c r="K24" s="5"/>
      <c r="L24" s="6" t="s">
        <v>3629</v>
      </c>
      <c r="M24" s="6"/>
      <c r="N24" s="6"/>
      <c r="O24" s="5"/>
      <c r="P24" s="17"/>
      <c r="Q24" s="17"/>
      <c r="R24" s="6"/>
      <c r="S24" s="6"/>
      <c r="T24" s="6"/>
      <c r="U24" s="5"/>
      <c r="V24" s="6" t="s">
        <v>463</v>
      </c>
      <c r="W24" s="28" t="str">
        <f t="shared" si="0"/>
        <v>適用未判定</v>
      </c>
      <c r="X24" s="28" t="str">
        <f t="shared" si="1"/>
        <v/>
      </c>
      <c r="Y24" s="25" t="str">
        <f t="shared" si="2"/>
        <v/>
      </c>
      <c r="Z24" s="25" t="str">
        <f t="shared" si="3"/>
        <v>適用未判定</v>
      </c>
      <c r="AA24" s="25">
        <f t="shared" si="4"/>
        <v>0</v>
      </c>
      <c r="AB24" s="25" t="str">
        <f t="shared" si="5"/>
        <v>B1-02</v>
      </c>
      <c r="AC24" s="25" t="str">
        <f t="shared" si="6"/>
        <v/>
      </c>
      <c r="AD24" s="25" t="str">
        <f t="shared" si="7"/>
        <v/>
      </c>
      <c r="AE24" s="25" t="str">
        <f t="shared" si="8"/>
        <v/>
      </c>
      <c r="AF24" s="25" t="str">
        <f t="shared" si="9"/>
        <v/>
      </c>
      <c r="AG24" s="25" t="str">
        <f t="shared" si="10"/>
        <v/>
      </c>
      <c r="AH24" s="25" t="str">
        <f t="shared" si="11"/>
        <v/>
      </c>
      <c r="AI24" s="25" t="str">
        <f t="shared" si="12"/>
        <v/>
      </c>
      <c r="AJ24" s="25" t="str">
        <f t="shared" si="13"/>
        <v>未充足</v>
      </c>
      <c r="AK24" s="25" t="str">
        <f t="shared" si="14"/>
        <v/>
      </c>
      <c r="AL24" s="25" t="str">
        <f t="shared" si="15"/>
        <v/>
      </c>
      <c r="AM24" s="25" t="str">
        <f t="shared" si="16"/>
        <v/>
      </c>
      <c r="AN24" s="25" t="str">
        <f t="shared" si="17"/>
        <v/>
      </c>
      <c r="AO24" s="25" t="str">
        <f t="shared" si="18"/>
        <v/>
      </c>
      <c r="AP24" s="25" t="str">
        <f t="shared" si="19"/>
        <v/>
      </c>
      <c r="AQ24" s="25" t="str">
        <f t="shared" si="20"/>
        <v/>
      </c>
      <c r="AR24" s="35" t="str">
        <f t="shared" si="21"/>
        <v/>
      </c>
      <c r="AS24" s="28" t="str">
        <f>IF(COUNTIF('02_工程タスク'!$A$4:$A$135,A24)&lt;&gt;1,"参照ID不正",IF(INDEX('02_工程タスク'!$H$4:$H$135,MATCH(A24,'02_工程タスク'!$A$4:$A$135,0))="","",INDEX('02_工程タスク'!$H$4:$H$135,MATCH(A24,'02_工程タスク'!$A$4:$A$135,0))))</f>
        <v>R02</v>
      </c>
      <c r="AT24" s="28" t="str">
        <f t="shared" si="22"/>
        <v>INIT-B1-03</v>
      </c>
      <c r="AU24" s="29" t="s">
        <v>3630</v>
      </c>
      <c r="AV24" s="29"/>
      <c r="AW24" s="29"/>
      <c r="AX24" s="32"/>
      <c r="AY24" s="29"/>
      <c r="AZ24" s="29"/>
      <c r="BA24" s="32"/>
      <c r="BB24" s="28" t="str">
        <f>IF(COUNTIF('02_工程タスク'!$A$4:$A$135,A24)&lt;&gt;1,"参照ID不正",IF(INDEX('02_工程タスク'!$O$4:$O$135,MATCH(A24,'02_工程タスク'!$A$4:$A$135,0))="","",INDEX('02_工程タスク'!$O$4:$O$135,MATCH(A24,'02_工程タスク'!$A$4:$A$135,0))))</f>
        <v>B1-02</v>
      </c>
      <c r="BC24" s="28" t="str">
        <f t="shared" si="23"/>
        <v>記法OK</v>
      </c>
      <c r="BD24" s="28" t="str">
        <f>IF(A24="B6-01",IF(OR(AV24="",COUNTIF('29_ゲート承認記録'!$F$4:$F$83,AV24)&lt;&gt;1),"終了開始根拠不足",IF(IF(COUNTIF('29_ゲート承認記録'!$F$4:$F$83,AV24)&lt;&gt;1,"参照ID不正",IF(INDEX('29_ゲート承認記録'!$L$4:$L$83,MATCH(AV24,'29_ゲート承認記録'!$F$4:$F$83,0))="","",INDEX('29_ゲート承認記録'!$L$4:$L$83,MATCH(AV24,'29_ゲート承認記録'!$F$4:$F$83,0))))&lt;&gt;"Stop","Stop判断要確認","開始根拠あり")),IF(AND(A24="B5-18",AU24="事故"),IF(AV24="","事故レビュー参照不足","開始根拠あり"),"開始根拠あり"))</f>
        <v>開始根拠あり</v>
      </c>
      <c r="BE24" s="29"/>
      <c r="BF24" s="29"/>
    </row>
    <row r="25" spans="1:58" ht="38" customHeight="1" x14ac:dyDescent="0.2">
      <c r="A25" s="10" t="s">
        <v>481</v>
      </c>
      <c r="B25" s="28" t="str">
        <f>IF(COUNTIF('02_工程タスク'!$A$4:$A$135,A25)&lt;&gt;1,"参照ID不正",IF(INDEX('02_工程タスク'!$B$4:$B$135,MATCH(A25,'02_工程タスク'!$A$4:$A$135,0))="","",INDEX('02_工程タスク'!$B$4:$B$135,MATCH(A25,'02_工程タスク'!$A$4:$A$135,0))))</f>
        <v>要件</v>
      </c>
      <c r="C25" s="28" t="str">
        <f>IF(COUNTIF('02_工程タスク'!$A$4:$A$135,A25)&lt;&gt;1,"参照ID不正",IF(INDEX('02_工程タスク'!$D$4:$D$135,MATCH(A25,'02_工程タスク'!$A$4:$A$135,0))="","",INDEX('02_工程タスク'!$D$4:$D$135,MATCH(A25,'02_工程タスク'!$A$4:$A$135,0))))</f>
        <v>データ取得・目的・法令適用判定</v>
      </c>
      <c r="D25" s="6"/>
      <c r="E25" s="6" t="s">
        <v>1598</v>
      </c>
      <c r="F25" s="6"/>
      <c r="G25" s="6"/>
      <c r="H25" s="5"/>
      <c r="I25" s="5"/>
      <c r="J25" s="5"/>
      <c r="K25" s="5"/>
      <c r="L25" s="6" t="s">
        <v>3629</v>
      </c>
      <c r="M25" s="6"/>
      <c r="N25" s="6"/>
      <c r="O25" s="5"/>
      <c r="P25" s="17"/>
      <c r="Q25" s="17"/>
      <c r="R25" s="6"/>
      <c r="S25" s="6"/>
      <c r="T25" s="6"/>
      <c r="U25" s="5"/>
      <c r="V25" s="6" t="s">
        <v>489</v>
      </c>
      <c r="W25" s="28" t="str">
        <f t="shared" si="0"/>
        <v>適用未判定</v>
      </c>
      <c r="X25" s="28" t="str">
        <f t="shared" si="1"/>
        <v/>
      </c>
      <c r="Y25" s="26" t="str">
        <f t="shared" si="2"/>
        <v/>
      </c>
      <c r="Z25" s="26" t="str">
        <f t="shared" si="3"/>
        <v>適用未判定</v>
      </c>
      <c r="AA25" s="26">
        <f t="shared" si="4"/>
        <v>0</v>
      </c>
      <c r="AB25" s="26" t="str">
        <f t="shared" si="5"/>
        <v>B0-07</v>
      </c>
      <c r="AC25" s="26" t="str">
        <f t="shared" si="6"/>
        <v>B0-08</v>
      </c>
      <c r="AD25" s="26" t="str">
        <f t="shared" si="7"/>
        <v/>
      </c>
      <c r="AE25" s="26" t="str">
        <f t="shared" si="8"/>
        <v/>
      </c>
      <c r="AF25" s="26" t="str">
        <f t="shared" si="9"/>
        <v/>
      </c>
      <c r="AG25" s="26" t="str">
        <f t="shared" si="10"/>
        <v/>
      </c>
      <c r="AH25" s="26" t="str">
        <f t="shared" si="11"/>
        <v/>
      </c>
      <c r="AI25" s="26" t="str">
        <f t="shared" si="12"/>
        <v/>
      </c>
      <c r="AJ25" s="26" t="str">
        <f t="shared" si="13"/>
        <v>未充足</v>
      </c>
      <c r="AK25" s="26" t="str">
        <f t="shared" si="14"/>
        <v>未充足</v>
      </c>
      <c r="AL25" s="26" t="str">
        <f t="shared" si="15"/>
        <v/>
      </c>
      <c r="AM25" s="26" t="str">
        <f t="shared" si="16"/>
        <v/>
      </c>
      <c r="AN25" s="26" t="str">
        <f t="shared" si="17"/>
        <v/>
      </c>
      <c r="AO25" s="26" t="str">
        <f t="shared" si="18"/>
        <v/>
      </c>
      <c r="AP25" s="26" t="str">
        <f t="shared" si="19"/>
        <v/>
      </c>
      <c r="AQ25" s="26" t="str">
        <f t="shared" si="20"/>
        <v/>
      </c>
      <c r="AR25" s="36" t="str">
        <f t="shared" si="21"/>
        <v/>
      </c>
      <c r="AS25" s="28" t="str">
        <f>IF(COUNTIF('02_工程タスク'!$A$4:$A$135,A25)&lt;&gt;1,"参照ID不正",IF(INDEX('02_工程タスク'!$H$4:$H$135,MATCH(A25,'02_工程タスク'!$A$4:$A$135,0))="","",INDEX('02_工程タスク'!$H$4:$H$135,MATCH(A25,'02_工程タスク'!$A$4:$A$135,0))))</f>
        <v>R14</v>
      </c>
      <c r="AT25" s="28" t="str">
        <f t="shared" si="22"/>
        <v>INIT-B1-04</v>
      </c>
      <c r="AU25" s="29" t="s">
        <v>3630</v>
      </c>
      <c r="AV25" s="29"/>
      <c r="AW25" s="29"/>
      <c r="AX25" s="32"/>
      <c r="AY25" s="29"/>
      <c r="AZ25" s="29"/>
      <c r="BA25" s="32"/>
      <c r="BB25" s="28" t="str">
        <f>IF(COUNTIF('02_工程タスク'!$A$4:$A$135,A25)&lt;&gt;1,"参照ID不正",IF(INDEX('02_工程タスク'!$O$4:$O$135,MATCH(A25,'02_工程タスク'!$A$4:$A$135,0))="","",INDEX('02_工程タスク'!$O$4:$O$135,MATCH(A25,'02_工程タスク'!$A$4:$A$135,0))))</f>
        <v>B0-07,B0-08</v>
      </c>
      <c r="BC25" s="28" t="str">
        <f t="shared" si="23"/>
        <v>記法OK</v>
      </c>
      <c r="BD25" s="28" t="str">
        <f>IF(A25="B6-01",IF(OR(AV25="",COUNTIF('29_ゲート承認記録'!$F$4:$F$83,AV25)&lt;&gt;1),"終了開始根拠不足",IF(IF(COUNTIF('29_ゲート承認記録'!$F$4:$F$83,AV25)&lt;&gt;1,"参照ID不正",IF(INDEX('29_ゲート承認記録'!$L$4:$L$83,MATCH(AV25,'29_ゲート承認記録'!$F$4:$F$83,0))="","",INDEX('29_ゲート承認記録'!$L$4:$L$83,MATCH(AV25,'29_ゲート承認記録'!$F$4:$F$83,0))))&lt;&gt;"Stop","Stop判断要確認","開始根拠あり")),IF(AND(A25="B5-18",AU25="事故"),IF(AV25="","事故レビュー参照不足","開始根拠あり"),"開始根拠あり"))</f>
        <v>開始根拠あり</v>
      </c>
      <c r="BE25" s="29"/>
      <c r="BF25" s="29"/>
    </row>
    <row r="26" spans="1:58" ht="38" customHeight="1" x14ac:dyDescent="0.2">
      <c r="A26" s="10" t="s">
        <v>492</v>
      </c>
      <c r="B26" s="28" t="str">
        <f>IF(COUNTIF('02_工程タスク'!$A$4:$A$135,A26)&lt;&gt;1,"参照ID不正",IF(INDEX('02_工程タスク'!$B$4:$B$135,MATCH(A26,'02_工程タスク'!$A$4:$A$135,0))="","",INDEX('02_工程タスク'!$B$4:$B$135,MATCH(A26,'02_工程タスク'!$A$4:$A$135,0))))</f>
        <v>要件</v>
      </c>
      <c r="C26" s="28" t="str">
        <f>IF(COUNTIF('02_工程タスク'!$A$4:$A$135,A26)&lt;&gt;1,"参照ID不正",IF(INDEX('02_工程タスク'!$D$4:$D$135,MATCH(A26,'02_工程タスク'!$A$4:$A$135,0))="","",INDEX('02_工程タスク'!$D$4:$D$135,MATCH(A26,'02_工程タスク'!$A$4:$A$135,0))))</f>
        <v>品質・鮮度・権限・ラベル要件</v>
      </c>
      <c r="D26" s="6"/>
      <c r="E26" s="6" t="s">
        <v>1598</v>
      </c>
      <c r="F26" s="6"/>
      <c r="G26" s="6"/>
      <c r="H26" s="5"/>
      <c r="I26" s="5"/>
      <c r="J26" s="5"/>
      <c r="K26" s="5"/>
      <c r="L26" s="6" t="s">
        <v>3629</v>
      </c>
      <c r="M26" s="6"/>
      <c r="N26" s="6"/>
      <c r="O26" s="5"/>
      <c r="P26" s="17"/>
      <c r="Q26" s="17"/>
      <c r="R26" s="6"/>
      <c r="S26" s="6"/>
      <c r="T26" s="6"/>
      <c r="U26" s="5"/>
      <c r="V26" s="6" t="s">
        <v>481</v>
      </c>
      <c r="W26" s="28" t="str">
        <f t="shared" si="0"/>
        <v>適用未判定</v>
      </c>
      <c r="X26" s="28" t="str">
        <f t="shared" si="1"/>
        <v/>
      </c>
      <c r="Y26" s="25" t="str">
        <f t="shared" si="2"/>
        <v/>
      </c>
      <c r="Z26" s="25" t="str">
        <f t="shared" si="3"/>
        <v>適用未判定</v>
      </c>
      <c r="AA26" s="25">
        <f t="shared" si="4"/>
        <v>0</v>
      </c>
      <c r="AB26" s="25" t="str">
        <f t="shared" si="5"/>
        <v>B1-04</v>
      </c>
      <c r="AC26" s="25" t="str">
        <f t="shared" si="6"/>
        <v/>
      </c>
      <c r="AD26" s="25" t="str">
        <f t="shared" si="7"/>
        <v/>
      </c>
      <c r="AE26" s="25" t="str">
        <f t="shared" si="8"/>
        <v/>
      </c>
      <c r="AF26" s="25" t="str">
        <f t="shared" si="9"/>
        <v/>
      </c>
      <c r="AG26" s="25" t="str">
        <f t="shared" si="10"/>
        <v/>
      </c>
      <c r="AH26" s="25" t="str">
        <f t="shared" si="11"/>
        <v/>
      </c>
      <c r="AI26" s="25" t="str">
        <f t="shared" si="12"/>
        <v/>
      </c>
      <c r="AJ26" s="25" t="str">
        <f t="shared" si="13"/>
        <v>未充足</v>
      </c>
      <c r="AK26" s="25" t="str">
        <f t="shared" si="14"/>
        <v/>
      </c>
      <c r="AL26" s="25" t="str">
        <f t="shared" si="15"/>
        <v/>
      </c>
      <c r="AM26" s="25" t="str">
        <f t="shared" si="16"/>
        <v/>
      </c>
      <c r="AN26" s="25" t="str">
        <f t="shared" si="17"/>
        <v/>
      </c>
      <c r="AO26" s="25" t="str">
        <f t="shared" si="18"/>
        <v/>
      </c>
      <c r="AP26" s="25" t="str">
        <f t="shared" si="19"/>
        <v/>
      </c>
      <c r="AQ26" s="25" t="str">
        <f t="shared" si="20"/>
        <v/>
      </c>
      <c r="AR26" s="35" t="str">
        <f t="shared" si="21"/>
        <v/>
      </c>
      <c r="AS26" s="28" t="str">
        <f>IF(COUNTIF('02_工程タスク'!$A$4:$A$135,A26)&lt;&gt;1,"参照ID不正",IF(INDEX('02_工程タスク'!$H$4:$H$135,MATCH(A26,'02_工程タスク'!$A$4:$A$135,0))="","",INDEX('02_工程タスク'!$H$4:$H$135,MATCH(A26,'02_工程タスク'!$A$4:$A$135,0))))</f>
        <v>R10</v>
      </c>
      <c r="AT26" s="28" t="str">
        <f t="shared" si="22"/>
        <v>INIT-B1-05</v>
      </c>
      <c r="AU26" s="29" t="s">
        <v>3630</v>
      </c>
      <c r="AV26" s="29"/>
      <c r="AW26" s="29"/>
      <c r="AX26" s="32"/>
      <c r="AY26" s="29"/>
      <c r="AZ26" s="29"/>
      <c r="BA26" s="32"/>
      <c r="BB26" s="28" t="str">
        <f>IF(COUNTIF('02_工程タスク'!$A$4:$A$135,A26)&lt;&gt;1,"参照ID不正",IF(INDEX('02_工程タスク'!$O$4:$O$135,MATCH(A26,'02_工程タスク'!$A$4:$A$135,0))="","",INDEX('02_工程タスク'!$O$4:$O$135,MATCH(A26,'02_工程タスク'!$A$4:$A$135,0))))</f>
        <v>B1-04</v>
      </c>
      <c r="BC26" s="28" t="str">
        <f t="shared" si="23"/>
        <v>記法OK</v>
      </c>
      <c r="BD26" s="28" t="str">
        <f>IF(A26="B6-01",IF(OR(AV26="",COUNTIF('29_ゲート承認記録'!$F$4:$F$83,AV26)&lt;&gt;1),"終了開始根拠不足",IF(IF(COUNTIF('29_ゲート承認記録'!$F$4:$F$83,AV26)&lt;&gt;1,"参照ID不正",IF(INDEX('29_ゲート承認記録'!$L$4:$L$83,MATCH(AV26,'29_ゲート承認記録'!$F$4:$F$83,0))="","",INDEX('29_ゲート承認記録'!$L$4:$L$83,MATCH(AV26,'29_ゲート承認記録'!$F$4:$F$83,0))))&lt;&gt;"Stop","Stop判断要確認","開始根拠あり")),IF(AND(A26="B5-18",AU26="事故"),IF(AV26="","事故レビュー参照不足","開始根拠あり"),"開始根拠あり"))</f>
        <v>開始根拠あり</v>
      </c>
      <c r="BE26" s="29"/>
      <c r="BF26" s="29"/>
    </row>
    <row r="27" spans="1:58" ht="38" customHeight="1" x14ac:dyDescent="0.2">
      <c r="A27" s="10" t="s">
        <v>501</v>
      </c>
      <c r="B27" s="28" t="str">
        <f>IF(COUNTIF('02_工程タスク'!$A$4:$A$135,A27)&lt;&gt;1,"参照ID不正",IF(INDEX('02_工程タスク'!$B$4:$B$135,MATCH(A27,'02_工程タスク'!$A$4:$A$135,0))="","",INDEX('02_工程タスク'!$B$4:$B$135,MATCH(A27,'02_工程タスク'!$A$4:$A$135,0))))</f>
        <v>要件</v>
      </c>
      <c r="C27" s="28" t="str">
        <f>IF(COUNTIF('02_工程タスク'!$A$4:$A$135,A27)&lt;&gt;1,"参照ID不正",IF(INDEX('02_工程タスク'!$D$4:$D$135,MATCH(A27,'02_工程タスク'!$A$4:$A$135,0))="","",INDEX('02_工程タスク'!$D$4:$D$135,MATCH(A27,'02_工程タスク'!$A$4:$A$135,0))))</f>
        <v>AI機能境界・自律性・不確実性</v>
      </c>
      <c r="D27" s="6"/>
      <c r="E27" s="6" t="s">
        <v>1598</v>
      </c>
      <c r="F27" s="6"/>
      <c r="G27" s="6"/>
      <c r="H27" s="5"/>
      <c r="I27" s="5"/>
      <c r="J27" s="5"/>
      <c r="K27" s="5"/>
      <c r="L27" s="6" t="s">
        <v>3629</v>
      </c>
      <c r="M27" s="6"/>
      <c r="N27" s="6"/>
      <c r="O27" s="5"/>
      <c r="P27" s="17"/>
      <c r="Q27" s="17"/>
      <c r="R27" s="6"/>
      <c r="S27" s="6"/>
      <c r="T27" s="6"/>
      <c r="U27" s="5"/>
      <c r="V27" s="6" t="s">
        <v>472</v>
      </c>
      <c r="W27" s="28" t="str">
        <f t="shared" si="0"/>
        <v>適用未判定</v>
      </c>
      <c r="X27" s="28" t="str">
        <f t="shared" si="1"/>
        <v/>
      </c>
      <c r="Y27" s="26" t="str">
        <f t="shared" si="2"/>
        <v/>
      </c>
      <c r="Z27" s="26" t="str">
        <f t="shared" si="3"/>
        <v>適用未判定</v>
      </c>
      <c r="AA27" s="26">
        <f t="shared" si="4"/>
        <v>0</v>
      </c>
      <c r="AB27" s="26" t="str">
        <f t="shared" si="5"/>
        <v>B1-03</v>
      </c>
      <c r="AC27" s="26" t="str">
        <f t="shared" si="6"/>
        <v/>
      </c>
      <c r="AD27" s="26" t="str">
        <f t="shared" si="7"/>
        <v/>
      </c>
      <c r="AE27" s="26" t="str">
        <f t="shared" si="8"/>
        <v/>
      </c>
      <c r="AF27" s="26" t="str">
        <f t="shared" si="9"/>
        <v/>
      </c>
      <c r="AG27" s="26" t="str">
        <f t="shared" si="10"/>
        <v/>
      </c>
      <c r="AH27" s="26" t="str">
        <f t="shared" si="11"/>
        <v/>
      </c>
      <c r="AI27" s="26" t="str">
        <f t="shared" si="12"/>
        <v/>
      </c>
      <c r="AJ27" s="26" t="str">
        <f t="shared" si="13"/>
        <v>未充足</v>
      </c>
      <c r="AK27" s="26" t="str">
        <f t="shared" si="14"/>
        <v/>
      </c>
      <c r="AL27" s="26" t="str">
        <f t="shared" si="15"/>
        <v/>
      </c>
      <c r="AM27" s="26" t="str">
        <f t="shared" si="16"/>
        <v/>
      </c>
      <c r="AN27" s="26" t="str">
        <f t="shared" si="17"/>
        <v/>
      </c>
      <c r="AO27" s="26" t="str">
        <f t="shared" si="18"/>
        <v/>
      </c>
      <c r="AP27" s="26" t="str">
        <f t="shared" si="19"/>
        <v/>
      </c>
      <c r="AQ27" s="26" t="str">
        <f t="shared" si="20"/>
        <v/>
      </c>
      <c r="AR27" s="36" t="str">
        <f t="shared" si="21"/>
        <v/>
      </c>
      <c r="AS27" s="28" t="str">
        <f>IF(COUNTIF('02_工程タスク'!$A$4:$A$135,A27)&lt;&gt;1,"参照ID不正",IF(INDEX('02_工程タスク'!$H$4:$H$135,MATCH(A27,'02_工程タスク'!$A$4:$A$135,0))="","",INDEX('02_工程タスク'!$H$4:$H$135,MATCH(A27,'02_工程タスク'!$A$4:$A$135,0))))</f>
        <v>R02</v>
      </c>
      <c r="AT27" s="28" t="str">
        <f t="shared" si="22"/>
        <v>INIT-B1-06</v>
      </c>
      <c r="AU27" s="29" t="s">
        <v>3630</v>
      </c>
      <c r="AV27" s="29"/>
      <c r="AW27" s="29"/>
      <c r="AX27" s="32"/>
      <c r="AY27" s="29"/>
      <c r="AZ27" s="29"/>
      <c r="BA27" s="32"/>
      <c r="BB27" s="28" t="str">
        <f>IF(COUNTIF('02_工程タスク'!$A$4:$A$135,A27)&lt;&gt;1,"参照ID不正",IF(INDEX('02_工程タスク'!$O$4:$O$135,MATCH(A27,'02_工程タスク'!$A$4:$A$135,0))="","",INDEX('02_工程タスク'!$O$4:$O$135,MATCH(A27,'02_工程タスク'!$A$4:$A$135,0))))</f>
        <v>B1-03</v>
      </c>
      <c r="BC27" s="28" t="str">
        <f t="shared" si="23"/>
        <v>記法OK</v>
      </c>
      <c r="BD27" s="28" t="str">
        <f>IF(A27="B6-01",IF(OR(AV27="",COUNTIF('29_ゲート承認記録'!$F$4:$F$83,AV27)&lt;&gt;1),"終了開始根拠不足",IF(IF(COUNTIF('29_ゲート承認記録'!$F$4:$F$83,AV27)&lt;&gt;1,"参照ID不正",IF(INDEX('29_ゲート承認記録'!$L$4:$L$83,MATCH(AV27,'29_ゲート承認記録'!$F$4:$F$83,0))="","",INDEX('29_ゲート承認記録'!$L$4:$L$83,MATCH(AV27,'29_ゲート承認記録'!$F$4:$F$83,0))))&lt;&gt;"Stop","Stop判断要確認","開始根拠あり")),IF(AND(A27="B5-18",AU27="事故"),IF(AV27="","事故レビュー参照不足","開始根拠あり"),"開始根拠あり"))</f>
        <v>開始根拠あり</v>
      </c>
      <c r="BE27" s="29"/>
      <c r="BF27" s="29"/>
    </row>
    <row r="28" spans="1:58" ht="38" customHeight="1" x14ac:dyDescent="0.2">
      <c r="A28" s="10" t="s">
        <v>510</v>
      </c>
      <c r="B28" s="28" t="str">
        <f>IF(COUNTIF('02_工程タスク'!$A$4:$A$135,A28)&lt;&gt;1,"参照ID不正",IF(INDEX('02_工程タスク'!$B$4:$B$135,MATCH(A28,'02_工程タスク'!$A$4:$A$135,0))="","",INDEX('02_工程タスク'!$B$4:$B$135,MATCH(A28,'02_工程タスク'!$A$4:$A$135,0))))</f>
        <v>要件</v>
      </c>
      <c r="C28" s="28" t="str">
        <f>IF(COUNTIF('02_工程タスク'!$A$4:$A$135,A28)&lt;&gt;1,"参照ID不正",IF(INDEX('02_工程タスク'!$D$4:$D$135,MATCH(A28,'02_工程タスク'!$A$4:$A$135,0))="","",INDEX('02_工程タスク'!$D$4:$D$135,MATCH(A28,'02_工程タスク'!$A$4:$A$135,0))))</f>
        <v>評価母集団・指標・閾値・失敗定義</v>
      </c>
      <c r="D28" s="6"/>
      <c r="E28" s="6" t="s">
        <v>1598</v>
      </c>
      <c r="F28" s="6"/>
      <c r="G28" s="6"/>
      <c r="H28" s="5"/>
      <c r="I28" s="5"/>
      <c r="J28" s="5"/>
      <c r="K28" s="5"/>
      <c r="L28" s="6" t="s">
        <v>3629</v>
      </c>
      <c r="M28" s="6"/>
      <c r="N28" s="6"/>
      <c r="O28" s="5"/>
      <c r="P28" s="17"/>
      <c r="Q28" s="17"/>
      <c r="R28" s="6"/>
      <c r="S28" s="6"/>
      <c r="T28" s="6"/>
      <c r="U28" s="5"/>
      <c r="V28" s="6" t="s">
        <v>518</v>
      </c>
      <c r="W28" s="28" t="str">
        <f t="shared" si="0"/>
        <v>適用未判定</v>
      </c>
      <c r="X28" s="28" t="str">
        <f t="shared" si="1"/>
        <v/>
      </c>
      <c r="Y28" s="25" t="str">
        <f t="shared" si="2"/>
        <v/>
      </c>
      <c r="Z28" s="25" t="str">
        <f t="shared" si="3"/>
        <v>適用未判定</v>
      </c>
      <c r="AA28" s="25">
        <f t="shared" si="4"/>
        <v>0</v>
      </c>
      <c r="AB28" s="25" t="str">
        <f t="shared" si="5"/>
        <v>B1-03</v>
      </c>
      <c r="AC28" s="25" t="str">
        <f t="shared" si="6"/>
        <v>B1-05</v>
      </c>
      <c r="AD28" s="25" t="str">
        <f t="shared" si="7"/>
        <v>B1-06</v>
      </c>
      <c r="AE28" s="25" t="str">
        <f t="shared" si="8"/>
        <v/>
      </c>
      <c r="AF28" s="25" t="str">
        <f t="shared" si="9"/>
        <v/>
      </c>
      <c r="AG28" s="25" t="str">
        <f t="shared" si="10"/>
        <v/>
      </c>
      <c r="AH28" s="25" t="str">
        <f t="shared" si="11"/>
        <v/>
      </c>
      <c r="AI28" s="25" t="str">
        <f t="shared" si="12"/>
        <v/>
      </c>
      <c r="AJ28" s="25" t="str">
        <f t="shared" si="13"/>
        <v>未充足</v>
      </c>
      <c r="AK28" s="25" t="str">
        <f t="shared" si="14"/>
        <v>未充足</v>
      </c>
      <c r="AL28" s="25" t="str">
        <f t="shared" si="15"/>
        <v>未充足</v>
      </c>
      <c r="AM28" s="25" t="str">
        <f t="shared" si="16"/>
        <v/>
      </c>
      <c r="AN28" s="25" t="str">
        <f t="shared" si="17"/>
        <v/>
      </c>
      <c r="AO28" s="25" t="str">
        <f t="shared" si="18"/>
        <v/>
      </c>
      <c r="AP28" s="25" t="str">
        <f t="shared" si="19"/>
        <v/>
      </c>
      <c r="AQ28" s="25" t="str">
        <f t="shared" si="20"/>
        <v/>
      </c>
      <c r="AR28" s="35" t="str">
        <f t="shared" si="21"/>
        <v/>
      </c>
      <c r="AS28" s="28" t="str">
        <f>IF(COUNTIF('02_工程タスク'!$A$4:$A$135,A28)&lt;&gt;1,"参照ID不正",IF(INDEX('02_工程タスク'!$H$4:$H$135,MATCH(A28,'02_工程タスク'!$A$4:$A$135,0))="","",INDEX('02_工程タスク'!$H$4:$H$135,MATCH(A28,'02_工程タスク'!$A$4:$A$135,0))))</f>
        <v>R19</v>
      </c>
      <c r="AT28" s="28" t="str">
        <f t="shared" si="22"/>
        <v>INIT-B1-07</v>
      </c>
      <c r="AU28" s="29" t="s">
        <v>3630</v>
      </c>
      <c r="AV28" s="29"/>
      <c r="AW28" s="29"/>
      <c r="AX28" s="32"/>
      <c r="AY28" s="29"/>
      <c r="AZ28" s="29"/>
      <c r="BA28" s="32"/>
      <c r="BB28" s="28" t="str">
        <f>IF(COUNTIF('02_工程タスク'!$A$4:$A$135,A28)&lt;&gt;1,"参照ID不正",IF(INDEX('02_工程タスク'!$O$4:$O$135,MATCH(A28,'02_工程タスク'!$A$4:$A$135,0))="","",INDEX('02_工程タスク'!$O$4:$O$135,MATCH(A28,'02_工程タスク'!$A$4:$A$135,0))))</f>
        <v>B1-03,B1-05,B1-06</v>
      </c>
      <c r="BC28" s="28" t="str">
        <f t="shared" si="23"/>
        <v>記法OK</v>
      </c>
      <c r="BD28" s="28" t="str">
        <f>IF(A28="B6-01",IF(OR(AV28="",COUNTIF('29_ゲート承認記録'!$F$4:$F$83,AV28)&lt;&gt;1),"終了開始根拠不足",IF(IF(COUNTIF('29_ゲート承認記録'!$F$4:$F$83,AV28)&lt;&gt;1,"参照ID不正",IF(INDEX('29_ゲート承認記録'!$L$4:$L$83,MATCH(AV28,'29_ゲート承認記録'!$F$4:$F$83,0))="","",INDEX('29_ゲート承認記録'!$L$4:$L$83,MATCH(AV28,'29_ゲート承認記録'!$F$4:$F$83,0))))&lt;&gt;"Stop","Stop判断要確認","開始根拠あり")),IF(AND(A28="B5-18",AU28="事故"),IF(AV28="","事故レビュー参照不足","開始根拠あり"),"開始根拠あり"))</f>
        <v>開始根拠あり</v>
      </c>
      <c r="BE28" s="29"/>
      <c r="BF28" s="29"/>
    </row>
    <row r="29" spans="1:58" ht="38" customHeight="1" x14ac:dyDescent="0.2">
      <c r="A29" s="10" t="s">
        <v>523</v>
      </c>
      <c r="B29" s="28" t="str">
        <f>IF(COUNTIF('02_工程タスク'!$A$4:$A$135,A29)&lt;&gt;1,"参照ID不正",IF(INDEX('02_工程タスク'!$B$4:$B$135,MATCH(A29,'02_工程タスク'!$A$4:$A$135,0))="","",INDEX('02_工程タスク'!$B$4:$B$135,MATCH(A29,'02_工程タスク'!$A$4:$A$135,0))))</f>
        <v>要件</v>
      </c>
      <c r="C29" s="28" t="str">
        <f>IF(COUNTIF('02_工程タスク'!$A$4:$A$135,A29)&lt;&gt;1,"参照ID不正",IF(INDEX('02_工程タスク'!$D$4:$D$135,MATCH(A29,'02_工程タスク'!$A$4:$A$135,0))="","",INDEX('02_工程タスク'!$D$4:$D$135,MATCH(A29,'02_工程タスク'!$A$4:$A$135,0))))</f>
        <v>SLO・容量・可用性・費用要件</v>
      </c>
      <c r="D29" s="6"/>
      <c r="E29" s="6" t="s">
        <v>1598</v>
      </c>
      <c r="F29" s="6"/>
      <c r="G29" s="6"/>
      <c r="H29" s="5"/>
      <c r="I29" s="5"/>
      <c r="J29" s="5"/>
      <c r="K29" s="5"/>
      <c r="L29" s="6" t="s">
        <v>3629</v>
      </c>
      <c r="M29" s="6"/>
      <c r="N29" s="6"/>
      <c r="O29" s="5"/>
      <c r="P29" s="17"/>
      <c r="Q29" s="17"/>
      <c r="R29" s="6"/>
      <c r="S29" s="6"/>
      <c r="T29" s="6"/>
      <c r="U29" s="5"/>
      <c r="V29" s="6" t="s">
        <v>530</v>
      </c>
      <c r="W29" s="28" t="str">
        <f t="shared" si="0"/>
        <v>適用未判定</v>
      </c>
      <c r="X29" s="28" t="str">
        <f t="shared" si="1"/>
        <v/>
      </c>
      <c r="Y29" s="26" t="str">
        <f t="shared" si="2"/>
        <v/>
      </c>
      <c r="Z29" s="26" t="str">
        <f t="shared" si="3"/>
        <v>適用未判定</v>
      </c>
      <c r="AA29" s="26">
        <f t="shared" si="4"/>
        <v>0</v>
      </c>
      <c r="AB29" s="26" t="str">
        <f t="shared" si="5"/>
        <v>B1-01</v>
      </c>
      <c r="AC29" s="26" t="str">
        <f t="shared" si="6"/>
        <v>B1-06</v>
      </c>
      <c r="AD29" s="26" t="str">
        <f t="shared" si="7"/>
        <v/>
      </c>
      <c r="AE29" s="26" t="str">
        <f t="shared" si="8"/>
        <v/>
      </c>
      <c r="AF29" s="26" t="str">
        <f t="shared" si="9"/>
        <v/>
      </c>
      <c r="AG29" s="26" t="str">
        <f t="shared" si="10"/>
        <v/>
      </c>
      <c r="AH29" s="26" t="str">
        <f t="shared" si="11"/>
        <v/>
      </c>
      <c r="AI29" s="26" t="str">
        <f t="shared" si="12"/>
        <v/>
      </c>
      <c r="AJ29" s="26" t="str">
        <f t="shared" si="13"/>
        <v>未充足</v>
      </c>
      <c r="AK29" s="26" t="str">
        <f t="shared" si="14"/>
        <v>未充足</v>
      </c>
      <c r="AL29" s="26" t="str">
        <f t="shared" si="15"/>
        <v/>
      </c>
      <c r="AM29" s="26" t="str">
        <f t="shared" si="16"/>
        <v/>
      </c>
      <c r="AN29" s="26" t="str">
        <f t="shared" si="17"/>
        <v/>
      </c>
      <c r="AO29" s="26" t="str">
        <f t="shared" si="18"/>
        <v/>
      </c>
      <c r="AP29" s="26" t="str">
        <f t="shared" si="19"/>
        <v/>
      </c>
      <c r="AQ29" s="26" t="str">
        <f t="shared" si="20"/>
        <v/>
      </c>
      <c r="AR29" s="36" t="str">
        <f t="shared" si="21"/>
        <v/>
      </c>
      <c r="AS29" s="28" t="str">
        <f>IF(COUNTIF('02_工程タスク'!$A$4:$A$135,A29)&lt;&gt;1,"参照ID不正",IF(INDEX('02_工程タスク'!$H$4:$H$135,MATCH(A29,'02_工程タスク'!$A$4:$A$135,0))="","",INDEX('02_工程タスク'!$H$4:$H$135,MATCH(A29,'02_工程タスク'!$A$4:$A$135,0))))</f>
        <v>R18</v>
      </c>
      <c r="AT29" s="28" t="str">
        <f t="shared" si="22"/>
        <v>INIT-B1-08</v>
      </c>
      <c r="AU29" s="29" t="s">
        <v>3630</v>
      </c>
      <c r="AV29" s="29"/>
      <c r="AW29" s="29"/>
      <c r="AX29" s="32"/>
      <c r="AY29" s="29"/>
      <c r="AZ29" s="29"/>
      <c r="BA29" s="32"/>
      <c r="BB29" s="28" t="str">
        <f>IF(COUNTIF('02_工程タスク'!$A$4:$A$135,A29)&lt;&gt;1,"参照ID不正",IF(INDEX('02_工程タスク'!$O$4:$O$135,MATCH(A29,'02_工程タスク'!$A$4:$A$135,0))="","",INDEX('02_工程タスク'!$O$4:$O$135,MATCH(A29,'02_工程タスク'!$A$4:$A$135,0))))</f>
        <v>B1-01,B1-06</v>
      </c>
      <c r="BC29" s="28" t="str">
        <f t="shared" si="23"/>
        <v>記法OK</v>
      </c>
      <c r="BD29" s="28" t="str">
        <f>IF(A29="B6-01",IF(OR(AV29="",COUNTIF('29_ゲート承認記録'!$F$4:$F$83,AV29)&lt;&gt;1),"終了開始根拠不足",IF(IF(COUNTIF('29_ゲート承認記録'!$F$4:$F$83,AV29)&lt;&gt;1,"参照ID不正",IF(INDEX('29_ゲート承認記録'!$L$4:$L$83,MATCH(AV29,'29_ゲート承認記録'!$F$4:$F$83,0))="","",INDEX('29_ゲート承認記録'!$L$4:$L$83,MATCH(AV29,'29_ゲート承認記録'!$F$4:$F$83,0))))&lt;&gt;"Stop","Stop判断要確認","開始根拠あり")),IF(AND(A29="B5-18",AU29="事故"),IF(AV29="","事故レビュー参照不足","開始根拠あり"),"開始根拠あり"))</f>
        <v>開始根拠あり</v>
      </c>
      <c r="BE29" s="29"/>
      <c r="BF29" s="29"/>
    </row>
    <row r="30" spans="1:58" ht="38" customHeight="1" x14ac:dyDescent="0.2">
      <c r="A30" s="10" t="s">
        <v>533</v>
      </c>
      <c r="B30" s="28" t="str">
        <f>IF(COUNTIF('02_工程タスク'!$A$4:$A$135,A30)&lt;&gt;1,"参照ID不正",IF(INDEX('02_工程タスク'!$B$4:$B$135,MATCH(A30,'02_工程タスク'!$A$4:$A$135,0))="","",INDEX('02_工程タスク'!$B$4:$B$135,MATCH(A30,'02_工程タスク'!$A$4:$A$135,0))))</f>
        <v>要件</v>
      </c>
      <c r="C30" s="28" t="str">
        <f>IF(COUNTIF('02_工程タスク'!$A$4:$A$135,A30)&lt;&gt;1,"参照ID不正",IF(INDEX('02_工程タスク'!$D$4:$D$135,MATCH(A30,'02_工程タスク'!$A$4:$A$135,0))="","",INDEX('02_工程タスク'!$D$4:$D$135,MATCH(A30,'02_工程タスク'!$A$4:$A$135,0))))</f>
        <v>透明性・アクセシビリティ・救済</v>
      </c>
      <c r="D30" s="6"/>
      <c r="E30" s="6" t="s">
        <v>1598</v>
      </c>
      <c r="F30" s="6"/>
      <c r="G30" s="6"/>
      <c r="H30" s="5"/>
      <c r="I30" s="5"/>
      <c r="J30" s="5"/>
      <c r="K30" s="5"/>
      <c r="L30" s="6" t="s">
        <v>3629</v>
      </c>
      <c r="M30" s="6"/>
      <c r="N30" s="6"/>
      <c r="O30" s="5"/>
      <c r="P30" s="17"/>
      <c r="Q30" s="17"/>
      <c r="R30" s="6"/>
      <c r="S30" s="6"/>
      <c r="T30" s="6"/>
      <c r="U30" s="5"/>
      <c r="V30" s="6" t="s">
        <v>463</v>
      </c>
      <c r="W30" s="28" t="str">
        <f t="shared" si="0"/>
        <v>適用未判定</v>
      </c>
      <c r="X30" s="28" t="str">
        <f t="shared" si="1"/>
        <v/>
      </c>
      <c r="Y30" s="25" t="str">
        <f t="shared" si="2"/>
        <v/>
      </c>
      <c r="Z30" s="25" t="str">
        <f t="shared" si="3"/>
        <v>適用未判定</v>
      </c>
      <c r="AA30" s="25">
        <f t="shared" si="4"/>
        <v>0</v>
      </c>
      <c r="AB30" s="25" t="str">
        <f t="shared" si="5"/>
        <v>B1-02</v>
      </c>
      <c r="AC30" s="25" t="str">
        <f t="shared" si="6"/>
        <v/>
      </c>
      <c r="AD30" s="25" t="str">
        <f t="shared" si="7"/>
        <v/>
      </c>
      <c r="AE30" s="25" t="str">
        <f t="shared" si="8"/>
        <v/>
      </c>
      <c r="AF30" s="25" t="str">
        <f t="shared" si="9"/>
        <v/>
      </c>
      <c r="AG30" s="25" t="str">
        <f t="shared" si="10"/>
        <v/>
      </c>
      <c r="AH30" s="25" t="str">
        <f t="shared" si="11"/>
        <v/>
      </c>
      <c r="AI30" s="25" t="str">
        <f t="shared" si="12"/>
        <v/>
      </c>
      <c r="AJ30" s="25" t="str">
        <f t="shared" si="13"/>
        <v>未充足</v>
      </c>
      <c r="AK30" s="25" t="str">
        <f t="shared" si="14"/>
        <v/>
      </c>
      <c r="AL30" s="25" t="str">
        <f t="shared" si="15"/>
        <v/>
      </c>
      <c r="AM30" s="25" t="str">
        <f t="shared" si="16"/>
        <v/>
      </c>
      <c r="AN30" s="25" t="str">
        <f t="shared" si="17"/>
        <v/>
      </c>
      <c r="AO30" s="25" t="str">
        <f t="shared" si="18"/>
        <v/>
      </c>
      <c r="AP30" s="25" t="str">
        <f t="shared" si="19"/>
        <v/>
      </c>
      <c r="AQ30" s="25" t="str">
        <f t="shared" si="20"/>
        <v/>
      </c>
      <c r="AR30" s="35" t="str">
        <f t="shared" si="21"/>
        <v/>
      </c>
      <c r="AS30" s="28" t="str">
        <f>IF(COUNTIF('02_工程タスク'!$A$4:$A$135,A30)&lt;&gt;1,"参照ID不正",IF(INDEX('02_工程タスク'!$H$4:$H$135,MATCH(A30,'02_工程タスク'!$A$4:$A$135,0))="","",INDEX('02_工程タスク'!$H$4:$H$135,MATCH(A30,'02_工程タスク'!$A$4:$A$135,0))))</f>
        <v>R02</v>
      </c>
      <c r="AT30" s="28" t="str">
        <f t="shared" si="22"/>
        <v>INIT-B1-09</v>
      </c>
      <c r="AU30" s="29" t="s">
        <v>3630</v>
      </c>
      <c r="AV30" s="29"/>
      <c r="AW30" s="29"/>
      <c r="AX30" s="32"/>
      <c r="AY30" s="29"/>
      <c r="AZ30" s="29"/>
      <c r="BA30" s="32"/>
      <c r="BB30" s="28" t="str">
        <f>IF(COUNTIF('02_工程タスク'!$A$4:$A$135,A30)&lt;&gt;1,"参照ID不正",IF(INDEX('02_工程タスク'!$O$4:$O$135,MATCH(A30,'02_工程タスク'!$A$4:$A$135,0))="","",INDEX('02_工程タスク'!$O$4:$O$135,MATCH(A30,'02_工程タスク'!$A$4:$A$135,0))))</f>
        <v>B1-02</v>
      </c>
      <c r="BC30" s="28" t="str">
        <f t="shared" si="23"/>
        <v>記法OK</v>
      </c>
      <c r="BD30" s="28" t="str">
        <f>IF(A30="B6-01",IF(OR(AV30="",COUNTIF('29_ゲート承認記録'!$F$4:$F$83,AV30)&lt;&gt;1),"終了開始根拠不足",IF(IF(COUNTIF('29_ゲート承認記録'!$F$4:$F$83,AV30)&lt;&gt;1,"参照ID不正",IF(INDEX('29_ゲート承認記録'!$L$4:$L$83,MATCH(AV30,'29_ゲート承認記録'!$F$4:$F$83,0))="","",INDEX('29_ゲート承認記録'!$L$4:$L$83,MATCH(AV30,'29_ゲート承認記録'!$F$4:$F$83,0))))&lt;&gt;"Stop","Stop判断要確認","開始根拠あり")),IF(AND(A30="B5-18",AU30="事故"),IF(AV30="","事故レビュー参照不足","開始根拠あり"),"開始根拠あり"))</f>
        <v>開始根拠あり</v>
      </c>
      <c r="BE30" s="29"/>
      <c r="BF30" s="29"/>
    </row>
    <row r="31" spans="1:58" ht="38" customHeight="1" x14ac:dyDescent="0.2">
      <c r="A31" s="10" t="s">
        <v>542</v>
      </c>
      <c r="B31" s="28" t="str">
        <f>IF(COUNTIF('02_工程タスク'!$A$4:$A$135,A31)&lt;&gt;1,"参照ID不正",IF(INDEX('02_工程タスク'!$B$4:$B$135,MATCH(A31,'02_工程タスク'!$A$4:$A$135,0))="","",INDEX('02_工程タスク'!$B$4:$B$135,MATCH(A31,'02_工程タスク'!$A$4:$A$135,0))))</f>
        <v>要件</v>
      </c>
      <c r="C31" s="28" t="str">
        <f>IF(COUNTIF('02_工程タスク'!$A$4:$A$135,A31)&lt;&gt;1,"参照ID不正",IF(INDEX('02_工程タスク'!$D$4:$D$135,MATCH(A31,'02_工程タスク'!$A$4:$A$135,0))="","",INDEX('02_工程タスク'!$D$4:$D$135,MATCH(A31,'02_工程タスク'!$A$4:$A$135,0))))</f>
        <v>Risk Tier確定・独立性の設計</v>
      </c>
      <c r="D31" s="6"/>
      <c r="E31" s="6" t="s">
        <v>1598</v>
      </c>
      <c r="F31" s="6"/>
      <c r="G31" s="6"/>
      <c r="H31" s="5"/>
      <c r="I31" s="5"/>
      <c r="J31" s="5"/>
      <c r="K31" s="5"/>
      <c r="L31" s="6" t="s">
        <v>3629</v>
      </c>
      <c r="M31" s="6"/>
      <c r="N31" s="6"/>
      <c r="O31" s="5"/>
      <c r="P31" s="17"/>
      <c r="Q31" s="17"/>
      <c r="R31" s="6"/>
      <c r="S31" s="6"/>
      <c r="T31" s="6"/>
      <c r="U31" s="5"/>
      <c r="V31" s="6" t="s">
        <v>549</v>
      </c>
      <c r="W31" s="28" t="str">
        <f t="shared" si="0"/>
        <v>適用未判定</v>
      </c>
      <c r="X31" s="28" t="str">
        <f t="shared" si="1"/>
        <v/>
      </c>
      <c r="Y31" s="26" t="str">
        <f t="shared" si="2"/>
        <v/>
      </c>
      <c r="Z31" s="26" t="str">
        <f t="shared" si="3"/>
        <v>適用未判定</v>
      </c>
      <c r="AA31" s="26">
        <f t="shared" si="4"/>
        <v>0</v>
      </c>
      <c r="AB31" s="26" t="str">
        <f t="shared" si="5"/>
        <v>B1-04</v>
      </c>
      <c r="AC31" s="26" t="str">
        <f t="shared" si="6"/>
        <v>B1-06</v>
      </c>
      <c r="AD31" s="26" t="str">
        <f t="shared" si="7"/>
        <v>B1-07</v>
      </c>
      <c r="AE31" s="26" t="str">
        <f t="shared" si="8"/>
        <v/>
      </c>
      <c r="AF31" s="26" t="str">
        <f t="shared" si="9"/>
        <v/>
      </c>
      <c r="AG31" s="26" t="str">
        <f t="shared" si="10"/>
        <v/>
      </c>
      <c r="AH31" s="26" t="str">
        <f t="shared" si="11"/>
        <v/>
      </c>
      <c r="AI31" s="26" t="str">
        <f t="shared" si="12"/>
        <v/>
      </c>
      <c r="AJ31" s="26" t="str">
        <f t="shared" si="13"/>
        <v>未充足</v>
      </c>
      <c r="AK31" s="26" t="str">
        <f t="shared" si="14"/>
        <v>未充足</v>
      </c>
      <c r="AL31" s="26" t="str">
        <f t="shared" si="15"/>
        <v>未充足</v>
      </c>
      <c r="AM31" s="26" t="str">
        <f t="shared" si="16"/>
        <v/>
      </c>
      <c r="AN31" s="26" t="str">
        <f t="shared" si="17"/>
        <v/>
      </c>
      <c r="AO31" s="26" t="str">
        <f t="shared" si="18"/>
        <v/>
      </c>
      <c r="AP31" s="26" t="str">
        <f t="shared" si="19"/>
        <v/>
      </c>
      <c r="AQ31" s="26" t="str">
        <f t="shared" si="20"/>
        <v/>
      </c>
      <c r="AR31" s="36" t="str">
        <f t="shared" si="21"/>
        <v/>
      </c>
      <c r="AS31" s="28" t="str">
        <f>IF(COUNTIF('02_工程タスク'!$A$4:$A$135,A31)&lt;&gt;1,"参照ID不正",IF(INDEX('02_工程タスク'!$H$4:$H$135,MATCH(A31,'02_工程タスク'!$A$4:$A$135,0))="","",INDEX('02_工程タスク'!$H$4:$H$135,MATCH(A31,'02_工程タスク'!$A$4:$A$135,0))))</f>
        <v>R01</v>
      </c>
      <c r="AT31" s="28" t="str">
        <f t="shared" si="22"/>
        <v>INIT-B1-10</v>
      </c>
      <c r="AU31" s="29" t="s">
        <v>3630</v>
      </c>
      <c r="AV31" s="29"/>
      <c r="AW31" s="29"/>
      <c r="AX31" s="32"/>
      <c r="AY31" s="29"/>
      <c r="AZ31" s="29"/>
      <c r="BA31" s="32"/>
      <c r="BB31" s="28" t="str">
        <f>IF(COUNTIF('02_工程タスク'!$A$4:$A$135,A31)&lt;&gt;1,"参照ID不正",IF(INDEX('02_工程タスク'!$O$4:$O$135,MATCH(A31,'02_工程タスク'!$A$4:$A$135,0))="","",INDEX('02_工程タスク'!$O$4:$O$135,MATCH(A31,'02_工程タスク'!$A$4:$A$135,0))))</f>
        <v>B1-04,B1-06,B1-07</v>
      </c>
      <c r="BC31" s="28" t="str">
        <f t="shared" si="23"/>
        <v>記法OK</v>
      </c>
      <c r="BD31" s="28" t="str">
        <f>IF(A31="B6-01",IF(OR(AV31="",COUNTIF('29_ゲート承認記録'!$F$4:$F$83,AV31)&lt;&gt;1),"終了開始根拠不足",IF(IF(COUNTIF('29_ゲート承認記録'!$F$4:$F$83,AV31)&lt;&gt;1,"参照ID不正",IF(INDEX('29_ゲート承認記録'!$L$4:$L$83,MATCH(AV31,'29_ゲート承認記録'!$F$4:$F$83,0))="","",INDEX('29_ゲート承認記録'!$L$4:$L$83,MATCH(AV31,'29_ゲート承認記録'!$F$4:$F$83,0))))&lt;&gt;"Stop","Stop判断要確認","開始根拠あり")),IF(AND(A31="B5-18",AU31="事故"),IF(AV31="","事故レビュー参照不足","開始根拠あり"),"開始根拠あり"))</f>
        <v>開始根拠あり</v>
      </c>
      <c r="BE31" s="29"/>
      <c r="BF31" s="29"/>
    </row>
    <row r="32" spans="1:58" ht="38" customHeight="1" x14ac:dyDescent="0.2">
      <c r="A32" s="10" t="s">
        <v>552</v>
      </c>
      <c r="B32" s="28" t="str">
        <f>IF(COUNTIF('02_工程タスク'!$A$4:$A$135,A32)&lt;&gt;1,"参照ID不正",IF(INDEX('02_工程タスク'!$B$4:$B$135,MATCH(A32,'02_工程タスク'!$A$4:$A$135,0))="","",INDEX('02_工程タスク'!$B$4:$B$135,MATCH(A32,'02_工程タスク'!$A$4:$A$135,0))))</f>
        <v>要件</v>
      </c>
      <c r="C32" s="28" t="str">
        <f>IF(COUNTIF('02_工程タスク'!$A$4:$A$135,A32)&lt;&gt;1,"参照ID不正",IF(INDEX('02_工程タスク'!$D$4:$D$135,MATCH(A32,'02_工程タスク'!$A$4:$A$135,0))="","",INDEX('02_工程タスク'!$D$4:$D$135,MATCH(A32,'02_工程タスク'!$A$4:$A$135,0))))</f>
        <v>オンボーディング・提供条件</v>
      </c>
      <c r="D32" s="6"/>
      <c r="E32" s="6" t="s">
        <v>1598</v>
      </c>
      <c r="F32" s="6"/>
      <c r="G32" s="6"/>
      <c r="H32" s="5"/>
      <c r="I32" s="5"/>
      <c r="J32" s="5"/>
      <c r="K32" s="5"/>
      <c r="L32" s="6" t="s">
        <v>3629</v>
      </c>
      <c r="M32" s="6"/>
      <c r="N32" s="6"/>
      <c r="O32" s="5"/>
      <c r="P32" s="17"/>
      <c r="Q32" s="17"/>
      <c r="R32" s="6"/>
      <c r="S32" s="6"/>
      <c r="T32" s="6"/>
      <c r="U32" s="5"/>
      <c r="V32" s="6" t="s">
        <v>559</v>
      </c>
      <c r="W32" s="28" t="str">
        <f t="shared" si="0"/>
        <v>適用未判定</v>
      </c>
      <c r="X32" s="28" t="str">
        <f t="shared" si="1"/>
        <v/>
      </c>
      <c r="Y32" s="25" t="str">
        <f t="shared" si="2"/>
        <v/>
      </c>
      <c r="Z32" s="25" t="str">
        <f t="shared" si="3"/>
        <v>適用未判定</v>
      </c>
      <c r="AA32" s="25">
        <f t="shared" si="4"/>
        <v>0</v>
      </c>
      <c r="AB32" s="25" t="str">
        <f t="shared" si="5"/>
        <v>B0-14</v>
      </c>
      <c r="AC32" s="25" t="str">
        <f t="shared" si="6"/>
        <v>B1-09</v>
      </c>
      <c r="AD32" s="25" t="str">
        <f t="shared" si="7"/>
        <v/>
      </c>
      <c r="AE32" s="25" t="str">
        <f t="shared" si="8"/>
        <v/>
      </c>
      <c r="AF32" s="25" t="str">
        <f t="shared" si="9"/>
        <v/>
      </c>
      <c r="AG32" s="25" t="str">
        <f t="shared" si="10"/>
        <v/>
      </c>
      <c r="AH32" s="25" t="str">
        <f t="shared" si="11"/>
        <v/>
      </c>
      <c r="AI32" s="25" t="str">
        <f t="shared" si="12"/>
        <v/>
      </c>
      <c r="AJ32" s="25" t="str">
        <f t="shared" si="13"/>
        <v>未充足</v>
      </c>
      <c r="AK32" s="25" t="str">
        <f t="shared" si="14"/>
        <v>未充足</v>
      </c>
      <c r="AL32" s="25" t="str">
        <f t="shared" si="15"/>
        <v/>
      </c>
      <c r="AM32" s="25" t="str">
        <f t="shared" si="16"/>
        <v/>
      </c>
      <c r="AN32" s="25" t="str">
        <f t="shared" si="17"/>
        <v/>
      </c>
      <c r="AO32" s="25" t="str">
        <f t="shared" si="18"/>
        <v/>
      </c>
      <c r="AP32" s="25" t="str">
        <f t="shared" si="19"/>
        <v/>
      </c>
      <c r="AQ32" s="25" t="str">
        <f t="shared" si="20"/>
        <v/>
      </c>
      <c r="AR32" s="35" t="str">
        <f t="shared" si="21"/>
        <v/>
      </c>
      <c r="AS32" s="28" t="str">
        <f>IF(COUNTIF('02_工程タスク'!$A$4:$A$135,A32)&lt;&gt;1,"参照ID不正",IF(INDEX('02_工程タスク'!$H$4:$H$135,MATCH(A32,'02_工程タスク'!$A$4:$A$135,0))="","",INDEX('02_工程タスク'!$H$4:$H$135,MATCH(A32,'02_工程タスク'!$A$4:$A$135,0))))</f>
        <v>R02</v>
      </c>
      <c r="AT32" s="28" t="str">
        <f t="shared" si="22"/>
        <v>INIT-B1-11</v>
      </c>
      <c r="AU32" s="29" t="s">
        <v>3630</v>
      </c>
      <c r="AV32" s="29"/>
      <c r="AW32" s="29"/>
      <c r="AX32" s="32"/>
      <c r="AY32" s="29"/>
      <c r="AZ32" s="29"/>
      <c r="BA32" s="32"/>
      <c r="BB32" s="28" t="str">
        <f>IF(COUNTIF('02_工程タスク'!$A$4:$A$135,A32)&lt;&gt;1,"参照ID不正",IF(INDEX('02_工程タスク'!$O$4:$O$135,MATCH(A32,'02_工程タスク'!$A$4:$A$135,0))="","",INDEX('02_工程タスク'!$O$4:$O$135,MATCH(A32,'02_工程タスク'!$A$4:$A$135,0))))</f>
        <v>B0-14,B1-09</v>
      </c>
      <c r="BC32" s="28" t="str">
        <f t="shared" si="23"/>
        <v>記法OK</v>
      </c>
      <c r="BD32" s="28" t="str">
        <f>IF(A32="B6-01",IF(OR(AV32="",COUNTIF('29_ゲート承認記録'!$F$4:$F$83,AV32)&lt;&gt;1),"終了開始根拠不足",IF(IF(COUNTIF('29_ゲート承認記録'!$F$4:$F$83,AV32)&lt;&gt;1,"参照ID不正",IF(INDEX('29_ゲート承認記録'!$L$4:$L$83,MATCH(AV32,'29_ゲート承認記録'!$F$4:$F$83,0))="","",INDEX('29_ゲート承認記録'!$L$4:$L$83,MATCH(AV32,'29_ゲート承認記録'!$F$4:$F$83,0))))&lt;&gt;"Stop","Stop判断要確認","開始根拠あり")),IF(AND(A32="B5-18",AU32="事故"),IF(AV32="","事故レビュー参照不足","開始根拠あり"),"開始根拠あり"))</f>
        <v>開始根拠あり</v>
      </c>
      <c r="BE32" s="29"/>
      <c r="BF32" s="29"/>
    </row>
    <row r="33" spans="1:58" ht="38" customHeight="1" x14ac:dyDescent="0.2">
      <c r="A33" s="10" t="s">
        <v>562</v>
      </c>
      <c r="B33" s="28" t="str">
        <f>IF(COUNTIF('02_工程タスク'!$A$4:$A$135,A33)&lt;&gt;1,"参照ID不正",IF(INDEX('02_工程タスク'!$B$4:$B$135,MATCH(A33,'02_工程タスク'!$A$4:$A$135,0))="","",INDEX('02_工程タスク'!$B$4:$B$135,MATCH(A33,'02_工程タスク'!$A$4:$A$135,0))))</f>
        <v>要件</v>
      </c>
      <c r="C33" s="28" t="str">
        <f>IF(COUNTIF('02_工程タスク'!$A$4:$A$135,A33)&lt;&gt;1,"参照ID不正",IF(INDEX('02_工程タスク'!$D$4:$D$135,MATCH(A33,'02_工程タスク'!$A$4:$A$135,0))="","",INDEX('02_工程タスク'!$D$4:$D$135,MATCH(A33,'02_工程タスク'!$A$4:$A$135,0))))</f>
        <v>価格・課金・利用制限の設計</v>
      </c>
      <c r="D33" s="6"/>
      <c r="E33" s="6" t="s">
        <v>1598</v>
      </c>
      <c r="F33" s="6"/>
      <c r="G33" s="6"/>
      <c r="H33" s="5"/>
      <c r="I33" s="5"/>
      <c r="J33" s="5"/>
      <c r="K33" s="5"/>
      <c r="L33" s="6" t="s">
        <v>3629</v>
      </c>
      <c r="M33" s="6"/>
      <c r="N33" s="6"/>
      <c r="O33" s="5"/>
      <c r="P33" s="17"/>
      <c r="Q33" s="17"/>
      <c r="R33" s="6"/>
      <c r="S33" s="6"/>
      <c r="T33" s="6"/>
      <c r="U33" s="5"/>
      <c r="V33" s="6" t="s">
        <v>569</v>
      </c>
      <c r="W33" s="28" t="str">
        <f t="shared" si="0"/>
        <v>適用未判定</v>
      </c>
      <c r="X33" s="28" t="str">
        <f t="shared" si="1"/>
        <v/>
      </c>
      <c r="Y33" s="26" t="str">
        <f t="shared" si="2"/>
        <v/>
      </c>
      <c r="Z33" s="26" t="str">
        <f t="shared" si="3"/>
        <v>適用未判定</v>
      </c>
      <c r="AA33" s="26">
        <f t="shared" si="4"/>
        <v>0</v>
      </c>
      <c r="AB33" s="26" t="str">
        <f t="shared" si="5"/>
        <v>B0-09</v>
      </c>
      <c r="AC33" s="26" t="str">
        <f t="shared" si="6"/>
        <v>B0-10</v>
      </c>
      <c r="AD33" s="26" t="str">
        <f t="shared" si="7"/>
        <v/>
      </c>
      <c r="AE33" s="26" t="str">
        <f t="shared" si="8"/>
        <v/>
      </c>
      <c r="AF33" s="26" t="str">
        <f t="shared" si="9"/>
        <v/>
      </c>
      <c r="AG33" s="26" t="str">
        <f t="shared" si="10"/>
        <v/>
      </c>
      <c r="AH33" s="26" t="str">
        <f t="shared" si="11"/>
        <v/>
      </c>
      <c r="AI33" s="26" t="str">
        <f t="shared" si="12"/>
        <v/>
      </c>
      <c r="AJ33" s="26" t="str">
        <f t="shared" si="13"/>
        <v>未充足</v>
      </c>
      <c r="AK33" s="26" t="str">
        <f t="shared" si="14"/>
        <v>未充足</v>
      </c>
      <c r="AL33" s="26" t="str">
        <f t="shared" si="15"/>
        <v/>
      </c>
      <c r="AM33" s="26" t="str">
        <f t="shared" si="16"/>
        <v/>
      </c>
      <c r="AN33" s="26" t="str">
        <f t="shared" si="17"/>
        <v/>
      </c>
      <c r="AO33" s="26" t="str">
        <f t="shared" si="18"/>
        <v/>
      </c>
      <c r="AP33" s="26" t="str">
        <f t="shared" si="19"/>
        <v/>
      </c>
      <c r="AQ33" s="26" t="str">
        <f t="shared" si="20"/>
        <v/>
      </c>
      <c r="AR33" s="36" t="str">
        <f t="shared" si="21"/>
        <v/>
      </c>
      <c r="AS33" s="28" t="str">
        <f>IF(COUNTIF('02_工程タスク'!$A$4:$A$135,A33)&lt;&gt;1,"参照ID不正",IF(INDEX('02_工程タスク'!$H$4:$H$135,MATCH(A33,'02_工程タスク'!$A$4:$A$135,0))="","",INDEX('02_工程タスク'!$H$4:$H$135,MATCH(A33,'02_工程タスク'!$A$4:$A$135,0))))</f>
        <v>R01</v>
      </c>
      <c r="AT33" s="28" t="str">
        <f t="shared" si="22"/>
        <v>INIT-B1-12</v>
      </c>
      <c r="AU33" s="29" t="s">
        <v>3630</v>
      </c>
      <c r="AV33" s="29"/>
      <c r="AW33" s="29"/>
      <c r="AX33" s="32"/>
      <c r="AY33" s="29"/>
      <c r="AZ33" s="29"/>
      <c r="BA33" s="32"/>
      <c r="BB33" s="28" t="str">
        <f>IF(COUNTIF('02_工程タスク'!$A$4:$A$135,A33)&lt;&gt;1,"参照ID不正",IF(INDEX('02_工程タスク'!$O$4:$O$135,MATCH(A33,'02_工程タスク'!$A$4:$A$135,0))="","",INDEX('02_工程タスク'!$O$4:$O$135,MATCH(A33,'02_工程タスク'!$A$4:$A$135,0))))</f>
        <v>B0-09,B0-10</v>
      </c>
      <c r="BC33" s="28" t="str">
        <f t="shared" si="23"/>
        <v>記法OK</v>
      </c>
      <c r="BD33" s="28" t="str">
        <f>IF(A33="B6-01",IF(OR(AV33="",COUNTIF('29_ゲート承認記録'!$F$4:$F$83,AV33)&lt;&gt;1),"終了開始根拠不足",IF(IF(COUNTIF('29_ゲート承認記録'!$F$4:$F$83,AV33)&lt;&gt;1,"参照ID不正",IF(INDEX('29_ゲート承認記録'!$L$4:$L$83,MATCH(AV33,'29_ゲート承認記録'!$F$4:$F$83,0))="","",INDEX('29_ゲート承認記録'!$L$4:$L$83,MATCH(AV33,'29_ゲート承認記録'!$F$4:$F$83,0))))&lt;&gt;"Stop","Stop判断要確認","開始根拠あり")),IF(AND(A33="B5-18",AU33="事故"),IF(AV33="","事故レビュー参照不足","開始根拠あり"),"開始根拠あり"))</f>
        <v>開始根拠あり</v>
      </c>
      <c r="BE33" s="29"/>
      <c r="BF33" s="29"/>
    </row>
    <row r="34" spans="1:58" ht="38" customHeight="1" x14ac:dyDescent="0.2">
      <c r="A34" s="10" t="s">
        <v>571</v>
      </c>
      <c r="B34" s="28" t="str">
        <f>IF(COUNTIF('02_工程タスク'!$A$4:$A$135,A34)&lt;&gt;1,"参照ID不正",IF(INDEX('02_工程タスク'!$B$4:$B$135,MATCH(A34,'02_工程タスク'!$A$4:$A$135,0))="","",INDEX('02_工程タスク'!$B$4:$B$135,MATCH(A34,'02_工程タスク'!$A$4:$A$135,0))))</f>
        <v>要件</v>
      </c>
      <c r="C34" s="28" t="str">
        <f>IF(COUNTIF('02_工程タスク'!$A$4:$A$135,A34)&lt;&gt;1,"参照ID不正",IF(INDEX('02_工程タスク'!$D$4:$D$135,MATCH(A34,'02_工程タスク'!$A$4:$A$135,0))="","",INDEX('02_工程タスク'!$D$4:$D$135,MATCH(A34,'02_工程タスク'!$A$4:$A$135,0))))</f>
        <v>モデル・クラウド・委託先の条件</v>
      </c>
      <c r="D34" s="6"/>
      <c r="E34" s="6" t="s">
        <v>1598</v>
      </c>
      <c r="F34" s="6"/>
      <c r="G34" s="6"/>
      <c r="H34" s="5"/>
      <c r="I34" s="5"/>
      <c r="J34" s="5"/>
      <c r="K34" s="5"/>
      <c r="L34" s="6" t="s">
        <v>3629</v>
      </c>
      <c r="M34" s="6"/>
      <c r="N34" s="6"/>
      <c r="O34" s="5"/>
      <c r="P34" s="17"/>
      <c r="Q34" s="17"/>
      <c r="R34" s="6"/>
      <c r="S34" s="6"/>
      <c r="T34" s="6"/>
      <c r="U34" s="5"/>
      <c r="V34" s="6" t="s">
        <v>580</v>
      </c>
      <c r="W34" s="28" t="str">
        <f t="shared" si="0"/>
        <v>適用未判定</v>
      </c>
      <c r="X34" s="28" t="str">
        <f t="shared" si="1"/>
        <v/>
      </c>
      <c r="Y34" s="25" t="str">
        <f t="shared" si="2"/>
        <v/>
      </c>
      <c r="Z34" s="25" t="str">
        <f t="shared" si="3"/>
        <v>適用未判定</v>
      </c>
      <c r="AA34" s="25">
        <f t="shared" si="4"/>
        <v>0</v>
      </c>
      <c r="AB34" s="25" t="str">
        <f t="shared" si="5"/>
        <v>B1-04</v>
      </c>
      <c r="AC34" s="25" t="str">
        <f t="shared" si="6"/>
        <v>B1-08</v>
      </c>
      <c r="AD34" s="25" t="str">
        <f t="shared" si="7"/>
        <v/>
      </c>
      <c r="AE34" s="25" t="str">
        <f t="shared" si="8"/>
        <v/>
      </c>
      <c r="AF34" s="25" t="str">
        <f t="shared" si="9"/>
        <v/>
      </c>
      <c r="AG34" s="25" t="str">
        <f t="shared" si="10"/>
        <v/>
      </c>
      <c r="AH34" s="25" t="str">
        <f t="shared" si="11"/>
        <v/>
      </c>
      <c r="AI34" s="25" t="str">
        <f t="shared" si="12"/>
        <v/>
      </c>
      <c r="AJ34" s="25" t="str">
        <f t="shared" si="13"/>
        <v>未充足</v>
      </c>
      <c r="AK34" s="25" t="str">
        <f t="shared" si="14"/>
        <v>未充足</v>
      </c>
      <c r="AL34" s="25" t="str">
        <f t="shared" si="15"/>
        <v/>
      </c>
      <c r="AM34" s="25" t="str">
        <f t="shared" si="16"/>
        <v/>
      </c>
      <c r="AN34" s="25" t="str">
        <f t="shared" si="17"/>
        <v/>
      </c>
      <c r="AO34" s="25" t="str">
        <f t="shared" si="18"/>
        <v/>
      </c>
      <c r="AP34" s="25" t="str">
        <f t="shared" si="19"/>
        <v/>
      </c>
      <c r="AQ34" s="25" t="str">
        <f t="shared" si="20"/>
        <v/>
      </c>
      <c r="AR34" s="35" t="str">
        <f t="shared" si="21"/>
        <v/>
      </c>
      <c r="AS34" s="28" t="str">
        <f>IF(COUNTIF('02_工程タスク'!$A$4:$A$135,A34)&lt;&gt;1,"参照ID不正",IF(INDEX('02_工程タスク'!$H$4:$H$135,MATCH(A34,'02_工程タスク'!$A$4:$A$135,0))="","",INDEX('02_工程タスク'!$H$4:$H$135,MATCH(A34,'02_工程タスク'!$A$4:$A$135,0))))</f>
        <v>R20</v>
      </c>
      <c r="AT34" s="28" t="str">
        <f t="shared" si="22"/>
        <v>INIT-B1-13</v>
      </c>
      <c r="AU34" s="29" t="s">
        <v>3630</v>
      </c>
      <c r="AV34" s="29"/>
      <c r="AW34" s="29"/>
      <c r="AX34" s="32"/>
      <c r="AY34" s="29"/>
      <c r="AZ34" s="29"/>
      <c r="BA34" s="32"/>
      <c r="BB34" s="28" t="str">
        <f>IF(COUNTIF('02_工程タスク'!$A$4:$A$135,A34)&lt;&gt;1,"参照ID不正",IF(INDEX('02_工程タスク'!$O$4:$O$135,MATCH(A34,'02_工程タスク'!$A$4:$A$135,0))="","",INDEX('02_工程タスク'!$O$4:$O$135,MATCH(A34,'02_工程タスク'!$A$4:$A$135,0))))</f>
        <v>B1-04,B1-08</v>
      </c>
      <c r="BC34" s="28" t="str">
        <f t="shared" si="23"/>
        <v>記法OK</v>
      </c>
      <c r="BD34" s="28" t="str">
        <f>IF(A34="B6-01",IF(OR(AV34="",COUNTIF('29_ゲート承認記録'!$F$4:$F$83,AV34)&lt;&gt;1),"終了開始根拠不足",IF(IF(COUNTIF('29_ゲート承認記録'!$F$4:$F$83,AV34)&lt;&gt;1,"参照ID不正",IF(INDEX('29_ゲート承認記録'!$L$4:$L$83,MATCH(AV34,'29_ゲート承認記録'!$F$4:$F$83,0))="","",INDEX('29_ゲート承認記録'!$L$4:$L$83,MATCH(AV34,'29_ゲート承認記録'!$F$4:$F$83,0))))&lt;&gt;"Stop","Stop判断要確認","開始根拠あり")),IF(AND(A34="B5-18",AU34="事故"),IF(AV34="","事故レビュー参照不足","開始根拠あり"),"開始根拠あり"))</f>
        <v>開始根拠あり</v>
      </c>
      <c r="BE34" s="29"/>
      <c r="BF34" s="29"/>
    </row>
    <row r="35" spans="1:58" ht="38" customHeight="1" x14ac:dyDescent="0.2">
      <c r="A35" s="10" t="s">
        <v>583</v>
      </c>
      <c r="B35" s="28" t="str">
        <f>IF(COUNTIF('02_工程タスク'!$A$4:$A$135,A35)&lt;&gt;1,"参照ID不正",IF(INDEX('02_工程タスク'!$B$4:$B$135,MATCH(A35,'02_工程タスク'!$A$4:$A$135,0))="","",INDEX('02_工程タスク'!$B$4:$B$135,MATCH(A35,'02_工程タスク'!$A$4:$A$135,0))))</f>
        <v>要件</v>
      </c>
      <c r="C35" s="28" t="str">
        <f>IF(COUNTIF('02_工程タスク'!$A$4:$A$135,A35)&lt;&gt;1,"参照ID不正",IF(INDEX('02_工程タスク'!$D$4:$D$135,MATCH(A35,'02_工程タスク'!$A$4:$A$135,0))="","",INDEX('02_工程タスク'!$D$4:$D$135,MATCH(A35,'02_工程タスク'!$A$4:$A$135,0))))</f>
        <v>開発Agent利用・送信・権限の承認</v>
      </c>
      <c r="D35" s="6"/>
      <c r="E35" s="6" t="s">
        <v>1598</v>
      </c>
      <c r="F35" s="6"/>
      <c r="G35" s="6"/>
      <c r="H35" s="5"/>
      <c r="I35" s="5"/>
      <c r="J35" s="5"/>
      <c r="K35" s="5"/>
      <c r="L35" s="6" t="s">
        <v>3629</v>
      </c>
      <c r="M35" s="6"/>
      <c r="N35" s="6"/>
      <c r="O35" s="5"/>
      <c r="P35" s="17"/>
      <c r="Q35" s="17"/>
      <c r="R35" s="6"/>
      <c r="S35" s="6"/>
      <c r="T35" s="6"/>
      <c r="U35" s="5"/>
      <c r="V35" s="6" t="s">
        <v>591</v>
      </c>
      <c r="W35" s="28" t="str">
        <f t="shared" si="0"/>
        <v>適用未判定</v>
      </c>
      <c r="X35" s="28" t="str">
        <f t="shared" si="1"/>
        <v/>
      </c>
      <c r="Y35" s="26" t="str">
        <f t="shared" si="2"/>
        <v/>
      </c>
      <c r="Z35" s="26" t="str">
        <f t="shared" si="3"/>
        <v>適用未判定</v>
      </c>
      <c r="AA35" s="26">
        <f t="shared" si="4"/>
        <v>0</v>
      </c>
      <c r="AB35" s="26" t="str">
        <f t="shared" si="5"/>
        <v>B1-04</v>
      </c>
      <c r="AC35" s="26" t="str">
        <f t="shared" si="6"/>
        <v>B1-10</v>
      </c>
      <c r="AD35" s="26" t="str">
        <f t="shared" si="7"/>
        <v/>
      </c>
      <c r="AE35" s="26" t="str">
        <f t="shared" si="8"/>
        <v/>
      </c>
      <c r="AF35" s="26" t="str">
        <f t="shared" si="9"/>
        <v/>
      </c>
      <c r="AG35" s="26" t="str">
        <f t="shared" si="10"/>
        <v/>
      </c>
      <c r="AH35" s="26" t="str">
        <f t="shared" si="11"/>
        <v/>
      </c>
      <c r="AI35" s="26" t="str">
        <f t="shared" si="12"/>
        <v/>
      </c>
      <c r="AJ35" s="26" t="str">
        <f t="shared" si="13"/>
        <v>未充足</v>
      </c>
      <c r="AK35" s="26" t="str">
        <f t="shared" si="14"/>
        <v>未充足</v>
      </c>
      <c r="AL35" s="26" t="str">
        <f t="shared" si="15"/>
        <v/>
      </c>
      <c r="AM35" s="26" t="str">
        <f t="shared" si="16"/>
        <v/>
      </c>
      <c r="AN35" s="26" t="str">
        <f t="shared" si="17"/>
        <v/>
      </c>
      <c r="AO35" s="26" t="str">
        <f t="shared" si="18"/>
        <v/>
      </c>
      <c r="AP35" s="26" t="str">
        <f t="shared" si="19"/>
        <v/>
      </c>
      <c r="AQ35" s="26" t="str">
        <f t="shared" si="20"/>
        <v/>
      </c>
      <c r="AR35" s="36" t="str">
        <f t="shared" si="21"/>
        <v/>
      </c>
      <c r="AS35" s="28" t="str">
        <f>IF(COUNTIF('02_工程タスク'!$A$4:$A$135,A35)&lt;&gt;1,"参照ID不正",IF(INDEX('02_工程タスク'!$H$4:$H$135,MATCH(A35,'02_工程タスク'!$A$4:$A$135,0))="","",INDEX('02_工程タスク'!$H$4:$H$135,MATCH(A35,'02_工程タスク'!$A$4:$A$135,0))))</f>
        <v>R06</v>
      </c>
      <c r="AT35" s="28" t="str">
        <f t="shared" si="22"/>
        <v>INIT-B1-14</v>
      </c>
      <c r="AU35" s="29" t="s">
        <v>3630</v>
      </c>
      <c r="AV35" s="29"/>
      <c r="AW35" s="29"/>
      <c r="AX35" s="32"/>
      <c r="AY35" s="29"/>
      <c r="AZ35" s="29"/>
      <c r="BA35" s="32"/>
      <c r="BB35" s="28" t="str">
        <f>IF(COUNTIF('02_工程タスク'!$A$4:$A$135,A35)&lt;&gt;1,"参照ID不正",IF(INDEX('02_工程タスク'!$O$4:$O$135,MATCH(A35,'02_工程タスク'!$A$4:$A$135,0))="","",INDEX('02_工程タスク'!$O$4:$O$135,MATCH(A35,'02_工程タスク'!$A$4:$A$135,0))))</f>
        <v>B1-04,B1-10</v>
      </c>
      <c r="BC35" s="28" t="str">
        <f t="shared" si="23"/>
        <v>記法OK</v>
      </c>
      <c r="BD35" s="28" t="str">
        <f>IF(A35="B6-01",IF(OR(AV35="",COUNTIF('29_ゲート承認記録'!$F$4:$F$83,AV35)&lt;&gt;1),"終了開始根拠不足",IF(IF(COUNTIF('29_ゲート承認記録'!$F$4:$F$83,AV35)&lt;&gt;1,"参照ID不正",IF(INDEX('29_ゲート承認記録'!$L$4:$L$83,MATCH(AV35,'29_ゲート承認記録'!$F$4:$F$83,0))="","",INDEX('29_ゲート承認記録'!$L$4:$L$83,MATCH(AV35,'29_ゲート承認記録'!$F$4:$F$83,0))))&lt;&gt;"Stop","Stop判断要確認","開始根拠あり")),IF(AND(A35="B5-18",AU35="事故"),IF(AV35="","事故レビュー参照不足","開始根拠あり"),"開始根拠あり"))</f>
        <v>開始根拠あり</v>
      </c>
      <c r="BE35" s="29"/>
      <c r="BF35" s="29"/>
    </row>
    <row r="36" spans="1:58" ht="38" customHeight="1" x14ac:dyDescent="0.2">
      <c r="A36" s="10" t="s">
        <v>596</v>
      </c>
      <c r="B36" s="28" t="str">
        <f>IF(COUNTIF('02_工程タスク'!$A$4:$A$135,A36)&lt;&gt;1,"参照ID不正",IF(INDEX('02_工程タスク'!$B$4:$B$135,MATCH(A36,'02_工程タスク'!$A$4:$A$135,0))="","",INDEX('02_工程タスク'!$B$4:$B$135,MATCH(A36,'02_工程タスク'!$A$4:$A$135,0))))</f>
        <v>要件</v>
      </c>
      <c r="C36" s="28" t="str">
        <f>IF(COUNTIF('02_工程タスク'!$A$4:$A$135,A36)&lt;&gt;1,"参照ID不正",IF(INDEX('02_工程タスク'!$D$4:$D$135,MATCH(A36,'02_工程タスク'!$A$4:$A$135,0))="","",INDEX('02_工程タスク'!$D$4:$D$135,MATCH(A36,'02_工程タスク'!$A$4:$A$135,0))))</f>
        <v>Evidence Plan・学習ループ設計</v>
      </c>
      <c r="D36" s="6"/>
      <c r="E36" s="6" t="s">
        <v>1598</v>
      </c>
      <c r="F36" s="6"/>
      <c r="G36" s="6"/>
      <c r="H36" s="5"/>
      <c r="I36" s="5"/>
      <c r="J36" s="5"/>
      <c r="K36" s="5"/>
      <c r="L36" s="6" t="s">
        <v>3629</v>
      </c>
      <c r="M36" s="6"/>
      <c r="N36" s="6"/>
      <c r="O36" s="5"/>
      <c r="P36" s="17"/>
      <c r="Q36" s="17"/>
      <c r="R36" s="6"/>
      <c r="S36" s="6"/>
      <c r="T36" s="6"/>
      <c r="U36" s="5"/>
      <c r="V36" s="6" t="s">
        <v>602</v>
      </c>
      <c r="W36" s="28" t="str">
        <f t="shared" ref="W36:W67" si="24">IF(OR(COUNTIF(TaskIDs,A36)&lt;&gt;1,COUNTIF($A$4:$A$135,A36)&lt;&gt;1),"Task ID不正・重複",IF(OR(AND(P36&lt;&gt;"",OR(NOT(ISNUMBER(P36)),IFERROR(P36&lt;0,TRUE))),AND(Q36&lt;&gt;"",OR(NOT(ISNUMBER(Q36)),IFERROR(Q36&lt;0,TRUE)))),"人時間不正",IF(OR(AND(J36&lt;&gt;"",OR(NOT(ISNUMBER(J36)),IFERROR(J36&lt;1,TRUE),IFERROR(INT(J36)&gt;INT(AsOfDate),TRUE))),AND(K36&lt;&gt;"",OR(NOT(ISNUMBER(K36)),IFERROR(K36&lt;1,TRUE),IFERROR(INT(K36)&gt;INT(AsOfDate),TRUE))),AND(O36&lt;&gt;"",OR(NOT(ISNUMBER(O36)),IFERROR(O36&lt;1,TRUE),IFERROR(INT(O36)&gt;INT(AsOfDate),TRUE))),AND(U36&lt;&gt;"",OR(NOT(ISNUMBER(U36)),IFERROR(U36&lt;1,TRUE),IFERROR(INT(U36)&gt;INT(AsOfDate),TRUE))),AND(BA36&lt;&gt;"",OR(NOT(ISNUMBER(BA36)),IFERROR(BA36&lt;1,TRUE),IFERROR(INT(BA36)&gt;INT(AsOfDate),TRUE)))),"実績・承認日不正",IF(AND(COUNT(H36:I36)=2,H36&gt;I36),"予定日不正",IF(E36="未判定","適用未判定",IF(E36="対象外",IF(OR(F36="",T36="",NOT(ISNUMBER(U36))),"除外承認不足","除外記録済"),IF(E36&lt;&gt;"適用","適用判定不正",IF(OR(T36="",NOT(ISNUMBER(U36))),"適用承認不足",IF(AND(V36&lt;&gt;BB36,OR(AY36="",AZ36="",NOT(ISNUMBER(BA36)))),"依存変更承認不足",IF(L36&lt;&gt;"完了","未完了",IF(OR(OR(G36="",M36="",N36="",BE36="",BF36=""),COUNT(J36:K36)&lt;2,NOT(ISNUMBER(O36))),"完了証拠不足",IF(OR(J36&gt;K36,O36&lt;K36,U36&gt;J36),"完了・適用日逆転",IF(BD36&lt;&gt;"開始根拠あり",BD36,IF(AND(AS36="R19",OR(G36=N36,BE36=BF36)),"独立承認不足","完了記録済"))))))))))))))</f>
        <v>適用未判定</v>
      </c>
      <c r="X36" s="28" t="str">
        <f t="shared" ref="X36:X67" si="25">IF(E36&lt;&gt;"適用","",IF(AND(V36&lt;&gt;BB36,OR(AY36="",AZ36="",NOT(ISNUMBER(BA36)))),"依存変更承認不足",IF(BC36="依存なし","なし",IF(BC36&lt;&gt;"記法OK",BC36,IF(COUNTIF(AJ36:AQ36,"ID不正")&gt;0,"依存ID不正",IF(COUNTIF(AJ36:AQ36,"未充足")&gt;0,"前提未充足","記録上充足"))))))</f>
        <v/>
      </c>
      <c r="Y36" s="25" t="str">
        <f t="shared" ref="Y36:Y67" si="26">IF(OR(E36&lt;&gt;"適用",L36="完了",I36=""),"",IF(NOT(ISNUMBER(I36)),"予定日不正",IF(I36&lt;AsOfDate,"期限超過","期限内")))</f>
        <v/>
      </c>
      <c r="Z36" s="25" t="str">
        <f t="shared" ref="Z36:Z67" si="27">IF(W36="完了記録済",IF(OR(X36="なし",X36="記録上充足"),"完了記録・前提充足",X36),W36)</f>
        <v>適用未判定</v>
      </c>
      <c r="AA36" s="25">
        <f t="shared" ref="AA36:AA67" si="28">IF(AND(E36="適用",L36="完了",W36="完了記録済",OR(X36="なし",X36="記録上充足")),1,0)</f>
        <v>0</v>
      </c>
      <c r="AB36" s="25" t="str">
        <f t="shared" ref="AB36:AB67" si="29">TRIM(MID(SUBSTITUTE($V36,",",REPT(" ",64)),1,64))</f>
        <v>B1-07</v>
      </c>
      <c r="AC36" s="25" t="str">
        <f t="shared" ref="AC36:AC67" si="30">TRIM(MID(SUBSTITUTE($V36,",",REPT(" ",64)),65,64))</f>
        <v>B1-10</v>
      </c>
      <c r="AD36" s="25" t="str">
        <f t="shared" ref="AD36:AD67" si="31">TRIM(MID(SUBSTITUTE($V36,",",REPT(" ",64)),129,64))</f>
        <v/>
      </c>
      <c r="AE36" s="25" t="str">
        <f t="shared" ref="AE36:AE67" si="32">TRIM(MID(SUBSTITUTE($V36,",",REPT(" ",64)),193,64))</f>
        <v/>
      </c>
      <c r="AF36" s="25" t="str">
        <f t="shared" ref="AF36:AF67" si="33">TRIM(MID(SUBSTITUTE($V36,",",REPT(" ",64)),257,64))</f>
        <v/>
      </c>
      <c r="AG36" s="25" t="str">
        <f t="shared" ref="AG36:AG67" si="34">TRIM(MID(SUBSTITUTE($V36,",",REPT(" ",64)),321,64))</f>
        <v/>
      </c>
      <c r="AH36" s="25" t="str">
        <f t="shared" ref="AH36:AH67" si="35">TRIM(MID(SUBSTITUTE($V36,",",REPT(" ",64)),385,64))</f>
        <v/>
      </c>
      <c r="AI36" s="25" t="str">
        <f t="shared" ref="AI36:AI67" si="36">TRIM(MID(SUBSTITUTE($V36,",",REPT(" ",64)),449,64))</f>
        <v/>
      </c>
      <c r="AJ36" s="25" t="str">
        <f t="shared" ref="AJ36:AJ67" si="37">IF(AB36="","",IF(OR(AB36=$A36,COUNTIF($A$4:$A$135,AB36)&lt;&gt;1,COUNTIF($AB36:$AI36,AB36)&gt;1),"ID不正",IFERROR(IF(OR(INDEX($W$4:$W$135,MATCH(AB36,$A$4:$A$135,0))="完了記録済",INDEX($W$4:$W$135,MATCH(AB36,$A$4:$A$135,0))="除外記録済"),"記録充足","未充足"),"ID不正")))</f>
        <v>未充足</v>
      </c>
      <c r="AK36" s="25" t="str">
        <f t="shared" ref="AK36:AK67" si="38">IF(AC36="","",IF(OR(AC36=$A36,COUNTIF($A$4:$A$135,AC36)&lt;&gt;1,COUNTIF($AB36:$AI36,AC36)&gt;1),"ID不正",IFERROR(IF(OR(INDEX($W$4:$W$135,MATCH(AC36,$A$4:$A$135,0))="完了記録済",INDEX($W$4:$W$135,MATCH(AC36,$A$4:$A$135,0))="除外記録済"),"記録充足","未充足"),"ID不正")))</f>
        <v>未充足</v>
      </c>
      <c r="AL36" s="25" t="str">
        <f t="shared" ref="AL36:AL67" si="39">IF(AD36="","",IF(OR(AD36=$A36,COUNTIF($A$4:$A$135,AD36)&lt;&gt;1,COUNTIF($AB36:$AI36,AD36)&gt;1),"ID不正",IFERROR(IF(OR(INDEX($W$4:$W$135,MATCH(AD36,$A$4:$A$135,0))="完了記録済",INDEX($W$4:$W$135,MATCH(AD36,$A$4:$A$135,0))="除外記録済"),"記録充足","未充足"),"ID不正")))</f>
        <v/>
      </c>
      <c r="AM36" s="25" t="str">
        <f t="shared" ref="AM36:AM67" si="40">IF(AE36="","",IF(OR(AE36=$A36,COUNTIF($A$4:$A$135,AE36)&lt;&gt;1,COUNTIF($AB36:$AI36,AE36)&gt;1),"ID不正",IFERROR(IF(OR(INDEX($W$4:$W$135,MATCH(AE36,$A$4:$A$135,0))="完了記録済",INDEX($W$4:$W$135,MATCH(AE36,$A$4:$A$135,0))="除外記録済"),"記録充足","未充足"),"ID不正")))</f>
        <v/>
      </c>
      <c r="AN36" s="25" t="str">
        <f t="shared" ref="AN36:AN67" si="41">IF(AF36="","",IF(OR(AF36=$A36,COUNTIF($A$4:$A$135,AF36)&lt;&gt;1,COUNTIF($AB36:$AI36,AF36)&gt;1),"ID不正",IFERROR(IF(OR(INDEX($W$4:$W$135,MATCH(AF36,$A$4:$A$135,0))="完了記録済",INDEX($W$4:$W$135,MATCH(AF36,$A$4:$A$135,0))="除外記録済"),"記録充足","未充足"),"ID不正")))</f>
        <v/>
      </c>
      <c r="AO36" s="25" t="str">
        <f t="shared" ref="AO36:AO67" si="42">IF(AG36="","",IF(OR(AG36=$A36,COUNTIF($A$4:$A$135,AG36)&lt;&gt;1,COUNTIF($AB36:$AI36,AG36)&gt;1),"ID不正",IFERROR(IF(OR(INDEX($W$4:$W$135,MATCH(AG36,$A$4:$A$135,0))="完了記録済",INDEX($W$4:$W$135,MATCH(AG36,$A$4:$A$135,0))="除外記録済"),"記録充足","未充足"),"ID不正")))</f>
        <v/>
      </c>
      <c r="AP36" s="25" t="str">
        <f t="shared" ref="AP36:AP67" si="43">IF(AH36="","",IF(OR(AH36=$A36,COUNTIF($A$4:$A$135,AH36)&lt;&gt;1,COUNTIF($AB36:$AI36,AH36)&gt;1),"ID不正",IFERROR(IF(OR(INDEX($W$4:$W$135,MATCH(AH36,$A$4:$A$135,0))="完了記録済",INDEX($W$4:$W$135,MATCH(AH36,$A$4:$A$135,0))="除外記録済"),"記録充足","未充足"),"ID不正")))</f>
        <v/>
      </c>
      <c r="AQ36" s="25" t="str">
        <f t="shared" ref="AQ36:AQ67" si="44">IF(AI36="","",IF(OR(AI36=$A36,COUNTIF($A$4:$A$135,AI36)&lt;&gt;1,COUNTIF($AB36:$AI36,AI36)&gt;1),"ID不正",IFERROR(IF(OR(INDEX($W$4:$W$135,MATCH(AI36,$A$4:$A$135,0))="完了記録済",INDEX($W$4:$W$135,MATCH(AI36,$A$4:$A$135,0))="除外記録済"),"記録充足","未充足"),"ID不正")))</f>
        <v/>
      </c>
      <c r="AR36" s="35" t="str">
        <f t="shared" ref="AR36:AR67" si="45">IF(COUNT(P36:Q36)&lt;2,"",Q36-P36)</f>
        <v/>
      </c>
      <c r="AS36" s="28" t="str">
        <f>IF(COUNTIF('02_工程タスク'!$A$4:$A$135,A36)&lt;&gt;1,"参照ID不正",IF(INDEX('02_工程タスク'!$H$4:$H$135,MATCH(A36,'02_工程タスク'!$A$4:$A$135,0))="","",INDEX('02_工程タスク'!$H$4:$H$135,MATCH(A36,'02_工程タスク'!$A$4:$A$135,0))))</f>
        <v>R02</v>
      </c>
      <c r="AT36" s="28" t="str">
        <f t="shared" ref="AT36:AT67" si="46">IF(A36="","","INIT-"&amp;A36)</f>
        <v>INIT-B1-15</v>
      </c>
      <c r="AU36" s="29" t="s">
        <v>3630</v>
      </c>
      <c r="AV36" s="29"/>
      <c r="AW36" s="29"/>
      <c r="AX36" s="32"/>
      <c r="AY36" s="29"/>
      <c r="AZ36" s="29"/>
      <c r="BA36" s="32"/>
      <c r="BB36" s="28" t="str">
        <f>IF(COUNTIF('02_工程タスク'!$A$4:$A$135,A36)&lt;&gt;1,"参照ID不正",IF(INDEX('02_工程タスク'!$O$4:$O$135,MATCH(A36,'02_工程タスク'!$A$4:$A$135,0))="","",INDEX('02_工程タスク'!$O$4:$O$135,MATCH(A36,'02_工程タスク'!$A$4:$A$135,0))))</f>
        <v>B1-07,B1-10</v>
      </c>
      <c r="BC36" s="28" t="str">
        <f t="shared" ref="BC36:BC67" si="47">IF(V36="","依存なし",IF(OR(LEFT(V36,1)=",",RIGHT(V36,1)=",",ISNUMBER(SEARCH(",,",SUBSTITUTE(V36," ",""))),LEN(V36)&lt;&gt;LEN(SUBSTITUTE(V36," ","")),ISNUMBER(SEARCH("，",V36))),"依存記法不正",IF(LEN(V36)-LEN(SUBSTITUTE(V36,",",""))&gt;7,"依存8件超過","記法OK")))</f>
        <v>記法OK</v>
      </c>
      <c r="BD36" s="28" t="str">
        <f>IF(A36="B6-01",IF(OR(AV36="",COUNTIF('29_ゲート承認記録'!$F$4:$F$83,AV36)&lt;&gt;1),"終了開始根拠不足",IF(IF(COUNTIF('29_ゲート承認記録'!$F$4:$F$83,AV36)&lt;&gt;1,"参照ID不正",IF(INDEX('29_ゲート承認記録'!$L$4:$L$83,MATCH(AV36,'29_ゲート承認記録'!$F$4:$F$83,0))="","",INDEX('29_ゲート承認記録'!$L$4:$L$83,MATCH(AV36,'29_ゲート承認記録'!$F$4:$F$83,0))))&lt;&gt;"Stop","Stop判断要確認","開始根拠あり")),IF(AND(A36="B5-18",AU36="事故"),IF(AV36="","事故レビュー参照不足","開始根拠あり"),"開始根拠あり"))</f>
        <v>開始根拠あり</v>
      </c>
      <c r="BE36" s="29"/>
      <c r="BF36" s="29"/>
    </row>
    <row r="37" spans="1:58" ht="38" customHeight="1" x14ac:dyDescent="0.2">
      <c r="A37" s="10" t="s">
        <v>604</v>
      </c>
      <c r="B37" s="28" t="str">
        <f>IF(COUNTIF('02_工程タスク'!$A$4:$A$135,A37)&lt;&gt;1,"参照ID不正",IF(INDEX('02_工程タスク'!$B$4:$B$135,MATCH(A37,'02_工程タスク'!$A$4:$A$135,0))="","",INDEX('02_工程タスク'!$B$4:$B$135,MATCH(A37,'02_工程タスク'!$A$4:$A$135,0))))</f>
        <v>要件</v>
      </c>
      <c r="C37" s="28" t="str">
        <f>IF(COUNTIF('02_工程タスク'!$A$4:$A$135,A37)&lt;&gt;1,"参照ID不正",IF(INDEX('02_工程タスク'!$D$4:$D$135,MATCH(A37,'02_工程タスク'!$A$4:$A$135,0))="","",INDEX('02_工程タスク'!$D$4:$D$135,MATCH(A37,'02_工程タスク'!$A$4:$A$135,0))))</f>
        <v>ロードマップ・依存・スキル充足</v>
      </c>
      <c r="D37" s="6"/>
      <c r="E37" s="6" t="s">
        <v>1598</v>
      </c>
      <c r="F37" s="6"/>
      <c r="G37" s="6"/>
      <c r="H37" s="5"/>
      <c r="I37" s="5"/>
      <c r="J37" s="5"/>
      <c r="K37" s="5"/>
      <c r="L37" s="6" t="s">
        <v>3629</v>
      </c>
      <c r="M37" s="6"/>
      <c r="N37" s="6"/>
      <c r="O37" s="5"/>
      <c r="P37" s="17"/>
      <c r="Q37" s="17"/>
      <c r="R37" s="6"/>
      <c r="S37" s="6"/>
      <c r="T37" s="6"/>
      <c r="U37" s="5"/>
      <c r="V37" s="6" t="s">
        <v>610</v>
      </c>
      <c r="W37" s="28" t="str">
        <f t="shared" si="24"/>
        <v>適用未判定</v>
      </c>
      <c r="X37" s="28" t="str">
        <f t="shared" si="25"/>
        <v/>
      </c>
      <c r="Y37" s="26" t="str">
        <f t="shared" si="26"/>
        <v/>
      </c>
      <c r="Z37" s="26" t="str">
        <f t="shared" si="27"/>
        <v>適用未判定</v>
      </c>
      <c r="AA37" s="26">
        <f t="shared" si="28"/>
        <v>0</v>
      </c>
      <c r="AB37" s="26" t="str">
        <f t="shared" si="29"/>
        <v>B1-15</v>
      </c>
      <c r="AC37" s="26" t="str">
        <f t="shared" si="30"/>
        <v>B0-15</v>
      </c>
      <c r="AD37" s="26" t="str">
        <f t="shared" si="31"/>
        <v/>
      </c>
      <c r="AE37" s="26" t="str">
        <f t="shared" si="32"/>
        <v/>
      </c>
      <c r="AF37" s="26" t="str">
        <f t="shared" si="33"/>
        <v/>
      </c>
      <c r="AG37" s="26" t="str">
        <f t="shared" si="34"/>
        <v/>
      </c>
      <c r="AH37" s="26" t="str">
        <f t="shared" si="35"/>
        <v/>
      </c>
      <c r="AI37" s="26" t="str">
        <f t="shared" si="36"/>
        <v/>
      </c>
      <c r="AJ37" s="26" t="str">
        <f t="shared" si="37"/>
        <v>未充足</v>
      </c>
      <c r="AK37" s="26" t="str">
        <f t="shared" si="38"/>
        <v>未充足</v>
      </c>
      <c r="AL37" s="26" t="str">
        <f t="shared" si="39"/>
        <v/>
      </c>
      <c r="AM37" s="26" t="str">
        <f t="shared" si="40"/>
        <v/>
      </c>
      <c r="AN37" s="26" t="str">
        <f t="shared" si="41"/>
        <v/>
      </c>
      <c r="AO37" s="26" t="str">
        <f t="shared" si="42"/>
        <v/>
      </c>
      <c r="AP37" s="26" t="str">
        <f t="shared" si="43"/>
        <v/>
      </c>
      <c r="AQ37" s="26" t="str">
        <f t="shared" si="44"/>
        <v/>
      </c>
      <c r="AR37" s="36" t="str">
        <f t="shared" si="45"/>
        <v/>
      </c>
      <c r="AS37" s="28" t="str">
        <f>IF(COUNTIF('02_工程タスク'!$A$4:$A$135,A37)&lt;&gt;1,"参照ID不正",IF(INDEX('02_工程タスク'!$H$4:$H$135,MATCH(A37,'02_工程タスク'!$A$4:$A$135,0))="","",INDEX('02_工程タスク'!$H$4:$H$135,MATCH(A37,'02_工程タスク'!$A$4:$A$135,0))))</f>
        <v>R01</v>
      </c>
      <c r="AT37" s="28" t="str">
        <f t="shared" si="46"/>
        <v>INIT-B1-16</v>
      </c>
      <c r="AU37" s="29" t="s">
        <v>3630</v>
      </c>
      <c r="AV37" s="29"/>
      <c r="AW37" s="29"/>
      <c r="AX37" s="32"/>
      <c r="AY37" s="29"/>
      <c r="AZ37" s="29"/>
      <c r="BA37" s="32"/>
      <c r="BB37" s="28" t="str">
        <f>IF(COUNTIF('02_工程タスク'!$A$4:$A$135,A37)&lt;&gt;1,"参照ID不正",IF(INDEX('02_工程タスク'!$O$4:$O$135,MATCH(A37,'02_工程タスク'!$A$4:$A$135,0))="","",INDEX('02_工程タスク'!$O$4:$O$135,MATCH(A37,'02_工程タスク'!$A$4:$A$135,0))))</f>
        <v>B1-15,B0-15</v>
      </c>
      <c r="BC37" s="28" t="str">
        <f t="shared" si="47"/>
        <v>記法OK</v>
      </c>
      <c r="BD37" s="28" t="str">
        <f>IF(A37="B6-01",IF(OR(AV37="",COUNTIF('29_ゲート承認記録'!$F$4:$F$83,AV37)&lt;&gt;1),"終了開始根拠不足",IF(IF(COUNTIF('29_ゲート承認記録'!$F$4:$F$83,AV37)&lt;&gt;1,"参照ID不正",IF(INDEX('29_ゲート承認記録'!$L$4:$L$83,MATCH(AV37,'29_ゲート承認記録'!$F$4:$F$83,0))="","",INDEX('29_ゲート承認記録'!$L$4:$L$83,MATCH(AV37,'29_ゲート承認記録'!$F$4:$F$83,0))))&lt;&gt;"Stop","Stop判断要確認","開始根拠あり")),IF(AND(A37="B5-18",AU37="事故"),IF(AV37="","事故レビュー参照不足","開始根拠あり"),"開始根拠あり"))</f>
        <v>開始根拠あり</v>
      </c>
      <c r="BE37" s="29"/>
      <c r="BF37" s="29"/>
    </row>
    <row r="38" spans="1:58" ht="38" customHeight="1" x14ac:dyDescent="0.2">
      <c r="A38" s="10" t="s">
        <v>613</v>
      </c>
      <c r="B38" s="28" t="str">
        <f>IF(COUNTIF('02_工程タスク'!$A$4:$A$135,A38)&lt;&gt;1,"参照ID不正",IF(INDEX('02_工程タスク'!$B$4:$B$135,MATCH(A38,'02_工程タスク'!$A$4:$A$135,0))="","",INDEX('02_工程タスク'!$B$4:$B$135,MATCH(A38,'02_工程タスク'!$A$4:$A$135,0))))</f>
        <v>要件</v>
      </c>
      <c r="C38" s="28" t="str">
        <f>IF(COUNTIF('02_工程タスク'!$A$4:$A$135,A38)&lt;&gt;1,"参照ID不正",IF(INDEX('02_工程タスク'!$D$4:$D$135,MATCH(A38,'02_工程タスク'!$A$4:$A$135,0))="","",INDEX('02_工程タスク'!$D$4:$D$135,MATCH(A38,'02_工程タスク'!$A$4:$A$135,0))))</f>
        <v>変更・廃止・データ権利の要件</v>
      </c>
      <c r="D38" s="6"/>
      <c r="E38" s="6" t="s">
        <v>1598</v>
      </c>
      <c r="F38" s="6"/>
      <c r="G38" s="6"/>
      <c r="H38" s="5"/>
      <c r="I38" s="5"/>
      <c r="J38" s="5"/>
      <c r="K38" s="5"/>
      <c r="L38" s="6" t="s">
        <v>3629</v>
      </c>
      <c r="M38" s="6"/>
      <c r="N38" s="6"/>
      <c r="O38" s="5"/>
      <c r="P38" s="17"/>
      <c r="Q38" s="17"/>
      <c r="R38" s="6"/>
      <c r="S38" s="6"/>
      <c r="T38" s="6"/>
      <c r="U38" s="5"/>
      <c r="V38" s="6" t="s">
        <v>620</v>
      </c>
      <c r="W38" s="28" t="str">
        <f t="shared" si="24"/>
        <v>適用未判定</v>
      </c>
      <c r="X38" s="28" t="str">
        <f t="shared" si="25"/>
        <v/>
      </c>
      <c r="Y38" s="25" t="str">
        <f t="shared" si="26"/>
        <v/>
      </c>
      <c r="Z38" s="25" t="str">
        <f t="shared" si="27"/>
        <v>適用未判定</v>
      </c>
      <c r="AA38" s="25">
        <f t="shared" si="28"/>
        <v>0</v>
      </c>
      <c r="AB38" s="25" t="str">
        <f t="shared" si="29"/>
        <v>B1-10</v>
      </c>
      <c r="AC38" s="25" t="str">
        <f t="shared" si="30"/>
        <v>B1-13</v>
      </c>
      <c r="AD38" s="25" t="str">
        <f t="shared" si="31"/>
        <v/>
      </c>
      <c r="AE38" s="25" t="str">
        <f t="shared" si="32"/>
        <v/>
      </c>
      <c r="AF38" s="25" t="str">
        <f t="shared" si="33"/>
        <v/>
      </c>
      <c r="AG38" s="25" t="str">
        <f t="shared" si="34"/>
        <v/>
      </c>
      <c r="AH38" s="25" t="str">
        <f t="shared" si="35"/>
        <v/>
      </c>
      <c r="AI38" s="25" t="str">
        <f t="shared" si="36"/>
        <v/>
      </c>
      <c r="AJ38" s="25" t="str">
        <f t="shared" si="37"/>
        <v>未充足</v>
      </c>
      <c r="AK38" s="25" t="str">
        <f t="shared" si="38"/>
        <v>未充足</v>
      </c>
      <c r="AL38" s="25" t="str">
        <f t="shared" si="39"/>
        <v/>
      </c>
      <c r="AM38" s="25" t="str">
        <f t="shared" si="40"/>
        <v/>
      </c>
      <c r="AN38" s="25" t="str">
        <f t="shared" si="41"/>
        <v/>
      </c>
      <c r="AO38" s="25" t="str">
        <f t="shared" si="42"/>
        <v/>
      </c>
      <c r="AP38" s="25" t="str">
        <f t="shared" si="43"/>
        <v/>
      </c>
      <c r="AQ38" s="25" t="str">
        <f t="shared" si="44"/>
        <v/>
      </c>
      <c r="AR38" s="35" t="str">
        <f t="shared" si="45"/>
        <v/>
      </c>
      <c r="AS38" s="28" t="str">
        <f>IF(COUNTIF('02_工程タスク'!$A$4:$A$135,A38)&lt;&gt;1,"参照ID不正",IF(INDEX('02_工程タスク'!$H$4:$H$135,MATCH(A38,'02_工程タスク'!$A$4:$A$135,0))="","",INDEX('02_工程タスク'!$H$4:$H$135,MATCH(A38,'02_工程タスク'!$A$4:$A$135,0))))</f>
        <v>R18</v>
      </c>
      <c r="AT38" s="28" t="str">
        <f t="shared" si="46"/>
        <v>INIT-B1-17</v>
      </c>
      <c r="AU38" s="29" t="s">
        <v>3630</v>
      </c>
      <c r="AV38" s="29"/>
      <c r="AW38" s="29"/>
      <c r="AX38" s="32"/>
      <c r="AY38" s="29"/>
      <c r="AZ38" s="29"/>
      <c r="BA38" s="32"/>
      <c r="BB38" s="28" t="str">
        <f>IF(COUNTIF('02_工程タスク'!$A$4:$A$135,A38)&lt;&gt;1,"参照ID不正",IF(INDEX('02_工程タスク'!$O$4:$O$135,MATCH(A38,'02_工程タスク'!$A$4:$A$135,0))="","",INDEX('02_工程タスク'!$O$4:$O$135,MATCH(A38,'02_工程タスク'!$A$4:$A$135,0))))</f>
        <v>B1-10,B1-13</v>
      </c>
      <c r="BC38" s="28" t="str">
        <f t="shared" si="47"/>
        <v>記法OK</v>
      </c>
      <c r="BD38" s="28" t="str">
        <f>IF(A38="B6-01",IF(OR(AV38="",COUNTIF('29_ゲート承認記録'!$F$4:$F$83,AV38)&lt;&gt;1),"終了開始根拠不足",IF(IF(COUNTIF('29_ゲート承認記録'!$F$4:$F$83,AV38)&lt;&gt;1,"参照ID不正",IF(INDEX('29_ゲート承認記録'!$L$4:$L$83,MATCH(AV38,'29_ゲート承認記録'!$F$4:$F$83,0))="","",INDEX('29_ゲート承認記録'!$L$4:$L$83,MATCH(AV38,'29_ゲート承認記録'!$F$4:$F$83,0))))&lt;&gt;"Stop","Stop判断要確認","開始根拠あり")),IF(AND(A38="B5-18",AU38="事故"),IF(AV38="","事故レビュー参照不足","開始根拠あり"),"開始根拠あり"))</f>
        <v>開始根拠あり</v>
      </c>
      <c r="BE38" s="29"/>
      <c r="BF38" s="29"/>
    </row>
    <row r="39" spans="1:58" ht="38" customHeight="1" x14ac:dyDescent="0.2">
      <c r="A39" s="10" t="s">
        <v>623</v>
      </c>
      <c r="B39" s="28" t="str">
        <f>IF(COUNTIF('02_工程タスク'!$A$4:$A$135,A39)&lt;&gt;1,"参照ID不正",IF(INDEX('02_工程タスク'!$B$4:$B$135,MATCH(A39,'02_工程タスク'!$A$4:$A$135,0))="","",INDEX('02_工程タスク'!$B$4:$B$135,MATCH(A39,'02_工程タスク'!$A$4:$A$135,0))))</f>
        <v>要件</v>
      </c>
      <c r="C39" s="28" t="str">
        <f>IF(COUNTIF('02_工程タスク'!$A$4:$A$135,A39)&lt;&gt;1,"参照ID不正",IF(INDEX('02_工程タスク'!$D$4:$D$135,MATCH(A39,'02_工程タスク'!$A$4:$A$135,0))="","",INDEX('02_工程タスク'!$D$4:$D$135,MATCH(A39,'02_工程タスク'!$A$4:$A$135,0))))</f>
        <v>事業・開発・AIコスト計測の仕様</v>
      </c>
      <c r="D39" s="6"/>
      <c r="E39" s="6" t="s">
        <v>1598</v>
      </c>
      <c r="F39" s="6"/>
      <c r="G39" s="6"/>
      <c r="H39" s="5"/>
      <c r="I39" s="5"/>
      <c r="J39" s="5"/>
      <c r="K39" s="5"/>
      <c r="L39" s="6" t="s">
        <v>3629</v>
      </c>
      <c r="M39" s="6"/>
      <c r="N39" s="6"/>
      <c r="O39" s="5"/>
      <c r="P39" s="17"/>
      <c r="Q39" s="17"/>
      <c r="R39" s="6"/>
      <c r="S39" s="6"/>
      <c r="T39" s="6"/>
      <c r="U39" s="5"/>
      <c r="V39" s="6" t="s">
        <v>630</v>
      </c>
      <c r="W39" s="28" t="str">
        <f t="shared" si="24"/>
        <v>適用未判定</v>
      </c>
      <c r="X39" s="28" t="str">
        <f t="shared" si="25"/>
        <v/>
      </c>
      <c r="Y39" s="26" t="str">
        <f t="shared" si="26"/>
        <v/>
      </c>
      <c r="Z39" s="26" t="str">
        <f t="shared" si="27"/>
        <v>適用未判定</v>
      </c>
      <c r="AA39" s="26">
        <f t="shared" si="28"/>
        <v>0</v>
      </c>
      <c r="AB39" s="26" t="str">
        <f t="shared" si="29"/>
        <v>B1-01</v>
      </c>
      <c r="AC39" s="26" t="str">
        <f t="shared" si="30"/>
        <v>B1-14</v>
      </c>
      <c r="AD39" s="26" t="str">
        <f t="shared" si="31"/>
        <v/>
      </c>
      <c r="AE39" s="26" t="str">
        <f t="shared" si="32"/>
        <v/>
      </c>
      <c r="AF39" s="26" t="str">
        <f t="shared" si="33"/>
        <v/>
      </c>
      <c r="AG39" s="26" t="str">
        <f t="shared" si="34"/>
        <v/>
      </c>
      <c r="AH39" s="26" t="str">
        <f t="shared" si="35"/>
        <v/>
      </c>
      <c r="AI39" s="26" t="str">
        <f t="shared" si="36"/>
        <v/>
      </c>
      <c r="AJ39" s="26" t="str">
        <f t="shared" si="37"/>
        <v>未充足</v>
      </c>
      <c r="AK39" s="26" t="str">
        <f t="shared" si="38"/>
        <v>未充足</v>
      </c>
      <c r="AL39" s="26" t="str">
        <f t="shared" si="39"/>
        <v/>
      </c>
      <c r="AM39" s="26" t="str">
        <f t="shared" si="40"/>
        <v/>
      </c>
      <c r="AN39" s="26" t="str">
        <f t="shared" si="41"/>
        <v/>
      </c>
      <c r="AO39" s="26" t="str">
        <f t="shared" si="42"/>
        <v/>
      </c>
      <c r="AP39" s="26" t="str">
        <f t="shared" si="43"/>
        <v/>
      </c>
      <c r="AQ39" s="26" t="str">
        <f t="shared" si="44"/>
        <v/>
      </c>
      <c r="AR39" s="36" t="str">
        <f t="shared" si="45"/>
        <v/>
      </c>
      <c r="AS39" s="28" t="str">
        <f>IF(COUNTIF('02_工程タスク'!$A$4:$A$135,A39)&lt;&gt;1,"参照ID不正",IF(INDEX('02_工程タスク'!$H$4:$H$135,MATCH(A39,'02_工程タスク'!$A$4:$A$135,0))="","",INDEX('02_工程タスク'!$H$4:$H$135,MATCH(A39,'02_工程タスク'!$A$4:$A$135,0))))</f>
        <v>R02</v>
      </c>
      <c r="AT39" s="28" t="str">
        <f t="shared" si="46"/>
        <v>INIT-B1-18</v>
      </c>
      <c r="AU39" s="29" t="s">
        <v>3630</v>
      </c>
      <c r="AV39" s="29"/>
      <c r="AW39" s="29"/>
      <c r="AX39" s="32"/>
      <c r="AY39" s="29"/>
      <c r="AZ39" s="29"/>
      <c r="BA39" s="32"/>
      <c r="BB39" s="28" t="str">
        <f>IF(COUNTIF('02_工程タスク'!$A$4:$A$135,A39)&lt;&gt;1,"参照ID不正",IF(INDEX('02_工程タスク'!$O$4:$O$135,MATCH(A39,'02_工程タスク'!$A$4:$A$135,0))="","",INDEX('02_工程タスク'!$O$4:$O$135,MATCH(A39,'02_工程タスク'!$A$4:$A$135,0))))</f>
        <v>B1-01,B1-14</v>
      </c>
      <c r="BC39" s="28" t="str">
        <f t="shared" si="47"/>
        <v>記法OK</v>
      </c>
      <c r="BD39" s="28" t="str">
        <f>IF(A39="B6-01",IF(OR(AV39="",COUNTIF('29_ゲート承認記録'!$F$4:$F$83,AV39)&lt;&gt;1),"終了開始根拠不足",IF(IF(COUNTIF('29_ゲート承認記録'!$F$4:$F$83,AV39)&lt;&gt;1,"参照ID不正",IF(INDEX('29_ゲート承認記録'!$L$4:$L$83,MATCH(AV39,'29_ゲート承認記録'!$F$4:$F$83,0))="","",INDEX('29_ゲート承認記録'!$L$4:$L$83,MATCH(AV39,'29_ゲート承認記録'!$F$4:$F$83,0))))&lt;&gt;"Stop","Stop判断要確認","開始根拠あり")),IF(AND(A39="B5-18",AU39="事故"),IF(AV39="","事故レビュー参照不足","開始根拠あり"),"開始根拠あり"))</f>
        <v>開始根拠あり</v>
      </c>
      <c r="BE39" s="29"/>
      <c r="BF39" s="29"/>
    </row>
    <row r="40" spans="1:58" ht="38" customHeight="1" x14ac:dyDescent="0.2">
      <c r="A40" s="10" t="s">
        <v>635</v>
      </c>
      <c r="B40" s="28" t="str">
        <f>IF(COUNTIF('02_工程タスク'!$A$4:$A$135,A40)&lt;&gt;1,"参照ID不正",IF(INDEX('02_工程タスク'!$B$4:$B$135,MATCH(A40,'02_工程タスク'!$A$4:$A$135,0))="","",INDEX('02_工程タスク'!$B$4:$B$135,MATCH(A40,'02_工程タスク'!$A$4:$A$135,0))))</f>
        <v>要件</v>
      </c>
      <c r="C40" s="28" t="str">
        <f>IF(COUNTIF('02_工程タスク'!$A$4:$A$135,A40)&lt;&gt;1,"参照ID不正",IF(INDEX('02_工程タスク'!$D$4:$D$135,MATCH(A40,'02_工程タスク'!$A$4:$A$135,0))="","",INDEX('02_工程タスク'!$D$4:$D$135,MATCH(A40,'02_工程タスク'!$A$4:$A$135,0))))</f>
        <v>スコープ・Evidence Plan承認</v>
      </c>
      <c r="D40" s="6"/>
      <c r="E40" s="6" t="s">
        <v>1598</v>
      </c>
      <c r="F40" s="6"/>
      <c r="G40" s="6"/>
      <c r="H40" s="5"/>
      <c r="I40" s="5"/>
      <c r="J40" s="5"/>
      <c r="K40" s="5"/>
      <c r="L40" s="6" t="s">
        <v>3629</v>
      </c>
      <c r="M40" s="6"/>
      <c r="N40" s="6"/>
      <c r="O40" s="5"/>
      <c r="P40" s="17"/>
      <c r="Q40" s="17"/>
      <c r="R40" s="6"/>
      <c r="S40" s="6"/>
      <c r="T40" s="6"/>
      <c r="U40" s="5"/>
      <c r="V40" s="6" t="s">
        <v>640</v>
      </c>
      <c r="W40" s="28" t="str">
        <f t="shared" si="24"/>
        <v>適用未判定</v>
      </c>
      <c r="X40" s="28" t="str">
        <f t="shared" si="25"/>
        <v/>
      </c>
      <c r="Y40" s="25" t="str">
        <f t="shared" si="26"/>
        <v/>
      </c>
      <c r="Z40" s="25" t="str">
        <f t="shared" si="27"/>
        <v>適用未判定</v>
      </c>
      <c r="AA40" s="25">
        <f t="shared" si="28"/>
        <v>0</v>
      </c>
      <c r="AB40" s="25" t="str">
        <f t="shared" si="29"/>
        <v>B1-07</v>
      </c>
      <c r="AC40" s="25" t="str">
        <f t="shared" si="30"/>
        <v>B1-10</v>
      </c>
      <c r="AD40" s="25" t="str">
        <f t="shared" si="31"/>
        <v>B1-16</v>
      </c>
      <c r="AE40" s="25" t="str">
        <f t="shared" si="32"/>
        <v>B1-17</v>
      </c>
      <c r="AF40" s="25" t="str">
        <f t="shared" si="33"/>
        <v/>
      </c>
      <c r="AG40" s="25" t="str">
        <f t="shared" si="34"/>
        <v/>
      </c>
      <c r="AH40" s="25" t="str">
        <f t="shared" si="35"/>
        <v/>
      </c>
      <c r="AI40" s="25" t="str">
        <f t="shared" si="36"/>
        <v/>
      </c>
      <c r="AJ40" s="25" t="str">
        <f t="shared" si="37"/>
        <v>未充足</v>
      </c>
      <c r="AK40" s="25" t="str">
        <f t="shared" si="38"/>
        <v>未充足</v>
      </c>
      <c r="AL40" s="25" t="str">
        <f t="shared" si="39"/>
        <v>未充足</v>
      </c>
      <c r="AM40" s="25" t="str">
        <f t="shared" si="40"/>
        <v>未充足</v>
      </c>
      <c r="AN40" s="25" t="str">
        <f t="shared" si="41"/>
        <v/>
      </c>
      <c r="AO40" s="25" t="str">
        <f t="shared" si="42"/>
        <v/>
      </c>
      <c r="AP40" s="25" t="str">
        <f t="shared" si="43"/>
        <v/>
      </c>
      <c r="AQ40" s="25" t="str">
        <f t="shared" si="44"/>
        <v/>
      </c>
      <c r="AR40" s="35" t="str">
        <f t="shared" si="45"/>
        <v/>
      </c>
      <c r="AS40" s="28" t="str">
        <f>IF(COUNTIF('02_工程タスク'!$A$4:$A$135,A40)&lt;&gt;1,"参照ID不正",IF(INDEX('02_工程タスク'!$H$4:$H$135,MATCH(A40,'02_工程タスク'!$A$4:$A$135,0))="","",INDEX('02_工程タスク'!$H$4:$H$135,MATCH(A40,'02_工程タスク'!$A$4:$A$135,0))))</f>
        <v>R01</v>
      </c>
      <c r="AT40" s="28" t="str">
        <f t="shared" si="46"/>
        <v>INIT-B1-19</v>
      </c>
      <c r="AU40" s="29" t="s">
        <v>3630</v>
      </c>
      <c r="AV40" s="29"/>
      <c r="AW40" s="29"/>
      <c r="AX40" s="32"/>
      <c r="AY40" s="29"/>
      <c r="AZ40" s="29"/>
      <c r="BA40" s="32"/>
      <c r="BB40" s="28" t="str">
        <f>IF(COUNTIF('02_工程タスク'!$A$4:$A$135,A40)&lt;&gt;1,"参照ID不正",IF(INDEX('02_工程タスク'!$O$4:$O$135,MATCH(A40,'02_工程タスク'!$A$4:$A$135,0))="","",INDEX('02_工程タスク'!$O$4:$O$135,MATCH(A40,'02_工程タスク'!$A$4:$A$135,0))))</f>
        <v>B1-07,B1-10,B1-16,B1-17</v>
      </c>
      <c r="BC40" s="28" t="str">
        <f t="shared" si="47"/>
        <v>記法OK</v>
      </c>
      <c r="BD40" s="28" t="str">
        <f>IF(A40="B6-01",IF(OR(AV40="",COUNTIF('29_ゲート承認記録'!$F$4:$F$83,AV40)&lt;&gt;1),"終了開始根拠不足",IF(IF(COUNTIF('29_ゲート承認記録'!$F$4:$F$83,AV40)&lt;&gt;1,"参照ID不正",IF(INDEX('29_ゲート承認記録'!$L$4:$L$83,MATCH(AV40,'29_ゲート承認記録'!$F$4:$F$83,0))="","",INDEX('29_ゲート承認記録'!$L$4:$L$83,MATCH(AV40,'29_ゲート承認記録'!$F$4:$F$83,0))))&lt;&gt;"Stop","Stop判断要確認","開始根拠あり")),IF(AND(A40="B5-18",AU40="事故"),IF(AV40="","事故レビュー参照不足","開始根拠あり"),"開始根拠あり"))</f>
        <v>開始根拠あり</v>
      </c>
      <c r="BE40" s="29"/>
      <c r="BF40" s="29"/>
    </row>
    <row r="41" spans="1:58" ht="38" customHeight="1" x14ac:dyDescent="0.2">
      <c r="A41" s="11" t="s">
        <v>643</v>
      </c>
      <c r="B41" s="28" t="str">
        <f>IF(COUNTIF('02_工程タスク'!$A$4:$A$135,A41)&lt;&gt;1,"参照ID不正",IF(INDEX('02_工程タスク'!$B$4:$B$135,MATCH(A41,'02_工程タスク'!$A$4:$A$135,0))="","",INDEX('02_工程タスク'!$B$4:$B$135,MATCH(A41,'02_工程タスク'!$A$4:$A$135,0))))</f>
        <v>設計</v>
      </c>
      <c r="C41" s="28" t="str">
        <f>IF(COUNTIF('02_工程タスク'!$A$4:$A$135,A41)&lt;&gt;1,"参照ID不正",IF(INDEX('02_工程タスク'!$D$4:$D$135,MATCH(A41,'02_工程タスク'!$A$4:$A$135,0))="","",INDEX('02_工程タスク'!$D$4:$D$135,MATCH(A41,'02_工程タスク'!$A$4:$A$135,0))))</f>
        <v>最小構成・方式のADR</v>
      </c>
      <c r="D41" s="6"/>
      <c r="E41" s="6" t="s">
        <v>1598</v>
      </c>
      <c r="F41" s="6"/>
      <c r="G41" s="6"/>
      <c r="H41" s="5"/>
      <c r="I41" s="5"/>
      <c r="J41" s="5"/>
      <c r="K41" s="5"/>
      <c r="L41" s="6" t="s">
        <v>3629</v>
      </c>
      <c r="M41" s="6"/>
      <c r="N41" s="6"/>
      <c r="O41" s="5"/>
      <c r="P41" s="17"/>
      <c r="Q41" s="17"/>
      <c r="R41" s="6"/>
      <c r="S41" s="6"/>
      <c r="T41" s="6"/>
      <c r="U41" s="5"/>
      <c r="V41" s="6" t="s">
        <v>635</v>
      </c>
      <c r="W41" s="28" t="str">
        <f t="shared" si="24"/>
        <v>適用未判定</v>
      </c>
      <c r="X41" s="28" t="str">
        <f t="shared" si="25"/>
        <v/>
      </c>
      <c r="Y41" s="26" t="str">
        <f t="shared" si="26"/>
        <v/>
      </c>
      <c r="Z41" s="26" t="str">
        <f t="shared" si="27"/>
        <v>適用未判定</v>
      </c>
      <c r="AA41" s="26">
        <f t="shared" si="28"/>
        <v>0</v>
      </c>
      <c r="AB41" s="26" t="str">
        <f t="shared" si="29"/>
        <v>B1-19</v>
      </c>
      <c r="AC41" s="26" t="str">
        <f t="shared" si="30"/>
        <v/>
      </c>
      <c r="AD41" s="26" t="str">
        <f t="shared" si="31"/>
        <v/>
      </c>
      <c r="AE41" s="26" t="str">
        <f t="shared" si="32"/>
        <v/>
      </c>
      <c r="AF41" s="26" t="str">
        <f t="shared" si="33"/>
        <v/>
      </c>
      <c r="AG41" s="26" t="str">
        <f t="shared" si="34"/>
        <v/>
      </c>
      <c r="AH41" s="26" t="str">
        <f t="shared" si="35"/>
        <v/>
      </c>
      <c r="AI41" s="26" t="str">
        <f t="shared" si="36"/>
        <v/>
      </c>
      <c r="AJ41" s="26" t="str">
        <f t="shared" si="37"/>
        <v>未充足</v>
      </c>
      <c r="AK41" s="26" t="str">
        <f t="shared" si="38"/>
        <v/>
      </c>
      <c r="AL41" s="26" t="str">
        <f t="shared" si="39"/>
        <v/>
      </c>
      <c r="AM41" s="26" t="str">
        <f t="shared" si="40"/>
        <v/>
      </c>
      <c r="AN41" s="26" t="str">
        <f t="shared" si="41"/>
        <v/>
      </c>
      <c r="AO41" s="26" t="str">
        <f t="shared" si="42"/>
        <v/>
      </c>
      <c r="AP41" s="26" t="str">
        <f t="shared" si="43"/>
        <v/>
      </c>
      <c r="AQ41" s="26" t="str">
        <f t="shared" si="44"/>
        <v/>
      </c>
      <c r="AR41" s="36" t="str">
        <f t="shared" si="45"/>
        <v/>
      </c>
      <c r="AS41" s="28" t="str">
        <f>IF(COUNTIF('02_工程タスク'!$A$4:$A$135,A41)&lt;&gt;1,"参照ID不正",IF(INDEX('02_工程タスク'!$H$4:$H$135,MATCH(A41,'02_工程タスク'!$A$4:$A$135,0))="","",INDEX('02_工程タスク'!$H$4:$H$135,MATCH(A41,'02_工程タスク'!$A$4:$A$135,0))))</f>
        <v>R06</v>
      </c>
      <c r="AT41" s="28" t="str">
        <f t="shared" si="46"/>
        <v>INIT-B2-01</v>
      </c>
      <c r="AU41" s="29" t="s">
        <v>3630</v>
      </c>
      <c r="AV41" s="29"/>
      <c r="AW41" s="29"/>
      <c r="AX41" s="32"/>
      <c r="AY41" s="29"/>
      <c r="AZ41" s="29"/>
      <c r="BA41" s="32"/>
      <c r="BB41" s="28" t="str">
        <f>IF(COUNTIF('02_工程タスク'!$A$4:$A$135,A41)&lt;&gt;1,"参照ID不正",IF(INDEX('02_工程タスク'!$O$4:$O$135,MATCH(A41,'02_工程タスク'!$A$4:$A$135,0))="","",INDEX('02_工程タスク'!$O$4:$O$135,MATCH(A41,'02_工程タスク'!$A$4:$A$135,0))))</f>
        <v>B1-19</v>
      </c>
      <c r="BC41" s="28" t="str">
        <f t="shared" si="47"/>
        <v>記法OK</v>
      </c>
      <c r="BD41" s="28" t="str">
        <f>IF(A41="B6-01",IF(OR(AV41="",COUNTIF('29_ゲート承認記録'!$F$4:$F$83,AV41)&lt;&gt;1),"終了開始根拠不足",IF(IF(COUNTIF('29_ゲート承認記録'!$F$4:$F$83,AV41)&lt;&gt;1,"参照ID不正",IF(INDEX('29_ゲート承認記録'!$L$4:$L$83,MATCH(AV41,'29_ゲート承認記録'!$F$4:$F$83,0))="","",INDEX('29_ゲート承認記録'!$L$4:$L$83,MATCH(AV41,'29_ゲート承認記録'!$F$4:$F$83,0))))&lt;&gt;"Stop","Stop判断要確認","開始根拠あり")),IF(AND(A41="B5-18",AU41="事故"),IF(AV41="","事故レビュー参照不足","開始根拠あり"),"開始根拠あり"))</f>
        <v>開始根拠あり</v>
      </c>
      <c r="BE41" s="29"/>
      <c r="BF41" s="29"/>
    </row>
    <row r="42" spans="1:58" ht="38" customHeight="1" x14ac:dyDescent="0.2">
      <c r="A42" s="11" t="s">
        <v>653</v>
      </c>
      <c r="B42" s="28" t="str">
        <f>IF(COUNTIF('02_工程タスク'!$A$4:$A$135,A42)&lt;&gt;1,"参照ID不正",IF(INDEX('02_工程タスク'!$B$4:$B$135,MATCH(A42,'02_工程タスク'!$A$4:$A$135,0))="","",INDEX('02_工程タスク'!$B$4:$B$135,MATCH(A42,'02_工程タスク'!$A$4:$A$135,0))))</f>
        <v>設計</v>
      </c>
      <c r="C42" s="28" t="str">
        <f>IF(COUNTIF('02_工程タスク'!$A$4:$A$135,A42)&lt;&gt;1,"参照ID不正",IF(INDEX('02_工程タスク'!$D$4:$D$135,MATCH(A42,'02_工程タスク'!$A$4:$A$135,0))="","",INDEX('02_工程タスク'!$D$4:$D$135,MATCH(A42,'02_工程タスク'!$A$4:$A$135,0))))</f>
        <v>モデル・Provider比較と退出設計</v>
      </c>
      <c r="D42" s="6"/>
      <c r="E42" s="6" t="s">
        <v>1598</v>
      </c>
      <c r="F42" s="6"/>
      <c r="G42" s="6"/>
      <c r="H42" s="5"/>
      <c r="I42" s="5"/>
      <c r="J42" s="5"/>
      <c r="K42" s="5"/>
      <c r="L42" s="6" t="s">
        <v>3629</v>
      </c>
      <c r="M42" s="6"/>
      <c r="N42" s="6"/>
      <c r="O42" s="5"/>
      <c r="P42" s="17"/>
      <c r="Q42" s="17"/>
      <c r="R42" s="6"/>
      <c r="S42" s="6"/>
      <c r="T42" s="6"/>
      <c r="U42" s="5"/>
      <c r="V42" s="6" t="s">
        <v>661</v>
      </c>
      <c r="W42" s="28" t="str">
        <f t="shared" si="24"/>
        <v>適用未判定</v>
      </c>
      <c r="X42" s="28" t="str">
        <f t="shared" si="25"/>
        <v/>
      </c>
      <c r="Y42" s="25" t="str">
        <f t="shared" si="26"/>
        <v/>
      </c>
      <c r="Z42" s="25" t="str">
        <f t="shared" si="27"/>
        <v>適用未判定</v>
      </c>
      <c r="AA42" s="25">
        <f t="shared" si="28"/>
        <v>0</v>
      </c>
      <c r="AB42" s="25" t="str">
        <f t="shared" si="29"/>
        <v>B2-01</v>
      </c>
      <c r="AC42" s="25" t="str">
        <f t="shared" si="30"/>
        <v>B1-13</v>
      </c>
      <c r="AD42" s="25" t="str">
        <f t="shared" si="31"/>
        <v/>
      </c>
      <c r="AE42" s="25" t="str">
        <f t="shared" si="32"/>
        <v/>
      </c>
      <c r="AF42" s="25" t="str">
        <f t="shared" si="33"/>
        <v/>
      </c>
      <c r="AG42" s="25" t="str">
        <f t="shared" si="34"/>
        <v/>
      </c>
      <c r="AH42" s="25" t="str">
        <f t="shared" si="35"/>
        <v/>
      </c>
      <c r="AI42" s="25" t="str">
        <f t="shared" si="36"/>
        <v/>
      </c>
      <c r="AJ42" s="25" t="str">
        <f t="shared" si="37"/>
        <v>未充足</v>
      </c>
      <c r="AK42" s="25" t="str">
        <f t="shared" si="38"/>
        <v>未充足</v>
      </c>
      <c r="AL42" s="25" t="str">
        <f t="shared" si="39"/>
        <v/>
      </c>
      <c r="AM42" s="25" t="str">
        <f t="shared" si="40"/>
        <v/>
      </c>
      <c r="AN42" s="25" t="str">
        <f t="shared" si="41"/>
        <v/>
      </c>
      <c r="AO42" s="25" t="str">
        <f t="shared" si="42"/>
        <v/>
      </c>
      <c r="AP42" s="25" t="str">
        <f t="shared" si="43"/>
        <v/>
      </c>
      <c r="AQ42" s="25" t="str">
        <f t="shared" si="44"/>
        <v/>
      </c>
      <c r="AR42" s="35" t="str">
        <f t="shared" si="45"/>
        <v/>
      </c>
      <c r="AS42" s="28" t="str">
        <f>IF(COUNTIF('02_工程タスク'!$A$4:$A$135,A42)&lt;&gt;1,"参照ID不正",IF(INDEX('02_工程タスク'!$H$4:$H$135,MATCH(A42,'02_工程タスク'!$A$4:$A$135,0))="","",INDEX('02_工程タスク'!$H$4:$H$135,MATCH(A42,'02_工程タスク'!$A$4:$A$135,0))))</f>
        <v>R06</v>
      </c>
      <c r="AT42" s="28" t="str">
        <f t="shared" si="46"/>
        <v>INIT-B2-02</v>
      </c>
      <c r="AU42" s="29" t="s">
        <v>3630</v>
      </c>
      <c r="AV42" s="29"/>
      <c r="AW42" s="29"/>
      <c r="AX42" s="32"/>
      <c r="AY42" s="29"/>
      <c r="AZ42" s="29"/>
      <c r="BA42" s="32"/>
      <c r="BB42" s="28" t="str">
        <f>IF(COUNTIF('02_工程タスク'!$A$4:$A$135,A42)&lt;&gt;1,"参照ID不正",IF(INDEX('02_工程タスク'!$O$4:$O$135,MATCH(A42,'02_工程タスク'!$A$4:$A$135,0))="","",INDEX('02_工程タスク'!$O$4:$O$135,MATCH(A42,'02_工程タスク'!$A$4:$A$135,0))))</f>
        <v>B2-01,B1-13</v>
      </c>
      <c r="BC42" s="28" t="str">
        <f t="shared" si="47"/>
        <v>記法OK</v>
      </c>
      <c r="BD42" s="28" t="str">
        <f>IF(A42="B6-01",IF(OR(AV42="",COUNTIF('29_ゲート承認記録'!$F$4:$F$83,AV42)&lt;&gt;1),"終了開始根拠不足",IF(IF(COUNTIF('29_ゲート承認記録'!$F$4:$F$83,AV42)&lt;&gt;1,"参照ID不正",IF(INDEX('29_ゲート承認記録'!$L$4:$L$83,MATCH(AV42,'29_ゲート承認記録'!$F$4:$F$83,0))="","",INDEX('29_ゲート承認記録'!$L$4:$L$83,MATCH(AV42,'29_ゲート承認記録'!$F$4:$F$83,0))))&lt;&gt;"Stop","Stop判断要確認","開始根拠あり")),IF(AND(A42="B5-18",AU42="事故"),IF(AV42="","事故レビュー参照不足","開始根拠あり"),"開始根拠あり"))</f>
        <v>開始根拠あり</v>
      </c>
      <c r="BE42" s="29"/>
      <c r="BF42" s="29"/>
    </row>
    <row r="43" spans="1:58" ht="38" customHeight="1" x14ac:dyDescent="0.2">
      <c r="A43" s="11" t="s">
        <v>664</v>
      </c>
      <c r="B43" s="28" t="str">
        <f>IF(COUNTIF('02_工程タスク'!$A$4:$A$135,A43)&lt;&gt;1,"参照ID不正",IF(INDEX('02_工程タスク'!$B$4:$B$135,MATCH(A43,'02_工程タスク'!$A$4:$A$135,0))="","",INDEX('02_工程タスク'!$B$4:$B$135,MATCH(A43,'02_工程タスク'!$A$4:$A$135,0))))</f>
        <v>設計</v>
      </c>
      <c r="C43" s="28" t="str">
        <f>IF(COUNTIF('02_工程タスク'!$A$4:$A$135,A43)&lt;&gt;1,"参照ID不正",IF(INDEX('02_工程タスク'!$D$4:$D$135,MATCH(A43,'02_工程タスク'!$A$4:$A$135,0))="","",INDEX('02_工程タスク'!$D$4:$D$135,MATCH(A43,'02_工程タスク'!$A$4:$A$135,0))))</f>
        <v>Data Flow・権限・保存・派生設計</v>
      </c>
      <c r="D43" s="6"/>
      <c r="E43" s="6" t="s">
        <v>1598</v>
      </c>
      <c r="F43" s="6"/>
      <c r="G43" s="6"/>
      <c r="H43" s="5"/>
      <c r="I43" s="5"/>
      <c r="J43" s="5"/>
      <c r="K43" s="5"/>
      <c r="L43" s="6" t="s">
        <v>3629</v>
      </c>
      <c r="M43" s="6"/>
      <c r="N43" s="6"/>
      <c r="O43" s="5"/>
      <c r="P43" s="17"/>
      <c r="Q43" s="17"/>
      <c r="R43" s="6"/>
      <c r="S43" s="6"/>
      <c r="T43" s="6"/>
      <c r="U43" s="5"/>
      <c r="V43" s="6" t="s">
        <v>671</v>
      </c>
      <c r="W43" s="28" t="str">
        <f t="shared" si="24"/>
        <v>適用未判定</v>
      </c>
      <c r="X43" s="28" t="str">
        <f t="shared" si="25"/>
        <v/>
      </c>
      <c r="Y43" s="26" t="str">
        <f t="shared" si="26"/>
        <v/>
      </c>
      <c r="Z43" s="26" t="str">
        <f t="shared" si="27"/>
        <v>適用未判定</v>
      </c>
      <c r="AA43" s="26">
        <f t="shared" si="28"/>
        <v>0</v>
      </c>
      <c r="AB43" s="26" t="str">
        <f t="shared" si="29"/>
        <v>B1-05</v>
      </c>
      <c r="AC43" s="26" t="str">
        <f t="shared" si="30"/>
        <v>B1-17</v>
      </c>
      <c r="AD43" s="26" t="str">
        <f t="shared" si="31"/>
        <v/>
      </c>
      <c r="AE43" s="26" t="str">
        <f t="shared" si="32"/>
        <v/>
      </c>
      <c r="AF43" s="26" t="str">
        <f t="shared" si="33"/>
        <v/>
      </c>
      <c r="AG43" s="26" t="str">
        <f t="shared" si="34"/>
        <v/>
      </c>
      <c r="AH43" s="26" t="str">
        <f t="shared" si="35"/>
        <v/>
      </c>
      <c r="AI43" s="26" t="str">
        <f t="shared" si="36"/>
        <v/>
      </c>
      <c r="AJ43" s="26" t="str">
        <f t="shared" si="37"/>
        <v>未充足</v>
      </c>
      <c r="AK43" s="26" t="str">
        <f t="shared" si="38"/>
        <v>未充足</v>
      </c>
      <c r="AL43" s="26" t="str">
        <f t="shared" si="39"/>
        <v/>
      </c>
      <c r="AM43" s="26" t="str">
        <f t="shared" si="40"/>
        <v/>
      </c>
      <c r="AN43" s="26" t="str">
        <f t="shared" si="41"/>
        <v/>
      </c>
      <c r="AO43" s="26" t="str">
        <f t="shared" si="42"/>
        <v/>
      </c>
      <c r="AP43" s="26" t="str">
        <f t="shared" si="43"/>
        <v/>
      </c>
      <c r="AQ43" s="26" t="str">
        <f t="shared" si="44"/>
        <v/>
      </c>
      <c r="AR43" s="36" t="str">
        <f t="shared" si="45"/>
        <v/>
      </c>
      <c r="AS43" s="28" t="str">
        <f>IF(COUNTIF('02_工程タスク'!$A$4:$A$135,A43)&lt;&gt;1,"参照ID不正",IF(INDEX('02_工程タスク'!$H$4:$H$135,MATCH(A43,'02_工程タスク'!$A$4:$A$135,0))="","",INDEX('02_工程タスク'!$H$4:$H$135,MATCH(A43,'02_工程タスク'!$A$4:$A$135,0))))</f>
        <v>R10</v>
      </c>
      <c r="AT43" s="28" t="str">
        <f t="shared" si="46"/>
        <v>INIT-B2-03</v>
      </c>
      <c r="AU43" s="29" t="s">
        <v>3630</v>
      </c>
      <c r="AV43" s="29"/>
      <c r="AW43" s="29"/>
      <c r="AX43" s="32"/>
      <c r="AY43" s="29"/>
      <c r="AZ43" s="29"/>
      <c r="BA43" s="32"/>
      <c r="BB43" s="28" t="str">
        <f>IF(COUNTIF('02_工程タスク'!$A$4:$A$135,A43)&lt;&gt;1,"参照ID不正",IF(INDEX('02_工程タスク'!$O$4:$O$135,MATCH(A43,'02_工程タスク'!$A$4:$A$135,0))="","",INDEX('02_工程タスク'!$O$4:$O$135,MATCH(A43,'02_工程タスク'!$A$4:$A$135,0))))</f>
        <v>B1-05,B1-17</v>
      </c>
      <c r="BC43" s="28" t="str">
        <f t="shared" si="47"/>
        <v>記法OK</v>
      </c>
      <c r="BD43" s="28" t="str">
        <f>IF(A43="B6-01",IF(OR(AV43="",COUNTIF('29_ゲート承認記録'!$F$4:$F$83,AV43)&lt;&gt;1),"終了開始根拠不足",IF(IF(COUNTIF('29_ゲート承認記録'!$F$4:$F$83,AV43)&lt;&gt;1,"参照ID不正",IF(INDEX('29_ゲート承認記録'!$L$4:$L$83,MATCH(AV43,'29_ゲート承認記録'!$F$4:$F$83,0))="","",INDEX('29_ゲート承認記録'!$L$4:$L$83,MATCH(AV43,'29_ゲート承認記録'!$F$4:$F$83,0))))&lt;&gt;"Stop","Stop判断要確認","開始根拠あり")),IF(AND(A43="B5-18",AU43="事故"),IF(AV43="","事故レビュー参照不足","開始根拠あり"),"開始根拠あり"))</f>
        <v>開始根拠あり</v>
      </c>
      <c r="BE43" s="29"/>
      <c r="BF43" s="29"/>
    </row>
    <row r="44" spans="1:58" ht="38" customHeight="1" x14ac:dyDescent="0.2">
      <c r="A44" s="11" t="s">
        <v>674</v>
      </c>
      <c r="B44" s="28" t="str">
        <f>IF(COUNTIF('02_工程タスク'!$A$4:$A$135,A44)&lt;&gt;1,"参照ID不正",IF(INDEX('02_工程タスク'!$B$4:$B$135,MATCH(A44,'02_工程タスク'!$A$4:$A$135,0))="","",INDEX('02_工程タスク'!$B$4:$B$135,MATCH(A44,'02_工程タスク'!$A$4:$A$135,0))))</f>
        <v>設計</v>
      </c>
      <c r="C44" s="28" t="str">
        <f>IF(COUNTIF('02_工程タスク'!$A$4:$A$135,A44)&lt;&gt;1,"参照ID不正",IF(INDEX('02_工程タスク'!$D$4:$D$135,MATCH(A44,'02_工程タスク'!$A$4:$A$135,0))="","",INDEX('02_工程タスク'!$D$4:$D$135,MATCH(A44,'02_工程タスク'!$A$4:$A$135,0))))</f>
        <v>検索・文書更新・ACLの設計</v>
      </c>
      <c r="D44" s="6"/>
      <c r="E44" s="6" t="s">
        <v>1598</v>
      </c>
      <c r="F44" s="6"/>
      <c r="G44" s="6"/>
      <c r="H44" s="5"/>
      <c r="I44" s="5"/>
      <c r="J44" s="5"/>
      <c r="K44" s="5"/>
      <c r="L44" s="6" t="s">
        <v>3629</v>
      </c>
      <c r="M44" s="6"/>
      <c r="N44" s="6"/>
      <c r="O44" s="5"/>
      <c r="P44" s="17"/>
      <c r="Q44" s="17"/>
      <c r="R44" s="6"/>
      <c r="S44" s="6"/>
      <c r="T44" s="6"/>
      <c r="U44" s="5"/>
      <c r="V44" s="6" t="s">
        <v>682</v>
      </c>
      <c r="W44" s="28" t="str">
        <f t="shared" si="24"/>
        <v>適用未判定</v>
      </c>
      <c r="X44" s="28" t="str">
        <f t="shared" si="25"/>
        <v/>
      </c>
      <c r="Y44" s="25" t="str">
        <f t="shared" si="26"/>
        <v/>
      </c>
      <c r="Z44" s="25" t="str">
        <f t="shared" si="27"/>
        <v>適用未判定</v>
      </c>
      <c r="AA44" s="25">
        <f t="shared" si="28"/>
        <v>0</v>
      </c>
      <c r="AB44" s="25" t="str">
        <f t="shared" si="29"/>
        <v>B2-03</v>
      </c>
      <c r="AC44" s="25" t="str">
        <f t="shared" si="30"/>
        <v>B2-02</v>
      </c>
      <c r="AD44" s="25" t="str">
        <f t="shared" si="31"/>
        <v/>
      </c>
      <c r="AE44" s="25" t="str">
        <f t="shared" si="32"/>
        <v/>
      </c>
      <c r="AF44" s="25" t="str">
        <f t="shared" si="33"/>
        <v/>
      </c>
      <c r="AG44" s="25" t="str">
        <f t="shared" si="34"/>
        <v/>
      </c>
      <c r="AH44" s="25" t="str">
        <f t="shared" si="35"/>
        <v/>
      </c>
      <c r="AI44" s="25" t="str">
        <f t="shared" si="36"/>
        <v/>
      </c>
      <c r="AJ44" s="25" t="str">
        <f t="shared" si="37"/>
        <v>未充足</v>
      </c>
      <c r="AK44" s="25" t="str">
        <f t="shared" si="38"/>
        <v>未充足</v>
      </c>
      <c r="AL44" s="25" t="str">
        <f t="shared" si="39"/>
        <v/>
      </c>
      <c r="AM44" s="25" t="str">
        <f t="shared" si="40"/>
        <v/>
      </c>
      <c r="AN44" s="25" t="str">
        <f t="shared" si="41"/>
        <v/>
      </c>
      <c r="AO44" s="25" t="str">
        <f t="shared" si="42"/>
        <v/>
      </c>
      <c r="AP44" s="25" t="str">
        <f t="shared" si="43"/>
        <v/>
      </c>
      <c r="AQ44" s="25" t="str">
        <f t="shared" si="44"/>
        <v/>
      </c>
      <c r="AR44" s="35" t="str">
        <f t="shared" si="45"/>
        <v/>
      </c>
      <c r="AS44" s="28" t="str">
        <f>IF(COUNTIF('02_工程タスク'!$A$4:$A$135,A44)&lt;&gt;1,"参照ID不正",IF(INDEX('02_工程タスク'!$H$4:$H$135,MATCH(A44,'02_工程タスク'!$A$4:$A$135,0))="","",INDEX('02_工程タスク'!$H$4:$H$135,MATCH(A44,'02_工程タスク'!$A$4:$A$135,0))))</f>
        <v>R06</v>
      </c>
      <c r="AT44" s="28" t="str">
        <f t="shared" si="46"/>
        <v>INIT-B2-04</v>
      </c>
      <c r="AU44" s="29" t="s">
        <v>3630</v>
      </c>
      <c r="AV44" s="29"/>
      <c r="AW44" s="29"/>
      <c r="AX44" s="32"/>
      <c r="AY44" s="29"/>
      <c r="AZ44" s="29"/>
      <c r="BA44" s="32"/>
      <c r="BB44" s="28" t="str">
        <f>IF(COUNTIF('02_工程タスク'!$A$4:$A$135,A44)&lt;&gt;1,"参照ID不正",IF(INDEX('02_工程タスク'!$O$4:$O$135,MATCH(A44,'02_工程タスク'!$A$4:$A$135,0))="","",INDEX('02_工程タスク'!$O$4:$O$135,MATCH(A44,'02_工程タスク'!$A$4:$A$135,0))))</f>
        <v>B2-03,B2-02</v>
      </c>
      <c r="BC44" s="28" t="str">
        <f t="shared" si="47"/>
        <v>記法OK</v>
      </c>
      <c r="BD44" s="28" t="str">
        <f>IF(A44="B6-01",IF(OR(AV44="",COUNTIF('29_ゲート承認記録'!$F$4:$F$83,AV44)&lt;&gt;1),"終了開始根拠不足",IF(IF(COUNTIF('29_ゲート承認記録'!$F$4:$F$83,AV44)&lt;&gt;1,"参照ID不正",IF(INDEX('29_ゲート承認記録'!$L$4:$L$83,MATCH(AV44,'29_ゲート承認記録'!$F$4:$F$83,0))="","",INDEX('29_ゲート承認記録'!$L$4:$L$83,MATCH(AV44,'29_ゲート承認記録'!$F$4:$F$83,0))))&lt;&gt;"Stop","Stop判断要確認","開始根拠あり")),IF(AND(A44="B5-18",AU44="事故"),IF(AV44="","事故レビュー参照不足","開始根拠あり"),"開始根拠あり"))</f>
        <v>開始根拠あり</v>
      </c>
      <c r="BE44" s="29"/>
      <c r="BF44" s="29"/>
    </row>
    <row r="45" spans="1:58" ht="38" customHeight="1" x14ac:dyDescent="0.2">
      <c r="A45" s="11" t="s">
        <v>685</v>
      </c>
      <c r="B45" s="28" t="str">
        <f>IF(COUNTIF('02_工程タスク'!$A$4:$A$135,A45)&lt;&gt;1,"参照ID不正",IF(INDEX('02_工程タスク'!$B$4:$B$135,MATCH(A45,'02_工程タスク'!$A$4:$A$135,0))="","",INDEX('02_工程タスク'!$B$4:$B$135,MATCH(A45,'02_工程タスク'!$A$4:$A$135,0))))</f>
        <v>設計</v>
      </c>
      <c r="C45" s="28" t="str">
        <f>IF(COUNTIF('02_工程タスク'!$A$4:$A$135,A45)&lt;&gt;1,"参照ID不正",IF(INDEX('02_工程タスク'!$D$4:$D$135,MATCH(A45,'02_工程タスク'!$A$4:$A$135,0))="","",INDEX('02_工程タスク'!$D$4:$D$135,MATCH(A45,'02_工程タスク'!$A$4:$A$135,0))))</f>
        <v>学習・特徴量・データ分割の設計</v>
      </c>
      <c r="D45" s="6"/>
      <c r="E45" s="6" t="s">
        <v>1598</v>
      </c>
      <c r="F45" s="6"/>
      <c r="G45" s="6"/>
      <c r="H45" s="5"/>
      <c r="I45" s="5"/>
      <c r="J45" s="5"/>
      <c r="K45" s="5"/>
      <c r="L45" s="6" t="s">
        <v>3629</v>
      </c>
      <c r="M45" s="6"/>
      <c r="N45" s="6"/>
      <c r="O45" s="5"/>
      <c r="P45" s="17"/>
      <c r="Q45" s="17"/>
      <c r="R45" s="6"/>
      <c r="S45" s="6"/>
      <c r="T45" s="6"/>
      <c r="U45" s="5"/>
      <c r="V45" s="6" t="s">
        <v>692</v>
      </c>
      <c r="W45" s="28" t="str">
        <f t="shared" si="24"/>
        <v>適用未判定</v>
      </c>
      <c r="X45" s="28" t="str">
        <f t="shared" si="25"/>
        <v/>
      </c>
      <c r="Y45" s="26" t="str">
        <f t="shared" si="26"/>
        <v/>
      </c>
      <c r="Z45" s="26" t="str">
        <f t="shared" si="27"/>
        <v>適用未判定</v>
      </c>
      <c r="AA45" s="26">
        <f t="shared" si="28"/>
        <v>0</v>
      </c>
      <c r="AB45" s="26" t="str">
        <f t="shared" si="29"/>
        <v>B2-03</v>
      </c>
      <c r="AC45" s="26" t="str">
        <f t="shared" si="30"/>
        <v>B1-07</v>
      </c>
      <c r="AD45" s="26" t="str">
        <f t="shared" si="31"/>
        <v/>
      </c>
      <c r="AE45" s="26" t="str">
        <f t="shared" si="32"/>
        <v/>
      </c>
      <c r="AF45" s="26" t="str">
        <f t="shared" si="33"/>
        <v/>
      </c>
      <c r="AG45" s="26" t="str">
        <f t="shared" si="34"/>
        <v/>
      </c>
      <c r="AH45" s="26" t="str">
        <f t="shared" si="35"/>
        <v/>
      </c>
      <c r="AI45" s="26" t="str">
        <f t="shared" si="36"/>
        <v/>
      </c>
      <c r="AJ45" s="26" t="str">
        <f t="shared" si="37"/>
        <v>未充足</v>
      </c>
      <c r="AK45" s="26" t="str">
        <f t="shared" si="38"/>
        <v>未充足</v>
      </c>
      <c r="AL45" s="26" t="str">
        <f t="shared" si="39"/>
        <v/>
      </c>
      <c r="AM45" s="26" t="str">
        <f t="shared" si="40"/>
        <v/>
      </c>
      <c r="AN45" s="26" t="str">
        <f t="shared" si="41"/>
        <v/>
      </c>
      <c r="AO45" s="26" t="str">
        <f t="shared" si="42"/>
        <v/>
      </c>
      <c r="AP45" s="26" t="str">
        <f t="shared" si="43"/>
        <v/>
      </c>
      <c r="AQ45" s="26" t="str">
        <f t="shared" si="44"/>
        <v/>
      </c>
      <c r="AR45" s="36" t="str">
        <f t="shared" si="45"/>
        <v/>
      </c>
      <c r="AS45" s="28" t="str">
        <f>IF(COUNTIF('02_工程タスク'!$A$4:$A$135,A45)&lt;&gt;1,"参照ID不正",IF(INDEX('02_工程タスク'!$H$4:$H$135,MATCH(A45,'02_工程タスク'!$A$4:$A$135,0))="","",INDEX('02_工程タスク'!$H$4:$H$135,MATCH(A45,'02_工程タスク'!$A$4:$A$135,0))))</f>
        <v>R06</v>
      </c>
      <c r="AT45" s="28" t="str">
        <f t="shared" si="46"/>
        <v>INIT-B2-05</v>
      </c>
      <c r="AU45" s="29" t="s">
        <v>3630</v>
      </c>
      <c r="AV45" s="29"/>
      <c r="AW45" s="29"/>
      <c r="AX45" s="32"/>
      <c r="AY45" s="29"/>
      <c r="AZ45" s="29"/>
      <c r="BA45" s="32"/>
      <c r="BB45" s="28" t="str">
        <f>IF(COUNTIF('02_工程タスク'!$A$4:$A$135,A45)&lt;&gt;1,"参照ID不正",IF(INDEX('02_工程タスク'!$O$4:$O$135,MATCH(A45,'02_工程タスク'!$A$4:$A$135,0))="","",INDEX('02_工程タスク'!$O$4:$O$135,MATCH(A45,'02_工程タスク'!$A$4:$A$135,0))))</f>
        <v>B2-03,B1-07</v>
      </c>
      <c r="BC45" s="28" t="str">
        <f t="shared" si="47"/>
        <v>記法OK</v>
      </c>
      <c r="BD45" s="28" t="str">
        <f>IF(A45="B6-01",IF(OR(AV45="",COUNTIF('29_ゲート承認記録'!$F$4:$F$83,AV45)&lt;&gt;1),"終了開始根拠不足",IF(IF(COUNTIF('29_ゲート承認記録'!$F$4:$F$83,AV45)&lt;&gt;1,"参照ID不正",IF(INDEX('29_ゲート承認記録'!$L$4:$L$83,MATCH(AV45,'29_ゲート承認記録'!$F$4:$F$83,0))="","",INDEX('29_ゲート承認記録'!$L$4:$L$83,MATCH(AV45,'29_ゲート承認記録'!$F$4:$F$83,0))))&lt;&gt;"Stop","Stop判断要確認","開始根拠あり")),IF(AND(A45="B5-18",AU45="事故"),IF(AV45="","事故レビュー参照不足","開始根拠あり"),"開始根拠あり"))</f>
        <v>開始根拠あり</v>
      </c>
      <c r="BE45" s="29"/>
      <c r="BF45" s="29"/>
    </row>
    <row r="46" spans="1:58" ht="38" customHeight="1" x14ac:dyDescent="0.2">
      <c r="A46" s="11" t="s">
        <v>695</v>
      </c>
      <c r="B46" s="28" t="str">
        <f>IF(COUNTIF('02_工程タスク'!$A$4:$A$135,A46)&lt;&gt;1,"参照ID不正",IF(INDEX('02_工程タスク'!$B$4:$B$135,MATCH(A46,'02_工程タスク'!$A$4:$A$135,0))="","",INDEX('02_工程タスク'!$B$4:$B$135,MATCH(A46,'02_工程タスク'!$A$4:$A$135,0))))</f>
        <v>設計</v>
      </c>
      <c r="C46" s="28" t="str">
        <f>IF(COUNTIF('02_工程タスク'!$A$4:$A$135,A46)&lt;&gt;1,"参照ID不正",IF(INDEX('02_工程タスク'!$D$4:$D$135,MATCH(A46,'02_工程タスク'!$A$4:$A$135,0))="","",INDEX('02_工程タスク'!$D$4:$D$135,MATCH(A46,'02_工程タスク'!$A$4:$A$135,0))))</f>
        <v>ツール・状態・行動権限の設計</v>
      </c>
      <c r="D46" s="6"/>
      <c r="E46" s="6" t="s">
        <v>1598</v>
      </c>
      <c r="F46" s="6"/>
      <c r="G46" s="6"/>
      <c r="H46" s="5"/>
      <c r="I46" s="5"/>
      <c r="J46" s="5"/>
      <c r="K46" s="5"/>
      <c r="L46" s="6" t="s">
        <v>3629</v>
      </c>
      <c r="M46" s="6"/>
      <c r="N46" s="6"/>
      <c r="O46" s="5"/>
      <c r="P46" s="17"/>
      <c r="Q46" s="17"/>
      <c r="R46" s="6"/>
      <c r="S46" s="6"/>
      <c r="T46" s="6"/>
      <c r="U46" s="5"/>
      <c r="V46" s="6" t="s">
        <v>703</v>
      </c>
      <c r="W46" s="28" t="str">
        <f t="shared" si="24"/>
        <v>適用未判定</v>
      </c>
      <c r="X46" s="28" t="str">
        <f t="shared" si="25"/>
        <v/>
      </c>
      <c r="Y46" s="25" t="str">
        <f t="shared" si="26"/>
        <v/>
      </c>
      <c r="Z46" s="25" t="str">
        <f t="shared" si="27"/>
        <v>適用未判定</v>
      </c>
      <c r="AA46" s="25">
        <f t="shared" si="28"/>
        <v>0</v>
      </c>
      <c r="AB46" s="25" t="str">
        <f t="shared" si="29"/>
        <v>B1-06</v>
      </c>
      <c r="AC46" s="25" t="str">
        <f t="shared" si="30"/>
        <v>B2-01</v>
      </c>
      <c r="AD46" s="25" t="str">
        <f t="shared" si="31"/>
        <v/>
      </c>
      <c r="AE46" s="25" t="str">
        <f t="shared" si="32"/>
        <v/>
      </c>
      <c r="AF46" s="25" t="str">
        <f t="shared" si="33"/>
        <v/>
      </c>
      <c r="AG46" s="25" t="str">
        <f t="shared" si="34"/>
        <v/>
      </c>
      <c r="AH46" s="25" t="str">
        <f t="shared" si="35"/>
        <v/>
      </c>
      <c r="AI46" s="25" t="str">
        <f t="shared" si="36"/>
        <v/>
      </c>
      <c r="AJ46" s="25" t="str">
        <f t="shared" si="37"/>
        <v>未充足</v>
      </c>
      <c r="AK46" s="25" t="str">
        <f t="shared" si="38"/>
        <v>未充足</v>
      </c>
      <c r="AL46" s="25" t="str">
        <f t="shared" si="39"/>
        <v/>
      </c>
      <c r="AM46" s="25" t="str">
        <f t="shared" si="40"/>
        <v/>
      </c>
      <c r="AN46" s="25" t="str">
        <f t="shared" si="41"/>
        <v/>
      </c>
      <c r="AO46" s="25" t="str">
        <f t="shared" si="42"/>
        <v/>
      </c>
      <c r="AP46" s="25" t="str">
        <f t="shared" si="43"/>
        <v/>
      </c>
      <c r="AQ46" s="25" t="str">
        <f t="shared" si="44"/>
        <v/>
      </c>
      <c r="AR46" s="35" t="str">
        <f t="shared" si="45"/>
        <v/>
      </c>
      <c r="AS46" s="28" t="str">
        <f>IF(COUNTIF('02_工程タスク'!$A$4:$A$135,A46)&lt;&gt;1,"参照ID不正",IF(INDEX('02_工程タスク'!$H$4:$H$135,MATCH(A46,'02_工程タスク'!$A$4:$A$135,0))="","",INDEX('02_工程タスク'!$H$4:$H$135,MATCH(A46,'02_工程タスク'!$A$4:$A$135,0))))</f>
        <v>R06</v>
      </c>
      <c r="AT46" s="28" t="str">
        <f t="shared" si="46"/>
        <v>INIT-B2-06</v>
      </c>
      <c r="AU46" s="29" t="s">
        <v>3630</v>
      </c>
      <c r="AV46" s="29"/>
      <c r="AW46" s="29"/>
      <c r="AX46" s="32"/>
      <c r="AY46" s="29"/>
      <c r="AZ46" s="29"/>
      <c r="BA46" s="32"/>
      <c r="BB46" s="28" t="str">
        <f>IF(COUNTIF('02_工程タスク'!$A$4:$A$135,A46)&lt;&gt;1,"参照ID不正",IF(INDEX('02_工程タスク'!$O$4:$O$135,MATCH(A46,'02_工程タスク'!$A$4:$A$135,0))="","",INDEX('02_工程タスク'!$O$4:$O$135,MATCH(A46,'02_工程タスク'!$A$4:$A$135,0))))</f>
        <v>B1-06,B2-01</v>
      </c>
      <c r="BC46" s="28" t="str">
        <f t="shared" si="47"/>
        <v>記法OK</v>
      </c>
      <c r="BD46" s="28" t="str">
        <f>IF(A46="B6-01",IF(OR(AV46="",COUNTIF('29_ゲート承認記録'!$F$4:$F$83,AV46)&lt;&gt;1),"終了開始根拠不足",IF(IF(COUNTIF('29_ゲート承認記録'!$F$4:$F$83,AV46)&lt;&gt;1,"参照ID不正",IF(INDEX('29_ゲート承認記録'!$L$4:$L$83,MATCH(AV46,'29_ゲート承認記録'!$F$4:$F$83,0))="","",INDEX('29_ゲート承認記録'!$L$4:$L$83,MATCH(AV46,'29_ゲート承認記録'!$F$4:$F$83,0))))&lt;&gt;"Stop","Stop判断要確認","開始根拠あり")),IF(AND(A46="B5-18",AU46="事故"),IF(AV46="","事故レビュー参照不足","開始根拠あり"),"開始根拠あり"))</f>
        <v>開始根拠あり</v>
      </c>
      <c r="BE46" s="29"/>
      <c r="BF46" s="29"/>
    </row>
    <row r="47" spans="1:58" ht="38" customHeight="1" x14ac:dyDescent="0.2">
      <c r="A47" s="11" t="s">
        <v>708</v>
      </c>
      <c r="B47" s="28" t="str">
        <f>IF(COUNTIF('02_工程タスク'!$A$4:$A$135,A47)&lt;&gt;1,"参照ID不正",IF(INDEX('02_工程タスク'!$B$4:$B$135,MATCH(A47,'02_工程タスク'!$A$4:$A$135,0))="","",INDEX('02_工程タスク'!$B$4:$B$135,MATCH(A47,'02_工程タスク'!$A$4:$A$135,0))))</f>
        <v>設計</v>
      </c>
      <c r="C47" s="28" t="str">
        <f>IF(COUNTIF('02_工程タスク'!$A$4:$A$135,A47)&lt;&gt;1,"参照ID不正",IF(INDEX('02_工程タスク'!$D$4:$D$135,MATCH(A47,'02_工程タスク'!$A$4:$A$135,0))="","",INDEX('02_工程タスク'!$D$4:$D$135,MATCH(A47,'02_工程タスク'!$A$4:$A$135,0))))</f>
        <v>製品AI・開発Agentの別脅威モデル</v>
      </c>
      <c r="D47" s="6"/>
      <c r="E47" s="6" t="s">
        <v>1598</v>
      </c>
      <c r="F47" s="6"/>
      <c r="G47" s="6"/>
      <c r="H47" s="5"/>
      <c r="I47" s="5"/>
      <c r="J47" s="5"/>
      <c r="K47" s="5"/>
      <c r="L47" s="6" t="s">
        <v>3629</v>
      </c>
      <c r="M47" s="6"/>
      <c r="N47" s="6"/>
      <c r="O47" s="5"/>
      <c r="P47" s="17"/>
      <c r="Q47" s="17"/>
      <c r="R47" s="6"/>
      <c r="S47" s="6"/>
      <c r="T47" s="6"/>
      <c r="U47" s="5"/>
      <c r="V47" s="6" t="s">
        <v>716</v>
      </c>
      <c r="W47" s="28" t="str">
        <f t="shared" si="24"/>
        <v>適用未判定</v>
      </c>
      <c r="X47" s="28" t="str">
        <f t="shared" si="25"/>
        <v/>
      </c>
      <c r="Y47" s="26" t="str">
        <f t="shared" si="26"/>
        <v/>
      </c>
      <c r="Z47" s="26" t="str">
        <f t="shared" si="27"/>
        <v>適用未判定</v>
      </c>
      <c r="AA47" s="26">
        <f t="shared" si="28"/>
        <v>0</v>
      </c>
      <c r="AB47" s="26" t="str">
        <f t="shared" si="29"/>
        <v>B1-10</v>
      </c>
      <c r="AC47" s="26" t="str">
        <f t="shared" si="30"/>
        <v>B1-14</v>
      </c>
      <c r="AD47" s="26" t="str">
        <f t="shared" si="31"/>
        <v>B2-03</v>
      </c>
      <c r="AE47" s="26" t="str">
        <f t="shared" si="32"/>
        <v/>
      </c>
      <c r="AF47" s="26" t="str">
        <f t="shared" si="33"/>
        <v/>
      </c>
      <c r="AG47" s="26" t="str">
        <f t="shared" si="34"/>
        <v/>
      </c>
      <c r="AH47" s="26" t="str">
        <f t="shared" si="35"/>
        <v/>
      </c>
      <c r="AI47" s="26" t="str">
        <f t="shared" si="36"/>
        <v/>
      </c>
      <c r="AJ47" s="26" t="str">
        <f t="shared" si="37"/>
        <v>未充足</v>
      </c>
      <c r="AK47" s="26" t="str">
        <f t="shared" si="38"/>
        <v>未充足</v>
      </c>
      <c r="AL47" s="26" t="str">
        <f t="shared" si="39"/>
        <v>未充足</v>
      </c>
      <c r="AM47" s="26" t="str">
        <f t="shared" si="40"/>
        <v/>
      </c>
      <c r="AN47" s="26" t="str">
        <f t="shared" si="41"/>
        <v/>
      </c>
      <c r="AO47" s="26" t="str">
        <f t="shared" si="42"/>
        <v/>
      </c>
      <c r="AP47" s="26" t="str">
        <f t="shared" si="43"/>
        <v/>
      </c>
      <c r="AQ47" s="26" t="str">
        <f t="shared" si="44"/>
        <v/>
      </c>
      <c r="AR47" s="36" t="str">
        <f t="shared" si="45"/>
        <v/>
      </c>
      <c r="AS47" s="28" t="str">
        <f>IF(COUNTIF('02_工程タスク'!$A$4:$A$135,A47)&lt;&gt;1,"参照ID不正",IF(INDEX('02_工程タスク'!$H$4:$H$135,MATCH(A47,'02_工程タスク'!$A$4:$A$135,0))="","",INDEX('02_工程タスク'!$H$4:$H$135,MATCH(A47,'02_工程タスク'!$A$4:$A$135,0))))</f>
        <v>R13</v>
      </c>
      <c r="AT47" s="28" t="str">
        <f t="shared" si="46"/>
        <v>INIT-B2-07</v>
      </c>
      <c r="AU47" s="29" t="s">
        <v>3630</v>
      </c>
      <c r="AV47" s="29"/>
      <c r="AW47" s="29"/>
      <c r="AX47" s="32"/>
      <c r="AY47" s="29"/>
      <c r="AZ47" s="29"/>
      <c r="BA47" s="32"/>
      <c r="BB47" s="28" t="str">
        <f>IF(COUNTIF('02_工程タスク'!$A$4:$A$135,A47)&lt;&gt;1,"参照ID不正",IF(INDEX('02_工程タスク'!$O$4:$O$135,MATCH(A47,'02_工程タスク'!$A$4:$A$135,0))="","",INDEX('02_工程タスク'!$O$4:$O$135,MATCH(A47,'02_工程タスク'!$A$4:$A$135,0))))</f>
        <v>B1-10,B1-14,B2-03</v>
      </c>
      <c r="BC47" s="28" t="str">
        <f t="shared" si="47"/>
        <v>記法OK</v>
      </c>
      <c r="BD47" s="28" t="str">
        <f>IF(A47="B6-01",IF(OR(AV47="",COUNTIF('29_ゲート承認記録'!$F$4:$F$83,AV47)&lt;&gt;1),"終了開始根拠不足",IF(IF(COUNTIF('29_ゲート承認記録'!$F$4:$F$83,AV47)&lt;&gt;1,"参照ID不正",IF(INDEX('29_ゲート承認記録'!$L$4:$L$83,MATCH(AV47,'29_ゲート承認記録'!$F$4:$F$83,0))="","",INDEX('29_ゲート承認記録'!$L$4:$L$83,MATCH(AV47,'29_ゲート承認記録'!$F$4:$F$83,0))))&lt;&gt;"Stop","Stop判断要確認","開始根拠あり")),IF(AND(A47="B5-18",AU47="事故"),IF(AV47="","事故レビュー参照不足","開始根拠あり"),"開始根拠あり"))</f>
        <v>開始根拠あり</v>
      </c>
      <c r="BE47" s="29"/>
      <c r="BF47" s="29"/>
    </row>
    <row r="48" spans="1:58" ht="38" customHeight="1" x14ac:dyDescent="0.2">
      <c r="A48" s="11" t="s">
        <v>721</v>
      </c>
      <c r="B48" s="28" t="str">
        <f>IF(COUNTIF('02_工程タスク'!$A$4:$A$135,A48)&lt;&gt;1,"参照ID不正",IF(INDEX('02_工程タスク'!$B$4:$B$135,MATCH(A48,'02_工程タスク'!$A$4:$A$135,0))="","",INDEX('02_工程タスク'!$B$4:$B$135,MATCH(A48,'02_工程タスク'!$A$4:$A$135,0))))</f>
        <v>設計</v>
      </c>
      <c r="C48" s="28" t="str">
        <f>IF(COUNTIF('02_工程タスク'!$A$4:$A$135,A48)&lt;&gt;1,"参照ID不正",IF(INDEX('02_工程タスク'!$D$4:$D$135,MATCH(A48,'02_工程タスク'!$A$4:$A$135,0))="","",INDEX('02_工程タスク'!$D$4:$D$135,MATCH(A48,'02_工程タスク'!$A$4:$A$135,0))))</f>
        <v>安全な対話・根拠提示・人への移管</v>
      </c>
      <c r="D48" s="6"/>
      <c r="E48" s="6" t="s">
        <v>1598</v>
      </c>
      <c r="F48" s="6"/>
      <c r="G48" s="6"/>
      <c r="H48" s="5"/>
      <c r="I48" s="5"/>
      <c r="J48" s="5"/>
      <c r="K48" s="5"/>
      <c r="L48" s="6" t="s">
        <v>3629</v>
      </c>
      <c r="M48" s="6"/>
      <c r="N48" s="6"/>
      <c r="O48" s="5"/>
      <c r="P48" s="17"/>
      <c r="Q48" s="17"/>
      <c r="R48" s="6"/>
      <c r="S48" s="6"/>
      <c r="T48" s="6"/>
      <c r="U48" s="5"/>
      <c r="V48" s="6" t="s">
        <v>728</v>
      </c>
      <c r="W48" s="28" t="str">
        <f t="shared" si="24"/>
        <v>適用未判定</v>
      </c>
      <c r="X48" s="28" t="str">
        <f t="shared" si="25"/>
        <v/>
      </c>
      <c r="Y48" s="25" t="str">
        <f t="shared" si="26"/>
        <v/>
      </c>
      <c r="Z48" s="25" t="str">
        <f t="shared" si="27"/>
        <v>適用未判定</v>
      </c>
      <c r="AA48" s="25">
        <f t="shared" si="28"/>
        <v>0</v>
      </c>
      <c r="AB48" s="25" t="str">
        <f t="shared" si="29"/>
        <v>B1-09</v>
      </c>
      <c r="AC48" s="25" t="str">
        <f t="shared" si="30"/>
        <v>B2-06</v>
      </c>
      <c r="AD48" s="25" t="str">
        <f t="shared" si="31"/>
        <v/>
      </c>
      <c r="AE48" s="25" t="str">
        <f t="shared" si="32"/>
        <v/>
      </c>
      <c r="AF48" s="25" t="str">
        <f t="shared" si="33"/>
        <v/>
      </c>
      <c r="AG48" s="25" t="str">
        <f t="shared" si="34"/>
        <v/>
      </c>
      <c r="AH48" s="25" t="str">
        <f t="shared" si="35"/>
        <v/>
      </c>
      <c r="AI48" s="25" t="str">
        <f t="shared" si="36"/>
        <v/>
      </c>
      <c r="AJ48" s="25" t="str">
        <f t="shared" si="37"/>
        <v>未充足</v>
      </c>
      <c r="AK48" s="25" t="str">
        <f t="shared" si="38"/>
        <v>未充足</v>
      </c>
      <c r="AL48" s="25" t="str">
        <f t="shared" si="39"/>
        <v/>
      </c>
      <c r="AM48" s="25" t="str">
        <f t="shared" si="40"/>
        <v/>
      </c>
      <c r="AN48" s="25" t="str">
        <f t="shared" si="41"/>
        <v/>
      </c>
      <c r="AO48" s="25" t="str">
        <f t="shared" si="42"/>
        <v/>
      </c>
      <c r="AP48" s="25" t="str">
        <f t="shared" si="43"/>
        <v/>
      </c>
      <c r="AQ48" s="25" t="str">
        <f t="shared" si="44"/>
        <v/>
      </c>
      <c r="AR48" s="35" t="str">
        <f t="shared" si="45"/>
        <v/>
      </c>
      <c r="AS48" s="28" t="str">
        <f>IF(COUNTIF('02_工程タスク'!$A$4:$A$135,A48)&lt;&gt;1,"参照ID不正",IF(INDEX('02_工程タスク'!$H$4:$H$135,MATCH(A48,'02_工程タスク'!$A$4:$A$135,0))="","",INDEX('02_工程タスク'!$H$4:$H$135,MATCH(A48,'02_工程タスク'!$A$4:$A$135,0))))</f>
        <v>R02</v>
      </c>
      <c r="AT48" s="28" t="str">
        <f t="shared" si="46"/>
        <v>INIT-B2-08</v>
      </c>
      <c r="AU48" s="29" t="s">
        <v>3630</v>
      </c>
      <c r="AV48" s="29"/>
      <c r="AW48" s="29"/>
      <c r="AX48" s="32"/>
      <c r="AY48" s="29"/>
      <c r="AZ48" s="29"/>
      <c r="BA48" s="32"/>
      <c r="BB48" s="28" t="str">
        <f>IF(COUNTIF('02_工程タスク'!$A$4:$A$135,A48)&lt;&gt;1,"参照ID不正",IF(INDEX('02_工程タスク'!$O$4:$O$135,MATCH(A48,'02_工程タスク'!$A$4:$A$135,0))="","",INDEX('02_工程タスク'!$O$4:$O$135,MATCH(A48,'02_工程タスク'!$A$4:$A$135,0))))</f>
        <v>B1-09,B2-06</v>
      </c>
      <c r="BC48" s="28" t="str">
        <f t="shared" si="47"/>
        <v>記法OK</v>
      </c>
      <c r="BD48" s="28" t="str">
        <f>IF(A48="B6-01",IF(OR(AV48="",COUNTIF('29_ゲート承認記録'!$F$4:$F$83,AV48)&lt;&gt;1),"終了開始根拠不足",IF(IF(COUNTIF('29_ゲート承認記録'!$F$4:$F$83,AV48)&lt;&gt;1,"参照ID不正",IF(INDEX('29_ゲート承認記録'!$L$4:$L$83,MATCH(AV48,'29_ゲート承認記録'!$F$4:$F$83,0))="","",INDEX('29_ゲート承認記録'!$L$4:$L$83,MATCH(AV48,'29_ゲート承認記録'!$F$4:$F$83,0))))&lt;&gt;"Stop","Stop判断要確認","開始根拠あり")),IF(AND(A48="B5-18",AU48="事故"),IF(AV48="","事故レビュー参照不足","開始根拠あり"),"開始根拠あり"))</f>
        <v>開始根拠あり</v>
      </c>
      <c r="BE48" s="29"/>
      <c r="BF48" s="29"/>
    </row>
    <row r="49" spans="1:58" ht="38" customHeight="1" x14ac:dyDescent="0.2">
      <c r="A49" s="11" t="s">
        <v>730</v>
      </c>
      <c r="B49" s="28" t="str">
        <f>IF(COUNTIF('02_工程タスク'!$A$4:$A$135,A49)&lt;&gt;1,"参照ID不正",IF(INDEX('02_工程タスク'!$B$4:$B$135,MATCH(A49,'02_工程タスク'!$A$4:$A$135,0))="","",INDEX('02_工程タスク'!$B$4:$B$135,MATCH(A49,'02_工程タスク'!$A$4:$A$135,0))))</f>
        <v>設計</v>
      </c>
      <c r="C49" s="28" t="str">
        <f>IF(COUNTIF('02_工程タスク'!$A$4:$A$135,A49)&lt;&gt;1,"参照ID不正",IF(INDEX('02_工程タスク'!$D$4:$D$135,MATCH(A49,'02_工程タスク'!$A$4:$A$135,0))="","",INDEX('02_工程タスク'!$D$4:$D$135,MATCH(A49,'02_工程タスク'!$A$4:$A$135,0))))</f>
        <v>API・認証・テナント分離</v>
      </c>
      <c r="D49" s="6"/>
      <c r="E49" s="6" t="s">
        <v>1598</v>
      </c>
      <c r="F49" s="6"/>
      <c r="G49" s="6"/>
      <c r="H49" s="5"/>
      <c r="I49" s="5"/>
      <c r="J49" s="5"/>
      <c r="K49" s="5"/>
      <c r="L49" s="6" t="s">
        <v>3629</v>
      </c>
      <c r="M49" s="6"/>
      <c r="N49" s="6"/>
      <c r="O49" s="5"/>
      <c r="P49" s="17"/>
      <c r="Q49" s="17"/>
      <c r="R49" s="6"/>
      <c r="S49" s="6"/>
      <c r="T49" s="6"/>
      <c r="U49" s="5"/>
      <c r="V49" s="6" t="s">
        <v>737</v>
      </c>
      <c r="W49" s="28" t="str">
        <f t="shared" si="24"/>
        <v>適用未判定</v>
      </c>
      <c r="X49" s="28" t="str">
        <f t="shared" si="25"/>
        <v/>
      </c>
      <c r="Y49" s="26" t="str">
        <f t="shared" si="26"/>
        <v/>
      </c>
      <c r="Z49" s="26" t="str">
        <f t="shared" si="27"/>
        <v>適用未判定</v>
      </c>
      <c r="AA49" s="26">
        <f t="shared" si="28"/>
        <v>0</v>
      </c>
      <c r="AB49" s="26" t="str">
        <f t="shared" si="29"/>
        <v>B2-01</v>
      </c>
      <c r="AC49" s="26" t="str">
        <f t="shared" si="30"/>
        <v>B2-07</v>
      </c>
      <c r="AD49" s="26" t="str">
        <f t="shared" si="31"/>
        <v/>
      </c>
      <c r="AE49" s="26" t="str">
        <f t="shared" si="32"/>
        <v/>
      </c>
      <c r="AF49" s="26" t="str">
        <f t="shared" si="33"/>
        <v/>
      </c>
      <c r="AG49" s="26" t="str">
        <f t="shared" si="34"/>
        <v/>
      </c>
      <c r="AH49" s="26" t="str">
        <f t="shared" si="35"/>
        <v/>
      </c>
      <c r="AI49" s="26" t="str">
        <f t="shared" si="36"/>
        <v/>
      </c>
      <c r="AJ49" s="26" t="str">
        <f t="shared" si="37"/>
        <v>未充足</v>
      </c>
      <c r="AK49" s="26" t="str">
        <f t="shared" si="38"/>
        <v>未充足</v>
      </c>
      <c r="AL49" s="26" t="str">
        <f t="shared" si="39"/>
        <v/>
      </c>
      <c r="AM49" s="26" t="str">
        <f t="shared" si="40"/>
        <v/>
      </c>
      <c r="AN49" s="26" t="str">
        <f t="shared" si="41"/>
        <v/>
      </c>
      <c r="AO49" s="26" t="str">
        <f t="shared" si="42"/>
        <v/>
      </c>
      <c r="AP49" s="26" t="str">
        <f t="shared" si="43"/>
        <v/>
      </c>
      <c r="AQ49" s="26" t="str">
        <f t="shared" si="44"/>
        <v/>
      </c>
      <c r="AR49" s="36" t="str">
        <f t="shared" si="45"/>
        <v/>
      </c>
      <c r="AS49" s="28" t="str">
        <f>IF(COUNTIF('02_工程タスク'!$A$4:$A$135,A49)&lt;&gt;1,"参照ID不正",IF(INDEX('02_工程タスク'!$H$4:$H$135,MATCH(A49,'02_工程タスク'!$A$4:$A$135,0))="","",INDEX('02_工程タスク'!$H$4:$H$135,MATCH(A49,'02_工程タスク'!$A$4:$A$135,0))))</f>
        <v>R06</v>
      </c>
      <c r="AT49" s="28" t="str">
        <f t="shared" si="46"/>
        <v>INIT-B2-09</v>
      </c>
      <c r="AU49" s="29" t="s">
        <v>3630</v>
      </c>
      <c r="AV49" s="29"/>
      <c r="AW49" s="29"/>
      <c r="AX49" s="32"/>
      <c r="AY49" s="29"/>
      <c r="AZ49" s="29"/>
      <c r="BA49" s="32"/>
      <c r="BB49" s="28" t="str">
        <f>IF(COUNTIF('02_工程タスク'!$A$4:$A$135,A49)&lt;&gt;1,"参照ID不正",IF(INDEX('02_工程タスク'!$O$4:$O$135,MATCH(A49,'02_工程タスク'!$A$4:$A$135,0))="","",INDEX('02_工程タスク'!$O$4:$O$135,MATCH(A49,'02_工程タスク'!$A$4:$A$135,0))))</f>
        <v>B2-01,B2-07</v>
      </c>
      <c r="BC49" s="28" t="str">
        <f t="shared" si="47"/>
        <v>記法OK</v>
      </c>
      <c r="BD49" s="28" t="str">
        <f>IF(A49="B6-01",IF(OR(AV49="",COUNTIF('29_ゲート承認記録'!$F$4:$F$83,AV49)&lt;&gt;1),"終了開始根拠不足",IF(IF(COUNTIF('29_ゲート承認記録'!$F$4:$F$83,AV49)&lt;&gt;1,"参照ID不正",IF(INDEX('29_ゲート承認記録'!$L$4:$L$83,MATCH(AV49,'29_ゲート承認記録'!$F$4:$F$83,0))="","",INDEX('29_ゲート承認記録'!$L$4:$L$83,MATCH(AV49,'29_ゲート承認記録'!$F$4:$F$83,0))))&lt;&gt;"Stop","Stop判断要確認","開始根拠あり")),IF(AND(A49="B5-18",AU49="事故"),IF(AV49="","事故レビュー参照不足","開始根拠あり"),"開始根拠あり"))</f>
        <v>開始根拠あり</v>
      </c>
      <c r="BE49" s="29"/>
      <c r="BF49" s="29"/>
    </row>
    <row r="50" spans="1:58" ht="38" customHeight="1" x14ac:dyDescent="0.2">
      <c r="A50" s="11" t="s">
        <v>740</v>
      </c>
      <c r="B50" s="28" t="str">
        <f>IF(COUNTIF('02_工程タスク'!$A$4:$A$135,A50)&lt;&gt;1,"参照ID不正",IF(INDEX('02_工程タスク'!$B$4:$B$135,MATCH(A50,'02_工程タスク'!$A$4:$A$135,0))="","",INDEX('02_工程タスク'!$B$4:$B$135,MATCH(A50,'02_工程タスク'!$A$4:$A$135,0))))</f>
        <v>設計</v>
      </c>
      <c r="C50" s="28" t="str">
        <f>IF(COUNTIF('02_工程タスク'!$A$4:$A$135,A50)&lt;&gt;1,"参照ID不正",IF(INDEX('02_工程タスク'!$D$4:$D$135,MATCH(A50,'02_工程タスク'!$A$4:$A$135,0))="","",INDEX('02_工程タスク'!$D$4:$D$135,MATCH(A50,'02_工程タスク'!$A$4:$A$135,0))))</f>
        <v>Eval Harness・凍結セットの設計</v>
      </c>
      <c r="D50" s="6"/>
      <c r="E50" s="6" t="s">
        <v>1598</v>
      </c>
      <c r="F50" s="6"/>
      <c r="G50" s="6"/>
      <c r="H50" s="5"/>
      <c r="I50" s="5"/>
      <c r="J50" s="5"/>
      <c r="K50" s="5"/>
      <c r="L50" s="6" t="s">
        <v>3629</v>
      </c>
      <c r="M50" s="6"/>
      <c r="N50" s="6"/>
      <c r="O50" s="5"/>
      <c r="P50" s="17"/>
      <c r="Q50" s="17"/>
      <c r="R50" s="6"/>
      <c r="S50" s="6"/>
      <c r="T50" s="6"/>
      <c r="U50" s="5"/>
      <c r="V50" s="6" t="s">
        <v>747</v>
      </c>
      <c r="W50" s="28" t="str">
        <f t="shared" si="24"/>
        <v>適用未判定</v>
      </c>
      <c r="X50" s="28" t="str">
        <f t="shared" si="25"/>
        <v/>
      </c>
      <c r="Y50" s="25" t="str">
        <f t="shared" si="26"/>
        <v/>
      </c>
      <c r="Z50" s="25" t="str">
        <f t="shared" si="27"/>
        <v>適用未判定</v>
      </c>
      <c r="AA50" s="25">
        <f t="shared" si="28"/>
        <v>0</v>
      </c>
      <c r="AB50" s="25" t="str">
        <f t="shared" si="29"/>
        <v>B1-07</v>
      </c>
      <c r="AC50" s="25" t="str">
        <f t="shared" si="30"/>
        <v>B2-07</v>
      </c>
      <c r="AD50" s="25" t="str">
        <f t="shared" si="31"/>
        <v/>
      </c>
      <c r="AE50" s="25" t="str">
        <f t="shared" si="32"/>
        <v/>
      </c>
      <c r="AF50" s="25" t="str">
        <f t="shared" si="33"/>
        <v/>
      </c>
      <c r="AG50" s="25" t="str">
        <f t="shared" si="34"/>
        <v/>
      </c>
      <c r="AH50" s="25" t="str">
        <f t="shared" si="35"/>
        <v/>
      </c>
      <c r="AI50" s="25" t="str">
        <f t="shared" si="36"/>
        <v/>
      </c>
      <c r="AJ50" s="25" t="str">
        <f t="shared" si="37"/>
        <v>未充足</v>
      </c>
      <c r="AK50" s="25" t="str">
        <f t="shared" si="38"/>
        <v>未充足</v>
      </c>
      <c r="AL50" s="25" t="str">
        <f t="shared" si="39"/>
        <v/>
      </c>
      <c r="AM50" s="25" t="str">
        <f t="shared" si="40"/>
        <v/>
      </c>
      <c r="AN50" s="25" t="str">
        <f t="shared" si="41"/>
        <v/>
      </c>
      <c r="AO50" s="25" t="str">
        <f t="shared" si="42"/>
        <v/>
      </c>
      <c r="AP50" s="25" t="str">
        <f t="shared" si="43"/>
        <v/>
      </c>
      <c r="AQ50" s="25" t="str">
        <f t="shared" si="44"/>
        <v/>
      </c>
      <c r="AR50" s="35" t="str">
        <f t="shared" si="45"/>
        <v/>
      </c>
      <c r="AS50" s="28" t="str">
        <f>IF(COUNTIF('02_工程タスク'!$A$4:$A$135,A50)&lt;&gt;1,"参照ID不正",IF(INDEX('02_工程タスク'!$H$4:$H$135,MATCH(A50,'02_工程タスク'!$A$4:$A$135,0))="","",INDEX('02_工程タスク'!$H$4:$H$135,MATCH(A50,'02_工程タスク'!$A$4:$A$135,0))))</f>
        <v>R19</v>
      </c>
      <c r="AT50" s="28" t="str">
        <f t="shared" si="46"/>
        <v>INIT-B2-10</v>
      </c>
      <c r="AU50" s="29" t="s">
        <v>3630</v>
      </c>
      <c r="AV50" s="29"/>
      <c r="AW50" s="29"/>
      <c r="AX50" s="32"/>
      <c r="AY50" s="29"/>
      <c r="AZ50" s="29"/>
      <c r="BA50" s="32"/>
      <c r="BB50" s="28" t="str">
        <f>IF(COUNTIF('02_工程タスク'!$A$4:$A$135,A50)&lt;&gt;1,"参照ID不正",IF(INDEX('02_工程タスク'!$O$4:$O$135,MATCH(A50,'02_工程タスク'!$A$4:$A$135,0))="","",INDEX('02_工程タスク'!$O$4:$O$135,MATCH(A50,'02_工程タスク'!$A$4:$A$135,0))))</f>
        <v>B1-07,B2-07</v>
      </c>
      <c r="BC50" s="28" t="str">
        <f t="shared" si="47"/>
        <v>記法OK</v>
      </c>
      <c r="BD50" s="28" t="str">
        <f>IF(A50="B6-01",IF(OR(AV50="",COUNTIF('29_ゲート承認記録'!$F$4:$F$83,AV50)&lt;&gt;1),"終了開始根拠不足",IF(IF(COUNTIF('29_ゲート承認記録'!$F$4:$F$83,AV50)&lt;&gt;1,"参照ID不正",IF(INDEX('29_ゲート承認記録'!$L$4:$L$83,MATCH(AV50,'29_ゲート承認記録'!$F$4:$F$83,0))="","",INDEX('29_ゲート承認記録'!$L$4:$L$83,MATCH(AV50,'29_ゲート承認記録'!$F$4:$F$83,0))))&lt;&gt;"Stop","Stop判断要確認","開始根拠あり")),IF(AND(A50="B5-18",AU50="事故"),IF(AV50="","事故レビュー参照不足","開始根拠あり"),"開始根拠あり"))</f>
        <v>開始根拠あり</v>
      </c>
      <c r="BE50" s="29"/>
      <c r="BF50" s="29"/>
    </row>
    <row r="51" spans="1:58" ht="38" customHeight="1" x14ac:dyDescent="0.2">
      <c r="A51" s="11" t="s">
        <v>752</v>
      </c>
      <c r="B51" s="28" t="str">
        <f>IF(COUNTIF('02_工程タスク'!$A$4:$A$135,A51)&lt;&gt;1,"参照ID不正",IF(INDEX('02_工程タスク'!$B$4:$B$135,MATCH(A51,'02_工程タスク'!$A$4:$A$135,0))="","",INDEX('02_工程タスク'!$B$4:$B$135,MATCH(A51,'02_工程タスク'!$A$4:$A$135,0))))</f>
        <v>設計</v>
      </c>
      <c r="C51" s="28" t="str">
        <f>IF(COUNTIF('02_工程タスク'!$A$4:$A$135,A51)&lt;&gt;1,"参照ID不正",IF(INDEX('02_工程タスク'!$D$4:$D$135,MATCH(A51,'02_工程タスク'!$A$4:$A$135,0))="","",INDEX('02_工程タスク'!$D$4:$D$135,MATCH(A51,'02_工程タスク'!$A$4:$A$135,0))))</f>
        <v>Repo正本・仕様・機械的制約</v>
      </c>
      <c r="D51" s="6"/>
      <c r="E51" s="6" t="s">
        <v>1598</v>
      </c>
      <c r="F51" s="6"/>
      <c r="G51" s="6"/>
      <c r="H51" s="5"/>
      <c r="I51" s="5"/>
      <c r="J51" s="5"/>
      <c r="K51" s="5"/>
      <c r="L51" s="6" t="s">
        <v>3629</v>
      </c>
      <c r="M51" s="6"/>
      <c r="N51" s="6"/>
      <c r="O51" s="5"/>
      <c r="P51" s="17"/>
      <c r="Q51" s="17"/>
      <c r="R51" s="6"/>
      <c r="S51" s="6"/>
      <c r="T51" s="6"/>
      <c r="U51" s="5"/>
      <c r="V51" s="6" t="s">
        <v>759</v>
      </c>
      <c r="W51" s="28" t="str">
        <f t="shared" si="24"/>
        <v>適用未判定</v>
      </c>
      <c r="X51" s="28" t="str">
        <f t="shared" si="25"/>
        <v/>
      </c>
      <c r="Y51" s="26" t="str">
        <f t="shared" si="26"/>
        <v/>
      </c>
      <c r="Z51" s="26" t="str">
        <f t="shared" si="27"/>
        <v>適用未判定</v>
      </c>
      <c r="AA51" s="26">
        <f t="shared" si="28"/>
        <v>0</v>
      </c>
      <c r="AB51" s="26" t="str">
        <f t="shared" si="29"/>
        <v>B1-14</v>
      </c>
      <c r="AC51" s="26" t="str">
        <f t="shared" si="30"/>
        <v>B2-10</v>
      </c>
      <c r="AD51" s="26" t="str">
        <f t="shared" si="31"/>
        <v/>
      </c>
      <c r="AE51" s="26" t="str">
        <f t="shared" si="32"/>
        <v/>
      </c>
      <c r="AF51" s="26" t="str">
        <f t="shared" si="33"/>
        <v/>
      </c>
      <c r="AG51" s="26" t="str">
        <f t="shared" si="34"/>
        <v/>
      </c>
      <c r="AH51" s="26" t="str">
        <f t="shared" si="35"/>
        <v/>
      </c>
      <c r="AI51" s="26" t="str">
        <f t="shared" si="36"/>
        <v/>
      </c>
      <c r="AJ51" s="26" t="str">
        <f t="shared" si="37"/>
        <v>未充足</v>
      </c>
      <c r="AK51" s="26" t="str">
        <f t="shared" si="38"/>
        <v>未充足</v>
      </c>
      <c r="AL51" s="26" t="str">
        <f t="shared" si="39"/>
        <v/>
      </c>
      <c r="AM51" s="26" t="str">
        <f t="shared" si="40"/>
        <v/>
      </c>
      <c r="AN51" s="26" t="str">
        <f t="shared" si="41"/>
        <v/>
      </c>
      <c r="AO51" s="26" t="str">
        <f t="shared" si="42"/>
        <v/>
      </c>
      <c r="AP51" s="26" t="str">
        <f t="shared" si="43"/>
        <v/>
      </c>
      <c r="AQ51" s="26" t="str">
        <f t="shared" si="44"/>
        <v/>
      </c>
      <c r="AR51" s="36" t="str">
        <f t="shared" si="45"/>
        <v/>
      </c>
      <c r="AS51" s="28" t="str">
        <f>IF(COUNTIF('02_工程タスク'!$A$4:$A$135,A51)&lt;&gt;1,"参照ID不正",IF(INDEX('02_工程タスク'!$H$4:$H$135,MATCH(A51,'02_工程タスク'!$A$4:$A$135,0))="","",INDEX('02_工程タスク'!$H$4:$H$135,MATCH(A51,'02_工程タスク'!$A$4:$A$135,0))))</f>
        <v>R06</v>
      </c>
      <c r="AT51" s="28" t="str">
        <f t="shared" si="46"/>
        <v>INIT-B2-11</v>
      </c>
      <c r="AU51" s="29" t="s">
        <v>3630</v>
      </c>
      <c r="AV51" s="29"/>
      <c r="AW51" s="29"/>
      <c r="AX51" s="32"/>
      <c r="AY51" s="29"/>
      <c r="AZ51" s="29"/>
      <c r="BA51" s="32"/>
      <c r="BB51" s="28" t="str">
        <f>IF(COUNTIF('02_工程タスク'!$A$4:$A$135,A51)&lt;&gt;1,"参照ID不正",IF(INDEX('02_工程タスク'!$O$4:$O$135,MATCH(A51,'02_工程タスク'!$A$4:$A$135,0))="","",INDEX('02_工程タスク'!$O$4:$O$135,MATCH(A51,'02_工程タスク'!$A$4:$A$135,0))))</f>
        <v>B1-14,B2-10</v>
      </c>
      <c r="BC51" s="28" t="str">
        <f t="shared" si="47"/>
        <v>記法OK</v>
      </c>
      <c r="BD51" s="28" t="str">
        <f>IF(A51="B6-01",IF(OR(AV51="",COUNTIF('29_ゲート承認記録'!$F$4:$F$83,AV51)&lt;&gt;1),"終了開始根拠不足",IF(IF(COUNTIF('29_ゲート承認記録'!$F$4:$F$83,AV51)&lt;&gt;1,"参照ID不正",IF(INDEX('29_ゲート承認記録'!$L$4:$L$83,MATCH(AV51,'29_ゲート承認記録'!$F$4:$F$83,0))="","",INDEX('29_ゲート承認記録'!$L$4:$L$83,MATCH(AV51,'29_ゲート承認記録'!$F$4:$F$83,0))))&lt;&gt;"Stop","Stop判断要確認","開始根拠あり")),IF(AND(A51="B5-18",AU51="事故"),IF(AV51="","事故レビュー参照不足","開始根拠あり"),"開始根拠あり"))</f>
        <v>開始根拠あり</v>
      </c>
      <c r="BE51" s="29"/>
      <c r="BF51" s="29"/>
    </row>
    <row r="52" spans="1:58" ht="38" customHeight="1" x14ac:dyDescent="0.2">
      <c r="A52" s="11" t="s">
        <v>764</v>
      </c>
      <c r="B52" s="28" t="str">
        <f>IF(COUNTIF('02_工程タスク'!$A$4:$A$135,A52)&lt;&gt;1,"参照ID不正",IF(INDEX('02_工程タスク'!$B$4:$B$135,MATCH(A52,'02_工程タスク'!$A$4:$A$135,0))="","",INDEX('02_工程タスク'!$B$4:$B$135,MATCH(A52,'02_工程タスク'!$A$4:$A$135,0))))</f>
        <v>設計</v>
      </c>
      <c r="C52" s="28" t="str">
        <f>IF(COUNTIF('02_工程タスク'!$A$4:$A$135,A52)&lt;&gt;1,"参照ID不正",IF(INDEX('02_工程タスク'!$D$4:$D$135,MATCH(A52,'02_工程タスク'!$A$4:$A$135,0))="","",INDEX('02_工程タスク'!$D$4:$D$135,MATCH(A52,'02_工程タスク'!$A$4:$A$135,0))))</f>
        <v>再利用Skillの仕様・審査設計</v>
      </c>
      <c r="D52" s="6"/>
      <c r="E52" s="6" t="s">
        <v>1598</v>
      </c>
      <c r="F52" s="6"/>
      <c r="G52" s="6"/>
      <c r="H52" s="5"/>
      <c r="I52" s="5"/>
      <c r="J52" s="5"/>
      <c r="K52" s="5"/>
      <c r="L52" s="6" t="s">
        <v>3629</v>
      </c>
      <c r="M52" s="6"/>
      <c r="N52" s="6"/>
      <c r="O52" s="5"/>
      <c r="P52" s="17"/>
      <c r="Q52" s="17"/>
      <c r="R52" s="6"/>
      <c r="S52" s="6"/>
      <c r="T52" s="6"/>
      <c r="U52" s="5"/>
      <c r="V52" s="6" t="s">
        <v>772</v>
      </c>
      <c r="W52" s="28" t="str">
        <f t="shared" si="24"/>
        <v>適用未判定</v>
      </c>
      <c r="X52" s="28" t="str">
        <f t="shared" si="25"/>
        <v/>
      </c>
      <c r="Y52" s="25" t="str">
        <f t="shared" si="26"/>
        <v/>
      </c>
      <c r="Z52" s="25" t="str">
        <f t="shared" si="27"/>
        <v>適用未判定</v>
      </c>
      <c r="AA52" s="25">
        <f t="shared" si="28"/>
        <v>0</v>
      </c>
      <c r="AB52" s="25" t="str">
        <f t="shared" si="29"/>
        <v>B2-11</v>
      </c>
      <c r="AC52" s="25" t="str">
        <f t="shared" si="30"/>
        <v>B2-07</v>
      </c>
      <c r="AD52" s="25" t="str">
        <f t="shared" si="31"/>
        <v/>
      </c>
      <c r="AE52" s="25" t="str">
        <f t="shared" si="32"/>
        <v/>
      </c>
      <c r="AF52" s="25" t="str">
        <f t="shared" si="33"/>
        <v/>
      </c>
      <c r="AG52" s="25" t="str">
        <f t="shared" si="34"/>
        <v/>
      </c>
      <c r="AH52" s="25" t="str">
        <f t="shared" si="35"/>
        <v/>
      </c>
      <c r="AI52" s="25" t="str">
        <f t="shared" si="36"/>
        <v/>
      </c>
      <c r="AJ52" s="25" t="str">
        <f t="shared" si="37"/>
        <v>未充足</v>
      </c>
      <c r="AK52" s="25" t="str">
        <f t="shared" si="38"/>
        <v>未充足</v>
      </c>
      <c r="AL52" s="25" t="str">
        <f t="shared" si="39"/>
        <v/>
      </c>
      <c r="AM52" s="25" t="str">
        <f t="shared" si="40"/>
        <v/>
      </c>
      <c r="AN52" s="25" t="str">
        <f t="shared" si="41"/>
        <v/>
      </c>
      <c r="AO52" s="25" t="str">
        <f t="shared" si="42"/>
        <v/>
      </c>
      <c r="AP52" s="25" t="str">
        <f t="shared" si="43"/>
        <v/>
      </c>
      <c r="AQ52" s="25" t="str">
        <f t="shared" si="44"/>
        <v/>
      </c>
      <c r="AR52" s="35" t="str">
        <f t="shared" si="45"/>
        <v/>
      </c>
      <c r="AS52" s="28" t="str">
        <f>IF(COUNTIF('02_工程タスク'!$A$4:$A$135,A52)&lt;&gt;1,"参照ID不正",IF(INDEX('02_工程タスク'!$H$4:$H$135,MATCH(A52,'02_工程タスク'!$A$4:$A$135,0))="","",INDEX('02_工程タスク'!$H$4:$H$135,MATCH(A52,'02_工程タスク'!$A$4:$A$135,0))))</f>
        <v>R06</v>
      </c>
      <c r="AT52" s="28" t="str">
        <f t="shared" si="46"/>
        <v>INIT-B2-12</v>
      </c>
      <c r="AU52" s="29" t="s">
        <v>3630</v>
      </c>
      <c r="AV52" s="29"/>
      <c r="AW52" s="29"/>
      <c r="AX52" s="32"/>
      <c r="AY52" s="29"/>
      <c r="AZ52" s="29"/>
      <c r="BA52" s="32"/>
      <c r="BB52" s="28" t="str">
        <f>IF(COUNTIF('02_工程タスク'!$A$4:$A$135,A52)&lt;&gt;1,"参照ID不正",IF(INDEX('02_工程タスク'!$O$4:$O$135,MATCH(A52,'02_工程タスク'!$A$4:$A$135,0))="","",INDEX('02_工程タスク'!$O$4:$O$135,MATCH(A52,'02_工程タスク'!$A$4:$A$135,0))))</f>
        <v>B2-11,B2-07</v>
      </c>
      <c r="BC52" s="28" t="str">
        <f t="shared" si="47"/>
        <v>記法OK</v>
      </c>
      <c r="BD52" s="28" t="str">
        <f>IF(A52="B6-01",IF(OR(AV52="",COUNTIF('29_ゲート承認記録'!$F$4:$F$83,AV52)&lt;&gt;1),"終了開始根拠不足",IF(IF(COUNTIF('29_ゲート承認記録'!$F$4:$F$83,AV52)&lt;&gt;1,"参照ID不正",IF(INDEX('29_ゲート承認記録'!$L$4:$L$83,MATCH(AV52,'29_ゲート承認記録'!$F$4:$F$83,0))="","",INDEX('29_ゲート承認記録'!$L$4:$L$83,MATCH(AV52,'29_ゲート承認記録'!$F$4:$F$83,0))))&lt;&gt;"Stop","Stop判断要確認","開始根拠あり")),IF(AND(A52="B5-18",AU52="事故"),IF(AV52="","事故レビュー参照不足","開始根拠あり"),"開始根拠あり"))</f>
        <v>開始根拠あり</v>
      </c>
      <c r="BE52" s="29"/>
      <c r="BF52" s="29"/>
    </row>
    <row r="53" spans="1:58" ht="38" customHeight="1" x14ac:dyDescent="0.2">
      <c r="A53" s="11" t="s">
        <v>776</v>
      </c>
      <c r="B53" s="28" t="str">
        <f>IF(COUNTIF('02_工程タスク'!$A$4:$A$135,A53)&lt;&gt;1,"参照ID不正",IF(INDEX('02_工程タスク'!$B$4:$B$135,MATCH(A53,'02_工程タスク'!$A$4:$A$135,0))="","",INDEX('02_工程タスク'!$B$4:$B$135,MATCH(A53,'02_工程タスク'!$A$4:$A$135,0))))</f>
        <v>設計</v>
      </c>
      <c r="C53" s="28" t="str">
        <f>IF(COUNTIF('02_工程タスク'!$A$4:$A$135,A53)&lt;&gt;1,"参照ID不正",IF(INDEX('02_工程タスク'!$D$4:$D$135,MATCH(A53,'02_工程タスク'!$A$4:$A$135,0))="","",INDEX('02_工程タスク'!$D$4:$D$135,MATCH(A53,'02_工程タスク'!$A$4:$A$135,0))))</f>
        <v>Sandbox・worktree・秘密情報境界</v>
      </c>
      <c r="D53" s="6"/>
      <c r="E53" s="6" t="s">
        <v>1598</v>
      </c>
      <c r="F53" s="6"/>
      <c r="G53" s="6"/>
      <c r="H53" s="5"/>
      <c r="I53" s="5"/>
      <c r="J53" s="5"/>
      <c r="K53" s="5"/>
      <c r="L53" s="6" t="s">
        <v>3629</v>
      </c>
      <c r="M53" s="6"/>
      <c r="N53" s="6"/>
      <c r="O53" s="5"/>
      <c r="P53" s="17"/>
      <c r="Q53" s="17"/>
      <c r="R53" s="6"/>
      <c r="S53" s="6"/>
      <c r="T53" s="6"/>
      <c r="U53" s="5"/>
      <c r="V53" s="6" t="s">
        <v>784</v>
      </c>
      <c r="W53" s="28" t="str">
        <f t="shared" si="24"/>
        <v>適用未判定</v>
      </c>
      <c r="X53" s="28" t="str">
        <f t="shared" si="25"/>
        <v/>
      </c>
      <c r="Y53" s="26" t="str">
        <f t="shared" si="26"/>
        <v/>
      </c>
      <c r="Z53" s="26" t="str">
        <f t="shared" si="27"/>
        <v>適用未判定</v>
      </c>
      <c r="AA53" s="26">
        <f t="shared" si="28"/>
        <v>0</v>
      </c>
      <c r="AB53" s="26" t="str">
        <f t="shared" si="29"/>
        <v>B2-07</v>
      </c>
      <c r="AC53" s="26" t="str">
        <f t="shared" si="30"/>
        <v>B2-11</v>
      </c>
      <c r="AD53" s="26" t="str">
        <f t="shared" si="31"/>
        <v/>
      </c>
      <c r="AE53" s="26" t="str">
        <f t="shared" si="32"/>
        <v/>
      </c>
      <c r="AF53" s="26" t="str">
        <f t="shared" si="33"/>
        <v/>
      </c>
      <c r="AG53" s="26" t="str">
        <f t="shared" si="34"/>
        <v/>
      </c>
      <c r="AH53" s="26" t="str">
        <f t="shared" si="35"/>
        <v/>
      </c>
      <c r="AI53" s="26" t="str">
        <f t="shared" si="36"/>
        <v/>
      </c>
      <c r="AJ53" s="26" t="str">
        <f t="shared" si="37"/>
        <v>未充足</v>
      </c>
      <c r="AK53" s="26" t="str">
        <f t="shared" si="38"/>
        <v>未充足</v>
      </c>
      <c r="AL53" s="26" t="str">
        <f t="shared" si="39"/>
        <v/>
      </c>
      <c r="AM53" s="26" t="str">
        <f t="shared" si="40"/>
        <v/>
      </c>
      <c r="AN53" s="26" t="str">
        <f t="shared" si="41"/>
        <v/>
      </c>
      <c r="AO53" s="26" t="str">
        <f t="shared" si="42"/>
        <v/>
      </c>
      <c r="AP53" s="26" t="str">
        <f t="shared" si="43"/>
        <v/>
      </c>
      <c r="AQ53" s="26" t="str">
        <f t="shared" si="44"/>
        <v/>
      </c>
      <c r="AR53" s="36" t="str">
        <f t="shared" si="45"/>
        <v/>
      </c>
      <c r="AS53" s="28" t="str">
        <f>IF(COUNTIF('02_工程タスク'!$A$4:$A$135,A53)&lt;&gt;1,"参照ID不正",IF(INDEX('02_工程タスク'!$H$4:$H$135,MATCH(A53,'02_工程タスク'!$A$4:$A$135,0))="","",INDEX('02_工程タスク'!$H$4:$H$135,MATCH(A53,'02_工程タスク'!$A$4:$A$135,0))))</f>
        <v>R13</v>
      </c>
      <c r="AT53" s="28" t="str">
        <f t="shared" si="46"/>
        <v>INIT-B2-13</v>
      </c>
      <c r="AU53" s="29" t="s">
        <v>3630</v>
      </c>
      <c r="AV53" s="29"/>
      <c r="AW53" s="29"/>
      <c r="AX53" s="32"/>
      <c r="AY53" s="29"/>
      <c r="AZ53" s="29"/>
      <c r="BA53" s="32"/>
      <c r="BB53" s="28" t="str">
        <f>IF(COUNTIF('02_工程タスク'!$A$4:$A$135,A53)&lt;&gt;1,"参照ID不正",IF(INDEX('02_工程タスク'!$O$4:$O$135,MATCH(A53,'02_工程タスク'!$A$4:$A$135,0))="","",INDEX('02_工程タスク'!$O$4:$O$135,MATCH(A53,'02_工程タスク'!$A$4:$A$135,0))))</f>
        <v>B2-07,B2-11</v>
      </c>
      <c r="BC53" s="28" t="str">
        <f t="shared" si="47"/>
        <v>記法OK</v>
      </c>
      <c r="BD53" s="28" t="str">
        <f>IF(A53="B6-01",IF(OR(AV53="",COUNTIF('29_ゲート承認記録'!$F$4:$F$83,AV53)&lt;&gt;1),"終了開始根拠不足",IF(IF(COUNTIF('29_ゲート承認記録'!$F$4:$F$83,AV53)&lt;&gt;1,"参照ID不正",IF(INDEX('29_ゲート承認記録'!$L$4:$L$83,MATCH(AV53,'29_ゲート承認記録'!$F$4:$F$83,0))="","",INDEX('29_ゲート承認記録'!$L$4:$L$83,MATCH(AV53,'29_ゲート承認記録'!$F$4:$F$83,0))))&lt;&gt;"Stop","Stop判断要確認","開始根拠あり")),IF(AND(A53="B5-18",AU53="事故"),IF(AV53="","事故レビュー参照不足","開始根拠あり"),"開始根拠あり"))</f>
        <v>開始根拠あり</v>
      </c>
      <c r="BE53" s="29"/>
      <c r="BF53" s="29"/>
    </row>
    <row r="54" spans="1:58" ht="38" customHeight="1" x14ac:dyDescent="0.2">
      <c r="A54" s="11" t="s">
        <v>787</v>
      </c>
      <c r="B54" s="28" t="str">
        <f>IF(COUNTIF('02_工程タスク'!$A$4:$A$135,A54)&lt;&gt;1,"参照ID不正",IF(INDEX('02_工程タスク'!$B$4:$B$135,MATCH(A54,'02_工程タスク'!$A$4:$A$135,0))="","",INDEX('02_工程タスク'!$B$4:$B$135,MATCH(A54,'02_工程タスク'!$A$4:$A$135,0))))</f>
        <v>設計</v>
      </c>
      <c r="C54" s="28" t="str">
        <f>IF(COUNTIF('02_工程タスク'!$A$4:$A$135,A54)&lt;&gt;1,"参照ID不正",IF(INDEX('02_工程タスク'!$D$4:$D$135,MATCH(A54,'02_工程タスク'!$A$4:$A$135,0))="","",INDEX('02_工程タスク'!$D$4:$D$135,MATCH(A54,'02_工程タスク'!$A$4:$A$135,0))))</f>
        <v>有界ループ・再開・並列の設計</v>
      </c>
      <c r="D54" s="6"/>
      <c r="E54" s="6" t="s">
        <v>1598</v>
      </c>
      <c r="F54" s="6"/>
      <c r="G54" s="6"/>
      <c r="H54" s="5"/>
      <c r="I54" s="5"/>
      <c r="J54" s="5"/>
      <c r="K54" s="5"/>
      <c r="L54" s="6" t="s">
        <v>3629</v>
      </c>
      <c r="M54" s="6"/>
      <c r="N54" s="6"/>
      <c r="O54" s="5"/>
      <c r="P54" s="17"/>
      <c r="Q54" s="17"/>
      <c r="R54" s="6"/>
      <c r="S54" s="6"/>
      <c r="T54" s="6"/>
      <c r="U54" s="5"/>
      <c r="V54" s="6" t="s">
        <v>794</v>
      </c>
      <c r="W54" s="28" t="str">
        <f t="shared" si="24"/>
        <v>適用未判定</v>
      </c>
      <c r="X54" s="28" t="str">
        <f t="shared" si="25"/>
        <v/>
      </c>
      <c r="Y54" s="25" t="str">
        <f t="shared" si="26"/>
        <v/>
      </c>
      <c r="Z54" s="25" t="str">
        <f t="shared" si="27"/>
        <v>適用未判定</v>
      </c>
      <c r="AA54" s="25">
        <f t="shared" si="28"/>
        <v>0</v>
      </c>
      <c r="AB54" s="25" t="str">
        <f t="shared" si="29"/>
        <v>B2-11</v>
      </c>
      <c r="AC54" s="25" t="str">
        <f t="shared" si="30"/>
        <v>B2-13</v>
      </c>
      <c r="AD54" s="25" t="str">
        <f t="shared" si="31"/>
        <v/>
      </c>
      <c r="AE54" s="25" t="str">
        <f t="shared" si="32"/>
        <v/>
      </c>
      <c r="AF54" s="25" t="str">
        <f t="shared" si="33"/>
        <v/>
      </c>
      <c r="AG54" s="25" t="str">
        <f t="shared" si="34"/>
        <v/>
      </c>
      <c r="AH54" s="25" t="str">
        <f t="shared" si="35"/>
        <v/>
      </c>
      <c r="AI54" s="25" t="str">
        <f t="shared" si="36"/>
        <v/>
      </c>
      <c r="AJ54" s="25" t="str">
        <f t="shared" si="37"/>
        <v>未充足</v>
      </c>
      <c r="AK54" s="25" t="str">
        <f t="shared" si="38"/>
        <v>未充足</v>
      </c>
      <c r="AL54" s="25" t="str">
        <f t="shared" si="39"/>
        <v/>
      </c>
      <c r="AM54" s="25" t="str">
        <f t="shared" si="40"/>
        <v/>
      </c>
      <c r="AN54" s="25" t="str">
        <f t="shared" si="41"/>
        <v/>
      </c>
      <c r="AO54" s="25" t="str">
        <f t="shared" si="42"/>
        <v/>
      </c>
      <c r="AP54" s="25" t="str">
        <f t="shared" si="43"/>
        <v/>
      </c>
      <c r="AQ54" s="25" t="str">
        <f t="shared" si="44"/>
        <v/>
      </c>
      <c r="AR54" s="35" t="str">
        <f t="shared" si="45"/>
        <v/>
      </c>
      <c r="AS54" s="28" t="str">
        <f>IF(COUNTIF('02_工程タスク'!$A$4:$A$135,A54)&lt;&gt;1,"参照ID不正",IF(INDEX('02_工程タスク'!$H$4:$H$135,MATCH(A54,'02_工程タスク'!$A$4:$A$135,0))="","",INDEX('02_工程タスク'!$H$4:$H$135,MATCH(A54,'02_工程タスク'!$A$4:$A$135,0))))</f>
        <v>R06</v>
      </c>
      <c r="AT54" s="28" t="str">
        <f t="shared" si="46"/>
        <v>INIT-B2-14</v>
      </c>
      <c r="AU54" s="29" t="s">
        <v>3630</v>
      </c>
      <c r="AV54" s="29"/>
      <c r="AW54" s="29"/>
      <c r="AX54" s="32"/>
      <c r="AY54" s="29"/>
      <c r="AZ54" s="29"/>
      <c r="BA54" s="32"/>
      <c r="BB54" s="28" t="str">
        <f>IF(COUNTIF('02_工程タスク'!$A$4:$A$135,A54)&lt;&gt;1,"参照ID不正",IF(INDEX('02_工程タスク'!$O$4:$O$135,MATCH(A54,'02_工程タスク'!$A$4:$A$135,0))="","",INDEX('02_工程タスク'!$O$4:$O$135,MATCH(A54,'02_工程タスク'!$A$4:$A$135,0))))</f>
        <v>B2-11,B2-13</v>
      </c>
      <c r="BC54" s="28" t="str">
        <f t="shared" si="47"/>
        <v>記法OK</v>
      </c>
      <c r="BD54" s="28" t="str">
        <f>IF(A54="B6-01",IF(OR(AV54="",COUNTIF('29_ゲート承認記録'!$F$4:$F$83,AV54)&lt;&gt;1),"終了開始根拠不足",IF(IF(COUNTIF('29_ゲート承認記録'!$F$4:$F$83,AV54)&lt;&gt;1,"参照ID不正",IF(INDEX('29_ゲート承認記録'!$L$4:$L$83,MATCH(AV54,'29_ゲート承認記録'!$F$4:$F$83,0))="","",INDEX('29_ゲート承認記録'!$L$4:$L$83,MATCH(AV54,'29_ゲート承認記録'!$F$4:$F$83,0))))&lt;&gt;"Stop","Stop判断要確認","開始根拠あり")),IF(AND(A54="B5-18",AU54="事故"),IF(AV54="","事故レビュー参照不足","開始根拠あり"),"開始根拠あり"))</f>
        <v>開始根拠あり</v>
      </c>
      <c r="BE54" s="29"/>
      <c r="BF54" s="29"/>
    </row>
    <row r="55" spans="1:58" ht="38" customHeight="1" x14ac:dyDescent="0.2">
      <c r="A55" s="11" t="s">
        <v>798</v>
      </c>
      <c r="B55" s="28" t="str">
        <f>IF(COUNTIF('02_工程タスク'!$A$4:$A$135,A55)&lt;&gt;1,"参照ID不正",IF(INDEX('02_工程タスク'!$B$4:$B$135,MATCH(A55,'02_工程タスク'!$A$4:$A$135,0))="","",INDEX('02_工程タスク'!$B$4:$B$135,MATCH(A55,'02_工程タスク'!$A$4:$A$135,0))))</f>
        <v>設計</v>
      </c>
      <c r="C55" s="28" t="str">
        <f>IF(COUNTIF('02_工程タスク'!$A$4:$A$135,A55)&lt;&gt;1,"参照ID不正",IF(INDEX('02_工程タスク'!$D$4:$D$135,MATCH(A55,'02_工程タスク'!$A$4:$A$135,0))="","",INDEX('02_工程タスク'!$D$4:$D$135,MATCH(A55,'02_工程タスク'!$A$4:$A$135,0))))</f>
        <v>観測・監査・プライバシー</v>
      </c>
      <c r="D55" s="6"/>
      <c r="E55" s="6" t="s">
        <v>1598</v>
      </c>
      <c r="F55" s="6"/>
      <c r="G55" s="6"/>
      <c r="H55" s="5"/>
      <c r="I55" s="5"/>
      <c r="J55" s="5"/>
      <c r="K55" s="5"/>
      <c r="L55" s="6" t="s">
        <v>3629</v>
      </c>
      <c r="M55" s="6"/>
      <c r="N55" s="6"/>
      <c r="O55" s="5"/>
      <c r="P55" s="17"/>
      <c r="Q55" s="17"/>
      <c r="R55" s="6"/>
      <c r="S55" s="6"/>
      <c r="T55" s="6"/>
      <c r="U55" s="5"/>
      <c r="V55" s="6" t="s">
        <v>805</v>
      </c>
      <c r="W55" s="28" t="str">
        <f t="shared" si="24"/>
        <v>適用未判定</v>
      </c>
      <c r="X55" s="28" t="str">
        <f t="shared" si="25"/>
        <v/>
      </c>
      <c r="Y55" s="26" t="str">
        <f t="shared" si="26"/>
        <v/>
      </c>
      <c r="Z55" s="26" t="str">
        <f t="shared" si="27"/>
        <v>適用未判定</v>
      </c>
      <c r="AA55" s="26">
        <f t="shared" si="28"/>
        <v>0</v>
      </c>
      <c r="AB55" s="26" t="str">
        <f t="shared" si="29"/>
        <v>B2-03</v>
      </c>
      <c r="AC55" s="26" t="str">
        <f t="shared" si="30"/>
        <v>B2-09</v>
      </c>
      <c r="AD55" s="26" t="str">
        <f t="shared" si="31"/>
        <v/>
      </c>
      <c r="AE55" s="26" t="str">
        <f t="shared" si="32"/>
        <v/>
      </c>
      <c r="AF55" s="26" t="str">
        <f t="shared" si="33"/>
        <v/>
      </c>
      <c r="AG55" s="26" t="str">
        <f t="shared" si="34"/>
        <v/>
      </c>
      <c r="AH55" s="26" t="str">
        <f t="shared" si="35"/>
        <v/>
      </c>
      <c r="AI55" s="26" t="str">
        <f t="shared" si="36"/>
        <v/>
      </c>
      <c r="AJ55" s="26" t="str">
        <f t="shared" si="37"/>
        <v>未充足</v>
      </c>
      <c r="AK55" s="26" t="str">
        <f t="shared" si="38"/>
        <v>未充足</v>
      </c>
      <c r="AL55" s="26" t="str">
        <f t="shared" si="39"/>
        <v/>
      </c>
      <c r="AM55" s="26" t="str">
        <f t="shared" si="40"/>
        <v/>
      </c>
      <c r="AN55" s="26" t="str">
        <f t="shared" si="41"/>
        <v/>
      </c>
      <c r="AO55" s="26" t="str">
        <f t="shared" si="42"/>
        <v/>
      </c>
      <c r="AP55" s="26" t="str">
        <f t="shared" si="43"/>
        <v/>
      </c>
      <c r="AQ55" s="26" t="str">
        <f t="shared" si="44"/>
        <v/>
      </c>
      <c r="AR55" s="36" t="str">
        <f t="shared" si="45"/>
        <v/>
      </c>
      <c r="AS55" s="28" t="str">
        <f>IF(COUNTIF('02_工程タスク'!$A$4:$A$135,A55)&lt;&gt;1,"参照ID不正",IF(INDEX('02_工程タスク'!$H$4:$H$135,MATCH(A55,'02_工程タスク'!$A$4:$A$135,0))="","",INDEX('02_工程タスク'!$H$4:$H$135,MATCH(A55,'02_工程タスク'!$A$4:$A$135,0))))</f>
        <v>R18</v>
      </c>
      <c r="AT55" s="28" t="str">
        <f t="shared" si="46"/>
        <v>INIT-B2-15</v>
      </c>
      <c r="AU55" s="29" t="s">
        <v>3630</v>
      </c>
      <c r="AV55" s="29"/>
      <c r="AW55" s="29"/>
      <c r="AX55" s="32"/>
      <c r="AY55" s="29"/>
      <c r="AZ55" s="29"/>
      <c r="BA55" s="32"/>
      <c r="BB55" s="28" t="str">
        <f>IF(COUNTIF('02_工程タスク'!$A$4:$A$135,A55)&lt;&gt;1,"参照ID不正",IF(INDEX('02_工程タスク'!$O$4:$O$135,MATCH(A55,'02_工程タスク'!$A$4:$A$135,0))="","",INDEX('02_工程タスク'!$O$4:$O$135,MATCH(A55,'02_工程タスク'!$A$4:$A$135,0))))</f>
        <v>B2-03,B2-09</v>
      </c>
      <c r="BC55" s="28" t="str">
        <f t="shared" si="47"/>
        <v>記法OK</v>
      </c>
      <c r="BD55" s="28" t="str">
        <f>IF(A55="B6-01",IF(OR(AV55="",COUNTIF('29_ゲート承認記録'!$F$4:$F$83,AV55)&lt;&gt;1),"終了開始根拠不足",IF(IF(COUNTIF('29_ゲート承認記録'!$F$4:$F$83,AV55)&lt;&gt;1,"参照ID不正",IF(INDEX('29_ゲート承認記録'!$L$4:$L$83,MATCH(AV55,'29_ゲート承認記録'!$F$4:$F$83,0))="","",INDEX('29_ゲート承認記録'!$L$4:$L$83,MATCH(AV55,'29_ゲート承認記録'!$F$4:$F$83,0))))&lt;&gt;"Stop","Stop判断要確認","開始根拠あり")),IF(AND(A55="B5-18",AU55="事故"),IF(AV55="","事故レビュー参照不足","開始根拠あり"),"開始根拠あり"))</f>
        <v>開始根拠あり</v>
      </c>
      <c r="BE55" s="29"/>
      <c r="BF55" s="29"/>
    </row>
    <row r="56" spans="1:58" ht="38" customHeight="1" x14ac:dyDescent="0.2">
      <c r="A56" s="11" t="s">
        <v>810</v>
      </c>
      <c r="B56" s="28" t="str">
        <f>IF(COUNTIF('02_工程タスク'!$A$4:$A$135,A56)&lt;&gt;1,"参照ID不正",IF(INDEX('02_工程タスク'!$B$4:$B$135,MATCH(A56,'02_工程タスク'!$A$4:$A$135,0))="","",INDEX('02_工程タスク'!$B$4:$B$135,MATCH(A56,'02_工程タスク'!$A$4:$A$135,0))))</f>
        <v>設計</v>
      </c>
      <c r="C56" s="28" t="str">
        <f>IF(COUNTIF('02_工程タスク'!$A$4:$A$135,A56)&lt;&gt;1,"参照ID不正",IF(INDEX('02_工程タスク'!$D$4:$D$135,MATCH(A56,'02_工程タスク'!$A$4:$A$135,0))="","",INDEX('02_工程タスク'!$D$4:$D$135,MATCH(A56,'02_工程タスク'!$A$4:$A$135,0))))</f>
        <v>構成一式のrollback・縮退</v>
      </c>
      <c r="D56" s="6"/>
      <c r="E56" s="6" t="s">
        <v>1598</v>
      </c>
      <c r="F56" s="6"/>
      <c r="G56" s="6"/>
      <c r="H56" s="5"/>
      <c r="I56" s="5"/>
      <c r="J56" s="5"/>
      <c r="K56" s="5"/>
      <c r="L56" s="6" t="s">
        <v>3629</v>
      </c>
      <c r="M56" s="6"/>
      <c r="N56" s="6"/>
      <c r="O56" s="5"/>
      <c r="P56" s="17"/>
      <c r="Q56" s="17"/>
      <c r="R56" s="6"/>
      <c r="S56" s="6"/>
      <c r="T56" s="6"/>
      <c r="U56" s="5"/>
      <c r="V56" s="6" t="s">
        <v>817</v>
      </c>
      <c r="W56" s="28" t="str">
        <f t="shared" si="24"/>
        <v>適用未判定</v>
      </c>
      <c r="X56" s="28" t="str">
        <f t="shared" si="25"/>
        <v/>
      </c>
      <c r="Y56" s="25" t="str">
        <f t="shared" si="26"/>
        <v/>
      </c>
      <c r="Z56" s="25" t="str">
        <f t="shared" si="27"/>
        <v>適用未判定</v>
      </c>
      <c r="AA56" s="25">
        <f t="shared" si="28"/>
        <v>0</v>
      </c>
      <c r="AB56" s="25" t="str">
        <f t="shared" si="29"/>
        <v>B2-06</v>
      </c>
      <c r="AC56" s="25" t="str">
        <f t="shared" si="30"/>
        <v>B2-09</v>
      </c>
      <c r="AD56" s="25" t="str">
        <f t="shared" si="31"/>
        <v>B2-15</v>
      </c>
      <c r="AE56" s="25" t="str">
        <f t="shared" si="32"/>
        <v/>
      </c>
      <c r="AF56" s="25" t="str">
        <f t="shared" si="33"/>
        <v/>
      </c>
      <c r="AG56" s="25" t="str">
        <f t="shared" si="34"/>
        <v/>
      </c>
      <c r="AH56" s="25" t="str">
        <f t="shared" si="35"/>
        <v/>
      </c>
      <c r="AI56" s="25" t="str">
        <f t="shared" si="36"/>
        <v/>
      </c>
      <c r="AJ56" s="25" t="str">
        <f t="shared" si="37"/>
        <v>未充足</v>
      </c>
      <c r="AK56" s="25" t="str">
        <f t="shared" si="38"/>
        <v>未充足</v>
      </c>
      <c r="AL56" s="25" t="str">
        <f t="shared" si="39"/>
        <v>未充足</v>
      </c>
      <c r="AM56" s="25" t="str">
        <f t="shared" si="40"/>
        <v/>
      </c>
      <c r="AN56" s="25" t="str">
        <f t="shared" si="41"/>
        <v/>
      </c>
      <c r="AO56" s="25" t="str">
        <f t="shared" si="42"/>
        <v/>
      </c>
      <c r="AP56" s="25" t="str">
        <f t="shared" si="43"/>
        <v/>
      </c>
      <c r="AQ56" s="25" t="str">
        <f t="shared" si="44"/>
        <v/>
      </c>
      <c r="AR56" s="35" t="str">
        <f t="shared" si="45"/>
        <v/>
      </c>
      <c r="AS56" s="28" t="str">
        <f>IF(COUNTIF('02_工程タスク'!$A$4:$A$135,A56)&lt;&gt;1,"参照ID不正",IF(INDEX('02_工程タスク'!$H$4:$H$135,MATCH(A56,'02_工程タスク'!$A$4:$A$135,0))="","",INDEX('02_工程タスク'!$H$4:$H$135,MATCH(A56,'02_工程タスク'!$A$4:$A$135,0))))</f>
        <v>R18</v>
      </c>
      <c r="AT56" s="28" t="str">
        <f t="shared" si="46"/>
        <v>INIT-B2-16</v>
      </c>
      <c r="AU56" s="29" t="s">
        <v>3630</v>
      </c>
      <c r="AV56" s="29"/>
      <c r="AW56" s="29"/>
      <c r="AX56" s="32"/>
      <c r="AY56" s="29"/>
      <c r="AZ56" s="29"/>
      <c r="BA56" s="32"/>
      <c r="BB56" s="28" t="str">
        <f>IF(COUNTIF('02_工程タスク'!$A$4:$A$135,A56)&lt;&gt;1,"参照ID不正",IF(INDEX('02_工程タスク'!$O$4:$O$135,MATCH(A56,'02_工程タスク'!$A$4:$A$135,0))="","",INDEX('02_工程タスク'!$O$4:$O$135,MATCH(A56,'02_工程タスク'!$A$4:$A$135,0))))</f>
        <v>B2-06,B2-09,B2-15</v>
      </c>
      <c r="BC56" s="28" t="str">
        <f t="shared" si="47"/>
        <v>記法OK</v>
      </c>
      <c r="BD56" s="28" t="str">
        <f>IF(A56="B6-01",IF(OR(AV56="",COUNTIF('29_ゲート承認記録'!$F$4:$F$83,AV56)&lt;&gt;1),"終了開始根拠不足",IF(IF(COUNTIF('29_ゲート承認記録'!$F$4:$F$83,AV56)&lt;&gt;1,"参照ID不正",IF(INDEX('29_ゲート承認記録'!$L$4:$L$83,MATCH(AV56,'29_ゲート承認記録'!$F$4:$F$83,0))="","",INDEX('29_ゲート承認記録'!$L$4:$L$83,MATCH(AV56,'29_ゲート承認記録'!$F$4:$F$83,0))))&lt;&gt;"Stop","Stop判断要確認","開始根拠あり")),IF(AND(A56="B5-18",AU56="事故"),IF(AV56="","事故レビュー参照不足","開始根拠あり"),"開始根拠あり"))</f>
        <v>開始根拠あり</v>
      </c>
      <c r="BE56" s="29"/>
      <c r="BF56" s="29"/>
    </row>
    <row r="57" spans="1:58" ht="38" customHeight="1" x14ac:dyDescent="0.2">
      <c r="A57" s="11" t="s">
        <v>820</v>
      </c>
      <c r="B57" s="28" t="str">
        <f>IF(COUNTIF('02_工程タスク'!$A$4:$A$135,A57)&lt;&gt;1,"参照ID不正",IF(INDEX('02_工程タスク'!$B$4:$B$135,MATCH(A57,'02_工程タスク'!$A$4:$A$135,0))="","",INDEX('02_工程タスク'!$B$4:$B$135,MATCH(A57,'02_工程タスク'!$A$4:$A$135,0))))</f>
        <v>設計</v>
      </c>
      <c r="C57" s="28" t="str">
        <f>IF(COUNTIF('02_工程タスク'!$A$4:$A$135,A57)&lt;&gt;1,"参照ID不正",IF(INDEX('02_工程タスク'!$D$4:$D$135,MATCH(A57,'02_工程タスク'!$A$4:$A$135,0))="","",INDEX('02_工程タスク'!$D$4:$D$135,MATCH(A57,'02_工程タスク'!$A$4:$A$135,0))))</f>
        <v>予算制御・メータリング・成功原価</v>
      </c>
      <c r="D57" s="6"/>
      <c r="E57" s="6" t="s">
        <v>1598</v>
      </c>
      <c r="F57" s="6"/>
      <c r="G57" s="6"/>
      <c r="H57" s="5"/>
      <c r="I57" s="5"/>
      <c r="J57" s="5"/>
      <c r="K57" s="5"/>
      <c r="L57" s="6" t="s">
        <v>3629</v>
      </c>
      <c r="M57" s="6"/>
      <c r="N57" s="6"/>
      <c r="O57" s="5"/>
      <c r="P57" s="17"/>
      <c r="Q57" s="17"/>
      <c r="R57" s="6"/>
      <c r="S57" s="6"/>
      <c r="T57" s="6"/>
      <c r="U57" s="5"/>
      <c r="V57" s="6" t="s">
        <v>826</v>
      </c>
      <c r="W57" s="28" t="str">
        <f t="shared" si="24"/>
        <v>適用未判定</v>
      </c>
      <c r="X57" s="28" t="str">
        <f t="shared" si="25"/>
        <v/>
      </c>
      <c r="Y57" s="26" t="str">
        <f t="shared" si="26"/>
        <v/>
      </c>
      <c r="Z57" s="26" t="str">
        <f t="shared" si="27"/>
        <v>適用未判定</v>
      </c>
      <c r="AA57" s="26">
        <f t="shared" si="28"/>
        <v>0</v>
      </c>
      <c r="AB57" s="26" t="str">
        <f t="shared" si="29"/>
        <v>B1-12</v>
      </c>
      <c r="AC57" s="26" t="str">
        <f t="shared" si="30"/>
        <v>B1-18</v>
      </c>
      <c r="AD57" s="26" t="str">
        <f t="shared" si="31"/>
        <v>B2-02</v>
      </c>
      <c r="AE57" s="26" t="str">
        <f t="shared" si="32"/>
        <v/>
      </c>
      <c r="AF57" s="26" t="str">
        <f t="shared" si="33"/>
        <v/>
      </c>
      <c r="AG57" s="26" t="str">
        <f t="shared" si="34"/>
        <v/>
      </c>
      <c r="AH57" s="26" t="str">
        <f t="shared" si="35"/>
        <v/>
      </c>
      <c r="AI57" s="26" t="str">
        <f t="shared" si="36"/>
        <v/>
      </c>
      <c r="AJ57" s="26" t="str">
        <f t="shared" si="37"/>
        <v>未充足</v>
      </c>
      <c r="AK57" s="26" t="str">
        <f t="shared" si="38"/>
        <v>未充足</v>
      </c>
      <c r="AL57" s="26" t="str">
        <f t="shared" si="39"/>
        <v>未充足</v>
      </c>
      <c r="AM57" s="26" t="str">
        <f t="shared" si="40"/>
        <v/>
      </c>
      <c r="AN57" s="26" t="str">
        <f t="shared" si="41"/>
        <v/>
      </c>
      <c r="AO57" s="26" t="str">
        <f t="shared" si="42"/>
        <v/>
      </c>
      <c r="AP57" s="26" t="str">
        <f t="shared" si="43"/>
        <v/>
      </c>
      <c r="AQ57" s="26" t="str">
        <f t="shared" si="44"/>
        <v/>
      </c>
      <c r="AR57" s="36" t="str">
        <f t="shared" si="45"/>
        <v/>
      </c>
      <c r="AS57" s="28" t="str">
        <f>IF(COUNTIF('02_工程タスク'!$A$4:$A$135,A57)&lt;&gt;1,"参照ID不正",IF(INDEX('02_工程タスク'!$H$4:$H$135,MATCH(A57,'02_工程タスク'!$A$4:$A$135,0))="","",INDEX('02_工程タスク'!$H$4:$H$135,MATCH(A57,'02_工程タスク'!$A$4:$A$135,0))))</f>
        <v>R01</v>
      </c>
      <c r="AT57" s="28" t="str">
        <f t="shared" si="46"/>
        <v>INIT-B2-17</v>
      </c>
      <c r="AU57" s="29" t="s">
        <v>3630</v>
      </c>
      <c r="AV57" s="29"/>
      <c r="AW57" s="29"/>
      <c r="AX57" s="32"/>
      <c r="AY57" s="29"/>
      <c r="AZ57" s="29"/>
      <c r="BA57" s="32"/>
      <c r="BB57" s="28" t="str">
        <f>IF(COUNTIF('02_工程タスク'!$A$4:$A$135,A57)&lt;&gt;1,"参照ID不正",IF(INDEX('02_工程タスク'!$O$4:$O$135,MATCH(A57,'02_工程タスク'!$A$4:$A$135,0))="","",INDEX('02_工程タスク'!$O$4:$O$135,MATCH(A57,'02_工程タスク'!$A$4:$A$135,0))))</f>
        <v>B1-12,B1-18,B2-02</v>
      </c>
      <c r="BC57" s="28" t="str">
        <f t="shared" si="47"/>
        <v>記法OK</v>
      </c>
      <c r="BD57" s="28" t="str">
        <f>IF(A57="B6-01",IF(OR(AV57="",COUNTIF('29_ゲート承認記録'!$F$4:$F$83,AV57)&lt;&gt;1),"終了開始根拠不足",IF(IF(COUNTIF('29_ゲート承認記録'!$F$4:$F$83,AV57)&lt;&gt;1,"参照ID不正",IF(INDEX('29_ゲート承認記録'!$L$4:$L$83,MATCH(AV57,'29_ゲート承認記録'!$F$4:$F$83,0))="","",INDEX('29_ゲート承認記録'!$L$4:$L$83,MATCH(AV57,'29_ゲート承認記録'!$F$4:$F$83,0))))&lt;&gt;"Stop","Stop判断要確認","開始根拠あり")),IF(AND(A57="B5-18",AU57="事故"),IF(AV57="","事故レビュー参照不足","開始根拠あり"),"開始根拠あり"))</f>
        <v>開始根拠あり</v>
      </c>
      <c r="BE57" s="29"/>
      <c r="BF57" s="29"/>
    </row>
    <row r="58" spans="1:58" ht="38" customHeight="1" x14ac:dyDescent="0.2">
      <c r="A58" s="11" t="s">
        <v>829</v>
      </c>
      <c r="B58" s="28" t="str">
        <f>IF(COUNTIF('02_工程タスク'!$A$4:$A$135,A58)&lt;&gt;1,"参照ID不正",IF(INDEX('02_工程タスク'!$B$4:$B$135,MATCH(A58,'02_工程タスク'!$A$4:$A$135,0))="","",INDEX('02_工程タスク'!$B$4:$B$135,MATCH(A58,'02_工程タスク'!$A$4:$A$135,0))))</f>
        <v>設計</v>
      </c>
      <c r="C58" s="28" t="str">
        <f>IF(COUNTIF('02_工程タスク'!$A$4:$A$135,A58)&lt;&gt;1,"参照ID不正",IF(INDEX('02_工程タスク'!$D$4:$D$135,MATCH(A58,'02_工程タスク'!$A$4:$A$135,0))="","",INDEX('02_工程タスク'!$D$4:$D$135,MATCH(A58,'02_工程タスク'!$A$4:$A$135,0))))</f>
        <v>依存契約・公開・切替計画</v>
      </c>
      <c r="D58" s="6"/>
      <c r="E58" s="6" t="s">
        <v>1598</v>
      </c>
      <c r="F58" s="6"/>
      <c r="G58" s="6"/>
      <c r="H58" s="5"/>
      <c r="I58" s="5"/>
      <c r="J58" s="5"/>
      <c r="K58" s="5"/>
      <c r="L58" s="6" t="s">
        <v>3629</v>
      </c>
      <c r="M58" s="6"/>
      <c r="N58" s="6"/>
      <c r="O58" s="5"/>
      <c r="P58" s="17"/>
      <c r="Q58" s="17"/>
      <c r="R58" s="6"/>
      <c r="S58" s="6"/>
      <c r="T58" s="6"/>
      <c r="U58" s="5"/>
      <c r="V58" s="6" t="s">
        <v>836</v>
      </c>
      <c r="W58" s="28" t="str">
        <f t="shared" si="24"/>
        <v>適用未判定</v>
      </c>
      <c r="X58" s="28" t="str">
        <f t="shared" si="25"/>
        <v/>
      </c>
      <c r="Y58" s="25" t="str">
        <f t="shared" si="26"/>
        <v/>
      </c>
      <c r="Z58" s="25" t="str">
        <f t="shared" si="27"/>
        <v>適用未判定</v>
      </c>
      <c r="AA58" s="25">
        <f t="shared" si="28"/>
        <v>0</v>
      </c>
      <c r="AB58" s="25" t="str">
        <f t="shared" si="29"/>
        <v>B1-13</v>
      </c>
      <c r="AC58" s="25" t="str">
        <f t="shared" si="30"/>
        <v>B2-16</v>
      </c>
      <c r="AD58" s="25" t="str">
        <f t="shared" si="31"/>
        <v/>
      </c>
      <c r="AE58" s="25" t="str">
        <f t="shared" si="32"/>
        <v/>
      </c>
      <c r="AF58" s="25" t="str">
        <f t="shared" si="33"/>
        <v/>
      </c>
      <c r="AG58" s="25" t="str">
        <f t="shared" si="34"/>
        <v/>
      </c>
      <c r="AH58" s="25" t="str">
        <f t="shared" si="35"/>
        <v/>
      </c>
      <c r="AI58" s="25" t="str">
        <f t="shared" si="36"/>
        <v/>
      </c>
      <c r="AJ58" s="25" t="str">
        <f t="shared" si="37"/>
        <v>未充足</v>
      </c>
      <c r="AK58" s="25" t="str">
        <f t="shared" si="38"/>
        <v>未充足</v>
      </c>
      <c r="AL58" s="25" t="str">
        <f t="shared" si="39"/>
        <v/>
      </c>
      <c r="AM58" s="25" t="str">
        <f t="shared" si="40"/>
        <v/>
      </c>
      <c r="AN58" s="25" t="str">
        <f t="shared" si="41"/>
        <v/>
      </c>
      <c r="AO58" s="25" t="str">
        <f t="shared" si="42"/>
        <v/>
      </c>
      <c r="AP58" s="25" t="str">
        <f t="shared" si="43"/>
        <v/>
      </c>
      <c r="AQ58" s="25" t="str">
        <f t="shared" si="44"/>
        <v/>
      </c>
      <c r="AR58" s="35" t="str">
        <f t="shared" si="45"/>
        <v/>
      </c>
      <c r="AS58" s="28" t="str">
        <f>IF(COUNTIF('02_工程タスク'!$A$4:$A$135,A58)&lt;&gt;1,"参照ID不正",IF(INDEX('02_工程タスク'!$H$4:$H$135,MATCH(A58,'02_工程タスク'!$A$4:$A$135,0))="","",INDEX('02_工程タスク'!$H$4:$H$135,MATCH(A58,'02_工程タスク'!$A$4:$A$135,0))))</f>
        <v>R18</v>
      </c>
      <c r="AT58" s="28" t="str">
        <f t="shared" si="46"/>
        <v>INIT-B2-18</v>
      </c>
      <c r="AU58" s="29" t="s">
        <v>3630</v>
      </c>
      <c r="AV58" s="29"/>
      <c r="AW58" s="29"/>
      <c r="AX58" s="32"/>
      <c r="AY58" s="29"/>
      <c r="AZ58" s="29"/>
      <c r="BA58" s="32"/>
      <c r="BB58" s="28" t="str">
        <f>IF(COUNTIF('02_工程タスク'!$A$4:$A$135,A58)&lt;&gt;1,"参照ID不正",IF(INDEX('02_工程タスク'!$O$4:$O$135,MATCH(A58,'02_工程タスク'!$A$4:$A$135,0))="","",INDEX('02_工程タスク'!$O$4:$O$135,MATCH(A58,'02_工程タスク'!$A$4:$A$135,0))))</f>
        <v>B1-13,B2-16</v>
      </c>
      <c r="BC58" s="28" t="str">
        <f t="shared" si="47"/>
        <v>記法OK</v>
      </c>
      <c r="BD58" s="28" t="str">
        <f>IF(A58="B6-01",IF(OR(AV58="",COUNTIF('29_ゲート承認記録'!$F$4:$F$83,AV58)&lt;&gt;1),"終了開始根拠不足",IF(IF(COUNTIF('29_ゲート承認記録'!$F$4:$F$83,AV58)&lt;&gt;1,"参照ID不正",IF(INDEX('29_ゲート承認記録'!$L$4:$L$83,MATCH(AV58,'29_ゲート承認記録'!$F$4:$F$83,0))="","",INDEX('29_ゲート承認記録'!$L$4:$L$83,MATCH(AV58,'29_ゲート承認記録'!$F$4:$F$83,0))))&lt;&gt;"Stop","Stop判断要確認","開始根拠あり")),IF(AND(A58="B5-18",AU58="事故"),IF(AV58="","事故レビュー参照不足","開始根拠あり"),"開始根拠あり"))</f>
        <v>開始根拠あり</v>
      </c>
      <c r="BE58" s="29"/>
      <c r="BF58" s="29"/>
    </row>
    <row r="59" spans="1:58" ht="38" customHeight="1" x14ac:dyDescent="0.2">
      <c r="A59" s="11" t="s">
        <v>839</v>
      </c>
      <c r="B59" s="28" t="str">
        <f>IF(COUNTIF('02_工程タスク'!$A$4:$A$135,A59)&lt;&gt;1,"参照ID不正",IF(INDEX('02_工程タスク'!$B$4:$B$135,MATCH(A59,'02_工程タスク'!$A$4:$A$135,0))="","",INDEX('02_工程タスク'!$B$4:$B$135,MATCH(A59,'02_工程タスク'!$A$4:$A$135,0))))</f>
        <v>設計</v>
      </c>
      <c r="C59" s="28" t="str">
        <f>IF(COUNTIF('02_工程タスク'!$A$4:$A$135,A59)&lt;&gt;1,"参照ID不正",IF(INDEX('02_工程タスク'!$D$4:$D$135,MATCH(A59,'02_工程タスク'!$A$4:$A$135,0))="","",INDEX('02_工程タスク'!$D$4:$D$135,MATCH(A59,'02_工程タスク'!$A$4:$A$135,0))))</f>
        <v>非機能・安全・採算・実現性レビュー</v>
      </c>
      <c r="D59" s="6"/>
      <c r="E59" s="6" t="s">
        <v>1598</v>
      </c>
      <c r="F59" s="6"/>
      <c r="G59" s="6"/>
      <c r="H59" s="5"/>
      <c r="I59" s="5"/>
      <c r="J59" s="5"/>
      <c r="K59" s="5"/>
      <c r="L59" s="6" t="s">
        <v>3629</v>
      </c>
      <c r="M59" s="6"/>
      <c r="N59" s="6"/>
      <c r="O59" s="5"/>
      <c r="P59" s="17"/>
      <c r="Q59" s="17"/>
      <c r="R59" s="6"/>
      <c r="S59" s="6"/>
      <c r="T59" s="6"/>
      <c r="U59" s="5"/>
      <c r="V59" s="6" t="s">
        <v>846</v>
      </c>
      <c r="W59" s="28" t="str">
        <f t="shared" si="24"/>
        <v>適用未判定</v>
      </c>
      <c r="X59" s="28" t="str">
        <f t="shared" si="25"/>
        <v/>
      </c>
      <c r="Y59" s="26" t="str">
        <f t="shared" si="26"/>
        <v/>
      </c>
      <c r="Z59" s="26" t="str">
        <f t="shared" si="27"/>
        <v>適用未判定</v>
      </c>
      <c r="AA59" s="26">
        <f t="shared" si="28"/>
        <v>0</v>
      </c>
      <c r="AB59" s="26" t="str">
        <f t="shared" si="29"/>
        <v>B2-10</v>
      </c>
      <c r="AC59" s="26" t="str">
        <f t="shared" si="30"/>
        <v>B2-15</v>
      </c>
      <c r="AD59" s="26" t="str">
        <f t="shared" si="31"/>
        <v>B2-16</v>
      </c>
      <c r="AE59" s="26" t="str">
        <f t="shared" si="32"/>
        <v>B2-17</v>
      </c>
      <c r="AF59" s="26" t="str">
        <f t="shared" si="33"/>
        <v/>
      </c>
      <c r="AG59" s="26" t="str">
        <f t="shared" si="34"/>
        <v/>
      </c>
      <c r="AH59" s="26" t="str">
        <f t="shared" si="35"/>
        <v/>
      </c>
      <c r="AI59" s="26" t="str">
        <f t="shared" si="36"/>
        <v/>
      </c>
      <c r="AJ59" s="26" t="str">
        <f t="shared" si="37"/>
        <v>未充足</v>
      </c>
      <c r="AK59" s="26" t="str">
        <f t="shared" si="38"/>
        <v>未充足</v>
      </c>
      <c r="AL59" s="26" t="str">
        <f t="shared" si="39"/>
        <v>未充足</v>
      </c>
      <c r="AM59" s="26" t="str">
        <f t="shared" si="40"/>
        <v>未充足</v>
      </c>
      <c r="AN59" s="26" t="str">
        <f t="shared" si="41"/>
        <v/>
      </c>
      <c r="AO59" s="26" t="str">
        <f t="shared" si="42"/>
        <v/>
      </c>
      <c r="AP59" s="26" t="str">
        <f t="shared" si="43"/>
        <v/>
      </c>
      <c r="AQ59" s="26" t="str">
        <f t="shared" si="44"/>
        <v/>
      </c>
      <c r="AR59" s="36" t="str">
        <f t="shared" si="45"/>
        <v/>
      </c>
      <c r="AS59" s="28" t="str">
        <f>IF(COUNTIF('02_工程タスク'!$A$4:$A$135,A59)&lt;&gt;1,"参照ID不正",IF(INDEX('02_工程タスク'!$H$4:$H$135,MATCH(A59,'02_工程タスク'!$A$4:$A$135,0))="","",INDEX('02_工程タスク'!$H$4:$H$135,MATCH(A59,'02_工程タスク'!$A$4:$A$135,0))))</f>
        <v>R06</v>
      </c>
      <c r="AT59" s="28" t="str">
        <f t="shared" si="46"/>
        <v>INIT-B2-19</v>
      </c>
      <c r="AU59" s="29" t="s">
        <v>3630</v>
      </c>
      <c r="AV59" s="29"/>
      <c r="AW59" s="29"/>
      <c r="AX59" s="32"/>
      <c r="AY59" s="29"/>
      <c r="AZ59" s="29"/>
      <c r="BA59" s="32"/>
      <c r="BB59" s="28" t="str">
        <f>IF(COUNTIF('02_工程タスク'!$A$4:$A$135,A59)&lt;&gt;1,"参照ID不正",IF(INDEX('02_工程タスク'!$O$4:$O$135,MATCH(A59,'02_工程タスク'!$A$4:$A$135,0))="","",INDEX('02_工程タスク'!$O$4:$O$135,MATCH(A59,'02_工程タスク'!$A$4:$A$135,0))))</f>
        <v>B2-10,B2-15,B2-16,B2-17</v>
      </c>
      <c r="BC59" s="28" t="str">
        <f t="shared" si="47"/>
        <v>記法OK</v>
      </c>
      <c r="BD59" s="28" t="str">
        <f>IF(A59="B6-01",IF(OR(AV59="",COUNTIF('29_ゲート承認記録'!$F$4:$F$83,AV59)&lt;&gt;1),"終了開始根拠不足",IF(IF(COUNTIF('29_ゲート承認記録'!$F$4:$F$83,AV59)&lt;&gt;1,"参照ID不正",IF(INDEX('29_ゲート承認記録'!$L$4:$L$83,MATCH(AV59,'29_ゲート承認記録'!$F$4:$F$83,0))="","",INDEX('29_ゲート承認記録'!$L$4:$L$83,MATCH(AV59,'29_ゲート承認記録'!$F$4:$F$83,0))))&lt;&gt;"Stop","Stop判断要確認","開始根拠あり")),IF(AND(A59="B5-18",AU59="事故"),IF(AV59="","事故レビュー参照不足","開始根拠あり"),"開始根拠あり"))</f>
        <v>開始根拠あり</v>
      </c>
      <c r="BE59" s="29"/>
      <c r="BF59" s="29"/>
    </row>
    <row r="60" spans="1:58" ht="38" customHeight="1" x14ac:dyDescent="0.2">
      <c r="A60" s="11" t="s">
        <v>849</v>
      </c>
      <c r="B60" s="28" t="str">
        <f>IF(COUNTIF('02_工程タスク'!$A$4:$A$135,A60)&lt;&gt;1,"参照ID不正",IF(INDEX('02_工程タスク'!$B$4:$B$135,MATCH(A60,'02_工程タスク'!$A$4:$A$135,0))="","",INDEX('02_工程タスク'!$B$4:$B$135,MATCH(A60,'02_工程タスク'!$A$4:$A$135,0))))</f>
        <v>設計</v>
      </c>
      <c r="C60" s="28" t="str">
        <f>IF(COUNTIF('02_工程タスク'!$A$4:$A$135,A60)&lt;&gt;1,"参照ID不正",IF(INDEX('02_工程タスク'!$D$4:$D$135,MATCH(A60,'02_工程タスク'!$A$4:$A$135,0))="","",INDEX('02_工程タスク'!$D$4:$D$135,MATCH(A60,'02_工程タスク'!$A$4:$A$135,0))))</f>
        <v>Architecture/Build承認</v>
      </c>
      <c r="D60" s="6"/>
      <c r="E60" s="6" t="s">
        <v>1598</v>
      </c>
      <c r="F60" s="6"/>
      <c r="G60" s="6"/>
      <c r="H60" s="5"/>
      <c r="I60" s="5"/>
      <c r="J60" s="5"/>
      <c r="K60" s="5"/>
      <c r="L60" s="6" t="s">
        <v>3629</v>
      </c>
      <c r="M60" s="6"/>
      <c r="N60" s="6"/>
      <c r="O60" s="5"/>
      <c r="P60" s="17"/>
      <c r="Q60" s="17"/>
      <c r="R60" s="6"/>
      <c r="S60" s="6"/>
      <c r="T60" s="6"/>
      <c r="U60" s="5"/>
      <c r="V60" s="6" t="s">
        <v>855</v>
      </c>
      <c r="W60" s="28" t="str">
        <f t="shared" si="24"/>
        <v>適用未判定</v>
      </c>
      <c r="X60" s="28" t="str">
        <f t="shared" si="25"/>
        <v/>
      </c>
      <c r="Y60" s="25" t="str">
        <f t="shared" si="26"/>
        <v/>
      </c>
      <c r="Z60" s="25" t="str">
        <f t="shared" si="27"/>
        <v>適用未判定</v>
      </c>
      <c r="AA60" s="25">
        <f t="shared" si="28"/>
        <v>0</v>
      </c>
      <c r="AB60" s="25" t="str">
        <f t="shared" si="29"/>
        <v>B2-19</v>
      </c>
      <c r="AC60" s="25" t="str">
        <f t="shared" si="30"/>
        <v>B2-18</v>
      </c>
      <c r="AD60" s="25" t="str">
        <f t="shared" si="31"/>
        <v/>
      </c>
      <c r="AE60" s="25" t="str">
        <f t="shared" si="32"/>
        <v/>
      </c>
      <c r="AF60" s="25" t="str">
        <f t="shared" si="33"/>
        <v/>
      </c>
      <c r="AG60" s="25" t="str">
        <f t="shared" si="34"/>
        <v/>
      </c>
      <c r="AH60" s="25" t="str">
        <f t="shared" si="35"/>
        <v/>
      </c>
      <c r="AI60" s="25" t="str">
        <f t="shared" si="36"/>
        <v/>
      </c>
      <c r="AJ60" s="25" t="str">
        <f t="shared" si="37"/>
        <v>未充足</v>
      </c>
      <c r="AK60" s="25" t="str">
        <f t="shared" si="38"/>
        <v>未充足</v>
      </c>
      <c r="AL60" s="25" t="str">
        <f t="shared" si="39"/>
        <v/>
      </c>
      <c r="AM60" s="25" t="str">
        <f t="shared" si="40"/>
        <v/>
      </c>
      <c r="AN60" s="25" t="str">
        <f t="shared" si="41"/>
        <v/>
      </c>
      <c r="AO60" s="25" t="str">
        <f t="shared" si="42"/>
        <v/>
      </c>
      <c r="AP60" s="25" t="str">
        <f t="shared" si="43"/>
        <v/>
      </c>
      <c r="AQ60" s="25" t="str">
        <f t="shared" si="44"/>
        <v/>
      </c>
      <c r="AR60" s="35" t="str">
        <f t="shared" si="45"/>
        <v/>
      </c>
      <c r="AS60" s="28" t="str">
        <f>IF(COUNTIF('02_工程タスク'!$A$4:$A$135,A60)&lt;&gt;1,"参照ID不正",IF(INDEX('02_工程タスク'!$H$4:$H$135,MATCH(A60,'02_工程タスク'!$A$4:$A$135,0))="","",INDEX('02_工程タスク'!$H$4:$H$135,MATCH(A60,'02_工程タスク'!$A$4:$A$135,0))))</f>
        <v>R01</v>
      </c>
      <c r="AT60" s="28" t="str">
        <f t="shared" si="46"/>
        <v>INIT-B2-20</v>
      </c>
      <c r="AU60" s="29" t="s">
        <v>3630</v>
      </c>
      <c r="AV60" s="29"/>
      <c r="AW60" s="29"/>
      <c r="AX60" s="32"/>
      <c r="AY60" s="29"/>
      <c r="AZ60" s="29"/>
      <c r="BA60" s="32"/>
      <c r="BB60" s="28" t="str">
        <f>IF(COUNTIF('02_工程タスク'!$A$4:$A$135,A60)&lt;&gt;1,"参照ID不正",IF(INDEX('02_工程タスク'!$O$4:$O$135,MATCH(A60,'02_工程タスク'!$A$4:$A$135,0))="","",INDEX('02_工程タスク'!$O$4:$O$135,MATCH(A60,'02_工程タスク'!$A$4:$A$135,0))))</f>
        <v>B2-19,B2-18</v>
      </c>
      <c r="BC60" s="28" t="str">
        <f t="shared" si="47"/>
        <v>記法OK</v>
      </c>
      <c r="BD60" s="28" t="str">
        <f>IF(A60="B6-01",IF(OR(AV60="",COUNTIF('29_ゲート承認記録'!$F$4:$F$83,AV60)&lt;&gt;1),"終了開始根拠不足",IF(IF(COUNTIF('29_ゲート承認記録'!$F$4:$F$83,AV60)&lt;&gt;1,"参照ID不正",IF(INDEX('29_ゲート承認記録'!$L$4:$L$83,MATCH(AV60,'29_ゲート承認記録'!$F$4:$F$83,0))="","",INDEX('29_ゲート承認記録'!$L$4:$L$83,MATCH(AV60,'29_ゲート承認記録'!$F$4:$F$83,0))))&lt;&gt;"Stop","Stop判断要確認","開始根拠あり")),IF(AND(A60="B5-18",AU60="事故"),IF(AV60="","事故レビュー参照不足","開始根拠あり"),"開始根拠あり"))</f>
        <v>開始根拠あり</v>
      </c>
      <c r="BE60" s="29"/>
      <c r="BF60" s="29"/>
    </row>
    <row r="61" spans="1:58" ht="38" customHeight="1" x14ac:dyDescent="0.2">
      <c r="A61" s="12" t="s">
        <v>857</v>
      </c>
      <c r="B61" s="28" t="str">
        <f>IF(COUNTIF('02_工程タスク'!$A$4:$A$135,A61)&lt;&gt;1,"参照ID不正",IF(INDEX('02_工程タスク'!$B$4:$B$135,MATCH(A61,'02_工程タスク'!$A$4:$A$135,0))="","",INDEX('02_工程タスク'!$B$4:$B$135,MATCH(A61,'02_工程タスク'!$A$4:$A$135,0))))</f>
        <v>実装</v>
      </c>
      <c r="C61" s="28" t="str">
        <f>IF(COUNTIF('02_工程タスク'!$A$4:$A$135,A61)&lt;&gt;1,"参照ID不正",IF(INDEX('02_工程タスク'!$D$4:$D$135,MATCH(A61,'02_工程タスク'!$A$4:$A$135,0))="","",INDEX('02_工程タスク'!$D$4:$D$135,MATCH(A61,'02_工程タスク'!$A$4:$A$135,0))))</f>
        <v>Repo・CI・IaCの最小実装</v>
      </c>
      <c r="D61" s="6"/>
      <c r="E61" s="6" t="s">
        <v>1598</v>
      </c>
      <c r="F61" s="6"/>
      <c r="G61" s="6"/>
      <c r="H61" s="5"/>
      <c r="I61" s="5"/>
      <c r="J61" s="5"/>
      <c r="K61" s="5"/>
      <c r="L61" s="6" t="s">
        <v>3629</v>
      </c>
      <c r="M61" s="6"/>
      <c r="N61" s="6"/>
      <c r="O61" s="5"/>
      <c r="P61" s="17"/>
      <c r="Q61" s="17"/>
      <c r="R61" s="6"/>
      <c r="S61" s="6"/>
      <c r="T61" s="6"/>
      <c r="U61" s="5"/>
      <c r="V61" s="6" t="s">
        <v>864</v>
      </c>
      <c r="W61" s="28" t="str">
        <f t="shared" si="24"/>
        <v>適用未判定</v>
      </c>
      <c r="X61" s="28" t="str">
        <f t="shared" si="25"/>
        <v/>
      </c>
      <c r="Y61" s="26" t="str">
        <f t="shared" si="26"/>
        <v/>
      </c>
      <c r="Z61" s="26" t="str">
        <f t="shared" si="27"/>
        <v>適用未判定</v>
      </c>
      <c r="AA61" s="26">
        <f t="shared" si="28"/>
        <v>0</v>
      </c>
      <c r="AB61" s="26" t="str">
        <f t="shared" si="29"/>
        <v>B2-20</v>
      </c>
      <c r="AC61" s="26" t="str">
        <f t="shared" si="30"/>
        <v>B2-11</v>
      </c>
      <c r="AD61" s="26" t="str">
        <f t="shared" si="31"/>
        <v/>
      </c>
      <c r="AE61" s="26" t="str">
        <f t="shared" si="32"/>
        <v/>
      </c>
      <c r="AF61" s="26" t="str">
        <f t="shared" si="33"/>
        <v/>
      </c>
      <c r="AG61" s="26" t="str">
        <f t="shared" si="34"/>
        <v/>
      </c>
      <c r="AH61" s="26" t="str">
        <f t="shared" si="35"/>
        <v/>
      </c>
      <c r="AI61" s="26" t="str">
        <f t="shared" si="36"/>
        <v/>
      </c>
      <c r="AJ61" s="26" t="str">
        <f t="shared" si="37"/>
        <v>未充足</v>
      </c>
      <c r="AK61" s="26" t="str">
        <f t="shared" si="38"/>
        <v>未充足</v>
      </c>
      <c r="AL61" s="26" t="str">
        <f t="shared" si="39"/>
        <v/>
      </c>
      <c r="AM61" s="26" t="str">
        <f t="shared" si="40"/>
        <v/>
      </c>
      <c r="AN61" s="26" t="str">
        <f t="shared" si="41"/>
        <v/>
      </c>
      <c r="AO61" s="26" t="str">
        <f t="shared" si="42"/>
        <v/>
      </c>
      <c r="AP61" s="26" t="str">
        <f t="shared" si="43"/>
        <v/>
      </c>
      <c r="AQ61" s="26" t="str">
        <f t="shared" si="44"/>
        <v/>
      </c>
      <c r="AR61" s="36" t="str">
        <f t="shared" si="45"/>
        <v/>
      </c>
      <c r="AS61" s="28" t="str">
        <f>IF(COUNTIF('02_工程タスク'!$A$4:$A$135,A61)&lt;&gt;1,"参照ID不正",IF(INDEX('02_工程タスク'!$H$4:$H$135,MATCH(A61,'02_工程タスク'!$A$4:$A$135,0))="","",INDEX('02_工程タスク'!$H$4:$H$135,MATCH(A61,'02_工程タスク'!$A$4:$A$135,0))))</f>
        <v>R06</v>
      </c>
      <c r="AT61" s="28" t="str">
        <f t="shared" si="46"/>
        <v>INIT-B3-01</v>
      </c>
      <c r="AU61" s="29" t="s">
        <v>3630</v>
      </c>
      <c r="AV61" s="29"/>
      <c r="AW61" s="29"/>
      <c r="AX61" s="32"/>
      <c r="AY61" s="29"/>
      <c r="AZ61" s="29"/>
      <c r="BA61" s="32"/>
      <c r="BB61" s="28" t="str">
        <f>IF(COUNTIF('02_工程タスク'!$A$4:$A$135,A61)&lt;&gt;1,"参照ID不正",IF(INDEX('02_工程タスク'!$O$4:$O$135,MATCH(A61,'02_工程タスク'!$A$4:$A$135,0))="","",INDEX('02_工程タスク'!$O$4:$O$135,MATCH(A61,'02_工程タスク'!$A$4:$A$135,0))))</f>
        <v>B2-20,B2-11</v>
      </c>
      <c r="BC61" s="28" t="str">
        <f t="shared" si="47"/>
        <v>記法OK</v>
      </c>
      <c r="BD61" s="28" t="str">
        <f>IF(A61="B6-01",IF(OR(AV61="",COUNTIF('29_ゲート承認記録'!$F$4:$F$83,AV61)&lt;&gt;1),"終了開始根拠不足",IF(IF(COUNTIF('29_ゲート承認記録'!$F$4:$F$83,AV61)&lt;&gt;1,"参照ID不正",IF(INDEX('29_ゲート承認記録'!$L$4:$L$83,MATCH(AV61,'29_ゲート承認記録'!$F$4:$F$83,0))="","",INDEX('29_ゲート承認記録'!$L$4:$L$83,MATCH(AV61,'29_ゲート承認記録'!$F$4:$F$83,0))))&lt;&gt;"Stop","Stop判断要確認","開始根拠あり")),IF(AND(A61="B5-18",AU61="事故"),IF(AV61="","事故レビュー参照不足","開始根拠あり"),"開始根拠あり"))</f>
        <v>開始根拠あり</v>
      </c>
      <c r="BE61" s="29"/>
      <c r="BF61" s="29"/>
    </row>
    <row r="62" spans="1:58" ht="38" customHeight="1" x14ac:dyDescent="0.2">
      <c r="A62" s="12" t="s">
        <v>870</v>
      </c>
      <c r="B62" s="28" t="str">
        <f>IF(COUNTIF('02_工程タスク'!$A$4:$A$135,A62)&lt;&gt;1,"参照ID不正",IF(INDEX('02_工程タスク'!$B$4:$B$135,MATCH(A62,'02_工程タスク'!$A$4:$A$135,0))="","",INDEX('02_工程タスク'!$B$4:$B$135,MATCH(A62,'02_工程タスク'!$A$4:$A$135,0))))</f>
        <v>実装</v>
      </c>
      <c r="C62" s="28" t="str">
        <f>IF(COUNTIF('02_工程タスク'!$A$4:$A$135,A62)&lt;&gt;1,"参照ID不正",IF(INDEX('02_工程タスク'!$D$4:$D$135,MATCH(A62,'02_工程タスク'!$A$4:$A$135,0))="","",INDEX('02_工程タスク'!$D$4:$D$135,MATCH(A62,'02_工程タスク'!$A$4:$A$135,0))))</f>
        <v>開発AgentのID・Sandbox・通信制御</v>
      </c>
      <c r="D62" s="6"/>
      <c r="E62" s="6" t="s">
        <v>1598</v>
      </c>
      <c r="F62" s="6"/>
      <c r="G62" s="6"/>
      <c r="H62" s="5"/>
      <c r="I62" s="5"/>
      <c r="J62" s="5"/>
      <c r="K62" s="5"/>
      <c r="L62" s="6" t="s">
        <v>3629</v>
      </c>
      <c r="M62" s="6"/>
      <c r="N62" s="6"/>
      <c r="O62" s="5"/>
      <c r="P62" s="17"/>
      <c r="Q62" s="17"/>
      <c r="R62" s="6"/>
      <c r="S62" s="6"/>
      <c r="T62" s="6"/>
      <c r="U62" s="5"/>
      <c r="V62" s="6" t="s">
        <v>877</v>
      </c>
      <c r="W62" s="28" t="str">
        <f t="shared" si="24"/>
        <v>適用未判定</v>
      </c>
      <c r="X62" s="28" t="str">
        <f t="shared" si="25"/>
        <v/>
      </c>
      <c r="Y62" s="25" t="str">
        <f t="shared" si="26"/>
        <v/>
      </c>
      <c r="Z62" s="25" t="str">
        <f t="shared" si="27"/>
        <v>適用未判定</v>
      </c>
      <c r="AA62" s="25">
        <f t="shared" si="28"/>
        <v>0</v>
      </c>
      <c r="AB62" s="25" t="str">
        <f t="shared" si="29"/>
        <v>B3-01</v>
      </c>
      <c r="AC62" s="25" t="str">
        <f t="shared" si="30"/>
        <v>B2-13</v>
      </c>
      <c r="AD62" s="25" t="str">
        <f t="shared" si="31"/>
        <v/>
      </c>
      <c r="AE62" s="25" t="str">
        <f t="shared" si="32"/>
        <v/>
      </c>
      <c r="AF62" s="25" t="str">
        <f t="shared" si="33"/>
        <v/>
      </c>
      <c r="AG62" s="25" t="str">
        <f t="shared" si="34"/>
        <v/>
      </c>
      <c r="AH62" s="25" t="str">
        <f t="shared" si="35"/>
        <v/>
      </c>
      <c r="AI62" s="25" t="str">
        <f t="shared" si="36"/>
        <v/>
      </c>
      <c r="AJ62" s="25" t="str">
        <f t="shared" si="37"/>
        <v>未充足</v>
      </c>
      <c r="AK62" s="25" t="str">
        <f t="shared" si="38"/>
        <v>未充足</v>
      </c>
      <c r="AL62" s="25" t="str">
        <f t="shared" si="39"/>
        <v/>
      </c>
      <c r="AM62" s="25" t="str">
        <f t="shared" si="40"/>
        <v/>
      </c>
      <c r="AN62" s="25" t="str">
        <f t="shared" si="41"/>
        <v/>
      </c>
      <c r="AO62" s="25" t="str">
        <f t="shared" si="42"/>
        <v/>
      </c>
      <c r="AP62" s="25" t="str">
        <f t="shared" si="43"/>
        <v/>
      </c>
      <c r="AQ62" s="25" t="str">
        <f t="shared" si="44"/>
        <v/>
      </c>
      <c r="AR62" s="35" t="str">
        <f t="shared" si="45"/>
        <v/>
      </c>
      <c r="AS62" s="28" t="str">
        <f>IF(COUNTIF('02_工程タスク'!$A$4:$A$135,A62)&lt;&gt;1,"参照ID不正",IF(INDEX('02_工程タスク'!$H$4:$H$135,MATCH(A62,'02_工程タスク'!$A$4:$A$135,0))="","",INDEX('02_工程タスク'!$H$4:$H$135,MATCH(A62,'02_工程タスク'!$A$4:$A$135,0))))</f>
        <v>R13</v>
      </c>
      <c r="AT62" s="28" t="str">
        <f t="shared" si="46"/>
        <v>INIT-B3-02</v>
      </c>
      <c r="AU62" s="29" t="s">
        <v>3630</v>
      </c>
      <c r="AV62" s="29"/>
      <c r="AW62" s="29"/>
      <c r="AX62" s="32"/>
      <c r="AY62" s="29"/>
      <c r="AZ62" s="29"/>
      <c r="BA62" s="32"/>
      <c r="BB62" s="28" t="str">
        <f>IF(COUNTIF('02_工程タスク'!$A$4:$A$135,A62)&lt;&gt;1,"参照ID不正",IF(INDEX('02_工程タスク'!$O$4:$O$135,MATCH(A62,'02_工程タスク'!$A$4:$A$135,0))="","",INDEX('02_工程タスク'!$O$4:$O$135,MATCH(A62,'02_工程タスク'!$A$4:$A$135,0))))</f>
        <v>B3-01,B2-13</v>
      </c>
      <c r="BC62" s="28" t="str">
        <f t="shared" si="47"/>
        <v>記法OK</v>
      </c>
      <c r="BD62" s="28" t="str">
        <f>IF(A62="B6-01",IF(OR(AV62="",COUNTIF('29_ゲート承認記録'!$F$4:$F$83,AV62)&lt;&gt;1),"終了開始根拠不足",IF(IF(COUNTIF('29_ゲート承認記録'!$F$4:$F$83,AV62)&lt;&gt;1,"参照ID不正",IF(INDEX('29_ゲート承認記録'!$L$4:$L$83,MATCH(AV62,'29_ゲート承認記録'!$F$4:$F$83,0))="","",INDEX('29_ゲート承認記録'!$L$4:$L$83,MATCH(AV62,'29_ゲート承認記録'!$F$4:$F$83,0))))&lt;&gt;"Stop","Stop判断要確認","開始根拠あり")),IF(AND(A62="B5-18",AU62="事故"),IF(AV62="","事故レビュー参照不足","開始根拠あり"),"開始根拠あり"))</f>
        <v>開始根拠あり</v>
      </c>
      <c r="BE62" s="29"/>
      <c r="BF62" s="29"/>
    </row>
    <row r="63" spans="1:58" ht="38" customHeight="1" x14ac:dyDescent="0.2">
      <c r="A63" s="12" t="s">
        <v>881</v>
      </c>
      <c r="B63" s="28" t="str">
        <f>IF(COUNTIF('02_工程タスク'!$A$4:$A$135,A63)&lt;&gt;1,"参照ID不正",IF(INDEX('02_工程タスク'!$B$4:$B$135,MATCH(A63,'02_工程タスク'!$A$4:$A$135,0))="","",INDEX('02_工程タスク'!$B$4:$B$135,MATCH(A63,'02_工程タスク'!$A$4:$A$135,0))))</f>
        <v>実装</v>
      </c>
      <c r="C63" s="28" t="str">
        <f>IF(COUNTIF('02_工程タスク'!$A$4:$A$135,A63)&lt;&gt;1,"参照ID不正",IF(INDEX('02_工程タスク'!$D$4:$D$135,MATCH(A63,'02_工程タスク'!$A$4:$A$135,0))="","",INDEX('02_工程タスク'!$D$4:$D$135,MATCH(A63,'02_工程タスク'!$A$4:$A$135,0))))</f>
        <v>Agent Skillの作成・検証・登録</v>
      </c>
      <c r="D63" s="6"/>
      <c r="E63" s="6" t="s">
        <v>1598</v>
      </c>
      <c r="F63" s="6"/>
      <c r="G63" s="6"/>
      <c r="H63" s="5"/>
      <c r="I63" s="5"/>
      <c r="J63" s="5"/>
      <c r="K63" s="5"/>
      <c r="L63" s="6" t="s">
        <v>3629</v>
      </c>
      <c r="M63" s="6"/>
      <c r="N63" s="6"/>
      <c r="O63" s="5"/>
      <c r="P63" s="17"/>
      <c r="Q63" s="17"/>
      <c r="R63" s="6"/>
      <c r="S63" s="6"/>
      <c r="T63" s="6"/>
      <c r="U63" s="5"/>
      <c r="V63" s="6" t="s">
        <v>889</v>
      </c>
      <c r="W63" s="28" t="str">
        <f t="shared" si="24"/>
        <v>適用未判定</v>
      </c>
      <c r="X63" s="28" t="str">
        <f t="shared" si="25"/>
        <v/>
      </c>
      <c r="Y63" s="26" t="str">
        <f t="shared" si="26"/>
        <v/>
      </c>
      <c r="Z63" s="26" t="str">
        <f t="shared" si="27"/>
        <v>適用未判定</v>
      </c>
      <c r="AA63" s="26">
        <f t="shared" si="28"/>
        <v>0</v>
      </c>
      <c r="AB63" s="26" t="str">
        <f t="shared" si="29"/>
        <v>B3-02</v>
      </c>
      <c r="AC63" s="26" t="str">
        <f t="shared" si="30"/>
        <v>B2-12</v>
      </c>
      <c r="AD63" s="26" t="str">
        <f t="shared" si="31"/>
        <v/>
      </c>
      <c r="AE63" s="26" t="str">
        <f t="shared" si="32"/>
        <v/>
      </c>
      <c r="AF63" s="26" t="str">
        <f t="shared" si="33"/>
        <v/>
      </c>
      <c r="AG63" s="26" t="str">
        <f t="shared" si="34"/>
        <v/>
      </c>
      <c r="AH63" s="26" t="str">
        <f t="shared" si="35"/>
        <v/>
      </c>
      <c r="AI63" s="26" t="str">
        <f t="shared" si="36"/>
        <v/>
      </c>
      <c r="AJ63" s="26" t="str">
        <f t="shared" si="37"/>
        <v>未充足</v>
      </c>
      <c r="AK63" s="26" t="str">
        <f t="shared" si="38"/>
        <v>未充足</v>
      </c>
      <c r="AL63" s="26" t="str">
        <f t="shared" si="39"/>
        <v/>
      </c>
      <c r="AM63" s="26" t="str">
        <f t="shared" si="40"/>
        <v/>
      </c>
      <c r="AN63" s="26" t="str">
        <f t="shared" si="41"/>
        <v/>
      </c>
      <c r="AO63" s="26" t="str">
        <f t="shared" si="42"/>
        <v/>
      </c>
      <c r="AP63" s="26" t="str">
        <f t="shared" si="43"/>
        <v/>
      </c>
      <c r="AQ63" s="26" t="str">
        <f t="shared" si="44"/>
        <v/>
      </c>
      <c r="AR63" s="36" t="str">
        <f t="shared" si="45"/>
        <v/>
      </c>
      <c r="AS63" s="28" t="str">
        <f>IF(COUNTIF('02_工程タスク'!$A$4:$A$135,A63)&lt;&gt;1,"参照ID不正",IF(INDEX('02_工程タスク'!$H$4:$H$135,MATCH(A63,'02_工程タスク'!$A$4:$A$135,0))="","",INDEX('02_工程タスク'!$H$4:$H$135,MATCH(A63,'02_工程タスク'!$A$4:$A$135,0))))</f>
        <v>R06</v>
      </c>
      <c r="AT63" s="28" t="str">
        <f t="shared" si="46"/>
        <v>INIT-B3-03</v>
      </c>
      <c r="AU63" s="29" t="s">
        <v>3630</v>
      </c>
      <c r="AV63" s="29"/>
      <c r="AW63" s="29"/>
      <c r="AX63" s="32"/>
      <c r="AY63" s="29"/>
      <c r="AZ63" s="29"/>
      <c r="BA63" s="32"/>
      <c r="BB63" s="28" t="str">
        <f>IF(COUNTIF('02_工程タスク'!$A$4:$A$135,A63)&lt;&gt;1,"参照ID不正",IF(INDEX('02_工程タスク'!$O$4:$O$135,MATCH(A63,'02_工程タスク'!$A$4:$A$135,0))="","",INDEX('02_工程タスク'!$O$4:$O$135,MATCH(A63,'02_工程タスク'!$A$4:$A$135,0))))</f>
        <v>B3-02,B2-12</v>
      </c>
      <c r="BC63" s="28" t="str">
        <f t="shared" si="47"/>
        <v>記法OK</v>
      </c>
      <c r="BD63" s="28" t="str">
        <f>IF(A63="B6-01",IF(OR(AV63="",COUNTIF('29_ゲート承認記録'!$F$4:$F$83,AV63)&lt;&gt;1),"終了開始根拠不足",IF(IF(COUNTIF('29_ゲート承認記録'!$F$4:$F$83,AV63)&lt;&gt;1,"参照ID不正",IF(INDEX('29_ゲート承認記録'!$L$4:$L$83,MATCH(AV63,'29_ゲート承認記録'!$F$4:$F$83,0))="","",INDEX('29_ゲート承認記録'!$L$4:$L$83,MATCH(AV63,'29_ゲート承認記録'!$F$4:$F$83,0))))&lt;&gt;"Stop","Stop判断要確認","開始根拠あり")),IF(AND(A63="B5-18",AU63="事故"),IF(AV63="","事故レビュー参照不足","開始根拠あり"),"開始根拠あり"))</f>
        <v>開始根拠あり</v>
      </c>
      <c r="BE63" s="29"/>
      <c r="BF63" s="29"/>
    </row>
    <row r="64" spans="1:58" ht="38" customHeight="1" x14ac:dyDescent="0.2">
      <c r="A64" s="12" t="s">
        <v>891</v>
      </c>
      <c r="B64" s="28" t="str">
        <f>IF(COUNTIF('02_工程タスク'!$A$4:$A$135,A64)&lt;&gt;1,"参照ID不正",IF(INDEX('02_工程タスク'!$B$4:$B$135,MATCH(A64,'02_工程タスク'!$A$4:$A$135,0))="","",INDEX('02_工程タスク'!$B$4:$B$135,MATCH(A64,'02_工程タスク'!$A$4:$A$135,0))))</f>
        <v>実装</v>
      </c>
      <c r="C64" s="28" t="str">
        <f>IF(COUNTIF('02_工程タスク'!$A$4:$A$135,A64)&lt;&gt;1,"参照ID不正",IF(INDEX('02_工程タスク'!$D$4:$D$135,MATCH(A64,'02_工程タスク'!$A$4:$A$135,0))="","",INDEX('02_工程タスク'!$D$4:$D$135,MATCH(A64,'02_工程タスク'!$A$4:$A$135,0))))</f>
        <v>計画・実装・検証・修復ループ</v>
      </c>
      <c r="D64" s="6"/>
      <c r="E64" s="6" t="s">
        <v>1598</v>
      </c>
      <c r="F64" s="6"/>
      <c r="G64" s="6"/>
      <c r="H64" s="5"/>
      <c r="I64" s="5"/>
      <c r="J64" s="5"/>
      <c r="K64" s="5"/>
      <c r="L64" s="6" t="s">
        <v>3629</v>
      </c>
      <c r="M64" s="6"/>
      <c r="N64" s="6"/>
      <c r="O64" s="5"/>
      <c r="P64" s="17"/>
      <c r="Q64" s="17"/>
      <c r="R64" s="6"/>
      <c r="S64" s="6"/>
      <c r="T64" s="6"/>
      <c r="U64" s="5"/>
      <c r="V64" s="6" t="s">
        <v>898</v>
      </c>
      <c r="W64" s="28" t="str">
        <f t="shared" si="24"/>
        <v>適用未判定</v>
      </c>
      <c r="X64" s="28" t="str">
        <f t="shared" si="25"/>
        <v/>
      </c>
      <c r="Y64" s="25" t="str">
        <f t="shared" si="26"/>
        <v/>
      </c>
      <c r="Z64" s="25" t="str">
        <f t="shared" si="27"/>
        <v>適用未判定</v>
      </c>
      <c r="AA64" s="25">
        <f t="shared" si="28"/>
        <v>0</v>
      </c>
      <c r="AB64" s="25" t="str">
        <f t="shared" si="29"/>
        <v>B3-02</v>
      </c>
      <c r="AC64" s="25" t="str">
        <f t="shared" si="30"/>
        <v>B2-14</v>
      </c>
      <c r="AD64" s="25" t="str">
        <f t="shared" si="31"/>
        <v/>
      </c>
      <c r="AE64" s="25" t="str">
        <f t="shared" si="32"/>
        <v/>
      </c>
      <c r="AF64" s="25" t="str">
        <f t="shared" si="33"/>
        <v/>
      </c>
      <c r="AG64" s="25" t="str">
        <f t="shared" si="34"/>
        <v/>
      </c>
      <c r="AH64" s="25" t="str">
        <f t="shared" si="35"/>
        <v/>
      </c>
      <c r="AI64" s="25" t="str">
        <f t="shared" si="36"/>
        <v/>
      </c>
      <c r="AJ64" s="25" t="str">
        <f t="shared" si="37"/>
        <v>未充足</v>
      </c>
      <c r="AK64" s="25" t="str">
        <f t="shared" si="38"/>
        <v>未充足</v>
      </c>
      <c r="AL64" s="25" t="str">
        <f t="shared" si="39"/>
        <v/>
      </c>
      <c r="AM64" s="25" t="str">
        <f t="shared" si="40"/>
        <v/>
      </c>
      <c r="AN64" s="25" t="str">
        <f t="shared" si="41"/>
        <v/>
      </c>
      <c r="AO64" s="25" t="str">
        <f t="shared" si="42"/>
        <v/>
      </c>
      <c r="AP64" s="25" t="str">
        <f t="shared" si="43"/>
        <v/>
      </c>
      <c r="AQ64" s="25" t="str">
        <f t="shared" si="44"/>
        <v/>
      </c>
      <c r="AR64" s="35" t="str">
        <f t="shared" si="45"/>
        <v/>
      </c>
      <c r="AS64" s="28" t="str">
        <f>IF(COUNTIF('02_工程タスク'!$A$4:$A$135,A64)&lt;&gt;1,"参照ID不正",IF(INDEX('02_工程タスク'!$H$4:$H$135,MATCH(A64,'02_工程タスク'!$A$4:$A$135,0))="","",INDEX('02_工程タスク'!$H$4:$H$135,MATCH(A64,'02_工程タスク'!$A$4:$A$135,0))))</f>
        <v>R06</v>
      </c>
      <c r="AT64" s="28" t="str">
        <f t="shared" si="46"/>
        <v>INIT-B3-04</v>
      </c>
      <c r="AU64" s="29" t="s">
        <v>3630</v>
      </c>
      <c r="AV64" s="29"/>
      <c r="AW64" s="29"/>
      <c r="AX64" s="32"/>
      <c r="AY64" s="29"/>
      <c r="AZ64" s="29"/>
      <c r="BA64" s="32"/>
      <c r="BB64" s="28" t="str">
        <f>IF(COUNTIF('02_工程タスク'!$A$4:$A$135,A64)&lt;&gt;1,"参照ID不正",IF(INDEX('02_工程タスク'!$O$4:$O$135,MATCH(A64,'02_工程タスク'!$A$4:$A$135,0))="","",INDEX('02_工程タスク'!$O$4:$O$135,MATCH(A64,'02_工程タスク'!$A$4:$A$135,0))))</f>
        <v>B3-02,B2-14</v>
      </c>
      <c r="BC64" s="28" t="str">
        <f t="shared" si="47"/>
        <v>記法OK</v>
      </c>
      <c r="BD64" s="28" t="str">
        <f>IF(A64="B6-01",IF(OR(AV64="",COUNTIF('29_ゲート承認記録'!$F$4:$F$83,AV64)&lt;&gt;1),"終了開始根拠不足",IF(IF(COUNTIF('29_ゲート承認記録'!$F$4:$F$83,AV64)&lt;&gt;1,"参照ID不正",IF(INDEX('29_ゲート承認記録'!$L$4:$L$83,MATCH(AV64,'29_ゲート承認記録'!$F$4:$F$83,0))="","",INDEX('29_ゲート承認記録'!$L$4:$L$83,MATCH(AV64,'29_ゲート承認記録'!$F$4:$F$83,0))))&lt;&gt;"Stop","Stop判断要確認","開始根拠あり")),IF(AND(A64="B5-18",AU64="事故"),IF(AV64="","事故レビュー参照不足","開始根拠あり"),"開始根拠あり"))</f>
        <v>開始根拠あり</v>
      </c>
      <c r="BE64" s="29"/>
      <c r="BF64" s="29"/>
    </row>
    <row r="65" spans="1:58" ht="38" customHeight="1" x14ac:dyDescent="0.2">
      <c r="A65" s="12" t="s">
        <v>900</v>
      </c>
      <c r="B65" s="28" t="str">
        <f>IF(COUNTIF('02_工程タスク'!$A$4:$A$135,A65)&lt;&gt;1,"参照ID不正",IF(INDEX('02_工程タスク'!$B$4:$B$135,MATCH(A65,'02_工程タスク'!$A$4:$A$135,0))="","",INDEX('02_工程タスク'!$B$4:$B$135,MATCH(A65,'02_工程タスク'!$A$4:$A$135,0))))</f>
        <v>実装</v>
      </c>
      <c r="C65" s="28" t="str">
        <f>IF(COUNTIF('02_工程タスク'!$A$4:$A$135,A65)&lt;&gt;1,"参照ID不正",IF(INDEX('02_工程タスク'!$D$4:$D$135,MATCH(A65,'02_工程タスク'!$A$4:$A$135,0))="","",INDEX('02_工程タスク'!$D$4:$D$135,MATCH(A65,'02_工程タスク'!$A$4:$A$135,0))))</f>
        <v>分割・worktree・handoff・統合</v>
      </c>
      <c r="D65" s="6"/>
      <c r="E65" s="6" t="s">
        <v>1598</v>
      </c>
      <c r="F65" s="6"/>
      <c r="G65" s="6"/>
      <c r="H65" s="5"/>
      <c r="I65" s="5"/>
      <c r="J65" s="5"/>
      <c r="K65" s="5"/>
      <c r="L65" s="6" t="s">
        <v>3629</v>
      </c>
      <c r="M65" s="6"/>
      <c r="N65" s="6"/>
      <c r="O65" s="5"/>
      <c r="P65" s="17"/>
      <c r="Q65" s="17"/>
      <c r="R65" s="6"/>
      <c r="S65" s="6"/>
      <c r="T65" s="6"/>
      <c r="U65" s="5"/>
      <c r="V65" s="6" t="s">
        <v>891</v>
      </c>
      <c r="W65" s="28" t="str">
        <f t="shared" si="24"/>
        <v>適用未判定</v>
      </c>
      <c r="X65" s="28" t="str">
        <f t="shared" si="25"/>
        <v/>
      </c>
      <c r="Y65" s="26" t="str">
        <f t="shared" si="26"/>
        <v/>
      </c>
      <c r="Z65" s="26" t="str">
        <f t="shared" si="27"/>
        <v>適用未判定</v>
      </c>
      <c r="AA65" s="26">
        <f t="shared" si="28"/>
        <v>0</v>
      </c>
      <c r="AB65" s="26" t="str">
        <f t="shared" si="29"/>
        <v>B3-04</v>
      </c>
      <c r="AC65" s="26" t="str">
        <f t="shared" si="30"/>
        <v/>
      </c>
      <c r="AD65" s="26" t="str">
        <f t="shared" si="31"/>
        <v/>
      </c>
      <c r="AE65" s="26" t="str">
        <f t="shared" si="32"/>
        <v/>
      </c>
      <c r="AF65" s="26" t="str">
        <f t="shared" si="33"/>
        <v/>
      </c>
      <c r="AG65" s="26" t="str">
        <f t="shared" si="34"/>
        <v/>
      </c>
      <c r="AH65" s="26" t="str">
        <f t="shared" si="35"/>
        <v/>
      </c>
      <c r="AI65" s="26" t="str">
        <f t="shared" si="36"/>
        <v/>
      </c>
      <c r="AJ65" s="26" t="str">
        <f t="shared" si="37"/>
        <v>未充足</v>
      </c>
      <c r="AK65" s="26" t="str">
        <f t="shared" si="38"/>
        <v/>
      </c>
      <c r="AL65" s="26" t="str">
        <f t="shared" si="39"/>
        <v/>
      </c>
      <c r="AM65" s="26" t="str">
        <f t="shared" si="40"/>
        <v/>
      </c>
      <c r="AN65" s="26" t="str">
        <f t="shared" si="41"/>
        <v/>
      </c>
      <c r="AO65" s="26" t="str">
        <f t="shared" si="42"/>
        <v/>
      </c>
      <c r="AP65" s="26" t="str">
        <f t="shared" si="43"/>
        <v/>
      </c>
      <c r="AQ65" s="26" t="str">
        <f t="shared" si="44"/>
        <v/>
      </c>
      <c r="AR65" s="36" t="str">
        <f t="shared" si="45"/>
        <v/>
      </c>
      <c r="AS65" s="28" t="str">
        <f>IF(COUNTIF('02_工程タスク'!$A$4:$A$135,A65)&lt;&gt;1,"参照ID不正",IF(INDEX('02_工程タスク'!$H$4:$H$135,MATCH(A65,'02_工程タスク'!$A$4:$A$135,0))="","",INDEX('02_工程タスク'!$H$4:$H$135,MATCH(A65,'02_工程タスク'!$A$4:$A$135,0))))</f>
        <v>R06</v>
      </c>
      <c r="AT65" s="28" t="str">
        <f t="shared" si="46"/>
        <v>INIT-B3-05</v>
      </c>
      <c r="AU65" s="29" t="s">
        <v>3630</v>
      </c>
      <c r="AV65" s="29"/>
      <c r="AW65" s="29"/>
      <c r="AX65" s="32"/>
      <c r="AY65" s="29"/>
      <c r="AZ65" s="29"/>
      <c r="BA65" s="32"/>
      <c r="BB65" s="28" t="str">
        <f>IF(COUNTIF('02_工程タスク'!$A$4:$A$135,A65)&lt;&gt;1,"参照ID不正",IF(INDEX('02_工程タスク'!$O$4:$O$135,MATCH(A65,'02_工程タスク'!$A$4:$A$135,0))="","",INDEX('02_工程タスク'!$O$4:$O$135,MATCH(A65,'02_工程タスク'!$A$4:$A$135,0))))</f>
        <v>B3-04</v>
      </c>
      <c r="BC65" s="28" t="str">
        <f t="shared" si="47"/>
        <v>記法OK</v>
      </c>
      <c r="BD65" s="28" t="str">
        <f>IF(A65="B6-01",IF(OR(AV65="",COUNTIF('29_ゲート承認記録'!$F$4:$F$83,AV65)&lt;&gt;1),"終了開始根拠不足",IF(IF(COUNTIF('29_ゲート承認記録'!$F$4:$F$83,AV65)&lt;&gt;1,"参照ID不正",IF(INDEX('29_ゲート承認記録'!$L$4:$L$83,MATCH(AV65,'29_ゲート承認記録'!$F$4:$F$83,0))="","",INDEX('29_ゲート承認記録'!$L$4:$L$83,MATCH(AV65,'29_ゲート承認記録'!$F$4:$F$83,0))))&lt;&gt;"Stop","Stop判断要確認","開始根拠あり")),IF(AND(A65="B5-18",AU65="事故"),IF(AV65="","事故レビュー参照不足","開始根拠あり"),"開始根拠あり"))</f>
        <v>開始根拠あり</v>
      </c>
      <c r="BE65" s="29"/>
      <c r="BF65" s="29"/>
    </row>
    <row r="66" spans="1:58" ht="38" customHeight="1" x14ac:dyDescent="0.2">
      <c r="A66" s="12" t="s">
        <v>911</v>
      </c>
      <c r="B66" s="28" t="str">
        <f>IF(COUNTIF('02_工程タスク'!$A$4:$A$135,A66)&lt;&gt;1,"参照ID不正",IF(INDEX('02_工程タスク'!$B$4:$B$135,MATCH(A66,'02_工程タスク'!$A$4:$A$135,0))="","",INDEX('02_工程タスク'!$B$4:$B$135,MATCH(A66,'02_工程タスク'!$A$4:$A$135,0))))</f>
        <v>実装</v>
      </c>
      <c r="C66" s="28" t="str">
        <f>IF(COUNTIF('02_工程タスク'!$A$4:$A$135,A66)&lt;&gt;1,"参照ID不正",IF(INDEX('02_工程タスク'!$D$4:$D$135,MATCH(A66,'02_工程タスク'!$A$4:$A$135,0))="","",INDEX('02_工程タスク'!$D$4:$D$135,MATCH(A66,'02_工程タスク'!$A$4:$A$135,0))))</f>
        <v>承認済みデータの取得・品質処理</v>
      </c>
      <c r="D66" s="6"/>
      <c r="E66" s="6" t="s">
        <v>1598</v>
      </c>
      <c r="F66" s="6"/>
      <c r="G66" s="6"/>
      <c r="H66" s="5"/>
      <c r="I66" s="5"/>
      <c r="J66" s="5"/>
      <c r="K66" s="5"/>
      <c r="L66" s="6" t="s">
        <v>3629</v>
      </c>
      <c r="M66" s="6"/>
      <c r="N66" s="6"/>
      <c r="O66" s="5"/>
      <c r="P66" s="17"/>
      <c r="Q66" s="17"/>
      <c r="R66" s="6"/>
      <c r="S66" s="6"/>
      <c r="T66" s="6"/>
      <c r="U66" s="5"/>
      <c r="V66" s="6" t="s">
        <v>918</v>
      </c>
      <c r="W66" s="28" t="str">
        <f t="shared" si="24"/>
        <v>適用未判定</v>
      </c>
      <c r="X66" s="28" t="str">
        <f t="shared" si="25"/>
        <v/>
      </c>
      <c r="Y66" s="25" t="str">
        <f t="shared" si="26"/>
        <v/>
      </c>
      <c r="Z66" s="25" t="str">
        <f t="shared" si="27"/>
        <v>適用未判定</v>
      </c>
      <c r="AA66" s="25">
        <f t="shared" si="28"/>
        <v>0</v>
      </c>
      <c r="AB66" s="25" t="str">
        <f t="shared" si="29"/>
        <v>B3-01</v>
      </c>
      <c r="AC66" s="25" t="str">
        <f t="shared" si="30"/>
        <v>B1-04</v>
      </c>
      <c r="AD66" s="25" t="str">
        <f t="shared" si="31"/>
        <v>B2-03</v>
      </c>
      <c r="AE66" s="25" t="str">
        <f t="shared" si="32"/>
        <v/>
      </c>
      <c r="AF66" s="25" t="str">
        <f t="shared" si="33"/>
        <v/>
      </c>
      <c r="AG66" s="25" t="str">
        <f t="shared" si="34"/>
        <v/>
      </c>
      <c r="AH66" s="25" t="str">
        <f t="shared" si="35"/>
        <v/>
      </c>
      <c r="AI66" s="25" t="str">
        <f t="shared" si="36"/>
        <v/>
      </c>
      <c r="AJ66" s="25" t="str">
        <f t="shared" si="37"/>
        <v>未充足</v>
      </c>
      <c r="AK66" s="25" t="str">
        <f t="shared" si="38"/>
        <v>未充足</v>
      </c>
      <c r="AL66" s="25" t="str">
        <f t="shared" si="39"/>
        <v>未充足</v>
      </c>
      <c r="AM66" s="25" t="str">
        <f t="shared" si="40"/>
        <v/>
      </c>
      <c r="AN66" s="25" t="str">
        <f t="shared" si="41"/>
        <v/>
      </c>
      <c r="AO66" s="25" t="str">
        <f t="shared" si="42"/>
        <v/>
      </c>
      <c r="AP66" s="25" t="str">
        <f t="shared" si="43"/>
        <v/>
      </c>
      <c r="AQ66" s="25" t="str">
        <f t="shared" si="44"/>
        <v/>
      </c>
      <c r="AR66" s="35" t="str">
        <f t="shared" si="45"/>
        <v/>
      </c>
      <c r="AS66" s="28" t="str">
        <f>IF(COUNTIF('02_工程タスク'!$A$4:$A$135,A66)&lt;&gt;1,"参照ID不正",IF(INDEX('02_工程タスク'!$H$4:$H$135,MATCH(A66,'02_工程タスク'!$A$4:$A$135,0))="","",INDEX('02_工程タスク'!$H$4:$H$135,MATCH(A66,'02_工程タスク'!$A$4:$A$135,0))))</f>
        <v>R10</v>
      </c>
      <c r="AT66" s="28" t="str">
        <f t="shared" si="46"/>
        <v>INIT-B3-06</v>
      </c>
      <c r="AU66" s="29" t="s">
        <v>3630</v>
      </c>
      <c r="AV66" s="29"/>
      <c r="AW66" s="29"/>
      <c r="AX66" s="32"/>
      <c r="AY66" s="29"/>
      <c r="AZ66" s="29"/>
      <c r="BA66" s="32"/>
      <c r="BB66" s="28" t="str">
        <f>IF(COUNTIF('02_工程タスク'!$A$4:$A$135,A66)&lt;&gt;1,"参照ID不正",IF(INDEX('02_工程タスク'!$O$4:$O$135,MATCH(A66,'02_工程タスク'!$A$4:$A$135,0))="","",INDEX('02_工程タスク'!$O$4:$O$135,MATCH(A66,'02_工程タスク'!$A$4:$A$135,0))))</f>
        <v>B3-01,B1-04,B2-03</v>
      </c>
      <c r="BC66" s="28" t="str">
        <f t="shared" si="47"/>
        <v>記法OK</v>
      </c>
      <c r="BD66" s="28" t="str">
        <f>IF(A66="B6-01",IF(OR(AV66="",COUNTIF('29_ゲート承認記録'!$F$4:$F$83,AV66)&lt;&gt;1),"終了開始根拠不足",IF(IF(COUNTIF('29_ゲート承認記録'!$F$4:$F$83,AV66)&lt;&gt;1,"参照ID不正",IF(INDEX('29_ゲート承認記録'!$L$4:$L$83,MATCH(AV66,'29_ゲート承認記録'!$F$4:$F$83,0))="","",INDEX('29_ゲート承認記録'!$L$4:$L$83,MATCH(AV66,'29_ゲート承認記録'!$F$4:$F$83,0))))&lt;&gt;"Stop","Stop判断要確認","開始根拠あり")),IF(AND(A66="B5-18",AU66="事故"),IF(AV66="","事故レビュー参照不足","開始根拠あり"),"開始根拠あり"))</f>
        <v>開始根拠あり</v>
      </c>
      <c r="BE66" s="29"/>
      <c r="BF66" s="29"/>
    </row>
    <row r="67" spans="1:58" ht="38" customHeight="1" x14ac:dyDescent="0.2">
      <c r="A67" s="12" t="s">
        <v>921</v>
      </c>
      <c r="B67" s="28" t="str">
        <f>IF(COUNTIF('02_工程タスク'!$A$4:$A$135,A67)&lt;&gt;1,"参照ID不正",IF(INDEX('02_工程タスク'!$B$4:$B$135,MATCH(A67,'02_工程タスク'!$A$4:$A$135,0))="","",INDEX('02_工程タスク'!$B$4:$B$135,MATCH(A67,'02_工程タスク'!$A$4:$A$135,0))))</f>
        <v>実装</v>
      </c>
      <c r="C67" s="28" t="str">
        <f>IF(COUNTIF('02_工程タスク'!$A$4:$A$135,A67)&lt;&gt;1,"参照ID不正",IF(INDEX('02_工程タスク'!$D$4:$D$135,MATCH(A67,'02_工程タスク'!$A$4:$A$135,0))="","",INDEX('02_工程タスク'!$D$4:$D$135,MATCH(A67,'02_工程タスク'!$A$4:$A$135,0))))</f>
        <v>開発・回帰・凍結評価セットの実装</v>
      </c>
      <c r="D67" s="6"/>
      <c r="E67" s="6" t="s">
        <v>1598</v>
      </c>
      <c r="F67" s="6"/>
      <c r="G67" s="6"/>
      <c r="H67" s="5"/>
      <c r="I67" s="5"/>
      <c r="J67" s="5"/>
      <c r="K67" s="5"/>
      <c r="L67" s="6" t="s">
        <v>3629</v>
      </c>
      <c r="M67" s="6"/>
      <c r="N67" s="6"/>
      <c r="O67" s="5"/>
      <c r="P67" s="17"/>
      <c r="Q67" s="17"/>
      <c r="R67" s="6"/>
      <c r="S67" s="6"/>
      <c r="T67" s="6"/>
      <c r="U67" s="5"/>
      <c r="V67" s="6" t="s">
        <v>928</v>
      </c>
      <c r="W67" s="28" t="str">
        <f t="shared" si="24"/>
        <v>適用未判定</v>
      </c>
      <c r="X67" s="28" t="str">
        <f t="shared" si="25"/>
        <v/>
      </c>
      <c r="Y67" s="26" t="str">
        <f t="shared" si="26"/>
        <v/>
      </c>
      <c r="Z67" s="26" t="str">
        <f t="shared" si="27"/>
        <v>適用未判定</v>
      </c>
      <c r="AA67" s="26">
        <f t="shared" si="28"/>
        <v>0</v>
      </c>
      <c r="AB67" s="26" t="str">
        <f t="shared" si="29"/>
        <v>B3-06</v>
      </c>
      <c r="AC67" s="26" t="str">
        <f t="shared" si="30"/>
        <v>B2-10</v>
      </c>
      <c r="AD67" s="26" t="str">
        <f t="shared" si="31"/>
        <v/>
      </c>
      <c r="AE67" s="26" t="str">
        <f t="shared" si="32"/>
        <v/>
      </c>
      <c r="AF67" s="26" t="str">
        <f t="shared" si="33"/>
        <v/>
      </c>
      <c r="AG67" s="26" t="str">
        <f t="shared" si="34"/>
        <v/>
      </c>
      <c r="AH67" s="26" t="str">
        <f t="shared" si="35"/>
        <v/>
      </c>
      <c r="AI67" s="26" t="str">
        <f t="shared" si="36"/>
        <v/>
      </c>
      <c r="AJ67" s="26" t="str">
        <f t="shared" si="37"/>
        <v>未充足</v>
      </c>
      <c r="AK67" s="26" t="str">
        <f t="shared" si="38"/>
        <v>未充足</v>
      </c>
      <c r="AL67" s="26" t="str">
        <f t="shared" si="39"/>
        <v/>
      </c>
      <c r="AM67" s="26" t="str">
        <f t="shared" si="40"/>
        <v/>
      </c>
      <c r="AN67" s="26" t="str">
        <f t="shared" si="41"/>
        <v/>
      </c>
      <c r="AO67" s="26" t="str">
        <f t="shared" si="42"/>
        <v/>
      </c>
      <c r="AP67" s="26" t="str">
        <f t="shared" si="43"/>
        <v/>
      </c>
      <c r="AQ67" s="26" t="str">
        <f t="shared" si="44"/>
        <v/>
      </c>
      <c r="AR67" s="36" t="str">
        <f t="shared" si="45"/>
        <v/>
      </c>
      <c r="AS67" s="28" t="str">
        <f>IF(COUNTIF('02_工程タスク'!$A$4:$A$135,A67)&lt;&gt;1,"参照ID不正",IF(INDEX('02_工程タスク'!$H$4:$H$135,MATCH(A67,'02_工程タスク'!$A$4:$A$135,0))="","",INDEX('02_工程タスク'!$H$4:$H$135,MATCH(A67,'02_工程タスク'!$A$4:$A$135,0))))</f>
        <v>R19</v>
      </c>
      <c r="AT67" s="28" t="str">
        <f t="shared" si="46"/>
        <v>INIT-B3-07</v>
      </c>
      <c r="AU67" s="29" t="s">
        <v>3630</v>
      </c>
      <c r="AV67" s="29"/>
      <c r="AW67" s="29"/>
      <c r="AX67" s="32"/>
      <c r="AY67" s="29"/>
      <c r="AZ67" s="29"/>
      <c r="BA67" s="32"/>
      <c r="BB67" s="28" t="str">
        <f>IF(COUNTIF('02_工程タスク'!$A$4:$A$135,A67)&lt;&gt;1,"参照ID不正",IF(INDEX('02_工程タスク'!$O$4:$O$135,MATCH(A67,'02_工程タスク'!$A$4:$A$135,0))="","",INDEX('02_工程タスク'!$O$4:$O$135,MATCH(A67,'02_工程タスク'!$A$4:$A$135,0))))</f>
        <v>B3-06,B2-10</v>
      </c>
      <c r="BC67" s="28" t="str">
        <f t="shared" si="47"/>
        <v>記法OK</v>
      </c>
      <c r="BD67" s="28" t="str">
        <f>IF(A67="B6-01",IF(OR(AV67="",COUNTIF('29_ゲート承認記録'!$F$4:$F$83,AV67)&lt;&gt;1),"終了開始根拠不足",IF(IF(COUNTIF('29_ゲート承認記録'!$F$4:$F$83,AV67)&lt;&gt;1,"参照ID不正",IF(INDEX('29_ゲート承認記録'!$L$4:$L$83,MATCH(AV67,'29_ゲート承認記録'!$F$4:$F$83,0))="","",INDEX('29_ゲート承認記録'!$L$4:$L$83,MATCH(AV67,'29_ゲート承認記録'!$F$4:$F$83,0))))&lt;&gt;"Stop","Stop判断要確認","開始根拠あり")),IF(AND(A67="B5-18",AU67="事故"),IF(AV67="","事故レビュー参照不足","開始根拠あり"),"開始根拠あり"))</f>
        <v>開始根拠あり</v>
      </c>
      <c r="BE67" s="29"/>
      <c r="BF67" s="29"/>
    </row>
    <row r="68" spans="1:58" ht="38" customHeight="1" x14ac:dyDescent="0.2">
      <c r="A68" s="12" t="s">
        <v>931</v>
      </c>
      <c r="B68" s="28" t="str">
        <f>IF(COUNTIF('02_工程タスク'!$A$4:$A$135,A68)&lt;&gt;1,"参照ID不正",IF(INDEX('02_工程タスク'!$B$4:$B$135,MATCH(A68,'02_工程タスク'!$A$4:$A$135,0))="","",INDEX('02_工程タスク'!$B$4:$B$135,MATCH(A68,'02_工程タスク'!$A$4:$A$135,0))))</f>
        <v>実装</v>
      </c>
      <c r="C68" s="28" t="str">
        <f>IF(COUNTIF('02_工程タスク'!$A$4:$A$135,A68)&lt;&gt;1,"参照ID不正",IF(INDEX('02_工程タスク'!$D$4:$D$135,MATCH(A68,'02_工程タスク'!$A$4:$A$135,0))="","",INDEX('02_工程タスク'!$D$4:$D$135,MATCH(A68,'02_工程タスク'!$A$4:$A$135,0))))</f>
        <v>検索・引用・ACL・更新の実装</v>
      </c>
      <c r="D68" s="6"/>
      <c r="E68" s="6" t="s">
        <v>1598</v>
      </c>
      <c r="F68" s="6"/>
      <c r="G68" s="6"/>
      <c r="H68" s="5"/>
      <c r="I68" s="5"/>
      <c r="J68" s="5"/>
      <c r="K68" s="5"/>
      <c r="L68" s="6" t="s">
        <v>3629</v>
      </c>
      <c r="M68" s="6"/>
      <c r="N68" s="6"/>
      <c r="O68" s="5"/>
      <c r="P68" s="17"/>
      <c r="Q68" s="17"/>
      <c r="R68" s="6"/>
      <c r="S68" s="6"/>
      <c r="T68" s="6"/>
      <c r="U68" s="5"/>
      <c r="V68" s="6" t="s">
        <v>938</v>
      </c>
      <c r="W68" s="28" t="str">
        <f t="shared" ref="W68:W99" si="48">IF(OR(COUNTIF(TaskIDs,A68)&lt;&gt;1,COUNTIF($A$4:$A$135,A68)&lt;&gt;1),"Task ID不正・重複",IF(OR(AND(P68&lt;&gt;"",OR(NOT(ISNUMBER(P68)),IFERROR(P68&lt;0,TRUE))),AND(Q68&lt;&gt;"",OR(NOT(ISNUMBER(Q68)),IFERROR(Q68&lt;0,TRUE)))),"人時間不正",IF(OR(AND(J68&lt;&gt;"",OR(NOT(ISNUMBER(J68)),IFERROR(J68&lt;1,TRUE),IFERROR(INT(J68)&gt;INT(AsOfDate),TRUE))),AND(K68&lt;&gt;"",OR(NOT(ISNUMBER(K68)),IFERROR(K68&lt;1,TRUE),IFERROR(INT(K68)&gt;INT(AsOfDate),TRUE))),AND(O68&lt;&gt;"",OR(NOT(ISNUMBER(O68)),IFERROR(O68&lt;1,TRUE),IFERROR(INT(O68)&gt;INT(AsOfDate),TRUE))),AND(U68&lt;&gt;"",OR(NOT(ISNUMBER(U68)),IFERROR(U68&lt;1,TRUE),IFERROR(INT(U68)&gt;INT(AsOfDate),TRUE))),AND(BA68&lt;&gt;"",OR(NOT(ISNUMBER(BA68)),IFERROR(BA68&lt;1,TRUE),IFERROR(INT(BA68)&gt;INT(AsOfDate),TRUE)))),"実績・承認日不正",IF(AND(COUNT(H68:I68)=2,H68&gt;I68),"予定日不正",IF(E68="未判定","適用未判定",IF(E68="対象外",IF(OR(F68="",T68="",NOT(ISNUMBER(U68))),"除外承認不足","除外記録済"),IF(E68&lt;&gt;"適用","適用判定不正",IF(OR(T68="",NOT(ISNUMBER(U68))),"適用承認不足",IF(AND(V68&lt;&gt;BB68,OR(AY68="",AZ68="",NOT(ISNUMBER(BA68)))),"依存変更承認不足",IF(L68&lt;&gt;"完了","未完了",IF(OR(OR(G68="",M68="",N68="",BE68="",BF68=""),COUNT(J68:K68)&lt;2,NOT(ISNUMBER(O68))),"完了証拠不足",IF(OR(J68&gt;K68,O68&lt;K68,U68&gt;J68),"完了・適用日逆転",IF(BD68&lt;&gt;"開始根拠あり",BD68,IF(AND(AS68="R19",OR(G68=N68,BE68=BF68)),"独立承認不足","完了記録済"))))))))))))))</f>
        <v>適用未判定</v>
      </c>
      <c r="X68" s="28" t="str">
        <f t="shared" ref="X68:X99" si="49">IF(E68&lt;&gt;"適用","",IF(AND(V68&lt;&gt;BB68,OR(AY68="",AZ68="",NOT(ISNUMBER(BA68)))),"依存変更承認不足",IF(BC68="依存なし","なし",IF(BC68&lt;&gt;"記法OK",BC68,IF(COUNTIF(AJ68:AQ68,"ID不正")&gt;0,"依存ID不正",IF(COUNTIF(AJ68:AQ68,"未充足")&gt;0,"前提未充足","記録上充足"))))))</f>
        <v/>
      </c>
      <c r="Y68" s="25" t="str">
        <f t="shared" ref="Y68:Y99" si="50">IF(OR(E68&lt;&gt;"適用",L68="完了",I68=""),"",IF(NOT(ISNUMBER(I68)),"予定日不正",IF(I68&lt;AsOfDate,"期限超過","期限内")))</f>
        <v/>
      </c>
      <c r="Z68" s="25" t="str">
        <f t="shared" ref="Z68:Z99" si="51">IF(W68="完了記録済",IF(OR(X68="なし",X68="記録上充足"),"完了記録・前提充足",X68),W68)</f>
        <v>適用未判定</v>
      </c>
      <c r="AA68" s="25">
        <f t="shared" ref="AA68:AA99" si="52">IF(AND(E68="適用",L68="完了",W68="完了記録済",OR(X68="なし",X68="記録上充足")),1,0)</f>
        <v>0</v>
      </c>
      <c r="AB68" s="25" t="str">
        <f t="shared" ref="AB68:AB99" si="53">TRIM(MID(SUBSTITUTE($V68,",",REPT(" ",64)),1,64))</f>
        <v>B3-06</v>
      </c>
      <c r="AC68" s="25" t="str">
        <f t="shared" ref="AC68:AC99" si="54">TRIM(MID(SUBSTITUTE($V68,",",REPT(" ",64)),65,64))</f>
        <v>B2-04</v>
      </c>
      <c r="AD68" s="25" t="str">
        <f t="shared" ref="AD68:AD99" si="55">TRIM(MID(SUBSTITUTE($V68,",",REPT(" ",64)),129,64))</f>
        <v/>
      </c>
      <c r="AE68" s="25" t="str">
        <f t="shared" ref="AE68:AE99" si="56">TRIM(MID(SUBSTITUTE($V68,",",REPT(" ",64)),193,64))</f>
        <v/>
      </c>
      <c r="AF68" s="25" t="str">
        <f t="shared" ref="AF68:AF99" si="57">TRIM(MID(SUBSTITUTE($V68,",",REPT(" ",64)),257,64))</f>
        <v/>
      </c>
      <c r="AG68" s="25" t="str">
        <f t="shared" ref="AG68:AG99" si="58">TRIM(MID(SUBSTITUTE($V68,",",REPT(" ",64)),321,64))</f>
        <v/>
      </c>
      <c r="AH68" s="25" t="str">
        <f t="shared" ref="AH68:AH99" si="59">TRIM(MID(SUBSTITUTE($V68,",",REPT(" ",64)),385,64))</f>
        <v/>
      </c>
      <c r="AI68" s="25" t="str">
        <f t="shared" ref="AI68:AI99" si="60">TRIM(MID(SUBSTITUTE($V68,",",REPT(" ",64)),449,64))</f>
        <v/>
      </c>
      <c r="AJ68" s="25" t="str">
        <f t="shared" ref="AJ68:AJ99" si="61">IF(AB68="","",IF(OR(AB68=$A68,COUNTIF($A$4:$A$135,AB68)&lt;&gt;1,COUNTIF($AB68:$AI68,AB68)&gt;1),"ID不正",IFERROR(IF(OR(INDEX($W$4:$W$135,MATCH(AB68,$A$4:$A$135,0))="完了記録済",INDEX($W$4:$W$135,MATCH(AB68,$A$4:$A$135,0))="除外記録済"),"記録充足","未充足"),"ID不正")))</f>
        <v>未充足</v>
      </c>
      <c r="AK68" s="25" t="str">
        <f t="shared" ref="AK68:AK99" si="62">IF(AC68="","",IF(OR(AC68=$A68,COUNTIF($A$4:$A$135,AC68)&lt;&gt;1,COUNTIF($AB68:$AI68,AC68)&gt;1),"ID不正",IFERROR(IF(OR(INDEX($W$4:$W$135,MATCH(AC68,$A$4:$A$135,0))="完了記録済",INDEX($W$4:$W$135,MATCH(AC68,$A$4:$A$135,0))="除外記録済"),"記録充足","未充足"),"ID不正")))</f>
        <v>未充足</v>
      </c>
      <c r="AL68" s="25" t="str">
        <f t="shared" ref="AL68:AL99" si="63">IF(AD68="","",IF(OR(AD68=$A68,COUNTIF($A$4:$A$135,AD68)&lt;&gt;1,COUNTIF($AB68:$AI68,AD68)&gt;1),"ID不正",IFERROR(IF(OR(INDEX($W$4:$W$135,MATCH(AD68,$A$4:$A$135,0))="完了記録済",INDEX($W$4:$W$135,MATCH(AD68,$A$4:$A$135,0))="除外記録済"),"記録充足","未充足"),"ID不正")))</f>
        <v/>
      </c>
      <c r="AM68" s="25" t="str">
        <f t="shared" ref="AM68:AM99" si="64">IF(AE68="","",IF(OR(AE68=$A68,COUNTIF($A$4:$A$135,AE68)&lt;&gt;1,COUNTIF($AB68:$AI68,AE68)&gt;1),"ID不正",IFERROR(IF(OR(INDEX($W$4:$W$135,MATCH(AE68,$A$4:$A$135,0))="完了記録済",INDEX($W$4:$W$135,MATCH(AE68,$A$4:$A$135,0))="除外記録済"),"記録充足","未充足"),"ID不正")))</f>
        <v/>
      </c>
      <c r="AN68" s="25" t="str">
        <f t="shared" ref="AN68:AN99" si="65">IF(AF68="","",IF(OR(AF68=$A68,COUNTIF($A$4:$A$135,AF68)&lt;&gt;1,COUNTIF($AB68:$AI68,AF68)&gt;1),"ID不正",IFERROR(IF(OR(INDEX($W$4:$W$135,MATCH(AF68,$A$4:$A$135,0))="完了記録済",INDEX($W$4:$W$135,MATCH(AF68,$A$4:$A$135,0))="除外記録済"),"記録充足","未充足"),"ID不正")))</f>
        <v/>
      </c>
      <c r="AO68" s="25" t="str">
        <f t="shared" ref="AO68:AO99" si="66">IF(AG68="","",IF(OR(AG68=$A68,COUNTIF($A$4:$A$135,AG68)&lt;&gt;1,COUNTIF($AB68:$AI68,AG68)&gt;1),"ID不正",IFERROR(IF(OR(INDEX($W$4:$W$135,MATCH(AG68,$A$4:$A$135,0))="完了記録済",INDEX($W$4:$W$135,MATCH(AG68,$A$4:$A$135,0))="除外記録済"),"記録充足","未充足"),"ID不正")))</f>
        <v/>
      </c>
      <c r="AP68" s="25" t="str">
        <f t="shared" ref="AP68:AP99" si="67">IF(AH68="","",IF(OR(AH68=$A68,COUNTIF($A$4:$A$135,AH68)&lt;&gt;1,COUNTIF($AB68:$AI68,AH68)&gt;1),"ID不正",IFERROR(IF(OR(INDEX($W$4:$W$135,MATCH(AH68,$A$4:$A$135,0))="完了記録済",INDEX($W$4:$W$135,MATCH(AH68,$A$4:$A$135,0))="除外記録済"),"記録充足","未充足"),"ID不正")))</f>
        <v/>
      </c>
      <c r="AQ68" s="25" t="str">
        <f t="shared" ref="AQ68:AQ99" si="68">IF(AI68="","",IF(OR(AI68=$A68,COUNTIF($A$4:$A$135,AI68)&lt;&gt;1,COUNTIF($AB68:$AI68,AI68)&gt;1),"ID不正",IFERROR(IF(OR(INDEX($W$4:$W$135,MATCH(AI68,$A$4:$A$135,0))="完了記録済",INDEX($W$4:$W$135,MATCH(AI68,$A$4:$A$135,0))="除外記録済"),"記録充足","未充足"),"ID不正")))</f>
        <v/>
      </c>
      <c r="AR68" s="35" t="str">
        <f t="shared" ref="AR68:AR99" si="69">IF(COUNT(P68:Q68)&lt;2,"",Q68-P68)</f>
        <v/>
      </c>
      <c r="AS68" s="28" t="str">
        <f>IF(COUNTIF('02_工程タスク'!$A$4:$A$135,A68)&lt;&gt;1,"参照ID不正",IF(INDEX('02_工程タスク'!$H$4:$H$135,MATCH(A68,'02_工程タスク'!$A$4:$A$135,0))="","",INDEX('02_工程タスク'!$H$4:$H$135,MATCH(A68,'02_工程タスク'!$A$4:$A$135,0))))</f>
        <v>R06</v>
      </c>
      <c r="AT68" s="28" t="str">
        <f t="shared" ref="AT68:AT99" si="70">IF(A68="","","INIT-"&amp;A68)</f>
        <v>INIT-B3-08</v>
      </c>
      <c r="AU68" s="29" t="s">
        <v>3630</v>
      </c>
      <c r="AV68" s="29"/>
      <c r="AW68" s="29"/>
      <c r="AX68" s="32"/>
      <c r="AY68" s="29"/>
      <c r="AZ68" s="29"/>
      <c r="BA68" s="32"/>
      <c r="BB68" s="28" t="str">
        <f>IF(COUNTIF('02_工程タスク'!$A$4:$A$135,A68)&lt;&gt;1,"参照ID不正",IF(INDEX('02_工程タスク'!$O$4:$O$135,MATCH(A68,'02_工程タスク'!$A$4:$A$135,0))="","",INDEX('02_工程タスク'!$O$4:$O$135,MATCH(A68,'02_工程タスク'!$A$4:$A$135,0))))</f>
        <v>B3-06,B2-04</v>
      </c>
      <c r="BC68" s="28" t="str">
        <f t="shared" ref="BC68:BC99" si="71">IF(V68="","依存なし",IF(OR(LEFT(V68,1)=",",RIGHT(V68,1)=",",ISNUMBER(SEARCH(",,",SUBSTITUTE(V68," ",""))),LEN(V68)&lt;&gt;LEN(SUBSTITUTE(V68," ","")),ISNUMBER(SEARCH("，",V68))),"依存記法不正",IF(LEN(V68)-LEN(SUBSTITUTE(V68,",",""))&gt;7,"依存8件超過","記法OK")))</f>
        <v>記法OK</v>
      </c>
      <c r="BD68" s="28" t="str">
        <f>IF(A68="B6-01",IF(OR(AV68="",COUNTIF('29_ゲート承認記録'!$F$4:$F$83,AV68)&lt;&gt;1),"終了開始根拠不足",IF(IF(COUNTIF('29_ゲート承認記録'!$F$4:$F$83,AV68)&lt;&gt;1,"参照ID不正",IF(INDEX('29_ゲート承認記録'!$L$4:$L$83,MATCH(AV68,'29_ゲート承認記録'!$F$4:$F$83,0))="","",INDEX('29_ゲート承認記録'!$L$4:$L$83,MATCH(AV68,'29_ゲート承認記録'!$F$4:$F$83,0))))&lt;&gt;"Stop","Stop判断要確認","開始根拠あり")),IF(AND(A68="B5-18",AU68="事故"),IF(AV68="","事故レビュー参照不足","開始根拠あり"),"開始根拠あり"))</f>
        <v>開始根拠あり</v>
      </c>
      <c r="BE68" s="29"/>
      <c r="BF68" s="29"/>
    </row>
    <row r="69" spans="1:58" ht="38" customHeight="1" x14ac:dyDescent="0.2">
      <c r="A69" s="12" t="s">
        <v>941</v>
      </c>
      <c r="B69" s="28" t="str">
        <f>IF(COUNTIF('02_工程タスク'!$A$4:$A$135,A69)&lt;&gt;1,"参照ID不正",IF(INDEX('02_工程タスク'!$B$4:$B$135,MATCH(A69,'02_工程タスク'!$A$4:$A$135,0))="","",INDEX('02_工程タスク'!$B$4:$B$135,MATCH(A69,'02_工程タスク'!$A$4:$A$135,0))))</f>
        <v>実装</v>
      </c>
      <c r="C69" s="28" t="str">
        <f>IF(COUNTIF('02_工程タスク'!$A$4:$A$135,A69)&lt;&gt;1,"参照ID不正",IF(INDEX('02_工程タスク'!$D$4:$D$135,MATCH(A69,'02_工程タスク'!$A$4:$A$135,0))="","",INDEX('02_工程タスク'!$D$4:$D$135,MATCH(A69,'02_工程タスク'!$A$4:$A$135,0))))</f>
        <v>特徴量・学習・比較実験</v>
      </c>
      <c r="D69" s="6"/>
      <c r="E69" s="6" t="s">
        <v>1598</v>
      </c>
      <c r="F69" s="6"/>
      <c r="G69" s="6"/>
      <c r="H69" s="5"/>
      <c r="I69" s="5"/>
      <c r="J69" s="5"/>
      <c r="K69" s="5"/>
      <c r="L69" s="6" t="s">
        <v>3629</v>
      </c>
      <c r="M69" s="6"/>
      <c r="N69" s="6"/>
      <c r="O69" s="5"/>
      <c r="P69" s="17"/>
      <c r="Q69" s="17"/>
      <c r="R69" s="6"/>
      <c r="S69" s="6"/>
      <c r="T69" s="6"/>
      <c r="U69" s="5"/>
      <c r="V69" s="6" t="s">
        <v>948</v>
      </c>
      <c r="W69" s="28" t="str">
        <f t="shared" si="48"/>
        <v>適用未判定</v>
      </c>
      <c r="X69" s="28" t="str">
        <f t="shared" si="49"/>
        <v/>
      </c>
      <c r="Y69" s="26" t="str">
        <f t="shared" si="50"/>
        <v/>
      </c>
      <c r="Z69" s="26" t="str">
        <f t="shared" si="51"/>
        <v>適用未判定</v>
      </c>
      <c r="AA69" s="26">
        <f t="shared" si="52"/>
        <v>0</v>
      </c>
      <c r="AB69" s="26" t="str">
        <f t="shared" si="53"/>
        <v>B3-06</v>
      </c>
      <c r="AC69" s="26" t="str">
        <f t="shared" si="54"/>
        <v>B3-07</v>
      </c>
      <c r="AD69" s="26" t="str">
        <f t="shared" si="55"/>
        <v>B2-05</v>
      </c>
      <c r="AE69" s="26" t="str">
        <f t="shared" si="56"/>
        <v/>
      </c>
      <c r="AF69" s="26" t="str">
        <f t="shared" si="57"/>
        <v/>
      </c>
      <c r="AG69" s="26" t="str">
        <f t="shared" si="58"/>
        <v/>
      </c>
      <c r="AH69" s="26" t="str">
        <f t="shared" si="59"/>
        <v/>
      </c>
      <c r="AI69" s="26" t="str">
        <f t="shared" si="60"/>
        <v/>
      </c>
      <c r="AJ69" s="26" t="str">
        <f t="shared" si="61"/>
        <v>未充足</v>
      </c>
      <c r="AK69" s="26" t="str">
        <f t="shared" si="62"/>
        <v>未充足</v>
      </c>
      <c r="AL69" s="26" t="str">
        <f t="shared" si="63"/>
        <v>未充足</v>
      </c>
      <c r="AM69" s="26" t="str">
        <f t="shared" si="64"/>
        <v/>
      </c>
      <c r="AN69" s="26" t="str">
        <f t="shared" si="65"/>
        <v/>
      </c>
      <c r="AO69" s="26" t="str">
        <f t="shared" si="66"/>
        <v/>
      </c>
      <c r="AP69" s="26" t="str">
        <f t="shared" si="67"/>
        <v/>
      </c>
      <c r="AQ69" s="26" t="str">
        <f t="shared" si="68"/>
        <v/>
      </c>
      <c r="AR69" s="36" t="str">
        <f t="shared" si="69"/>
        <v/>
      </c>
      <c r="AS69" s="28" t="str">
        <f>IF(COUNTIF('02_工程タスク'!$A$4:$A$135,A69)&lt;&gt;1,"参照ID不正",IF(INDEX('02_工程タスク'!$H$4:$H$135,MATCH(A69,'02_工程タスク'!$A$4:$A$135,0))="","",INDEX('02_工程タスク'!$H$4:$H$135,MATCH(A69,'02_工程タスク'!$A$4:$A$135,0))))</f>
        <v>R06</v>
      </c>
      <c r="AT69" s="28" t="str">
        <f t="shared" si="70"/>
        <v>INIT-B3-09</v>
      </c>
      <c r="AU69" s="29" t="s">
        <v>3630</v>
      </c>
      <c r="AV69" s="29"/>
      <c r="AW69" s="29"/>
      <c r="AX69" s="32"/>
      <c r="AY69" s="29"/>
      <c r="AZ69" s="29"/>
      <c r="BA69" s="32"/>
      <c r="BB69" s="28" t="str">
        <f>IF(COUNTIF('02_工程タスク'!$A$4:$A$135,A69)&lt;&gt;1,"参照ID不正",IF(INDEX('02_工程タスク'!$O$4:$O$135,MATCH(A69,'02_工程タスク'!$A$4:$A$135,0))="","",INDEX('02_工程タスク'!$O$4:$O$135,MATCH(A69,'02_工程タスク'!$A$4:$A$135,0))))</f>
        <v>B3-06,B3-07,B2-05</v>
      </c>
      <c r="BC69" s="28" t="str">
        <f t="shared" si="71"/>
        <v>記法OK</v>
      </c>
      <c r="BD69" s="28" t="str">
        <f>IF(A69="B6-01",IF(OR(AV69="",COUNTIF('29_ゲート承認記録'!$F$4:$F$83,AV69)&lt;&gt;1),"終了開始根拠不足",IF(IF(COUNTIF('29_ゲート承認記録'!$F$4:$F$83,AV69)&lt;&gt;1,"参照ID不正",IF(INDEX('29_ゲート承認記録'!$L$4:$L$83,MATCH(AV69,'29_ゲート承認記録'!$F$4:$F$83,0))="","",INDEX('29_ゲート承認記録'!$L$4:$L$83,MATCH(AV69,'29_ゲート承認記録'!$F$4:$F$83,0))))&lt;&gt;"Stop","Stop判断要確認","開始根拠あり")),IF(AND(A69="B5-18",AU69="事故"),IF(AV69="","事故レビュー参照不足","開始根拠あり"),"開始根拠あり"))</f>
        <v>開始根拠あり</v>
      </c>
      <c r="BE69" s="29"/>
      <c r="BF69" s="29"/>
    </row>
    <row r="70" spans="1:58" ht="38" customHeight="1" x14ac:dyDescent="0.2">
      <c r="A70" s="12" t="s">
        <v>951</v>
      </c>
      <c r="B70" s="28" t="str">
        <f>IF(COUNTIF('02_工程タスク'!$A$4:$A$135,A70)&lt;&gt;1,"参照ID不正",IF(INDEX('02_工程タスク'!$B$4:$B$135,MATCH(A70,'02_工程タスク'!$A$4:$A$135,0))="","",INDEX('02_工程タスク'!$B$4:$B$135,MATCH(A70,'02_工程タスク'!$A$4:$A$135,0))))</f>
        <v>実装</v>
      </c>
      <c r="C70" s="28" t="str">
        <f>IF(COUNTIF('02_工程タスク'!$A$4:$A$135,A70)&lt;&gt;1,"参照ID不正",IF(INDEX('02_工程タスク'!$D$4:$D$135,MATCH(A70,'02_工程タスク'!$A$4:$A$135,0))="","",INDEX('02_工程タスク'!$D$4:$D$135,MATCH(A70,'02_工程タスク'!$A$4:$A$135,0))))</f>
        <v>prompt・構造化出力・モデル統合</v>
      </c>
      <c r="D70" s="6"/>
      <c r="E70" s="6" t="s">
        <v>1598</v>
      </c>
      <c r="F70" s="6"/>
      <c r="G70" s="6"/>
      <c r="H70" s="5"/>
      <c r="I70" s="5"/>
      <c r="J70" s="5"/>
      <c r="K70" s="5"/>
      <c r="L70" s="6" t="s">
        <v>3629</v>
      </c>
      <c r="M70" s="6"/>
      <c r="N70" s="6"/>
      <c r="O70" s="5"/>
      <c r="P70" s="17"/>
      <c r="Q70" s="17"/>
      <c r="R70" s="6"/>
      <c r="S70" s="6"/>
      <c r="T70" s="6"/>
      <c r="U70" s="5"/>
      <c r="V70" s="6" t="s">
        <v>958</v>
      </c>
      <c r="W70" s="28" t="str">
        <f t="shared" si="48"/>
        <v>適用未判定</v>
      </c>
      <c r="X70" s="28" t="str">
        <f t="shared" si="49"/>
        <v/>
      </c>
      <c r="Y70" s="25" t="str">
        <f t="shared" si="50"/>
        <v/>
      </c>
      <c r="Z70" s="25" t="str">
        <f t="shared" si="51"/>
        <v>適用未判定</v>
      </c>
      <c r="AA70" s="25">
        <f t="shared" si="52"/>
        <v>0</v>
      </c>
      <c r="AB70" s="25" t="str">
        <f t="shared" si="53"/>
        <v>B3-01</v>
      </c>
      <c r="AC70" s="25" t="str">
        <f t="shared" si="54"/>
        <v>B2-02</v>
      </c>
      <c r="AD70" s="25" t="str">
        <f t="shared" si="55"/>
        <v/>
      </c>
      <c r="AE70" s="25" t="str">
        <f t="shared" si="56"/>
        <v/>
      </c>
      <c r="AF70" s="25" t="str">
        <f t="shared" si="57"/>
        <v/>
      </c>
      <c r="AG70" s="25" t="str">
        <f t="shared" si="58"/>
        <v/>
      </c>
      <c r="AH70" s="25" t="str">
        <f t="shared" si="59"/>
        <v/>
      </c>
      <c r="AI70" s="25" t="str">
        <f t="shared" si="60"/>
        <v/>
      </c>
      <c r="AJ70" s="25" t="str">
        <f t="shared" si="61"/>
        <v>未充足</v>
      </c>
      <c r="AK70" s="25" t="str">
        <f t="shared" si="62"/>
        <v>未充足</v>
      </c>
      <c r="AL70" s="25" t="str">
        <f t="shared" si="63"/>
        <v/>
      </c>
      <c r="AM70" s="25" t="str">
        <f t="shared" si="64"/>
        <v/>
      </c>
      <c r="AN70" s="25" t="str">
        <f t="shared" si="65"/>
        <v/>
      </c>
      <c r="AO70" s="25" t="str">
        <f t="shared" si="66"/>
        <v/>
      </c>
      <c r="AP70" s="25" t="str">
        <f t="shared" si="67"/>
        <v/>
      </c>
      <c r="AQ70" s="25" t="str">
        <f t="shared" si="68"/>
        <v/>
      </c>
      <c r="AR70" s="35" t="str">
        <f t="shared" si="69"/>
        <v/>
      </c>
      <c r="AS70" s="28" t="str">
        <f>IF(COUNTIF('02_工程タスク'!$A$4:$A$135,A70)&lt;&gt;1,"参照ID不正",IF(INDEX('02_工程タスク'!$H$4:$H$135,MATCH(A70,'02_工程タスク'!$A$4:$A$135,0))="","",INDEX('02_工程タスク'!$H$4:$H$135,MATCH(A70,'02_工程タスク'!$A$4:$A$135,0))))</f>
        <v>R06</v>
      </c>
      <c r="AT70" s="28" t="str">
        <f t="shared" si="70"/>
        <v>INIT-B3-10</v>
      </c>
      <c r="AU70" s="29" t="s">
        <v>3630</v>
      </c>
      <c r="AV70" s="29"/>
      <c r="AW70" s="29"/>
      <c r="AX70" s="32"/>
      <c r="AY70" s="29"/>
      <c r="AZ70" s="29"/>
      <c r="BA70" s="32"/>
      <c r="BB70" s="28" t="str">
        <f>IF(COUNTIF('02_工程タスク'!$A$4:$A$135,A70)&lt;&gt;1,"参照ID不正",IF(INDEX('02_工程タスク'!$O$4:$O$135,MATCH(A70,'02_工程タスク'!$A$4:$A$135,0))="","",INDEX('02_工程タスク'!$O$4:$O$135,MATCH(A70,'02_工程タスク'!$A$4:$A$135,0))))</f>
        <v>B3-01,B2-02</v>
      </c>
      <c r="BC70" s="28" t="str">
        <f t="shared" si="71"/>
        <v>記法OK</v>
      </c>
      <c r="BD70" s="28" t="str">
        <f>IF(A70="B6-01",IF(OR(AV70="",COUNTIF('29_ゲート承認記録'!$F$4:$F$83,AV70)&lt;&gt;1),"終了開始根拠不足",IF(IF(COUNTIF('29_ゲート承認記録'!$F$4:$F$83,AV70)&lt;&gt;1,"参照ID不正",IF(INDEX('29_ゲート承認記録'!$L$4:$L$83,MATCH(AV70,'29_ゲート承認記録'!$F$4:$F$83,0))="","",INDEX('29_ゲート承認記録'!$L$4:$L$83,MATCH(AV70,'29_ゲート承認記録'!$F$4:$F$83,0))))&lt;&gt;"Stop","Stop判断要確認","開始根拠あり")),IF(AND(A70="B5-18",AU70="事故"),IF(AV70="","事故レビュー参照不足","開始根拠あり"),"開始根拠あり"))</f>
        <v>開始根拠あり</v>
      </c>
      <c r="BE70" s="29"/>
      <c r="BF70" s="29"/>
    </row>
    <row r="71" spans="1:58" ht="38" customHeight="1" x14ac:dyDescent="0.2">
      <c r="A71" s="12" t="s">
        <v>961</v>
      </c>
      <c r="B71" s="28" t="str">
        <f>IF(COUNTIF('02_工程タスク'!$A$4:$A$135,A71)&lt;&gt;1,"参照ID不正",IF(INDEX('02_工程タスク'!$B$4:$B$135,MATCH(A71,'02_工程タスク'!$A$4:$A$135,0))="","",INDEX('02_工程タスク'!$B$4:$B$135,MATCH(A71,'02_工程タスク'!$A$4:$A$135,0))))</f>
        <v>実装</v>
      </c>
      <c r="C71" s="28" t="str">
        <f>IF(COUNTIF('02_工程タスク'!$A$4:$A$135,A71)&lt;&gt;1,"参照ID不正",IF(INDEX('02_工程タスク'!$D$4:$D$135,MATCH(A71,'02_工程タスク'!$A$4:$A$135,0))="","",INDEX('02_工程タスク'!$D$4:$D$135,MATCH(A71,'02_工程タスク'!$A$4:$A$135,0))))</f>
        <v>Tool/MCP・権限・副作用制御</v>
      </c>
      <c r="D71" s="6"/>
      <c r="E71" s="6" t="s">
        <v>1598</v>
      </c>
      <c r="F71" s="6"/>
      <c r="G71" s="6"/>
      <c r="H71" s="5"/>
      <c r="I71" s="5"/>
      <c r="J71" s="5"/>
      <c r="K71" s="5"/>
      <c r="L71" s="6" t="s">
        <v>3629</v>
      </c>
      <c r="M71" s="6"/>
      <c r="N71" s="6"/>
      <c r="O71" s="5"/>
      <c r="P71" s="17"/>
      <c r="Q71" s="17"/>
      <c r="R71" s="6"/>
      <c r="S71" s="6"/>
      <c r="T71" s="6"/>
      <c r="U71" s="5"/>
      <c r="V71" s="6" t="s">
        <v>967</v>
      </c>
      <c r="W71" s="28" t="str">
        <f t="shared" si="48"/>
        <v>適用未判定</v>
      </c>
      <c r="X71" s="28" t="str">
        <f t="shared" si="49"/>
        <v/>
      </c>
      <c r="Y71" s="26" t="str">
        <f t="shared" si="50"/>
        <v/>
      </c>
      <c r="Z71" s="26" t="str">
        <f t="shared" si="51"/>
        <v>適用未判定</v>
      </c>
      <c r="AA71" s="26">
        <f t="shared" si="52"/>
        <v>0</v>
      </c>
      <c r="AB71" s="26" t="str">
        <f t="shared" si="53"/>
        <v>B3-10</v>
      </c>
      <c r="AC71" s="26" t="str">
        <f t="shared" si="54"/>
        <v>B2-06</v>
      </c>
      <c r="AD71" s="26" t="str">
        <f t="shared" si="55"/>
        <v>B2-07</v>
      </c>
      <c r="AE71" s="26" t="str">
        <f t="shared" si="56"/>
        <v/>
      </c>
      <c r="AF71" s="26" t="str">
        <f t="shared" si="57"/>
        <v/>
      </c>
      <c r="AG71" s="26" t="str">
        <f t="shared" si="58"/>
        <v/>
      </c>
      <c r="AH71" s="26" t="str">
        <f t="shared" si="59"/>
        <v/>
      </c>
      <c r="AI71" s="26" t="str">
        <f t="shared" si="60"/>
        <v/>
      </c>
      <c r="AJ71" s="26" t="str">
        <f t="shared" si="61"/>
        <v>未充足</v>
      </c>
      <c r="AK71" s="26" t="str">
        <f t="shared" si="62"/>
        <v>未充足</v>
      </c>
      <c r="AL71" s="26" t="str">
        <f t="shared" si="63"/>
        <v>未充足</v>
      </c>
      <c r="AM71" s="26" t="str">
        <f t="shared" si="64"/>
        <v/>
      </c>
      <c r="AN71" s="26" t="str">
        <f t="shared" si="65"/>
        <v/>
      </c>
      <c r="AO71" s="26" t="str">
        <f t="shared" si="66"/>
        <v/>
      </c>
      <c r="AP71" s="26" t="str">
        <f t="shared" si="67"/>
        <v/>
      </c>
      <c r="AQ71" s="26" t="str">
        <f t="shared" si="68"/>
        <v/>
      </c>
      <c r="AR71" s="36" t="str">
        <f t="shared" si="69"/>
        <v/>
      </c>
      <c r="AS71" s="28" t="str">
        <f>IF(COUNTIF('02_工程タスク'!$A$4:$A$135,A71)&lt;&gt;1,"参照ID不正",IF(INDEX('02_工程タスク'!$H$4:$H$135,MATCH(A71,'02_工程タスク'!$A$4:$A$135,0))="","",INDEX('02_工程タスク'!$H$4:$H$135,MATCH(A71,'02_工程タスク'!$A$4:$A$135,0))))</f>
        <v>R13</v>
      </c>
      <c r="AT71" s="28" t="str">
        <f t="shared" si="70"/>
        <v>INIT-B3-11</v>
      </c>
      <c r="AU71" s="29" t="s">
        <v>3630</v>
      </c>
      <c r="AV71" s="29"/>
      <c r="AW71" s="29"/>
      <c r="AX71" s="32"/>
      <c r="AY71" s="29"/>
      <c r="AZ71" s="29"/>
      <c r="BA71" s="32"/>
      <c r="BB71" s="28" t="str">
        <f>IF(COUNTIF('02_工程タスク'!$A$4:$A$135,A71)&lt;&gt;1,"参照ID不正",IF(INDEX('02_工程タスク'!$O$4:$O$135,MATCH(A71,'02_工程タスク'!$A$4:$A$135,0))="","",INDEX('02_工程タスク'!$O$4:$O$135,MATCH(A71,'02_工程タスク'!$A$4:$A$135,0))))</f>
        <v>B3-10,B2-06,B2-07</v>
      </c>
      <c r="BC71" s="28" t="str">
        <f t="shared" si="71"/>
        <v>記法OK</v>
      </c>
      <c r="BD71" s="28" t="str">
        <f>IF(A71="B6-01",IF(OR(AV71="",COUNTIF('29_ゲート承認記録'!$F$4:$F$83,AV71)&lt;&gt;1),"終了開始根拠不足",IF(IF(COUNTIF('29_ゲート承認記録'!$F$4:$F$83,AV71)&lt;&gt;1,"参照ID不正",IF(INDEX('29_ゲート承認記録'!$L$4:$L$83,MATCH(AV71,'29_ゲート承認記録'!$F$4:$F$83,0))="","",INDEX('29_ゲート承認記録'!$L$4:$L$83,MATCH(AV71,'29_ゲート承認記録'!$F$4:$F$83,0))))&lt;&gt;"Stop","Stop判断要確認","開始根拠あり")),IF(AND(A71="B5-18",AU71="事故"),IF(AV71="","事故レビュー参照不足","開始根拠あり"),"開始根拠あり"))</f>
        <v>開始根拠あり</v>
      </c>
      <c r="BE71" s="29"/>
      <c r="BF71" s="29"/>
    </row>
    <row r="72" spans="1:58" ht="38" customHeight="1" x14ac:dyDescent="0.2">
      <c r="A72" s="12" t="s">
        <v>971</v>
      </c>
      <c r="B72" s="28" t="str">
        <f>IF(COUNTIF('02_工程タスク'!$A$4:$A$135,A72)&lt;&gt;1,"参照ID不正",IF(INDEX('02_工程タスク'!$B$4:$B$135,MATCH(A72,'02_工程タスク'!$A$4:$A$135,0))="","",INDEX('02_工程タスク'!$B$4:$B$135,MATCH(A72,'02_工程タスク'!$A$4:$A$135,0))))</f>
        <v>実装</v>
      </c>
      <c r="C72" s="28" t="str">
        <f>IF(COUNTIF('02_工程タスク'!$A$4:$A$135,A72)&lt;&gt;1,"参照ID不正",IF(INDEX('02_工程タスク'!$D$4:$D$135,MATCH(A72,'02_工程タスク'!$A$4:$A$135,0))="","",INDEX('02_工程タスク'!$D$4:$D$135,MATCH(A72,'02_工程タスク'!$A$4:$A$135,0))))</f>
        <v>API・業務ロジック・認証の実装</v>
      </c>
      <c r="D72" s="6"/>
      <c r="E72" s="6" t="s">
        <v>1598</v>
      </c>
      <c r="F72" s="6"/>
      <c r="G72" s="6"/>
      <c r="H72" s="5"/>
      <c r="I72" s="5"/>
      <c r="J72" s="5"/>
      <c r="K72" s="5"/>
      <c r="L72" s="6" t="s">
        <v>3629</v>
      </c>
      <c r="M72" s="6"/>
      <c r="N72" s="6"/>
      <c r="O72" s="5"/>
      <c r="P72" s="17"/>
      <c r="Q72" s="17"/>
      <c r="R72" s="6"/>
      <c r="S72" s="6"/>
      <c r="T72" s="6"/>
      <c r="U72" s="5"/>
      <c r="V72" s="6" t="s">
        <v>978</v>
      </c>
      <c r="W72" s="28" t="str">
        <f t="shared" si="48"/>
        <v>適用未判定</v>
      </c>
      <c r="X72" s="28" t="str">
        <f t="shared" si="49"/>
        <v/>
      </c>
      <c r="Y72" s="25" t="str">
        <f t="shared" si="50"/>
        <v/>
      </c>
      <c r="Z72" s="25" t="str">
        <f t="shared" si="51"/>
        <v>適用未判定</v>
      </c>
      <c r="AA72" s="25">
        <f t="shared" si="52"/>
        <v>0</v>
      </c>
      <c r="AB72" s="25" t="str">
        <f t="shared" si="53"/>
        <v>B3-10</v>
      </c>
      <c r="AC72" s="25" t="str">
        <f t="shared" si="54"/>
        <v>B2-09</v>
      </c>
      <c r="AD72" s="25" t="str">
        <f t="shared" si="55"/>
        <v/>
      </c>
      <c r="AE72" s="25" t="str">
        <f t="shared" si="56"/>
        <v/>
      </c>
      <c r="AF72" s="25" t="str">
        <f t="shared" si="57"/>
        <v/>
      </c>
      <c r="AG72" s="25" t="str">
        <f t="shared" si="58"/>
        <v/>
      </c>
      <c r="AH72" s="25" t="str">
        <f t="shared" si="59"/>
        <v/>
      </c>
      <c r="AI72" s="25" t="str">
        <f t="shared" si="60"/>
        <v/>
      </c>
      <c r="AJ72" s="25" t="str">
        <f t="shared" si="61"/>
        <v>未充足</v>
      </c>
      <c r="AK72" s="25" t="str">
        <f t="shared" si="62"/>
        <v>未充足</v>
      </c>
      <c r="AL72" s="25" t="str">
        <f t="shared" si="63"/>
        <v/>
      </c>
      <c r="AM72" s="25" t="str">
        <f t="shared" si="64"/>
        <v/>
      </c>
      <c r="AN72" s="25" t="str">
        <f t="shared" si="65"/>
        <v/>
      </c>
      <c r="AO72" s="25" t="str">
        <f t="shared" si="66"/>
        <v/>
      </c>
      <c r="AP72" s="25" t="str">
        <f t="shared" si="67"/>
        <v/>
      </c>
      <c r="AQ72" s="25" t="str">
        <f t="shared" si="68"/>
        <v/>
      </c>
      <c r="AR72" s="35" t="str">
        <f t="shared" si="69"/>
        <v/>
      </c>
      <c r="AS72" s="28" t="str">
        <f>IF(COUNTIF('02_工程タスク'!$A$4:$A$135,A72)&lt;&gt;1,"参照ID不正",IF(INDEX('02_工程タスク'!$H$4:$H$135,MATCH(A72,'02_工程タスク'!$A$4:$A$135,0))="","",INDEX('02_工程タスク'!$H$4:$H$135,MATCH(A72,'02_工程タスク'!$A$4:$A$135,0))))</f>
        <v>R06</v>
      </c>
      <c r="AT72" s="28" t="str">
        <f t="shared" si="70"/>
        <v>INIT-B3-12</v>
      </c>
      <c r="AU72" s="29" t="s">
        <v>3630</v>
      </c>
      <c r="AV72" s="29"/>
      <c r="AW72" s="29"/>
      <c r="AX72" s="32"/>
      <c r="AY72" s="29"/>
      <c r="AZ72" s="29"/>
      <c r="BA72" s="32"/>
      <c r="BB72" s="28" t="str">
        <f>IF(COUNTIF('02_工程タスク'!$A$4:$A$135,A72)&lt;&gt;1,"参照ID不正",IF(INDEX('02_工程タスク'!$O$4:$O$135,MATCH(A72,'02_工程タスク'!$A$4:$A$135,0))="","",INDEX('02_工程タスク'!$O$4:$O$135,MATCH(A72,'02_工程タスク'!$A$4:$A$135,0))))</f>
        <v>B3-10,B2-09</v>
      </c>
      <c r="BC72" s="28" t="str">
        <f t="shared" si="71"/>
        <v>記法OK</v>
      </c>
      <c r="BD72" s="28" t="str">
        <f>IF(A72="B6-01",IF(OR(AV72="",COUNTIF('29_ゲート承認記録'!$F$4:$F$83,AV72)&lt;&gt;1),"終了開始根拠不足",IF(IF(COUNTIF('29_ゲート承認記録'!$F$4:$F$83,AV72)&lt;&gt;1,"参照ID不正",IF(INDEX('29_ゲート承認記録'!$L$4:$L$83,MATCH(AV72,'29_ゲート承認記録'!$F$4:$F$83,0))="","",INDEX('29_ゲート承認記録'!$L$4:$L$83,MATCH(AV72,'29_ゲート承認記録'!$F$4:$F$83,0))))&lt;&gt;"Stop","Stop判断要確認","開始根拠あり")),IF(AND(A72="B5-18",AU72="事故"),IF(AV72="","事故レビュー参照不足","開始根拠あり"),"開始根拠あり"))</f>
        <v>開始根拠あり</v>
      </c>
      <c r="BE72" s="29"/>
      <c r="BF72" s="29"/>
    </row>
    <row r="73" spans="1:58" ht="38" customHeight="1" x14ac:dyDescent="0.2">
      <c r="A73" s="12" t="s">
        <v>981</v>
      </c>
      <c r="B73" s="28" t="str">
        <f>IF(COUNTIF('02_工程タスク'!$A$4:$A$135,A73)&lt;&gt;1,"参照ID不正",IF(INDEX('02_工程タスク'!$B$4:$B$135,MATCH(A73,'02_工程タスク'!$A$4:$A$135,0))="","",INDEX('02_工程タスク'!$B$4:$B$135,MATCH(A73,'02_工程タスク'!$A$4:$A$135,0))))</f>
        <v>実装</v>
      </c>
      <c r="C73" s="28" t="str">
        <f>IF(COUNTIF('02_工程タスク'!$A$4:$A$135,A73)&lt;&gt;1,"参照ID不正",IF(INDEX('02_工程タスク'!$D$4:$D$135,MATCH(A73,'02_工程タスク'!$A$4:$A$135,0))="","",INDEX('02_工程タスク'!$D$4:$D$135,MATCH(A73,'02_工程タスク'!$A$4:$A$135,0))))</f>
        <v>UI・承認・説明・アクセシビリティ</v>
      </c>
      <c r="D73" s="6"/>
      <c r="E73" s="6" t="s">
        <v>1598</v>
      </c>
      <c r="F73" s="6"/>
      <c r="G73" s="6"/>
      <c r="H73" s="5"/>
      <c r="I73" s="5"/>
      <c r="J73" s="5"/>
      <c r="K73" s="5"/>
      <c r="L73" s="6" t="s">
        <v>3629</v>
      </c>
      <c r="M73" s="6"/>
      <c r="N73" s="6"/>
      <c r="O73" s="5"/>
      <c r="P73" s="17"/>
      <c r="Q73" s="17"/>
      <c r="R73" s="6"/>
      <c r="S73" s="6"/>
      <c r="T73" s="6"/>
      <c r="U73" s="5"/>
      <c r="V73" s="6" t="s">
        <v>988</v>
      </c>
      <c r="W73" s="28" t="str">
        <f t="shared" si="48"/>
        <v>適用未判定</v>
      </c>
      <c r="X73" s="28" t="str">
        <f t="shared" si="49"/>
        <v/>
      </c>
      <c r="Y73" s="26" t="str">
        <f t="shared" si="50"/>
        <v/>
      </c>
      <c r="Z73" s="26" t="str">
        <f t="shared" si="51"/>
        <v>適用未判定</v>
      </c>
      <c r="AA73" s="26">
        <f t="shared" si="52"/>
        <v>0</v>
      </c>
      <c r="AB73" s="26" t="str">
        <f t="shared" si="53"/>
        <v>B3-12</v>
      </c>
      <c r="AC73" s="26" t="str">
        <f t="shared" si="54"/>
        <v>B2-08</v>
      </c>
      <c r="AD73" s="26" t="str">
        <f t="shared" si="55"/>
        <v/>
      </c>
      <c r="AE73" s="26" t="str">
        <f t="shared" si="56"/>
        <v/>
      </c>
      <c r="AF73" s="26" t="str">
        <f t="shared" si="57"/>
        <v/>
      </c>
      <c r="AG73" s="26" t="str">
        <f t="shared" si="58"/>
        <v/>
      </c>
      <c r="AH73" s="26" t="str">
        <f t="shared" si="59"/>
        <v/>
      </c>
      <c r="AI73" s="26" t="str">
        <f t="shared" si="60"/>
        <v/>
      </c>
      <c r="AJ73" s="26" t="str">
        <f t="shared" si="61"/>
        <v>未充足</v>
      </c>
      <c r="AK73" s="26" t="str">
        <f t="shared" si="62"/>
        <v>未充足</v>
      </c>
      <c r="AL73" s="26" t="str">
        <f t="shared" si="63"/>
        <v/>
      </c>
      <c r="AM73" s="26" t="str">
        <f t="shared" si="64"/>
        <v/>
      </c>
      <c r="AN73" s="26" t="str">
        <f t="shared" si="65"/>
        <v/>
      </c>
      <c r="AO73" s="26" t="str">
        <f t="shared" si="66"/>
        <v/>
      </c>
      <c r="AP73" s="26" t="str">
        <f t="shared" si="67"/>
        <v/>
      </c>
      <c r="AQ73" s="26" t="str">
        <f t="shared" si="68"/>
        <v/>
      </c>
      <c r="AR73" s="36" t="str">
        <f t="shared" si="69"/>
        <v/>
      </c>
      <c r="AS73" s="28" t="str">
        <f>IF(COUNTIF('02_工程タスク'!$A$4:$A$135,A73)&lt;&gt;1,"参照ID不正",IF(INDEX('02_工程タスク'!$H$4:$H$135,MATCH(A73,'02_工程タスク'!$A$4:$A$135,0))="","",INDEX('02_工程タスク'!$H$4:$H$135,MATCH(A73,'02_工程タスク'!$A$4:$A$135,0))))</f>
        <v>R02</v>
      </c>
      <c r="AT73" s="28" t="str">
        <f t="shared" si="70"/>
        <v>INIT-B3-13</v>
      </c>
      <c r="AU73" s="29" t="s">
        <v>3630</v>
      </c>
      <c r="AV73" s="29"/>
      <c r="AW73" s="29"/>
      <c r="AX73" s="32"/>
      <c r="AY73" s="29"/>
      <c r="AZ73" s="29"/>
      <c r="BA73" s="32"/>
      <c r="BB73" s="28" t="str">
        <f>IF(COUNTIF('02_工程タスク'!$A$4:$A$135,A73)&lt;&gt;1,"参照ID不正",IF(INDEX('02_工程タスク'!$O$4:$O$135,MATCH(A73,'02_工程タスク'!$A$4:$A$135,0))="","",INDEX('02_工程タスク'!$O$4:$O$135,MATCH(A73,'02_工程タスク'!$A$4:$A$135,0))))</f>
        <v>B3-12,B2-08</v>
      </c>
      <c r="BC73" s="28" t="str">
        <f t="shared" si="71"/>
        <v>記法OK</v>
      </c>
      <c r="BD73" s="28" t="str">
        <f>IF(A73="B6-01",IF(OR(AV73="",COUNTIF('29_ゲート承認記録'!$F$4:$F$83,AV73)&lt;&gt;1),"終了開始根拠不足",IF(IF(COUNTIF('29_ゲート承認記録'!$F$4:$F$83,AV73)&lt;&gt;1,"参照ID不正",IF(INDEX('29_ゲート承認記録'!$L$4:$L$83,MATCH(AV73,'29_ゲート承認記録'!$F$4:$F$83,0))="","",INDEX('29_ゲート承認記録'!$L$4:$L$83,MATCH(AV73,'29_ゲート承認記録'!$F$4:$F$83,0))))&lt;&gt;"Stop","Stop判断要確認","開始根拠あり")),IF(AND(A73="B5-18",AU73="事故"),IF(AV73="","事故レビュー参照不足","開始根拠あり"),"開始根拠あり"))</f>
        <v>開始根拠あり</v>
      </c>
      <c r="BE73" s="29"/>
      <c r="BF73" s="29"/>
    </row>
    <row r="74" spans="1:58" ht="38" customHeight="1" x14ac:dyDescent="0.2">
      <c r="A74" s="12" t="s">
        <v>991</v>
      </c>
      <c r="B74" s="28" t="str">
        <f>IF(COUNTIF('02_工程タスク'!$A$4:$A$135,A74)&lt;&gt;1,"参照ID不正",IF(INDEX('02_工程タスク'!$B$4:$B$135,MATCH(A74,'02_工程タスク'!$A$4:$A$135,0))="","",INDEX('02_工程タスク'!$B$4:$B$135,MATCH(A74,'02_工程タスク'!$A$4:$A$135,0))))</f>
        <v>実装</v>
      </c>
      <c r="C74" s="28" t="str">
        <f>IF(COUNTIF('02_工程タスク'!$A$4:$A$135,A74)&lt;&gt;1,"参照ID不正",IF(INDEX('02_工程タスク'!$D$4:$D$135,MATCH(A74,'02_工程タスク'!$A$4:$A$135,0))="","",INDEX('02_工程タスク'!$D$4:$D$135,MATCH(A74,'02_工程タスク'!$A$4:$A$135,0))))</f>
        <v>課金・利用制限・返金の実装</v>
      </c>
      <c r="D74" s="6"/>
      <c r="E74" s="6" t="s">
        <v>1598</v>
      </c>
      <c r="F74" s="6"/>
      <c r="G74" s="6"/>
      <c r="H74" s="5"/>
      <c r="I74" s="5"/>
      <c r="J74" s="5"/>
      <c r="K74" s="5"/>
      <c r="L74" s="6" t="s">
        <v>3629</v>
      </c>
      <c r="M74" s="6"/>
      <c r="N74" s="6"/>
      <c r="O74" s="5"/>
      <c r="P74" s="17"/>
      <c r="Q74" s="17"/>
      <c r="R74" s="6"/>
      <c r="S74" s="6"/>
      <c r="T74" s="6"/>
      <c r="U74" s="5"/>
      <c r="V74" s="6" t="s">
        <v>998</v>
      </c>
      <c r="W74" s="28" t="str">
        <f t="shared" si="48"/>
        <v>適用未判定</v>
      </c>
      <c r="X74" s="28" t="str">
        <f t="shared" si="49"/>
        <v/>
      </c>
      <c r="Y74" s="25" t="str">
        <f t="shared" si="50"/>
        <v/>
      </c>
      <c r="Z74" s="25" t="str">
        <f t="shared" si="51"/>
        <v>適用未判定</v>
      </c>
      <c r="AA74" s="25">
        <f t="shared" si="52"/>
        <v>0</v>
      </c>
      <c r="AB74" s="25" t="str">
        <f t="shared" si="53"/>
        <v>B3-12</v>
      </c>
      <c r="AC74" s="25" t="str">
        <f t="shared" si="54"/>
        <v>B2-17</v>
      </c>
      <c r="AD74" s="25" t="str">
        <f t="shared" si="55"/>
        <v/>
      </c>
      <c r="AE74" s="25" t="str">
        <f t="shared" si="56"/>
        <v/>
      </c>
      <c r="AF74" s="25" t="str">
        <f t="shared" si="57"/>
        <v/>
      </c>
      <c r="AG74" s="25" t="str">
        <f t="shared" si="58"/>
        <v/>
      </c>
      <c r="AH74" s="25" t="str">
        <f t="shared" si="59"/>
        <v/>
      </c>
      <c r="AI74" s="25" t="str">
        <f t="shared" si="60"/>
        <v/>
      </c>
      <c r="AJ74" s="25" t="str">
        <f t="shared" si="61"/>
        <v>未充足</v>
      </c>
      <c r="AK74" s="25" t="str">
        <f t="shared" si="62"/>
        <v>未充足</v>
      </c>
      <c r="AL74" s="25" t="str">
        <f t="shared" si="63"/>
        <v/>
      </c>
      <c r="AM74" s="25" t="str">
        <f t="shared" si="64"/>
        <v/>
      </c>
      <c r="AN74" s="25" t="str">
        <f t="shared" si="65"/>
        <v/>
      </c>
      <c r="AO74" s="25" t="str">
        <f t="shared" si="66"/>
        <v/>
      </c>
      <c r="AP74" s="25" t="str">
        <f t="shared" si="67"/>
        <v/>
      </c>
      <c r="AQ74" s="25" t="str">
        <f t="shared" si="68"/>
        <v/>
      </c>
      <c r="AR74" s="35" t="str">
        <f t="shared" si="69"/>
        <v/>
      </c>
      <c r="AS74" s="28" t="str">
        <f>IF(COUNTIF('02_工程タスク'!$A$4:$A$135,A74)&lt;&gt;1,"参照ID不正",IF(INDEX('02_工程タスク'!$H$4:$H$135,MATCH(A74,'02_工程タスク'!$A$4:$A$135,0))="","",INDEX('02_工程タスク'!$H$4:$H$135,MATCH(A74,'02_工程タスク'!$A$4:$A$135,0))))</f>
        <v>R01</v>
      </c>
      <c r="AT74" s="28" t="str">
        <f t="shared" si="70"/>
        <v>INIT-B3-14</v>
      </c>
      <c r="AU74" s="29" t="s">
        <v>3630</v>
      </c>
      <c r="AV74" s="29"/>
      <c r="AW74" s="29"/>
      <c r="AX74" s="32"/>
      <c r="AY74" s="29"/>
      <c r="AZ74" s="29"/>
      <c r="BA74" s="32"/>
      <c r="BB74" s="28" t="str">
        <f>IF(COUNTIF('02_工程タスク'!$A$4:$A$135,A74)&lt;&gt;1,"参照ID不正",IF(INDEX('02_工程タスク'!$O$4:$O$135,MATCH(A74,'02_工程タスク'!$A$4:$A$135,0))="","",INDEX('02_工程タスク'!$O$4:$O$135,MATCH(A74,'02_工程タスク'!$A$4:$A$135,0))))</f>
        <v>B3-12,B2-17</v>
      </c>
      <c r="BC74" s="28" t="str">
        <f t="shared" si="71"/>
        <v>記法OK</v>
      </c>
      <c r="BD74" s="28" t="str">
        <f>IF(A74="B6-01",IF(OR(AV74="",COUNTIF('29_ゲート承認記録'!$F$4:$F$83,AV74)&lt;&gt;1),"終了開始根拠不足",IF(IF(COUNTIF('29_ゲート承認記録'!$F$4:$F$83,AV74)&lt;&gt;1,"参照ID不正",IF(INDEX('29_ゲート承認記録'!$L$4:$L$83,MATCH(AV74,'29_ゲート承認記録'!$F$4:$F$83,0))="","",INDEX('29_ゲート承認記録'!$L$4:$L$83,MATCH(AV74,'29_ゲート承認記録'!$F$4:$F$83,0))))&lt;&gt;"Stop","Stop判断要確認","開始根拠あり")),IF(AND(A74="B5-18",AU74="事故"),IF(AV74="","事故レビュー参照不足","開始根拠あり"),"開始根拠あり"))</f>
        <v>開始根拠あり</v>
      </c>
      <c r="BE74" s="29"/>
      <c r="BF74" s="29"/>
    </row>
    <row r="75" spans="1:58" ht="38" customHeight="1" x14ac:dyDescent="0.2">
      <c r="A75" s="12" t="s">
        <v>1000</v>
      </c>
      <c r="B75" s="28" t="str">
        <f>IF(COUNTIF('02_工程タスク'!$A$4:$A$135,A75)&lt;&gt;1,"参照ID不正",IF(INDEX('02_工程タスク'!$B$4:$B$135,MATCH(A75,'02_工程タスク'!$A$4:$A$135,0))="","",INDEX('02_工程タスク'!$B$4:$B$135,MATCH(A75,'02_工程タスク'!$A$4:$A$135,0))))</f>
        <v>実装</v>
      </c>
      <c r="C75" s="28" t="str">
        <f>IF(COUNTIF('02_工程タスク'!$A$4:$A$135,A75)&lt;&gt;1,"参照ID不正",IF(INDEX('02_工程タスク'!$D$4:$D$135,MATCH(A75,'02_工程タスク'!$A$4:$A$135,0))="","",INDEX('02_工程タスク'!$D$4:$D$135,MATCH(A75,'02_工程タスク'!$A$4:$A$135,0))))</f>
        <v>trace・監査・品質・原価の計測実装</v>
      </c>
      <c r="D75" s="6"/>
      <c r="E75" s="6" t="s">
        <v>1598</v>
      </c>
      <c r="F75" s="6"/>
      <c r="G75" s="6"/>
      <c r="H75" s="5"/>
      <c r="I75" s="5"/>
      <c r="J75" s="5"/>
      <c r="K75" s="5"/>
      <c r="L75" s="6" t="s">
        <v>3629</v>
      </c>
      <c r="M75" s="6"/>
      <c r="N75" s="6"/>
      <c r="O75" s="5"/>
      <c r="P75" s="17"/>
      <c r="Q75" s="17"/>
      <c r="R75" s="6"/>
      <c r="S75" s="6"/>
      <c r="T75" s="6"/>
      <c r="U75" s="5"/>
      <c r="V75" s="6" t="s">
        <v>1007</v>
      </c>
      <c r="W75" s="28" t="str">
        <f t="shared" si="48"/>
        <v>適用未判定</v>
      </c>
      <c r="X75" s="28" t="str">
        <f t="shared" si="49"/>
        <v/>
      </c>
      <c r="Y75" s="26" t="str">
        <f t="shared" si="50"/>
        <v/>
      </c>
      <c r="Z75" s="26" t="str">
        <f t="shared" si="51"/>
        <v>適用未判定</v>
      </c>
      <c r="AA75" s="26">
        <f t="shared" si="52"/>
        <v>0</v>
      </c>
      <c r="AB75" s="26" t="str">
        <f t="shared" si="53"/>
        <v>B3-12</v>
      </c>
      <c r="AC75" s="26" t="str">
        <f t="shared" si="54"/>
        <v>B2-15</v>
      </c>
      <c r="AD75" s="26" t="str">
        <f t="shared" si="55"/>
        <v/>
      </c>
      <c r="AE75" s="26" t="str">
        <f t="shared" si="56"/>
        <v/>
      </c>
      <c r="AF75" s="26" t="str">
        <f t="shared" si="57"/>
        <v/>
      </c>
      <c r="AG75" s="26" t="str">
        <f t="shared" si="58"/>
        <v/>
      </c>
      <c r="AH75" s="26" t="str">
        <f t="shared" si="59"/>
        <v/>
      </c>
      <c r="AI75" s="26" t="str">
        <f t="shared" si="60"/>
        <v/>
      </c>
      <c r="AJ75" s="26" t="str">
        <f t="shared" si="61"/>
        <v>未充足</v>
      </c>
      <c r="AK75" s="26" t="str">
        <f t="shared" si="62"/>
        <v>未充足</v>
      </c>
      <c r="AL75" s="26" t="str">
        <f t="shared" si="63"/>
        <v/>
      </c>
      <c r="AM75" s="26" t="str">
        <f t="shared" si="64"/>
        <v/>
      </c>
      <c r="AN75" s="26" t="str">
        <f t="shared" si="65"/>
        <v/>
      </c>
      <c r="AO75" s="26" t="str">
        <f t="shared" si="66"/>
        <v/>
      </c>
      <c r="AP75" s="26" t="str">
        <f t="shared" si="67"/>
        <v/>
      </c>
      <c r="AQ75" s="26" t="str">
        <f t="shared" si="68"/>
        <v/>
      </c>
      <c r="AR75" s="36" t="str">
        <f t="shared" si="69"/>
        <v/>
      </c>
      <c r="AS75" s="28" t="str">
        <f>IF(COUNTIF('02_工程タスク'!$A$4:$A$135,A75)&lt;&gt;1,"参照ID不正",IF(INDEX('02_工程タスク'!$H$4:$H$135,MATCH(A75,'02_工程タスク'!$A$4:$A$135,0))="","",INDEX('02_工程タスク'!$H$4:$H$135,MATCH(A75,'02_工程タスク'!$A$4:$A$135,0))))</f>
        <v>R18</v>
      </c>
      <c r="AT75" s="28" t="str">
        <f t="shared" si="70"/>
        <v>INIT-B3-15</v>
      </c>
      <c r="AU75" s="29" t="s">
        <v>3630</v>
      </c>
      <c r="AV75" s="29"/>
      <c r="AW75" s="29"/>
      <c r="AX75" s="32"/>
      <c r="AY75" s="29"/>
      <c r="AZ75" s="29"/>
      <c r="BA75" s="32"/>
      <c r="BB75" s="28" t="str">
        <f>IF(COUNTIF('02_工程タスク'!$A$4:$A$135,A75)&lt;&gt;1,"参照ID不正",IF(INDEX('02_工程タスク'!$O$4:$O$135,MATCH(A75,'02_工程タスク'!$A$4:$A$135,0))="","",INDEX('02_工程タスク'!$O$4:$O$135,MATCH(A75,'02_工程タスク'!$A$4:$A$135,0))))</f>
        <v>B3-12,B2-15</v>
      </c>
      <c r="BC75" s="28" t="str">
        <f t="shared" si="71"/>
        <v>記法OK</v>
      </c>
      <c r="BD75" s="28" t="str">
        <f>IF(A75="B6-01",IF(OR(AV75="",COUNTIF('29_ゲート承認記録'!$F$4:$F$83,AV75)&lt;&gt;1),"終了開始根拠不足",IF(IF(COUNTIF('29_ゲート承認記録'!$F$4:$F$83,AV75)&lt;&gt;1,"参照ID不正",IF(INDEX('29_ゲート承認記録'!$L$4:$L$83,MATCH(AV75,'29_ゲート承認記録'!$F$4:$F$83,0))="","",INDEX('29_ゲート承認記録'!$L$4:$L$83,MATCH(AV75,'29_ゲート承認記録'!$F$4:$F$83,0))))&lt;&gt;"Stop","Stop判断要確認","開始根拠あり")),IF(AND(A75="B5-18",AU75="事故"),IF(AV75="","事故レビュー参照不足","開始根拠あり"),"開始根拠あり"))</f>
        <v>開始根拠あり</v>
      </c>
      <c r="BE75" s="29"/>
      <c r="BF75" s="29"/>
    </row>
    <row r="76" spans="1:58" ht="38" customHeight="1" x14ac:dyDescent="0.2">
      <c r="A76" s="12" t="s">
        <v>1008</v>
      </c>
      <c r="B76" s="28" t="str">
        <f>IF(COUNTIF('02_工程タスク'!$A$4:$A$135,A76)&lt;&gt;1,"参照ID不正",IF(INDEX('02_工程タスク'!$B$4:$B$135,MATCH(A76,'02_工程タスク'!$A$4:$A$135,0))="","",INDEX('02_工程タスク'!$B$4:$B$135,MATCH(A76,'02_工程タスク'!$A$4:$A$135,0))))</f>
        <v>実装</v>
      </c>
      <c r="C76" s="28" t="str">
        <f>IF(COUNTIF('02_工程タスク'!$A$4:$A$135,A76)&lt;&gt;1,"参照ID不正",IF(INDEX('02_工程タスク'!$D$4:$D$135,MATCH(A76,'02_工程タスク'!$A$4:$A$135,0))="","",INDEX('02_工程タスク'!$D$4:$D$135,MATCH(A76,'02_工程タスク'!$A$4:$A$135,0))))</f>
        <v>単体・結合・契約・構造テスト</v>
      </c>
      <c r="D76" s="6"/>
      <c r="E76" s="6" t="s">
        <v>1598</v>
      </c>
      <c r="F76" s="6"/>
      <c r="G76" s="6"/>
      <c r="H76" s="5"/>
      <c r="I76" s="5"/>
      <c r="J76" s="5"/>
      <c r="K76" s="5"/>
      <c r="L76" s="6" t="s">
        <v>3629</v>
      </c>
      <c r="M76" s="6"/>
      <c r="N76" s="6"/>
      <c r="O76" s="5"/>
      <c r="P76" s="17"/>
      <c r="Q76" s="17"/>
      <c r="R76" s="6"/>
      <c r="S76" s="6"/>
      <c r="T76" s="6"/>
      <c r="U76" s="5"/>
      <c r="V76" s="6" t="s">
        <v>1015</v>
      </c>
      <c r="W76" s="28" t="str">
        <f t="shared" si="48"/>
        <v>適用未判定</v>
      </c>
      <c r="X76" s="28" t="str">
        <f t="shared" si="49"/>
        <v/>
      </c>
      <c r="Y76" s="25" t="str">
        <f t="shared" si="50"/>
        <v/>
      </c>
      <c r="Z76" s="25" t="str">
        <f t="shared" si="51"/>
        <v>適用未判定</v>
      </c>
      <c r="AA76" s="25">
        <f t="shared" si="52"/>
        <v>0</v>
      </c>
      <c r="AB76" s="25" t="str">
        <f t="shared" si="53"/>
        <v>B3-12</v>
      </c>
      <c r="AC76" s="25" t="str">
        <f t="shared" si="54"/>
        <v>B3-13</v>
      </c>
      <c r="AD76" s="25" t="str">
        <f t="shared" si="55"/>
        <v/>
      </c>
      <c r="AE76" s="25" t="str">
        <f t="shared" si="56"/>
        <v/>
      </c>
      <c r="AF76" s="25" t="str">
        <f t="shared" si="57"/>
        <v/>
      </c>
      <c r="AG76" s="25" t="str">
        <f t="shared" si="58"/>
        <v/>
      </c>
      <c r="AH76" s="25" t="str">
        <f t="shared" si="59"/>
        <v/>
      </c>
      <c r="AI76" s="25" t="str">
        <f t="shared" si="60"/>
        <v/>
      </c>
      <c r="AJ76" s="25" t="str">
        <f t="shared" si="61"/>
        <v>未充足</v>
      </c>
      <c r="AK76" s="25" t="str">
        <f t="shared" si="62"/>
        <v>未充足</v>
      </c>
      <c r="AL76" s="25" t="str">
        <f t="shared" si="63"/>
        <v/>
      </c>
      <c r="AM76" s="25" t="str">
        <f t="shared" si="64"/>
        <v/>
      </c>
      <c r="AN76" s="25" t="str">
        <f t="shared" si="65"/>
        <v/>
      </c>
      <c r="AO76" s="25" t="str">
        <f t="shared" si="66"/>
        <v/>
      </c>
      <c r="AP76" s="25" t="str">
        <f t="shared" si="67"/>
        <v/>
      </c>
      <c r="AQ76" s="25" t="str">
        <f t="shared" si="68"/>
        <v/>
      </c>
      <c r="AR76" s="35" t="str">
        <f t="shared" si="69"/>
        <v/>
      </c>
      <c r="AS76" s="28" t="str">
        <f>IF(COUNTIF('02_工程タスク'!$A$4:$A$135,A76)&lt;&gt;1,"参照ID不正",IF(INDEX('02_工程タスク'!$H$4:$H$135,MATCH(A76,'02_工程タスク'!$A$4:$A$135,0))="","",INDEX('02_工程タスク'!$H$4:$H$135,MATCH(A76,'02_工程タスク'!$A$4:$A$135,0))))</f>
        <v>R06</v>
      </c>
      <c r="AT76" s="28" t="str">
        <f t="shared" si="70"/>
        <v>INIT-B3-16</v>
      </c>
      <c r="AU76" s="29" t="s">
        <v>3630</v>
      </c>
      <c r="AV76" s="29"/>
      <c r="AW76" s="29"/>
      <c r="AX76" s="32"/>
      <c r="AY76" s="29"/>
      <c r="AZ76" s="29"/>
      <c r="BA76" s="32"/>
      <c r="BB76" s="28" t="str">
        <f>IF(COUNTIF('02_工程タスク'!$A$4:$A$135,A76)&lt;&gt;1,"参照ID不正",IF(INDEX('02_工程タスク'!$O$4:$O$135,MATCH(A76,'02_工程タスク'!$A$4:$A$135,0))="","",INDEX('02_工程タスク'!$O$4:$O$135,MATCH(A76,'02_工程タスク'!$A$4:$A$135,0))))</f>
        <v>B3-12,B3-13</v>
      </c>
      <c r="BC76" s="28" t="str">
        <f t="shared" si="71"/>
        <v>記法OK</v>
      </c>
      <c r="BD76" s="28" t="str">
        <f>IF(A76="B6-01",IF(OR(AV76="",COUNTIF('29_ゲート承認記録'!$F$4:$F$83,AV76)&lt;&gt;1),"終了開始根拠不足",IF(IF(COUNTIF('29_ゲート承認記録'!$F$4:$F$83,AV76)&lt;&gt;1,"参照ID不正",IF(INDEX('29_ゲート承認記録'!$L$4:$L$83,MATCH(AV76,'29_ゲート承認記録'!$F$4:$F$83,0))="","",INDEX('29_ゲート承認記録'!$L$4:$L$83,MATCH(AV76,'29_ゲート承認記録'!$F$4:$F$83,0))))&lt;&gt;"Stop","Stop判断要確認","開始根拠あり")),IF(AND(A76="B5-18",AU76="事故"),IF(AV76="","事故レビュー参照不足","開始根拠あり"),"開始根拠あり"))</f>
        <v>開始根拠あり</v>
      </c>
      <c r="BE76" s="29"/>
      <c r="BF76" s="29"/>
    </row>
    <row r="77" spans="1:58" ht="38" customHeight="1" x14ac:dyDescent="0.2">
      <c r="A77" s="12" t="s">
        <v>1018</v>
      </c>
      <c r="B77" s="28" t="str">
        <f>IF(COUNTIF('02_工程タスク'!$A$4:$A$135,A77)&lt;&gt;1,"参照ID不正",IF(INDEX('02_工程タスク'!$B$4:$B$135,MATCH(A77,'02_工程タスク'!$A$4:$A$135,0))="","",INDEX('02_工程タスク'!$B$4:$B$135,MATCH(A77,'02_工程タスク'!$A$4:$A$135,0))))</f>
        <v>実装</v>
      </c>
      <c r="C77" s="28" t="str">
        <f>IF(COUNTIF('02_工程タスク'!$A$4:$A$135,A77)&lt;&gt;1,"参照ID不正",IF(INDEX('02_工程タスク'!$D$4:$D$135,MATCH(A77,'02_工程タスク'!$A$4:$A$135,0))="","",INDEX('02_工程タスク'!$D$4:$D$135,MATCH(A77,'02_工程タスク'!$A$4:$A$135,0))))</f>
        <v>回帰・adversarial・grader較正</v>
      </c>
      <c r="D77" s="6"/>
      <c r="E77" s="6" t="s">
        <v>1598</v>
      </c>
      <c r="F77" s="6"/>
      <c r="G77" s="6"/>
      <c r="H77" s="5"/>
      <c r="I77" s="5"/>
      <c r="J77" s="5"/>
      <c r="K77" s="5"/>
      <c r="L77" s="6" t="s">
        <v>3629</v>
      </c>
      <c r="M77" s="6"/>
      <c r="N77" s="6"/>
      <c r="O77" s="5"/>
      <c r="P77" s="17"/>
      <c r="Q77" s="17"/>
      <c r="R77" s="6"/>
      <c r="S77" s="6"/>
      <c r="T77" s="6"/>
      <c r="U77" s="5"/>
      <c r="V77" s="6" t="s">
        <v>1025</v>
      </c>
      <c r="W77" s="28" t="str">
        <f t="shared" si="48"/>
        <v>適用未判定</v>
      </c>
      <c r="X77" s="28" t="str">
        <f t="shared" si="49"/>
        <v/>
      </c>
      <c r="Y77" s="26" t="str">
        <f t="shared" si="50"/>
        <v/>
      </c>
      <c r="Z77" s="26" t="str">
        <f t="shared" si="51"/>
        <v>適用未判定</v>
      </c>
      <c r="AA77" s="26">
        <f t="shared" si="52"/>
        <v>0</v>
      </c>
      <c r="AB77" s="26" t="str">
        <f t="shared" si="53"/>
        <v>B3-07</v>
      </c>
      <c r="AC77" s="26" t="str">
        <f t="shared" si="54"/>
        <v>B3-10</v>
      </c>
      <c r="AD77" s="26" t="str">
        <f t="shared" si="55"/>
        <v>B3-16</v>
      </c>
      <c r="AE77" s="26" t="str">
        <f t="shared" si="56"/>
        <v/>
      </c>
      <c r="AF77" s="26" t="str">
        <f t="shared" si="57"/>
        <v/>
      </c>
      <c r="AG77" s="26" t="str">
        <f t="shared" si="58"/>
        <v/>
      </c>
      <c r="AH77" s="26" t="str">
        <f t="shared" si="59"/>
        <v/>
      </c>
      <c r="AI77" s="26" t="str">
        <f t="shared" si="60"/>
        <v/>
      </c>
      <c r="AJ77" s="26" t="str">
        <f t="shared" si="61"/>
        <v>未充足</v>
      </c>
      <c r="AK77" s="26" t="str">
        <f t="shared" si="62"/>
        <v>未充足</v>
      </c>
      <c r="AL77" s="26" t="str">
        <f t="shared" si="63"/>
        <v>未充足</v>
      </c>
      <c r="AM77" s="26" t="str">
        <f t="shared" si="64"/>
        <v/>
      </c>
      <c r="AN77" s="26" t="str">
        <f t="shared" si="65"/>
        <v/>
      </c>
      <c r="AO77" s="26" t="str">
        <f t="shared" si="66"/>
        <v/>
      </c>
      <c r="AP77" s="26" t="str">
        <f t="shared" si="67"/>
        <v/>
      </c>
      <c r="AQ77" s="26" t="str">
        <f t="shared" si="68"/>
        <v/>
      </c>
      <c r="AR77" s="36" t="str">
        <f t="shared" si="69"/>
        <v/>
      </c>
      <c r="AS77" s="28" t="str">
        <f>IF(COUNTIF('02_工程タスク'!$A$4:$A$135,A77)&lt;&gt;1,"参照ID不正",IF(INDEX('02_工程タスク'!$H$4:$H$135,MATCH(A77,'02_工程タスク'!$A$4:$A$135,0))="","",INDEX('02_工程タスク'!$H$4:$H$135,MATCH(A77,'02_工程タスク'!$A$4:$A$135,0))))</f>
        <v>R19</v>
      </c>
      <c r="AT77" s="28" t="str">
        <f t="shared" si="70"/>
        <v>INIT-B3-17</v>
      </c>
      <c r="AU77" s="29" t="s">
        <v>3630</v>
      </c>
      <c r="AV77" s="29"/>
      <c r="AW77" s="29"/>
      <c r="AX77" s="32"/>
      <c r="AY77" s="29"/>
      <c r="AZ77" s="29"/>
      <c r="BA77" s="32"/>
      <c r="BB77" s="28" t="str">
        <f>IF(COUNTIF('02_工程タスク'!$A$4:$A$135,A77)&lt;&gt;1,"参照ID不正",IF(INDEX('02_工程タスク'!$O$4:$O$135,MATCH(A77,'02_工程タスク'!$A$4:$A$135,0))="","",INDEX('02_工程タスク'!$O$4:$O$135,MATCH(A77,'02_工程タスク'!$A$4:$A$135,0))))</f>
        <v>B3-07,B3-10,B3-16</v>
      </c>
      <c r="BC77" s="28" t="str">
        <f t="shared" si="71"/>
        <v>記法OK</v>
      </c>
      <c r="BD77" s="28" t="str">
        <f>IF(A77="B6-01",IF(OR(AV77="",COUNTIF('29_ゲート承認記録'!$F$4:$F$83,AV77)&lt;&gt;1),"終了開始根拠不足",IF(IF(COUNTIF('29_ゲート承認記録'!$F$4:$F$83,AV77)&lt;&gt;1,"参照ID不正",IF(INDEX('29_ゲート承認記録'!$L$4:$L$83,MATCH(AV77,'29_ゲート承認記録'!$F$4:$F$83,0))="","",INDEX('29_ゲート承認記録'!$L$4:$L$83,MATCH(AV77,'29_ゲート承認記録'!$F$4:$F$83,0))))&lt;&gt;"Stop","Stop判断要確認","開始根拠あり")),IF(AND(A77="B5-18",AU77="事故"),IF(AV77="","事故レビュー参照不足","開始根拠あり"),"開始根拠あり"))</f>
        <v>開始根拠あり</v>
      </c>
      <c r="BE77" s="29"/>
      <c r="BF77" s="29"/>
    </row>
    <row r="78" spans="1:58" ht="38" customHeight="1" x14ac:dyDescent="0.2">
      <c r="A78" s="12" t="s">
        <v>1028</v>
      </c>
      <c r="B78" s="28" t="str">
        <f>IF(COUNTIF('02_工程タスク'!$A$4:$A$135,A78)&lt;&gt;1,"参照ID不正",IF(INDEX('02_工程タスク'!$B$4:$B$135,MATCH(A78,'02_工程タスク'!$A$4:$A$135,0))="","",INDEX('02_工程タスク'!$B$4:$B$135,MATCH(A78,'02_工程タスク'!$A$4:$A$135,0))))</f>
        <v>実装</v>
      </c>
      <c r="C78" s="28" t="str">
        <f>IF(COUNTIF('02_工程タスク'!$A$4:$A$135,A78)&lt;&gt;1,"参照ID不正",IF(INDEX('02_工程タスク'!$D$4:$D$135,MATCH(A78,'02_工程タスク'!$A$4:$A$135,0))="","",INDEX('02_工程タスク'!$D$4:$D$135,MATCH(A78,'02_工程タスク'!$A$4:$A$135,0))))</f>
        <v>独立レビュー・供給網・機密検査</v>
      </c>
      <c r="D78" s="6"/>
      <c r="E78" s="6" t="s">
        <v>1598</v>
      </c>
      <c r="F78" s="6"/>
      <c r="G78" s="6"/>
      <c r="H78" s="5"/>
      <c r="I78" s="5"/>
      <c r="J78" s="5"/>
      <c r="K78" s="5"/>
      <c r="L78" s="6" t="s">
        <v>3629</v>
      </c>
      <c r="M78" s="6"/>
      <c r="N78" s="6"/>
      <c r="O78" s="5"/>
      <c r="P78" s="17"/>
      <c r="Q78" s="17"/>
      <c r="R78" s="6"/>
      <c r="S78" s="6"/>
      <c r="T78" s="6"/>
      <c r="U78" s="5"/>
      <c r="V78" s="6" t="s">
        <v>1035</v>
      </c>
      <c r="W78" s="28" t="str">
        <f t="shared" si="48"/>
        <v>適用未判定</v>
      </c>
      <c r="X78" s="28" t="str">
        <f t="shared" si="49"/>
        <v/>
      </c>
      <c r="Y78" s="25" t="str">
        <f t="shared" si="50"/>
        <v/>
      </c>
      <c r="Z78" s="25" t="str">
        <f t="shared" si="51"/>
        <v>適用未判定</v>
      </c>
      <c r="AA78" s="25">
        <f t="shared" si="52"/>
        <v>0</v>
      </c>
      <c r="AB78" s="25" t="str">
        <f t="shared" si="53"/>
        <v>B3-16</v>
      </c>
      <c r="AC78" s="25" t="str">
        <f t="shared" si="54"/>
        <v>B3-17</v>
      </c>
      <c r="AD78" s="25" t="str">
        <f t="shared" si="55"/>
        <v/>
      </c>
      <c r="AE78" s="25" t="str">
        <f t="shared" si="56"/>
        <v/>
      </c>
      <c r="AF78" s="25" t="str">
        <f t="shared" si="57"/>
        <v/>
      </c>
      <c r="AG78" s="25" t="str">
        <f t="shared" si="58"/>
        <v/>
      </c>
      <c r="AH78" s="25" t="str">
        <f t="shared" si="59"/>
        <v/>
      </c>
      <c r="AI78" s="25" t="str">
        <f t="shared" si="60"/>
        <v/>
      </c>
      <c r="AJ78" s="25" t="str">
        <f t="shared" si="61"/>
        <v>未充足</v>
      </c>
      <c r="AK78" s="25" t="str">
        <f t="shared" si="62"/>
        <v>未充足</v>
      </c>
      <c r="AL78" s="25" t="str">
        <f t="shared" si="63"/>
        <v/>
      </c>
      <c r="AM78" s="25" t="str">
        <f t="shared" si="64"/>
        <v/>
      </c>
      <c r="AN78" s="25" t="str">
        <f t="shared" si="65"/>
        <v/>
      </c>
      <c r="AO78" s="25" t="str">
        <f t="shared" si="66"/>
        <v/>
      </c>
      <c r="AP78" s="25" t="str">
        <f t="shared" si="67"/>
        <v/>
      </c>
      <c r="AQ78" s="25" t="str">
        <f t="shared" si="68"/>
        <v/>
      </c>
      <c r="AR78" s="35" t="str">
        <f t="shared" si="69"/>
        <v/>
      </c>
      <c r="AS78" s="28" t="str">
        <f>IF(COUNTIF('02_工程タスク'!$A$4:$A$135,A78)&lt;&gt;1,"参照ID不正",IF(INDEX('02_工程タスク'!$H$4:$H$135,MATCH(A78,'02_工程タスク'!$A$4:$A$135,0))="","",INDEX('02_工程タスク'!$H$4:$H$135,MATCH(A78,'02_工程タスク'!$A$4:$A$135,0))))</f>
        <v>R06</v>
      </c>
      <c r="AT78" s="28" t="str">
        <f t="shared" si="70"/>
        <v>INIT-B3-18</v>
      </c>
      <c r="AU78" s="29" t="s">
        <v>3630</v>
      </c>
      <c r="AV78" s="29"/>
      <c r="AW78" s="29"/>
      <c r="AX78" s="32"/>
      <c r="AY78" s="29"/>
      <c r="AZ78" s="29"/>
      <c r="BA78" s="32"/>
      <c r="BB78" s="28" t="str">
        <f>IF(COUNTIF('02_工程タスク'!$A$4:$A$135,A78)&lt;&gt;1,"参照ID不正",IF(INDEX('02_工程タスク'!$O$4:$O$135,MATCH(A78,'02_工程タスク'!$A$4:$A$135,0))="","",INDEX('02_工程タスク'!$O$4:$O$135,MATCH(A78,'02_工程タスク'!$A$4:$A$135,0))))</f>
        <v>B3-16,B3-17</v>
      </c>
      <c r="BC78" s="28" t="str">
        <f t="shared" si="71"/>
        <v>記法OK</v>
      </c>
      <c r="BD78" s="28" t="str">
        <f>IF(A78="B6-01",IF(OR(AV78="",COUNTIF('29_ゲート承認記録'!$F$4:$F$83,AV78)&lt;&gt;1),"終了開始根拠不足",IF(IF(COUNTIF('29_ゲート承認記録'!$F$4:$F$83,AV78)&lt;&gt;1,"参照ID不正",IF(INDEX('29_ゲート承認記録'!$L$4:$L$83,MATCH(AV78,'29_ゲート承認記録'!$F$4:$F$83,0))="","",INDEX('29_ゲート承認記録'!$L$4:$L$83,MATCH(AV78,'29_ゲート承認記録'!$F$4:$F$83,0))))&lt;&gt;"Stop","Stop判断要確認","開始根拠あり")),IF(AND(A78="B5-18",AU78="事故"),IF(AV78="","事故レビュー参照不足","開始根拠あり"),"開始根拠あり"))</f>
        <v>開始根拠あり</v>
      </c>
      <c r="BE78" s="29"/>
      <c r="BF78" s="29"/>
    </row>
    <row r="79" spans="1:58" ht="38" customHeight="1" x14ac:dyDescent="0.2">
      <c r="A79" s="12" t="s">
        <v>1040</v>
      </c>
      <c r="B79" s="28" t="str">
        <f>IF(COUNTIF('02_工程タスク'!$A$4:$A$135,A79)&lt;&gt;1,"参照ID不正",IF(INDEX('02_工程タスク'!$B$4:$B$135,MATCH(A79,'02_工程タスク'!$A$4:$A$135,0))="","",INDEX('02_工程タスク'!$B$4:$B$135,MATCH(A79,'02_工程タスク'!$A$4:$A$135,0))))</f>
        <v>実装</v>
      </c>
      <c r="C79" s="28" t="str">
        <f>IF(COUNTIF('02_工程タスク'!$A$4:$A$135,A79)&lt;&gt;1,"参照ID不正",IF(INDEX('02_工程タスク'!$D$4:$D$135,MATCH(A79,'02_工程タスク'!$A$4:$A$135,0))="","",INDEX('02_工程タスク'!$D$4:$D$135,MATCH(A79,'02_工程タスク'!$A$4:$A$135,0))))</f>
        <v>rollback・停止・削除の実装</v>
      </c>
      <c r="D79" s="6"/>
      <c r="E79" s="6" t="s">
        <v>1598</v>
      </c>
      <c r="F79" s="6"/>
      <c r="G79" s="6"/>
      <c r="H79" s="5"/>
      <c r="I79" s="5"/>
      <c r="J79" s="5"/>
      <c r="K79" s="5"/>
      <c r="L79" s="6" t="s">
        <v>3629</v>
      </c>
      <c r="M79" s="6"/>
      <c r="N79" s="6"/>
      <c r="O79" s="5"/>
      <c r="P79" s="17"/>
      <c r="Q79" s="17"/>
      <c r="R79" s="6"/>
      <c r="S79" s="6"/>
      <c r="T79" s="6"/>
      <c r="U79" s="5"/>
      <c r="V79" s="6" t="s">
        <v>1047</v>
      </c>
      <c r="W79" s="28" t="str">
        <f t="shared" si="48"/>
        <v>適用未判定</v>
      </c>
      <c r="X79" s="28" t="str">
        <f t="shared" si="49"/>
        <v/>
      </c>
      <c r="Y79" s="26" t="str">
        <f t="shared" si="50"/>
        <v/>
      </c>
      <c r="Z79" s="26" t="str">
        <f t="shared" si="51"/>
        <v>適用未判定</v>
      </c>
      <c r="AA79" s="26">
        <f t="shared" si="52"/>
        <v>0</v>
      </c>
      <c r="AB79" s="26" t="str">
        <f t="shared" si="53"/>
        <v>B3-15</v>
      </c>
      <c r="AC79" s="26" t="str">
        <f t="shared" si="54"/>
        <v>B2-16</v>
      </c>
      <c r="AD79" s="26" t="str">
        <f t="shared" si="55"/>
        <v/>
      </c>
      <c r="AE79" s="26" t="str">
        <f t="shared" si="56"/>
        <v/>
      </c>
      <c r="AF79" s="26" t="str">
        <f t="shared" si="57"/>
        <v/>
      </c>
      <c r="AG79" s="26" t="str">
        <f t="shared" si="58"/>
        <v/>
      </c>
      <c r="AH79" s="26" t="str">
        <f t="shared" si="59"/>
        <v/>
      </c>
      <c r="AI79" s="26" t="str">
        <f t="shared" si="60"/>
        <v/>
      </c>
      <c r="AJ79" s="26" t="str">
        <f t="shared" si="61"/>
        <v>未充足</v>
      </c>
      <c r="AK79" s="26" t="str">
        <f t="shared" si="62"/>
        <v>未充足</v>
      </c>
      <c r="AL79" s="26" t="str">
        <f t="shared" si="63"/>
        <v/>
      </c>
      <c r="AM79" s="26" t="str">
        <f t="shared" si="64"/>
        <v/>
      </c>
      <c r="AN79" s="26" t="str">
        <f t="shared" si="65"/>
        <v/>
      </c>
      <c r="AO79" s="26" t="str">
        <f t="shared" si="66"/>
        <v/>
      </c>
      <c r="AP79" s="26" t="str">
        <f t="shared" si="67"/>
        <v/>
      </c>
      <c r="AQ79" s="26" t="str">
        <f t="shared" si="68"/>
        <v/>
      </c>
      <c r="AR79" s="36" t="str">
        <f t="shared" si="69"/>
        <v/>
      </c>
      <c r="AS79" s="28" t="str">
        <f>IF(COUNTIF('02_工程タスク'!$A$4:$A$135,A79)&lt;&gt;1,"参照ID不正",IF(INDEX('02_工程タスク'!$H$4:$H$135,MATCH(A79,'02_工程タスク'!$A$4:$A$135,0))="","",INDEX('02_工程タスク'!$H$4:$H$135,MATCH(A79,'02_工程タスク'!$A$4:$A$135,0))))</f>
        <v>R18</v>
      </c>
      <c r="AT79" s="28" t="str">
        <f t="shared" si="70"/>
        <v>INIT-B3-19</v>
      </c>
      <c r="AU79" s="29" t="s">
        <v>3630</v>
      </c>
      <c r="AV79" s="29"/>
      <c r="AW79" s="29"/>
      <c r="AX79" s="32"/>
      <c r="AY79" s="29"/>
      <c r="AZ79" s="29"/>
      <c r="BA79" s="32"/>
      <c r="BB79" s="28" t="str">
        <f>IF(COUNTIF('02_工程タスク'!$A$4:$A$135,A79)&lt;&gt;1,"参照ID不正",IF(INDEX('02_工程タスク'!$O$4:$O$135,MATCH(A79,'02_工程タスク'!$A$4:$A$135,0))="","",INDEX('02_工程タスク'!$O$4:$O$135,MATCH(A79,'02_工程タスク'!$A$4:$A$135,0))))</f>
        <v>B3-15,B2-16</v>
      </c>
      <c r="BC79" s="28" t="str">
        <f t="shared" si="71"/>
        <v>記法OK</v>
      </c>
      <c r="BD79" s="28" t="str">
        <f>IF(A79="B6-01",IF(OR(AV79="",COUNTIF('29_ゲート承認記録'!$F$4:$F$83,AV79)&lt;&gt;1),"終了開始根拠不足",IF(IF(COUNTIF('29_ゲート承認記録'!$F$4:$F$83,AV79)&lt;&gt;1,"参照ID不正",IF(INDEX('29_ゲート承認記録'!$L$4:$L$83,MATCH(AV79,'29_ゲート承認記録'!$F$4:$F$83,0))="","",INDEX('29_ゲート承認記録'!$L$4:$L$83,MATCH(AV79,'29_ゲート承認記録'!$F$4:$F$83,0))))&lt;&gt;"Stop","Stop判断要確認","開始根拠あり")),IF(AND(A79="B5-18",AU79="事故"),IF(AV79="","事故レビュー参照不足","開始根拠あり"),"開始根拠あり"))</f>
        <v>開始根拠あり</v>
      </c>
      <c r="BE79" s="29"/>
      <c r="BF79" s="29"/>
    </row>
    <row r="80" spans="1:58" ht="38" customHeight="1" x14ac:dyDescent="0.2">
      <c r="A80" s="12" t="s">
        <v>1049</v>
      </c>
      <c r="B80" s="28" t="str">
        <f>IF(COUNTIF('02_工程タスク'!$A$4:$A$135,A80)&lt;&gt;1,"参照ID不正",IF(INDEX('02_工程タスク'!$B$4:$B$135,MATCH(A80,'02_工程タスク'!$A$4:$A$135,0))="","",INDEX('02_工程タスク'!$B$4:$B$135,MATCH(A80,'02_工程タスク'!$A$4:$A$135,0))))</f>
        <v>実装</v>
      </c>
      <c r="C80" s="28" t="str">
        <f>IF(COUNTIF('02_工程タスク'!$A$4:$A$135,A80)&lt;&gt;1,"参照ID不正",IF(INDEX('02_工程タスク'!$D$4:$D$135,MATCH(A80,'02_工程タスク'!$A$4:$A$135,0))="","",INDEX('02_工程タスク'!$D$4:$D$135,MATCH(A80,'02_工程タスク'!$A$4:$A$135,0))))</f>
        <v>利用者資料・CS・GTM実装</v>
      </c>
      <c r="D80" s="6"/>
      <c r="E80" s="6" t="s">
        <v>1598</v>
      </c>
      <c r="F80" s="6"/>
      <c r="G80" s="6"/>
      <c r="H80" s="5"/>
      <c r="I80" s="5"/>
      <c r="J80" s="5"/>
      <c r="K80" s="5"/>
      <c r="L80" s="6" t="s">
        <v>3629</v>
      </c>
      <c r="M80" s="6"/>
      <c r="N80" s="6"/>
      <c r="O80" s="5"/>
      <c r="P80" s="17"/>
      <c r="Q80" s="17"/>
      <c r="R80" s="6"/>
      <c r="S80" s="6"/>
      <c r="T80" s="6"/>
      <c r="U80" s="5"/>
      <c r="V80" s="6" t="s">
        <v>1055</v>
      </c>
      <c r="W80" s="28" t="str">
        <f t="shared" si="48"/>
        <v>適用未判定</v>
      </c>
      <c r="X80" s="28" t="str">
        <f t="shared" si="49"/>
        <v/>
      </c>
      <c r="Y80" s="25" t="str">
        <f t="shared" si="50"/>
        <v/>
      </c>
      <c r="Z80" s="25" t="str">
        <f t="shared" si="51"/>
        <v>適用未判定</v>
      </c>
      <c r="AA80" s="25">
        <f t="shared" si="52"/>
        <v>0</v>
      </c>
      <c r="AB80" s="25" t="str">
        <f t="shared" si="53"/>
        <v>B3-13</v>
      </c>
      <c r="AC80" s="25" t="str">
        <f t="shared" si="54"/>
        <v>B1-11</v>
      </c>
      <c r="AD80" s="25" t="str">
        <f t="shared" si="55"/>
        <v/>
      </c>
      <c r="AE80" s="25" t="str">
        <f t="shared" si="56"/>
        <v/>
      </c>
      <c r="AF80" s="25" t="str">
        <f t="shared" si="57"/>
        <v/>
      </c>
      <c r="AG80" s="25" t="str">
        <f t="shared" si="58"/>
        <v/>
      </c>
      <c r="AH80" s="25" t="str">
        <f t="shared" si="59"/>
        <v/>
      </c>
      <c r="AI80" s="25" t="str">
        <f t="shared" si="60"/>
        <v/>
      </c>
      <c r="AJ80" s="25" t="str">
        <f t="shared" si="61"/>
        <v>未充足</v>
      </c>
      <c r="AK80" s="25" t="str">
        <f t="shared" si="62"/>
        <v>未充足</v>
      </c>
      <c r="AL80" s="25" t="str">
        <f t="shared" si="63"/>
        <v/>
      </c>
      <c r="AM80" s="25" t="str">
        <f t="shared" si="64"/>
        <v/>
      </c>
      <c r="AN80" s="25" t="str">
        <f t="shared" si="65"/>
        <v/>
      </c>
      <c r="AO80" s="25" t="str">
        <f t="shared" si="66"/>
        <v/>
      </c>
      <c r="AP80" s="25" t="str">
        <f t="shared" si="67"/>
        <v/>
      </c>
      <c r="AQ80" s="25" t="str">
        <f t="shared" si="68"/>
        <v/>
      </c>
      <c r="AR80" s="35" t="str">
        <f t="shared" si="69"/>
        <v/>
      </c>
      <c r="AS80" s="28" t="str">
        <f>IF(COUNTIF('02_工程タスク'!$A$4:$A$135,A80)&lt;&gt;1,"参照ID不正",IF(INDEX('02_工程タスク'!$H$4:$H$135,MATCH(A80,'02_工程タスク'!$A$4:$A$135,0))="","",INDEX('02_工程タスク'!$H$4:$H$135,MATCH(A80,'02_工程タスク'!$A$4:$A$135,0))))</f>
        <v>R02</v>
      </c>
      <c r="AT80" s="28" t="str">
        <f t="shared" si="70"/>
        <v>INIT-B3-20</v>
      </c>
      <c r="AU80" s="29" t="s">
        <v>3630</v>
      </c>
      <c r="AV80" s="29"/>
      <c r="AW80" s="29"/>
      <c r="AX80" s="32"/>
      <c r="AY80" s="29"/>
      <c r="AZ80" s="29"/>
      <c r="BA80" s="32"/>
      <c r="BB80" s="28" t="str">
        <f>IF(COUNTIF('02_工程タスク'!$A$4:$A$135,A80)&lt;&gt;1,"参照ID不正",IF(INDEX('02_工程タスク'!$O$4:$O$135,MATCH(A80,'02_工程タスク'!$A$4:$A$135,0))="","",INDEX('02_工程タスク'!$O$4:$O$135,MATCH(A80,'02_工程タスク'!$A$4:$A$135,0))))</f>
        <v>B3-13,B1-11</v>
      </c>
      <c r="BC80" s="28" t="str">
        <f t="shared" si="71"/>
        <v>記法OK</v>
      </c>
      <c r="BD80" s="28" t="str">
        <f>IF(A80="B6-01",IF(OR(AV80="",COUNTIF('29_ゲート承認記録'!$F$4:$F$83,AV80)&lt;&gt;1),"終了開始根拠不足",IF(IF(COUNTIF('29_ゲート承認記録'!$F$4:$F$83,AV80)&lt;&gt;1,"参照ID不正",IF(INDEX('29_ゲート承認記録'!$L$4:$L$83,MATCH(AV80,'29_ゲート承認記録'!$F$4:$F$83,0))="","",INDEX('29_ゲート承認記録'!$L$4:$L$83,MATCH(AV80,'29_ゲート承認記録'!$F$4:$F$83,0))))&lt;&gt;"Stop","Stop判断要確認","開始根拠あり")),IF(AND(A80="B5-18",AU80="事故"),IF(AV80="","事故レビュー参照不足","開始根拠あり"),"開始根拠あり"))</f>
        <v>開始根拠あり</v>
      </c>
      <c r="BE80" s="29"/>
      <c r="BF80" s="29"/>
    </row>
    <row r="81" spans="1:58" ht="38" customHeight="1" x14ac:dyDescent="0.2">
      <c r="A81" s="12" t="s">
        <v>1058</v>
      </c>
      <c r="B81" s="28" t="str">
        <f>IF(COUNTIF('02_工程タスク'!$A$4:$A$135,A81)&lt;&gt;1,"参照ID不正",IF(INDEX('02_工程タスク'!$B$4:$B$135,MATCH(A81,'02_工程タスク'!$A$4:$A$135,0))="","",INDEX('02_工程タスク'!$B$4:$B$135,MATCH(A81,'02_工程タスク'!$A$4:$A$135,0))))</f>
        <v>実装</v>
      </c>
      <c r="C81" s="28" t="str">
        <f>IF(COUNTIF('02_工程タスク'!$A$4:$A$135,A81)&lt;&gt;1,"参照ID不正",IF(INDEX('02_工程タスク'!$D$4:$D$135,MATCH(A81,'02_工程タスク'!$A$4:$A$135,0))="","",INDEX('02_工程タスク'!$D$4:$D$135,MATCH(A81,'02_工程タスク'!$A$4:$A$135,0))))</f>
        <v>実行知見を仕様・Skillへ還流</v>
      </c>
      <c r="D81" s="6"/>
      <c r="E81" s="6" t="s">
        <v>1598</v>
      </c>
      <c r="F81" s="6"/>
      <c r="G81" s="6"/>
      <c r="H81" s="5"/>
      <c r="I81" s="5"/>
      <c r="J81" s="5"/>
      <c r="K81" s="5"/>
      <c r="L81" s="6" t="s">
        <v>3629</v>
      </c>
      <c r="M81" s="6"/>
      <c r="N81" s="6"/>
      <c r="O81" s="5"/>
      <c r="P81" s="17"/>
      <c r="Q81" s="17"/>
      <c r="R81" s="6"/>
      <c r="S81" s="6"/>
      <c r="T81" s="6"/>
      <c r="U81" s="5"/>
      <c r="V81" s="6" t="s">
        <v>1065</v>
      </c>
      <c r="W81" s="28" t="str">
        <f t="shared" si="48"/>
        <v>適用未判定</v>
      </c>
      <c r="X81" s="28" t="str">
        <f t="shared" si="49"/>
        <v/>
      </c>
      <c r="Y81" s="26" t="str">
        <f t="shared" si="50"/>
        <v/>
      </c>
      <c r="Z81" s="26" t="str">
        <f t="shared" si="51"/>
        <v>適用未判定</v>
      </c>
      <c r="AA81" s="26">
        <f t="shared" si="52"/>
        <v>0</v>
      </c>
      <c r="AB81" s="26" t="str">
        <f t="shared" si="53"/>
        <v>B3-17</v>
      </c>
      <c r="AC81" s="26" t="str">
        <f t="shared" si="54"/>
        <v>B3-18</v>
      </c>
      <c r="AD81" s="26" t="str">
        <f t="shared" si="55"/>
        <v/>
      </c>
      <c r="AE81" s="26" t="str">
        <f t="shared" si="56"/>
        <v/>
      </c>
      <c r="AF81" s="26" t="str">
        <f t="shared" si="57"/>
        <v/>
      </c>
      <c r="AG81" s="26" t="str">
        <f t="shared" si="58"/>
        <v/>
      </c>
      <c r="AH81" s="26" t="str">
        <f t="shared" si="59"/>
        <v/>
      </c>
      <c r="AI81" s="26" t="str">
        <f t="shared" si="60"/>
        <v/>
      </c>
      <c r="AJ81" s="26" t="str">
        <f t="shared" si="61"/>
        <v>未充足</v>
      </c>
      <c r="AK81" s="26" t="str">
        <f t="shared" si="62"/>
        <v>未充足</v>
      </c>
      <c r="AL81" s="26" t="str">
        <f t="shared" si="63"/>
        <v/>
      </c>
      <c r="AM81" s="26" t="str">
        <f t="shared" si="64"/>
        <v/>
      </c>
      <c r="AN81" s="26" t="str">
        <f t="shared" si="65"/>
        <v/>
      </c>
      <c r="AO81" s="26" t="str">
        <f t="shared" si="66"/>
        <v/>
      </c>
      <c r="AP81" s="26" t="str">
        <f t="shared" si="67"/>
        <v/>
      </c>
      <c r="AQ81" s="26" t="str">
        <f t="shared" si="68"/>
        <v/>
      </c>
      <c r="AR81" s="36" t="str">
        <f t="shared" si="69"/>
        <v/>
      </c>
      <c r="AS81" s="28" t="str">
        <f>IF(COUNTIF('02_工程タスク'!$A$4:$A$135,A81)&lt;&gt;1,"参照ID不正",IF(INDEX('02_工程タスク'!$H$4:$H$135,MATCH(A81,'02_工程タスク'!$A$4:$A$135,0))="","",INDEX('02_工程タスク'!$H$4:$H$135,MATCH(A81,'02_工程タスク'!$A$4:$A$135,0))))</f>
        <v>R06</v>
      </c>
      <c r="AT81" s="28" t="str">
        <f t="shared" si="70"/>
        <v>INIT-B3-21</v>
      </c>
      <c r="AU81" s="29" t="s">
        <v>3630</v>
      </c>
      <c r="AV81" s="29"/>
      <c r="AW81" s="29"/>
      <c r="AX81" s="32"/>
      <c r="AY81" s="29"/>
      <c r="AZ81" s="29"/>
      <c r="BA81" s="32"/>
      <c r="BB81" s="28" t="str">
        <f>IF(COUNTIF('02_工程タスク'!$A$4:$A$135,A81)&lt;&gt;1,"参照ID不正",IF(INDEX('02_工程タスク'!$O$4:$O$135,MATCH(A81,'02_工程タスク'!$A$4:$A$135,0))="","",INDEX('02_工程タスク'!$O$4:$O$135,MATCH(A81,'02_工程タスク'!$A$4:$A$135,0))))</f>
        <v>B3-17,B3-18</v>
      </c>
      <c r="BC81" s="28" t="str">
        <f t="shared" si="71"/>
        <v>記法OK</v>
      </c>
      <c r="BD81" s="28" t="str">
        <f>IF(A81="B6-01",IF(OR(AV81="",COUNTIF('29_ゲート承認記録'!$F$4:$F$83,AV81)&lt;&gt;1),"終了開始根拠不足",IF(IF(COUNTIF('29_ゲート承認記録'!$F$4:$F$83,AV81)&lt;&gt;1,"参照ID不正",IF(INDEX('29_ゲート承認記録'!$L$4:$L$83,MATCH(AV81,'29_ゲート承認記録'!$F$4:$F$83,0))="","",INDEX('29_ゲート承認記録'!$L$4:$L$83,MATCH(AV81,'29_ゲート承認記録'!$F$4:$F$83,0))))&lt;&gt;"Stop","Stop判断要確認","開始根拠あり")),IF(AND(A81="B5-18",AU81="事故"),IF(AV81="","事故レビュー参照不足","開始根拠あり"),"開始根拠あり"))</f>
        <v>開始根拠あり</v>
      </c>
      <c r="BE81" s="29"/>
      <c r="BF81" s="29"/>
    </row>
    <row r="82" spans="1:58" ht="38" customHeight="1" x14ac:dyDescent="0.2">
      <c r="A82" s="12" t="s">
        <v>1067</v>
      </c>
      <c r="B82" s="28" t="str">
        <f>IF(COUNTIF('02_工程タスク'!$A$4:$A$135,A82)&lt;&gt;1,"参照ID不正",IF(INDEX('02_工程タスク'!$B$4:$B$135,MATCH(A82,'02_工程タスク'!$A$4:$A$135,0))="","",INDEX('02_工程タスク'!$B$4:$B$135,MATCH(A82,'02_工程タスク'!$A$4:$A$135,0))))</f>
        <v>実装</v>
      </c>
      <c r="C82" s="28" t="str">
        <f>IF(COUNTIF('02_工程タスク'!$A$4:$A$135,A82)&lt;&gt;1,"参照ID不正",IF(INDEX('02_工程タスク'!$D$4:$D$135,MATCH(A82,'02_工程タスク'!$A$4:$A$135,0))="","",INDEX('02_工程タスク'!$D$4:$D$135,MATCH(A82,'02_工程タスク'!$A$4:$A$135,0))))</f>
        <v>人時間・レビュー・手戻り・費用測定</v>
      </c>
      <c r="D82" s="6"/>
      <c r="E82" s="6" t="s">
        <v>1598</v>
      </c>
      <c r="F82" s="6"/>
      <c r="G82" s="6"/>
      <c r="H82" s="5"/>
      <c r="I82" s="5"/>
      <c r="J82" s="5"/>
      <c r="K82" s="5"/>
      <c r="L82" s="6" t="s">
        <v>3629</v>
      </c>
      <c r="M82" s="6"/>
      <c r="N82" s="6"/>
      <c r="O82" s="5"/>
      <c r="P82" s="17"/>
      <c r="Q82" s="17"/>
      <c r="R82" s="6"/>
      <c r="S82" s="6"/>
      <c r="T82" s="6"/>
      <c r="U82" s="5"/>
      <c r="V82" s="6" t="s">
        <v>1074</v>
      </c>
      <c r="W82" s="28" t="str">
        <f t="shared" si="48"/>
        <v>適用未判定</v>
      </c>
      <c r="X82" s="28" t="str">
        <f t="shared" si="49"/>
        <v/>
      </c>
      <c r="Y82" s="25" t="str">
        <f t="shared" si="50"/>
        <v/>
      </c>
      <c r="Z82" s="25" t="str">
        <f t="shared" si="51"/>
        <v>適用未判定</v>
      </c>
      <c r="AA82" s="25">
        <f t="shared" si="52"/>
        <v>0</v>
      </c>
      <c r="AB82" s="25" t="str">
        <f t="shared" si="53"/>
        <v>B3-04</v>
      </c>
      <c r="AC82" s="25" t="str">
        <f t="shared" si="54"/>
        <v>B1-18</v>
      </c>
      <c r="AD82" s="25" t="str">
        <f t="shared" si="55"/>
        <v/>
      </c>
      <c r="AE82" s="25" t="str">
        <f t="shared" si="56"/>
        <v/>
      </c>
      <c r="AF82" s="25" t="str">
        <f t="shared" si="57"/>
        <v/>
      </c>
      <c r="AG82" s="25" t="str">
        <f t="shared" si="58"/>
        <v/>
      </c>
      <c r="AH82" s="25" t="str">
        <f t="shared" si="59"/>
        <v/>
      </c>
      <c r="AI82" s="25" t="str">
        <f t="shared" si="60"/>
        <v/>
      </c>
      <c r="AJ82" s="25" t="str">
        <f t="shared" si="61"/>
        <v>未充足</v>
      </c>
      <c r="AK82" s="25" t="str">
        <f t="shared" si="62"/>
        <v>未充足</v>
      </c>
      <c r="AL82" s="25" t="str">
        <f t="shared" si="63"/>
        <v/>
      </c>
      <c r="AM82" s="25" t="str">
        <f t="shared" si="64"/>
        <v/>
      </c>
      <c r="AN82" s="25" t="str">
        <f t="shared" si="65"/>
        <v/>
      </c>
      <c r="AO82" s="25" t="str">
        <f t="shared" si="66"/>
        <v/>
      </c>
      <c r="AP82" s="25" t="str">
        <f t="shared" si="67"/>
        <v/>
      </c>
      <c r="AQ82" s="25" t="str">
        <f t="shared" si="68"/>
        <v/>
      </c>
      <c r="AR82" s="35" t="str">
        <f t="shared" si="69"/>
        <v/>
      </c>
      <c r="AS82" s="28" t="str">
        <f>IF(COUNTIF('02_工程タスク'!$A$4:$A$135,A82)&lt;&gt;1,"参照ID不正",IF(INDEX('02_工程タスク'!$H$4:$H$135,MATCH(A82,'02_工程タスク'!$A$4:$A$135,0))="","",INDEX('02_工程タスク'!$H$4:$H$135,MATCH(A82,'02_工程タスク'!$A$4:$A$135,0))))</f>
        <v>R06</v>
      </c>
      <c r="AT82" s="28" t="str">
        <f t="shared" si="70"/>
        <v>INIT-B3-22</v>
      </c>
      <c r="AU82" s="29" t="s">
        <v>3630</v>
      </c>
      <c r="AV82" s="29"/>
      <c r="AW82" s="29"/>
      <c r="AX82" s="32"/>
      <c r="AY82" s="29"/>
      <c r="AZ82" s="29"/>
      <c r="BA82" s="32"/>
      <c r="BB82" s="28" t="str">
        <f>IF(COUNTIF('02_工程タスク'!$A$4:$A$135,A82)&lt;&gt;1,"参照ID不正",IF(INDEX('02_工程タスク'!$O$4:$O$135,MATCH(A82,'02_工程タスク'!$A$4:$A$135,0))="","",INDEX('02_工程タスク'!$O$4:$O$135,MATCH(A82,'02_工程タスク'!$A$4:$A$135,0))))</f>
        <v>B3-04,B1-18</v>
      </c>
      <c r="BC82" s="28" t="str">
        <f t="shared" si="71"/>
        <v>記法OK</v>
      </c>
      <c r="BD82" s="28" t="str">
        <f>IF(A82="B6-01",IF(OR(AV82="",COUNTIF('29_ゲート承認記録'!$F$4:$F$83,AV82)&lt;&gt;1),"終了開始根拠不足",IF(IF(COUNTIF('29_ゲート承認記録'!$F$4:$F$83,AV82)&lt;&gt;1,"参照ID不正",IF(INDEX('29_ゲート承認記録'!$L$4:$L$83,MATCH(AV82,'29_ゲート承認記録'!$F$4:$F$83,0))="","",INDEX('29_ゲート承認記録'!$L$4:$L$83,MATCH(AV82,'29_ゲート承認記録'!$F$4:$F$83,0))))&lt;&gt;"Stop","Stop判断要確認","開始根拠あり")),IF(AND(A82="B5-18",AU82="事故"),IF(AV82="","事故レビュー参照不足","開始根拠あり"),"開始根拠あり"))</f>
        <v>開始根拠あり</v>
      </c>
      <c r="BE82" s="29"/>
      <c r="BF82" s="29"/>
    </row>
    <row r="83" spans="1:58" ht="38" customHeight="1" x14ac:dyDescent="0.2">
      <c r="A83" s="12" t="s">
        <v>1076</v>
      </c>
      <c r="B83" s="28" t="str">
        <f>IF(COUNTIF('02_工程タスク'!$A$4:$A$135,A83)&lt;&gt;1,"参照ID不正",IF(INDEX('02_工程タスク'!$B$4:$B$135,MATCH(A83,'02_工程タスク'!$A$4:$A$135,0))="","",INDEX('02_工程タスク'!$B$4:$B$135,MATCH(A83,'02_工程タスク'!$A$4:$A$135,0))))</f>
        <v>実装</v>
      </c>
      <c r="C83" s="28" t="str">
        <f>IF(COUNTIF('02_工程タスク'!$A$4:$A$135,A83)&lt;&gt;1,"参照ID不正",IF(INDEX('02_工程タスク'!$D$4:$D$135,MATCH(A83,'02_工程タスク'!$A$4:$A$135,0))="","",INDEX('02_工程タスク'!$D$4:$D$135,MATCH(A83,'02_工程タスク'!$A$4:$A$135,0))))</f>
        <v>変更固定・RC manifestの作成</v>
      </c>
      <c r="D83" s="6"/>
      <c r="E83" s="6" t="s">
        <v>1598</v>
      </c>
      <c r="F83" s="6"/>
      <c r="G83" s="6"/>
      <c r="H83" s="5"/>
      <c r="I83" s="5"/>
      <c r="J83" s="5"/>
      <c r="K83" s="5"/>
      <c r="L83" s="6" t="s">
        <v>3629</v>
      </c>
      <c r="M83" s="6"/>
      <c r="N83" s="6"/>
      <c r="O83" s="5"/>
      <c r="P83" s="17"/>
      <c r="Q83" s="17"/>
      <c r="R83" s="6"/>
      <c r="S83" s="6"/>
      <c r="T83" s="6"/>
      <c r="U83" s="5"/>
      <c r="V83" s="6" t="s">
        <v>1083</v>
      </c>
      <c r="W83" s="28" t="str">
        <f t="shared" si="48"/>
        <v>適用未判定</v>
      </c>
      <c r="X83" s="28" t="str">
        <f t="shared" si="49"/>
        <v/>
      </c>
      <c r="Y83" s="26" t="str">
        <f t="shared" si="50"/>
        <v/>
      </c>
      <c r="Z83" s="26" t="str">
        <f t="shared" si="51"/>
        <v>適用未判定</v>
      </c>
      <c r="AA83" s="26">
        <f t="shared" si="52"/>
        <v>0</v>
      </c>
      <c r="AB83" s="26" t="str">
        <f t="shared" si="53"/>
        <v>B3-18</v>
      </c>
      <c r="AC83" s="26" t="str">
        <f t="shared" si="54"/>
        <v>B3-19</v>
      </c>
      <c r="AD83" s="26" t="str">
        <f t="shared" si="55"/>
        <v>B3-20</v>
      </c>
      <c r="AE83" s="26" t="str">
        <f t="shared" si="56"/>
        <v/>
      </c>
      <c r="AF83" s="26" t="str">
        <f t="shared" si="57"/>
        <v/>
      </c>
      <c r="AG83" s="26" t="str">
        <f t="shared" si="58"/>
        <v/>
      </c>
      <c r="AH83" s="26" t="str">
        <f t="shared" si="59"/>
        <v/>
      </c>
      <c r="AI83" s="26" t="str">
        <f t="shared" si="60"/>
        <v/>
      </c>
      <c r="AJ83" s="26" t="str">
        <f t="shared" si="61"/>
        <v>未充足</v>
      </c>
      <c r="AK83" s="26" t="str">
        <f t="shared" si="62"/>
        <v>未充足</v>
      </c>
      <c r="AL83" s="26" t="str">
        <f t="shared" si="63"/>
        <v>未充足</v>
      </c>
      <c r="AM83" s="26" t="str">
        <f t="shared" si="64"/>
        <v/>
      </c>
      <c r="AN83" s="26" t="str">
        <f t="shared" si="65"/>
        <v/>
      </c>
      <c r="AO83" s="26" t="str">
        <f t="shared" si="66"/>
        <v/>
      </c>
      <c r="AP83" s="26" t="str">
        <f t="shared" si="67"/>
        <v/>
      </c>
      <c r="AQ83" s="26" t="str">
        <f t="shared" si="68"/>
        <v/>
      </c>
      <c r="AR83" s="36" t="str">
        <f t="shared" si="69"/>
        <v/>
      </c>
      <c r="AS83" s="28" t="str">
        <f>IF(COUNTIF('02_工程タスク'!$A$4:$A$135,A83)&lt;&gt;1,"参照ID不正",IF(INDEX('02_工程タスク'!$H$4:$H$135,MATCH(A83,'02_工程タスク'!$A$4:$A$135,0))="","",INDEX('02_工程タスク'!$H$4:$H$135,MATCH(A83,'02_工程タスク'!$A$4:$A$135,0))))</f>
        <v>R06</v>
      </c>
      <c r="AT83" s="28" t="str">
        <f t="shared" si="70"/>
        <v>INIT-B3-23</v>
      </c>
      <c r="AU83" s="29" t="s">
        <v>3630</v>
      </c>
      <c r="AV83" s="29"/>
      <c r="AW83" s="29"/>
      <c r="AX83" s="32"/>
      <c r="AY83" s="29"/>
      <c r="AZ83" s="29"/>
      <c r="BA83" s="32"/>
      <c r="BB83" s="28" t="str">
        <f>IF(COUNTIF('02_工程タスク'!$A$4:$A$135,A83)&lt;&gt;1,"参照ID不正",IF(INDEX('02_工程タスク'!$O$4:$O$135,MATCH(A83,'02_工程タスク'!$A$4:$A$135,0))="","",INDEX('02_工程タスク'!$O$4:$O$135,MATCH(A83,'02_工程タスク'!$A$4:$A$135,0))))</f>
        <v>B3-18,B3-19,B3-20</v>
      </c>
      <c r="BC83" s="28" t="str">
        <f t="shared" si="71"/>
        <v>記法OK</v>
      </c>
      <c r="BD83" s="28" t="str">
        <f>IF(A83="B6-01",IF(OR(AV83="",COUNTIF('29_ゲート承認記録'!$F$4:$F$83,AV83)&lt;&gt;1),"終了開始根拠不足",IF(IF(COUNTIF('29_ゲート承認記録'!$F$4:$F$83,AV83)&lt;&gt;1,"参照ID不正",IF(INDEX('29_ゲート承認記録'!$L$4:$L$83,MATCH(AV83,'29_ゲート承認記録'!$F$4:$F$83,0))="","",INDEX('29_ゲート承認記録'!$L$4:$L$83,MATCH(AV83,'29_ゲート承認記録'!$F$4:$F$83,0))))&lt;&gt;"Stop","Stop判断要確認","開始根拠あり")),IF(AND(A83="B5-18",AU83="事故"),IF(AV83="","事故レビュー参照不足","開始根拠あり"),"開始根拠あり"))</f>
        <v>開始根拠あり</v>
      </c>
      <c r="BE83" s="29"/>
      <c r="BF83" s="29"/>
    </row>
    <row r="84" spans="1:58" ht="38" customHeight="1" x14ac:dyDescent="0.2">
      <c r="A84" s="13" t="s">
        <v>1086</v>
      </c>
      <c r="B84" s="28" t="str">
        <f>IF(COUNTIF('02_工程タスク'!$A$4:$A$135,A84)&lt;&gt;1,"参照ID不正",IF(INDEX('02_工程タスク'!$B$4:$B$135,MATCH(A84,'02_工程タスク'!$A$4:$A$135,0))="","",INDEX('02_工程タスク'!$B$4:$B$135,MATCH(A84,'02_工程タスク'!$A$4:$A$135,0))))</f>
        <v>評価</v>
      </c>
      <c r="C84" s="28" t="str">
        <f>IF(COUNTIF('02_工程タスク'!$A$4:$A$135,A84)&lt;&gt;1,"参照ID不正",IF(INDEX('02_工程タスク'!$D$4:$D$135,MATCH(A84,'02_工程タスク'!$A$4:$A$135,0))="","",INDEX('02_工程タスク'!$D$4:$D$135,MATCH(A84,'02_工程タスク'!$A$4:$A$135,0))))</f>
        <v>評価環境・対象版・アクセスの確認</v>
      </c>
      <c r="D84" s="6"/>
      <c r="E84" s="6" t="s">
        <v>1598</v>
      </c>
      <c r="F84" s="6"/>
      <c r="G84" s="6"/>
      <c r="H84" s="5"/>
      <c r="I84" s="5"/>
      <c r="J84" s="5"/>
      <c r="K84" s="5"/>
      <c r="L84" s="6" t="s">
        <v>3629</v>
      </c>
      <c r="M84" s="6"/>
      <c r="N84" s="6"/>
      <c r="O84" s="5"/>
      <c r="P84" s="17"/>
      <c r="Q84" s="17"/>
      <c r="R84" s="6"/>
      <c r="S84" s="6"/>
      <c r="T84" s="6"/>
      <c r="U84" s="5"/>
      <c r="V84" s="6" t="s">
        <v>1093</v>
      </c>
      <c r="W84" s="28" t="str">
        <f t="shared" si="48"/>
        <v>適用未判定</v>
      </c>
      <c r="X84" s="28" t="str">
        <f t="shared" si="49"/>
        <v/>
      </c>
      <c r="Y84" s="25" t="str">
        <f t="shared" si="50"/>
        <v/>
      </c>
      <c r="Z84" s="25" t="str">
        <f t="shared" si="51"/>
        <v>適用未判定</v>
      </c>
      <c r="AA84" s="25">
        <f t="shared" si="52"/>
        <v>0</v>
      </c>
      <c r="AB84" s="25" t="str">
        <f t="shared" si="53"/>
        <v>B3-23</v>
      </c>
      <c r="AC84" s="25" t="str">
        <f t="shared" si="54"/>
        <v>B3-07</v>
      </c>
      <c r="AD84" s="25" t="str">
        <f t="shared" si="55"/>
        <v/>
      </c>
      <c r="AE84" s="25" t="str">
        <f t="shared" si="56"/>
        <v/>
      </c>
      <c r="AF84" s="25" t="str">
        <f t="shared" si="57"/>
        <v/>
      </c>
      <c r="AG84" s="25" t="str">
        <f t="shared" si="58"/>
        <v/>
      </c>
      <c r="AH84" s="25" t="str">
        <f t="shared" si="59"/>
        <v/>
      </c>
      <c r="AI84" s="25" t="str">
        <f t="shared" si="60"/>
        <v/>
      </c>
      <c r="AJ84" s="25" t="str">
        <f t="shared" si="61"/>
        <v>未充足</v>
      </c>
      <c r="AK84" s="25" t="str">
        <f t="shared" si="62"/>
        <v>未充足</v>
      </c>
      <c r="AL84" s="25" t="str">
        <f t="shared" si="63"/>
        <v/>
      </c>
      <c r="AM84" s="25" t="str">
        <f t="shared" si="64"/>
        <v/>
      </c>
      <c r="AN84" s="25" t="str">
        <f t="shared" si="65"/>
        <v/>
      </c>
      <c r="AO84" s="25" t="str">
        <f t="shared" si="66"/>
        <v/>
      </c>
      <c r="AP84" s="25" t="str">
        <f t="shared" si="67"/>
        <v/>
      </c>
      <c r="AQ84" s="25" t="str">
        <f t="shared" si="68"/>
        <v/>
      </c>
      <c r="AR84" s="35" t="str">
        <f t="shared" si="69"/>
        <v/>
      </c>
      <c r="AS84" s="28" t="str">
        <f>IF(COUNTIF('02_工程タスク'!$A$4:$A$135,A84)&lt;&gt;1,"参照ID不正",IF(INDEX('02_工程タスク'!$H$4:$H$135,MATCH(A84,'02_工程タスク'!$A$4:$A$135,0))="","",INDEX('02_工程タスク'!$H$4:$H$135,MATCH(A84,'02_工程タスク'!$A$4:$A$135,0))))</f>
        <v>R19</v>
      </c>
      <c r="AT84" s="28" t="str">
        <f t="shared" si="70"/>
        <v>INIT-B4-01</v>
      </c>
      <c r="AU84" s="29" t="s">
        <v>3630</v>
      </c>
      <c r="AV84" s="29"/>
      <c r="AW84" s="29"/>
      <c r="AX84" s="32"/>
      <c r="AY84" s="29"/>
      <c r="AZ84" s="29"/>
      <c r="BA84" s="32"/>
      <c r="BB84" s="28" t="str">
        <f>IF(COUNTIF('02_工程タスク'!$A$4:$A$135,A84)&lt;&gt;1,"参照ID不正",IF(INDEX('02_工程タスク'!$O$4:$O$135,MATCH(A84,'02_工程タスク'!$A$4:$A$135,0))="","",INDEX('02_工程タスク'!$O$4:$O$135,MATCH(A84,'02_工程タスク'!$A$4:$A$135,0))))</f>
        <v>B3-23,B3-07</v>
      </c>
      <c r="BC84" s="28" t="str">
        <f t="shared" si="71"/>
        <v>記法OK</v>
      </c>
      <c r="BD84" s="28" t="str">
        <f>IF(A84="B6-01",IF(OR(AV84="",COUNTIF('29_ゲート承認記録'!$F$4:$F$83,AV84)&lt;&gt;1),"終了開始根拠不足",IF(IF(COUNTIF('29_ゲート承認記録'!$F$4:$F$83,AV84)&lt;&gt;1,"参照ID不正",IF(INDEX('29_ゲート承認記録'!$L$4:$L$83,MATCH(AV84,'29_ゲート承認記録'!$F$4:$F$83,0))="","",INDEX('29_ゲート承認記録'!$L$4:$L$83,MATCH(AV84,'29_ゲート承認記録'!$F$4:$F$83,0))))&lt;&gt;"Stop","Stop判断要確認","開始根拠あり")),IF(AND(A84="B5-18",AU84="事故"),IF(AV84="","事故レビュー参照不足","開始根拠あり"),"開始根拠あり"))</f>
        <v>開始根拠あり</v>
      </c>
      <c r="BE84" s="29"/>
      <c r="BF84" s="29"/>
    </row>
    <row r="85" spans="1:58" ht="38" customHeight="1" x14ac:dyDescent="0.2">
      <c r="A85" s="13" t="s">
        <v>1097</v>
      </c>
      <c r="B85" s="28" t="str">
        <f>IF(COUNTIF('02_工程タスク'!$A$4:$A$135,A85)&lt;&gt;1,"参照ID不正",IF(INDEX('02_工程タスク'!$B$4:$B$135,MATCH(A85,'02_工程タスク'!$A$4:$A$135,0))="","",INDEX('02_工程タスク'!$B$4:$B$135,MATCH(A85,'02_工程タスク'!$A$4:$A$135,0))))</f>
        <v>評価</v>
      </c>
      <c r="C85" s="28" t="str">
        <f>IF(COUNTIF('02_工程タスク'!$A$4:$A$135,A85)&lt;&gt;1,"参照ID不正",IF(INDEX('02_工程タスク'!$D$4:$D$135,MATCH(A85,'02_工程タスク'!$A$4:$A$135,0))="","",INDEX('02_工程タスク'!$D$4:$D$135,MATCH(A85,'02_工程タスク'!$A$4:$A$135,0))))</f>
        <v>業務・AI性能・重要slice評価</v>
      </c>
      <c r="D85" s="6"/>
      <c r="E85" s="6" t="s">
        <v>1598</v>
      </c>
      <c r="F85" s="6"/>
      <c r="G85" s="6"/>
      <c r="H85" s="5"/>
      <c r="I85" s="5"/>
      <c r="J85" s="5"/>
      <c r="K85" s="5"/>
      <c r="L85" s="6" t="s">
        <v>3629</v>
      </c>
      <c r="M85" s="6"/>
      <c r="N85" s="6"/>
      <c r="O85" s="5"/>
      <c r="P85" s="17"/>
      <c r="Q85" s="17"/>
      <c r="R85" s="6"/>
      <c r="S85" s="6"/>
      <c r="T85" s="6"/>
      <c r="U85" s="5"/>
      <c r="V85" s="6" t="s">
        <v>1086</v>
      </c>
      <c r="W85" s="28" t="str">
        <f t="shared" si="48"/>
        <v>適用未判定</v>
      </c>
      <c r="X85" s="28" t="str">
        <f t="shared" si="49"/>
        <v/>
      </c>
      <c r="Y85" s="26" t="str">
        <f t="shared" si="50"/>
        <v/>
      </c>
      <c r="Z85" s="26" t="str">
        <f t="shared" si="51"/>
        <v>適用未判定</v>
      </c>
      <c r="AA85" s="26">
        <f t="shared" si="52"/>
        <v>0</v>
      </c>
      <c r="AB85" s="26" t="str">
        <f t="shared" si="53"/>
        <v>B4-01</v>
      </c>
      <c r="AC85" s="26" t="str">
        <f t="shared" si="54"/>
        <v/>
      </c>
      <c r="AD85" s="26" t="str">
        <f t="shared" si="55"/>
        <v/>
      </c>
      <c r="AE85" s="26" t="str">
        <f t="shared" si="56"/>
        <v/>
      </c>
      <c r="AF85" s="26" t="str">
        <f t="shared" si="57"/>
        <v/>
      </c>
      <c r="AG85" s="26" t="str">
        <f t="shared" si="58"/>
        <v/>
      </c>
      <c r="AH85" s="26" t="str">
        <f t="shared" si="59"/>
        <v/>
      </c>
      <c r="AI85" s="26" t="str">
        <f t="shared" si="60"/>
        <v/>
      </c>
      <c r="AJ85" s="26" t="str">
        <f t="shared" si="61"/>
        <v>未充足</v>
      </c>
      <c r="AK85" s="26" t="str">
        <f t="shared" si="62"/>
        <v/>
      </c>
      <c r="AL85" s="26" t="str">
        <f t="shared" si="63"/>
        <v/>
      </c>
      <c r="AM85" s="26" t="str">
        <f t="shared" si="64"/>
        <v/>
      </c>
      <c r="AN85" s="26" t="str">
        <f t="shared" si="65"/>
        <v/>
      </c>
      <c r="AO85" s="26" t="str">
        <f t="shared" si="66"/>
        <v/>
      </c>
      <c r="AP85" s="26" t="str">
        <f t="shared" si="67"/>
        <v/>
      </c>
      <c r="AQ85" s="26" t="str">
        <f t="shared" si="68"/>
        <v/>
      </c>
      <c r="AR85" s="36" t="str">
        <f t="shared" si="69"/>
        <v/>
      </c>
      <c r="AS85" s="28" t="str">
        <f>IF(COUNTIF('02_工程タスク'!$A$4:$A$135,A85)&lt;&gt;1,"参照ID不正",IF(INDEX('02_工程タスク'!$H$4:$H$135,MATCH(A85,'02_工程タスク'!$A$4:$A$135,0))="","",INDEX('02_工程タスク'!$H$4:$H$135,MATCH(A85,'02_工程タスク'!$A$4:$A$135,0))))</f>
        <v>R19</v>
      </c>
      <c r="AT85" s="28" t="str">
        <f t="shared" si="70"/>
        <v>INIT-B4-02</v>
      </c>
      <c r="AU85" s="29" t="s">
        <v>3630</v>
      </c>
      <c r="AV85" s="29"/>
      <c r="AW85" s="29"/>
      <c r="AX85" s="32"/>
      <c r="AY85" s="29"/>
      <c r="AZ85" s="29"/>
      <c r="BA85" s="32"/>
      <c r="BB85" s="28" t="str">
        <f>IF(COUNTIF('02_工程タスク'!$A$4:$A$135,A85)&lt;&gt;1,"参照ID不正",IF(INDEX('02_工程タスク'!$O$4:$O$135,MATCH(A85,'02_工程タスク'!$A$4:$A$135,0))="","",INDEX('02_工程タスク'!$O$4:$O$135,MATCH(A85,'02_工程タスク'!$A$4:$A$135,0))))</f>
        <v>B4-01</v>
      </c>
      <c r="BC85" s="28" t="str">
        <f t="shared" si="71"/>
        <v>記法OK</v>
      </c>
      <c r="BD85" s="28" t="str">
        <f>IF(A85="B6-01",IF(OR(AV85="",COUNTIF('29_ゲート承認記録'!$F$4:$F$83,AV85)&lt;&gt;1),"終了開始根拠不足",IF(IF(COUNTIF('29_ゲート承認記録'!$F$4:$F$83,AV85)&lt;&gt;1,"参照ID不正",IF(INDEX('29_ゲート承認記録'!$L$4:$L$83,MATCH(AV85,'29_ゲート承認記録'!$F$4:$F$83,0))="","",INDEX('29_ゲート承認記録'!$L$4:$L$83,MATCH(AV85,'29_ゲート承認記録'!$F$4:$F$83,0))))&lt;&gt;"Stop","Stop判断要確認","開始根拠あり")),IF(AND(A85="B5-18",AU85="事故"),IF(AV85="","事故レビュー参照不足","開始根拠あり"),"開始根拠あり"))</f>
        <v>開始根拠あり</v>
      </c>
      <c r="BE85" s="29"/>
      <c r="BF85" s="29"/>
    </row>
    <row r="86" spans="1:58" ht="38" customHeight="1" x14ac:dyDescent="0.2">
      <c r="A86" s="13" t="s">
        <v>1105</v>
      </c>
      <c r="B86" s="28" t="str">
        <f>IF(COUNTIF('02_工程タスク'!$A$4:$A$135,A86)&lt;&gt;1,"参照ID不正",IF(INDEX('02_工程タスク'!$B$4:$B$135,MATCH(A86,'02_工程タスク'!$A$4:$A$135,0))="","",INDEX('02_工程タスク'!$B$4:$B$135,MATCH(A86,'02_工程タスク'!$A$4:$A$135,0))))</f>
        <v>評価</v>
      </c>
      <c r="C86" s="28" t="str">
        <f>IF(COUNTIF('02_工程タスク'!$A$4:$A$135,A86)&lt;&gt;1,"参照ID不正",IF(INDEX('02_工程タスク'!$D$4:$D$135,MATCH(A86,'02_工程タスク'!$A$4:$A$135,0))="","",INDEX('02_工程タスク'!$D$4:$D$135,MATCH(A86,'02_工程タスク'!$A$4:$A$135,0))))</f>
        <v>RAG検索・引用・鮮度・削除評価</v>
      </c>
      <c r="D86" s="6"/>
      <c r="E86" s="6" t="s">
        <v>1598</v>
      </c>
      <c r="F86" s="6"/>
      <c r="G86" s="6"/>
      <c r="H86" s="5"/>
      <c r="I86" s="5"/>
      <c r="J86" s="5"/>
      <c r="K86" s="5"/>
      <c r="L86" s="6" t="s">
        <v>3629</v>
      </c>
      <c r="M86" s="6"/>
      <c r="N86" s="6"/>
      <c r="O86" s="5"/>
      <c r="P86" s="17"/>
      <c r="Q86" s="17"/>
      <c r="R86" s="6"/>
      <c r="S86" s="6"/>
      <c r="T86" s="6"/>
      <c r="U86" s="5"/>
      <c r="V86" s="6" t="s">
        <v>1112</v>
      </c>
      <c r="W86" s="28" t="str">
        <f t="shared" si="48"/>
        <v>適用未判定</v>
      </c>
      <c r="X86" s="28" t="str">
        <f t="shared" si="49"/>
        <v/>
      </c>
      <c r="Y86" s="25" t="str">
        <f t="shared" si="50"/>
        <v/>
      </c>
      <c r="Z86" s="25" t="str">
        <f t="shared" si="51"/>
        <v>適用未判定</v>
      </c>
      <c r="AA86" s="25">
        <f t="shared" si="52"/>
        <v>0</v>
      </c>
      <c r="AB86" s="25" t="str">
        <f t="shared" si="53"/>
        <v>B4-01</v>
      </c>
      <c r="AC86" s="25" t="str">
        <f t="shared" si="54"/>
        <v>B3-08</v>
      </c>
      <c r="AD86" s="25" t="str">
        <f t="shared" si="55"/>
        <v/>
      </c>
      <c r="AE86" s="25" t="str">
        <f t="shared" si="56"/>
        <v/>
      </c>
      <c r="AF86" s="25" t="str">
        <f t="shared" si="57"/>
        <v/>
      </c>
      <c r="AG86" s="25" t="str">
        <f t="shared" si="58"/>
        <v/>
      </c>
      <c r="AH86" s="25" t="str">
        <f t="shared" si="59"/>
        <v/>
      </c>
      <c r="AI86" s="25" t="str">
        <f t="shared" si="60"/>
        <v/>
      </c>
      <c r="AJ86" s="25" t="str">
        <f t="shared" si="61"/>
        <v>未充足</v>
      </c>
      <c r="AK86" s="25" t="str">
        <f t="shared" si="62"/>
        <v>未充足</v>
      </c>
      <c r="AL86" s="25" t="str">
        <f t="shared" si="63"/>
        <v/>
      </c>
      <c r="AM86" s="25" t="str">
        <f t="shared" si="64"/>
        <v/>
      </c>
      <c r="AN86" s="25" t="str">
        <f t="shared" si="65"/>
        <v/>
      </c>
      <c r="AO86" s="25" t="str">
        <f t="shared" si="66"/>
        <v/>
      </c>
      <c r="AP86" s="25" t="str">
        <f t="shared" si="67"/>
        <v/>
      </c>
      <c r="AQ86" s="25" t="str">
        <f t="shared" si="68"/>
        <v/>
      </c>
      <c r="AR86" s="35" t="str">
        <f t="shared" si="69"/>
        <v/>
      </c>
      <c r="AS86" s="28" t="str">
        <f>IF(COUNTIF('02_工程タスク'!$A$4:$A$135,A86)&lt;&gt;1,"参照ID不正",IF(INDEX('02_工程タスク'!$H$4:$H$135,MATCH(A86,'02_工程タスク'!$A$4:$A$135,0))="","",INDEX('02_工程タスク'!$H$4:$H$135,MATCH(A86,'02_工程タスク'!$A$4:$A$135,0))))</f>
        <v>R19</v>
      </c>
      <c r="AT86" s="28" t="str">
        <f t="shared" si="70"/>
        <v>INIT-B4-03</v>
      </c>
      <c r="AU86" s="29" t="s">
        <v>3630</v>
      </c>
      <c r="AV86" s="29"/>
      <c r="AW86" s="29"/>
      <c r="AX86" s="32"/>
      <c r="AY86" s="29"/>
      <c r="AZ86" s="29"/>
      <c r="BA86" s="32"/>
      <c r="BB86" s="28" t="str">
        <f>IF(COUNTIF('02_工程タスク'!$A$4:$A$135,A86)&lt;&gt;1,"参照ID不正",IF(INDEX('02_工程タスク'!$O$4:$O$135,MATCH(A86,'02_工程タスク'!$A$4:$A$135,0))="","",INDEX('02_工程タスク'!$O$4:$O$135,MATCH(A86,'02_工程タスク'!$A$4:$A$135,0))))</f>
        <v>B4-01,B3-08</v>
      </c>
      <c r="BC86" s="28" t="str">
        <f t="shared" si="71"/>
        <v>記法OK</v>
      </c>
      <c r="BD86" s="28" t="str">
        <f>IF(A86="B6-01",IF(OR(AV86="",COUNTIF('29_ゲート承認記録'!$F$4:$F$83,AV86)&lt;&gt;1),"終了開始根拠不足",IF(IF(COUNTIF('29_ゲート承認記録'!$F$4:$F$83,AV86)&lt;&gt;1,"参照ID不正",IF(INDEX('29_ゲート承認記録'!$L$4:$L$83,MATCH(AV86,'29_ゲート承認記録'!$F$4:$F$83,0))="","",INDEX('29_ゲート承認記録'!$L$4:$L$83,MATCH(AV86,'29_ゲート承認記録'!$F$4:$F$83,0))))&lt;&gt;"Stop","Stop判断要確認","開始根拠あり")),IF(AND(A86="B5-18",AU86="事故"),IF(AV86="","事故レビュー参照不足","開始根拠あり"),"開始根拠あり"))</f>
        <v>開始根拠あり</v>
      </c>
      <c r="BE86" s="29"/>
      <c r="BF86" s="29"/>
    </row>
    <row r="87" spans="1:58" ht="38" customHeight="1" x14ac:dyDescent="0.2">
      <c r="A87" s="13" t="s">
        <v>1115</v>
      </c>
      <c r="B87" s="28" t="str">
        <f>IF(COUNTIF('02_工程タスク'!$A$4:$A$135,A87)&lt;&gt;1,"参照ID不正",IF(INDEX('02_工程タスク'!$B$4:$B$135,MATCH(A87,'02_工程タスク'!$A$4:$A$135,0))="","",INDEX('02_工程タスク'!$B$4:$B$135,MATCH(A87,'02_工程タスク'!$A$4:$A$135,0))))</f>
        <v>評価</v>
      </c>
      <c r="C87" s="28" t="str">
        <f>IF(COUNTIF('02_工程タスク'!$A$4:$A$135,A87)&lt;&gt;1,"参照ID不正",IF(INDEX('02_工程タスク'!$D$4:$D$135,MATCH(A87,'02_工程タスク'!$A$4:$A$135,0))="","",INDEX('02_工程タスク'!$D$4:$D$135,MATCH(A87,'02_工程タスク'!$A$4:$A$135,0))))</f>
        <v>Agent完了・副作用・停止の評価</v>
      </c>
      <c r="D87" s="6"/>
      <c r="E87" s="6" t="s">
        <v>1598</v>
      </c>
      <c r="F87" s="6"/>
      <c r="G87" s="6"/>
      <c r="H87" s="5"/>
      <c r="I87" s="5"/>
      <c r="J87" s="5"/>
      <c r="K87" s="5"/>
      <c r="L87" s="6" t="s">
        <v>3629</v>
      </c>
      <c r="M87" s="6"/>
      <c r="N87" s="6"/>
      <c r="O87" s="5"/>
      <c r="P87" s="17"/>
      <c r="Q87" s="17"/>
      <c r="R87" s="6"/>
      <c r="S87" s="6"/>
      <c r="T87" s="6"/>
      <c r="U87" s="5"/>
      <c r="V87" s="6" t="s">
        <v>1122</v>
      </c>
      <c r="W87" s="28" t="str">
        <f t="shared" si="48"/>
        <v>適用未判定</v>
      </c>
      <c r="X87" s="28" t="str">
        <f t="shared" si="49"/>
        <v/>
      </c>
      <c r="Y87" s="26" t="str">
        <f t="shared" si="50"/>
        <v/>
      </c>
      <c r="Z87" s="26" t="str">
        <f t="shared" si="51"/>
        <v>適用未判定</v>
      </c>
      <c r="AA87" s="26">
        <f t="shared" si="52"/>
        <v>0</v>
      </c>
      <c r="AB87" s="26" t="str">
        <f t="shared" si="53"/>
        <v>B4-01</v>
      </c>
      <c r="AC87" s="26" t="str">
        <f t="shared" si="54"/>
        <v>B3-11</v>
      </c>
      <c r="AD87" s="26" t="str">
        <f t="shared" si="55"/>
        <v/>
      </c>
      <c r="AE87" s="26" t="str">
        <f t="shared" si="56"/>
        <v/>
      </c>
      <c r="AF87" s="26" t="str">
        <f t="shared" si="57"/>
        <v/>
      </c>
      <c r="AG87" s="26" t="str">
        <f t="shared" si="58"/>
        <v/>
      </c>
      <c r="AH87" s="26" t="str">
        <f t="shared" si="59"/>
        <v/>
      </c>
      <c r="AI87" s="26" t="str">
        <f t="shared" si="60"/>
        <v/>
      </c>
      <c r="AJ87" s="26" t="str">
        <f t="shared" si="61"/>
        <v>未充足</v>
      </c>
      <c r="AK87" s="26" t="str">
        <f t="shared" si="62"/>
        <v>未充足</v>
      </c>
      <c r="AL87" s="26" t="str">
        <f t="shared" si="63"/>
        <v/>
      </c>
      <c r="AM87" s="26" t="str">
        <f t="shared" si="64"/>
        <v/>
      </c>
      <c r="AN87" s="26" t="str">
        <f t="shared" si="65"/>
        <v/>
      </c>
      <c r="AO87" s="26" t="str">
        <f t="shared" si="66"/>
        <v/>
      </c>
      <c r="AP87" s="26" t="str">
        <f t="shared" si="67"/>
        <v/>
      </c>
      <c r="AQ87" s="26" t="str">
        <f t="shared" si="68"/>
        <v/>
      </c>
      <c r="AR87" s="36" t="str">
        <f t="shared" si="69"/>
        <v/>
      </c>
      <c r="AS87" s="28" t="str">
        <f>IF(COUNTIF('02_工程タスク'!$A$4:$A$135,A87)&lt;&gt;1,"参照ID不正",IF(INDEX('02_工程タスク'!$H$4:$H$135,MATCH(A87,'02_工程タスク'!$A$4:$A$135,0))="","",INDEX('02_工程タスク'!$H$4:$H$135,MATCH(A87,'02_工程タスク'!$A$4:$A$135,0))))</f>
        <v>R19</v>
      </c>
      <c r="AT87" s="28" t="str">
        <f t="shared" si="70"/>
        <v>INIT-B4-04</v>
      </c>
      <c r="AU87" s="29" t="s">
        <v>3630</v>
      </c>
      <c r="AV87" s="29"/>
      <c r="AW87" s="29"/>
      <c r="AX87" s="32"/>
      <c r="AY87" s="29"/>
      <c r="AZ87" s="29"/>
      <c r="BA87" s="32"/>
      <c r="BB87" s="28" t="str">
        <f>IF(COUNTIF('02_工程タスク'!$A$4:$A$135,A87)&lt;&gt;1,"参照ID不正",IF(INDEX('02_工程タスク'!$O$4:$O$135,MATCH(A87,'02_工程タスク'!$A$4:$A$135,0))="","",INDEX('02_工程タスク'!$O$4:$O$135,MATCH(A87,'02_工程タスク'!$A$4:$A$135,0))))</f>
        <v>B4-01,B3-11</v>
      </c>
      <c r="BC87" s="28" t="str">
        <f t="shared" si="71"/>
        <v>記法OK</v>
      </c>
      <c r="BD87" s="28" t="str">
        <f>IF(A87="B6-01",IF(OR(AV87="",COUNTIF('29_ゲート承認記録'!$F$4:$F$83,AV87)&lt;&gt;1),"終了開始根拠不足",IF(IF(COUNTIF('29_ゲート承認記録'!$F$4:$F$83,AV87)&lt;&gt;1,"参照ID不正",IF(INDEX('29_ゲート承認記録'!$L$4:$L$83,MATCH(AV87,'29_ゲート承認記録'!$F$4:$F$83,0))="","",INDEX('29_ゲート承認記録'!$L$4:$L$83,MATCH(AV87,'29_ゲート承認記録'!$F$4:$F$83,0))))&lt;&gt;"Stop","Stop判断要確認","開始根拠あり")),IF(AND(A87="B5-18",AU87="事故"),IF(AV87="","事故レビュー参照不足","開始根拠あり"),"開始根拠あり"))</f>
        <v>開始根拠あり</v>
      </c>
      <c r="BE87" s="29"/>
      <c r="BF87" s="29"/>
    </row>
    <row r="88" spans="1:58" ht="38" customHeight="1" x14ac:dyDescent="0.2">
      <c r="A88" s="13" t="s">
        <v>1126</v>
      </c>
      <c r="B88" s="28" t="str">
        <f>IF(COUNTIF('02_工程タスク'!$A$4:$A$135,A88)&lt;&gt;1,"参照ID不正",IF(INDEX('02_工程タスク'!$B$4:$B$135,MATCH(A88,'02_工程タスク'!$A$4:$A$135,0))="","",INDEX('02_工程タスク'!$B$4:$B$135,MATCH(A88,'02_工程タスク'!$A$4:$A$135,0))))</f>
        <v>評価</v>
      </c>
      <c r="C88" s="28" t="str">
        <f>IF(COUNTIF('02_工程タスク'!$A$4:$A$135,A88)&lt;&gt;1,"参照ID不正",IF(INDEX('02_工程タスク'!$D$4:$D$135,MATCH(A88,'02_工程タスク'!$A$4:$A$135,0))="","",INDEX('02_工程タスク'!$D$4:$D$135,MATCH(A88,'02_工程タスク'!$A$4:$A$135,0))))</f>
        <v>安全・公平性・誤信頼・透明性</v>
      </c>
      <c r="D88" s="6"/>
      <c r="E88" s="6" t="s">
        <v>1598</v>
      </c>
      <c r="F88" s="6"/>
      <c r="G88" s="6"/>
      <c r="H88" s="5"/>
      <c r="I88" s="5"/>
      <c r="J88" s="5"/>
      <c r="K88" s="5"/>
      <c r="L88" s="6" t="s">
        <v>3629</v>
      </c>
      <c r="M88" s="6"/>
      <c r="N88" s="6"/>
      <c r="O88" s="5"/>
      <c r="P88" s="17"/>
      <c r="Q88" s="17"/>
      <c r="R88" s="6"/>
      <c r="S88" s="6"/>
      <c r="T88" s="6"/>
      <c r="U88" s="5"/>
      <c r="V88" s="6" t="s">
        <v>1086</v>
      </c>
      <c r="W88" s="28" t="str">
        <f t="shared" si="48"/>
        <v>適用未判定</v>
      </c>
      <c r="X88" s="28" t="str">
        <f t="shared" si="49"/>
        <v/>
      </c>
      <c r="Y88" s="25" t="str">
        <f t="shared" si="50"/>
        <v/>
      </c>
      <c r="Z88" s="25" t="str">
        <f t="shared" si="51"/>
        <v>適用未判定</v>
      </c>
      <c r="AA88" s="25">
        <f t="shared" si="52"/>
        <v>0</v>
      </c>
      <c r="AB88" s="25" t="str">
        <f t="shared" si="53"/>
        <v>B4-01</v>
      </c>
      <c r="AC88" s="25" t="str">
        <f t="shared" si="54"/>
        <v/>
      </c>
      <c r="AD88" s="25" t="str">
        <f t="shared" si="55"/>
        <v/>
      </c>
      <c r="AE88" s="25" t="str">
        <f t="shared" si="56"/>
        <v/>
      </c>
      <c r="AF88" s="25" t="str">
        <f t="shared" si="57"/>
        <v/>
      </c>
      <c r="AG88" s="25" t="str">
        <f t="shared" si="58"/>
        <v/>
      </c>
      <c r="AH88" s="25" t="str">
        <f t="shared" si="59"/>
        <v/>
      </c>
      <c r="AI88" s="25" t="str">
        <f t="shared" si="60"/>
        <v/>
      </c>
      <c r="AJ88" s="25" t="str">
        <f t="shared" si="61"/>
        <v>未充足</v>
      </c>
      <c r="AK88" s="25" t="str">
        <f t="shared" si="62"/>
        <v/>
      </c>
      <c r="AL88" s="25" t="str">
        <f t="shared" si="63"/>
        <v/>
      </c>
      <c r="AM88" s="25" t="str">
        <f t="shared" si="64"/>
        <v/>
      </c>
      <c r="AN88" s="25" t="str">
        <f t="shared" si="65"/>
        <v/>
      </c>
      <c r="AO88" s="25" t="str">
        <f t="shared" si="66"/>
        <v/>
      </c>
      <c r="AP88" s="25" t="str">
        <f t="shared" si="67"/>
        <v/>
      </c>
      <c r="AQ88" s="25" t="str">
        <f t="shared" si="68"/>
        <v/>
      </c>
      <c r="AR88" s="35" t="str">
        <f t="shared" si="69"/>
        <v/>
      </c>
      <c r="AS88" s="28" t="str">
        <f>IF(COUNTIF('02_工程タスク'!$A$4:$A$135,A88)&lt;&gt;1,"参照ID不正",IF(INDEX('02_工程タスク'!$H$4:$H$135,MATCH(A88,'02_工程タスク'!$A$4:$A$135,0))="","",INDEX('02_工程タスク'!$H$4:$H$135,MATCH(A88,'02_工程タスク'!$A$4:$A$135,0))))</f>
        <v>R19</v>
      </c>
      <c r="AT88" s="28" t="str">
        <f t="shared" si="70"/>
        <v>INIT-B4-05</v>
      </c>
      <c r="AU88" s="29" t="s">
        <v>3630</v>
      </c>
      <c r="AV88" s="29"/>
      <c r="AW88" s="29"/>
      <c r="AX88" s="32"/>
      <c r="AY88" s="29"/>
      <c r="AZ88" s="29"/>
      <c r="BA88" s="32"/>
      <c r="BB88" s="28" t="str">
        <f>IF(COUNTIF('02_工程タスク'!$A$4:$A$135,A88)&lt;&gt;1,"参照ID不正",IF(INDEX('02_工程タスク'!$O$4:$O$135,MATCH(A88,'02_工程タスク'!$A$4:$A$135,0))="","",INDEX('02_工程タスク'!$O$4:$O$135,MATCH(A88,'02_工程タスク'!$A$4:$A$135,0))))</f>
        <v>B4-01</v>
      </c>
      <c r="BC88" s="28" t="str">
        <f t="shared" si="71"/>
        <v>記法OK</v>
      </c>
      <c r="BD88" s="28" t="str">
        <f>IF(A88="B6-01",IF(OR(AV88="",COUNTIF('29_ゲート承認記録'!$F$4:$F$83,AV88)&lt;&gt;1),"終了開始根拠不足",IF(IF(COUNTIF('29_ゲート承認記録'!$F$4:$F$83,AV88)&lt;&gt;1,"参照ID不正",IF(INDEX('29_ゲート承認記録'!$L$4:$L$83,MATCH(AV88,'29_ゲート承認記録'!$F$4:$F$83,0))="","",INDEX('29_ゲート承認記録'!$L$4:$L$83,MATCH(AV88,'29_ゲート承認記録'!$F$4:$F$83,0))))&lt;&gt;"Stop","Stop判断要確認","開始根拠あり")),IF(AND(A88="B5-18",AU88="事故"),IF(AV88="","事故レビュー参照不足","開始根拠あり"),"開始根拠あり"))</f>
        <v>開始根拠あり</v>
      </c>
      <c r="BE88" s="29"/>
      <c r="BF88" s="29"/>
    </row>
    <row r="89" spans="1:58" ht="38" customHeight="1" x14ac:dyDescent="0.2">
      <c r="A89" s="13" t="s">
        <v>1137</v>
      </c>
      <c r="B89" s="28" t="str">
        <f>IF(COUNTIF('02_工程タスク'!$A$4:$A$135,A89)&lt;&gt;1,"参照ID不正",IF(INDEX('02_工程タスク'!$B$4:$B$135,MATCH(A89,'02_工程タスク'!$A$4:$A$135,0))="","",INDEX('02_工程タスク'!$B$4:$B$135,MATCH(A89,'02_工程タスク'!$A$4:$A$135,0))))</f>
        <v>評価</v>
      </c>
      <c r="C89" s="28" t="str">
        <f>IF(COUNTIF('02_工程タスク'!$A$4:$A$135,A89)&lt;&gt;1,"参照ID不正",IF(INDEX('02_工程タスク'!$D$4:$D$135,MATCH(A89,'02_工程タスク'!$A$4:$A$135,0))="","",INDEX('02_工程タスク'!$D$4:$D$135,MATCH(A89,'02_工程タスク'!$A$4:$A$135,0))))</f>
        <v>二境界の攻撃・漏洩・供給網試験</v>
      </c>
      <c r="D89" s="6"/>
      <c r="E89" s="6" t="s">
        <v>1598</v>
      </c>
      <c r="F89" s="6"/>
      <c r="G89" s="6"/>
      <c r="H89" s="5"/>
      <c r="I89" s="5"/>
      <c r="J89" s="5"/>
      <c r="K89" s="5"/>
      <c r="L89" s="6" t="s">
        <v>3629</v>
      </c>
      <c r="M89" s="6"/>
      <c r="N89" s="6"/>
      <c r="O89" s="5"/>
      <c r="P89" s="17"/>
      <c r="Q89" s="17"/>
      <c r="R89" s="6"/>
      <c r="S89" s="6"/>
      <c r="T89" s="6"/>
      <c r="U89" s="5"/>
      <c r="V89" s="6" t="s">
        <v>1144</v>
      </c>
      <c r="W89" s="28" t="str">
        <f t="shared" si="48"/>
        <v>適用未判定</v>
      </c>
      <c r="X89" s="28" t="str">
        <f t="shared" si="49"/>
        <v/>
      </c>
      <c r="Y89" s="26" t="str">
        <f t="shared" si="50"/>
        <v/>
      </c>
      <c r="Z89" s="26" t="str">
        <f t="shared" si="51"/>
        <v>適用未判定</v>
      </c>
      <c r="AA89" s="26">
        <f t="shared" si="52"/>
        <v>0</v>
      </c>
      <c r="AB89" s="26" t="str">
        <f t="shared" si="53"/>
        <v>B4-01</v>
      </c>
      <c r="AC89" s="26" t="str">
        <f t="shared" si="54"/>
        <v>B2-07</v>
      </c>
      <c r="AD89" s="26" t="str">
        <f t="shared" si="55"/>
        <v>B3-18</v>
      </c>
      <c r="AE89" s="26" t="str">
        <f t="shared" si="56"/>
        <v/>
      </c>
      <c r="AF89" s="26" t="str">
        <f t="shared" si="57"/>
        <v/>
      </c>
      <c r="AG89" s="26" t="str">
        <f t="shared" si="58"/>
        <v/>
      </c>
      <c r="AH89" s="26" t="str">
        <f t="shared" si="59"/>
        <v/>
      </c>
      <c r="AI89" s="26" t="str">
        <f t="shared" si="60"/>
        <v/>
      </c>
      <c r="AJ89" s="26" t="str">
        <f t="shared" si="61"/>
        <v>未充足</v>
      </c>
      <c r="AK89" s="26" t="str">
        <f t="shared" si="62"/>
        <v>未充足</v>
      </c>
      <c r="AL89" s="26" t="str">
        <f t="shared" si="63"/>
        <v>未充足</v>
      </c>
      <c r="AM89" s="26" t="str">
        <f t="shared" si="64"/>
        <v/>
      </c>
      <c r="AN89" s="26" t="str">
        <f t="shared" si="65"/>
        <v/>
      </c>
      <c r="AO89" s="26" t="str">
        <f t="shared" si="66"/>
        <v/>
      </c>
      <c r="AP89" s="26" t="str">
        <f t="shared" si="67"/>
        <v/>
      </c>
      <c r="AQ89" s="26" t="str">
        <f t="shared" si="68"/>
        <v/>
      </c>
      <c r="AR89" s="36" t="str">
        <f t="shared" si="69"/>
        <v/>
      </c>
      <c r="AS89" s="28" t="str">
        <f>IF(COUNTIF('02_工程タスク'!$A$4:$A$135,A89)&lt;&gt;1,"参照ID不正",IF(INDEX('02_工程タスク'!$H$4:$H$135,MATCH(A89,'02_工程タスク'!$A$4:$A$135,0))="","",INDEX('02_工程タスク'!$H$4:$H$135,MATCH(A89,'02_工程タスク'!$A$4:$A$135,0))))</f>
        <v>R13</v>
      </c>
      <c r="AT89" s="28" t="str">
        <f t="shared" si="70"/>
        <v>INIT-B4-06</v>
      </c>
      <c r="AU89" s="29" t="s">
        <v>3630</v>
      </c>
      <c r="AV89" s="29"/>
      <c r="AW89" s="29"/>
      <c r="AX89" s="32"/>
      <c r="AY89" s="29"/>
      <c r="AZ89" s="29"/>
      <c r="BA89" s="32"/>
      <c r="BB89" s="28" t="str">
        <f>IF(COUNTIF('02_工程タスク'!$A$4:$A$135,A89)&lt;&gt;1,"参照ID不正",IF(INDEX('02_工程タスク'!$O$4:$O$135,MATCH(A89,'02_工程タスク'!$A$4:$A$135,0))="","",INDEX('02_工程タスク'!$O$4:$O$135,MATCH(A89,'02_工程タスク'!$A$4:$A$135,0))))</f>
        <v>B4-01,B2-07,B3-18</v>
      </c>
      <c r="BC89" s="28" t="str">
        <f t="shared" si="71"/>
        <v>記法OK</v>
      </c>
      <c r="BD89" s="28" t="str">
        <f>IF(A89="B6-01",IF(OR(AV89="",COUNTIF('29_ゲート承認記録'!$F$4:$F$83,AV89)&lt;&gt;1),"終了開始根拠不足",IF(IF(COUNTIF('29_ゲート承認記録'!$F$4:$F$83,AV89)&lt;&gt;1,"参照ID不正",IF(INDEX('29_ゲート承認記録'!$L$4:$L$83,MATCH(AV89,'29_ゲート承認記録'!$F$4:$F$83,0))="","",INDEX('29_ゲート承認記録'!$L$4:$L$83,MATCH(AV89,'29_ゲート承認記録'!$F$4:$F$83,0))))&lt;&gt;"Stop","Stop判断要確認","開始根拠あり")),IF(AND(A89="B5-18",AU89="事故"),IF(AV89="","事故レビュー参照不足","開始根拠あり"),"開始根拠あり"))</f>
        <v>開始根拠あり</v>
      </c>
      <c r="BE89" s="29"/>
      <c r="BF89" s="29"/>
    </row>
    <row r="90" spans="1:58" ht="38" customHeight="1" x14ac:dyDescent="0.2">
      <c r="A90" s="13" t="s">
        <v>1146</v>
      </c>
      <c r="B90" s="28" t="str">
        <f>IF(COUNTIF('02_工程タスク'!$A$4:$A$135,A90)&lt;&gt;1,"参照ID不正",IF(INDEX('02_工程タスク'!$B$4:$B$135,MATCH(A90,'02_工程タスク'!$A$4:$A$135,0))="","",INDEX('02_工程タスク'!$B$4:$B$135,MATCH(A90,'02_工程タスク'!$A$4:$A$135,0))))</f>
        <v>評価</v>
      </c>
      <c r="C90" s="28" t="str">
        <f>IF(COUNTIF('02_工程タスク'!$A$4:$A$135,A90)&lt;&gt;1,"参照ID不正",IF(INDEX('02_工程タスク'!$D$4:$D$135,MATCH(A90,'02_工程タスク'!$A$4:$A$135,0))="","",INDEX('02_工程タスク'!$D$4:$D$135,MATCH(A90,'02_工程タスク'!$A$4:$A$135,0))))</f>
        <v>実データフロー・削除・規約整合確認</v>
      </c>
      <c r="D90" s="6"/>
      <c r="E90" s="6" t="s">
        <v>1598</v>
      </c>
      <c r="F90" s="6"/>
      <c r="G90" s="6"/>
      <c r="H90" s="5"/>
      <c r="I90" s="5"/>
      <c r="J90" s="5"/>
      <c r="K90" s="5"/>
      <c r="L90" s="6" t="s">
        <v>3629</v>
      </c>
      <c r="M90" s="6"/>
      <c r="N90" s="6"/>
      <c r="O90" s="5"/>
      <c r="P90" s="17"/>
      <c r="Q90" s="17"/>
      <c r="R90" s="6"/>
      <c r="S90" s="6"/>
      <c r="T90" s="6"/>
      <c r="U90" s="5"/>
      <c r="V90" s="6" t="s">
        <v>1153</v>
      </c>
      <c r="W90" s="28" t="str">
        <f t="shared" si="48"/>
        <v>適用未判定</v>
      </c>
      <c r="X90" s="28" t="str">
        <f t="shared" si="49"/>
        <v/>
      </c>
      <c r="Y90" s="25" t="str">
        <f t="shared" si="50"/>
        <v/>
      </c>
      <c r="Z90" s="25" t="str">
        <f t="shared" si="51"/>
        <v>適用未判定</v>
      </c>
      <c r="AA90" s="25">
        <f t="shared" si="52"/>
        <v>0</v>
      </c>
      <c r="AB90" s="25" t="str">
        <f t="shared" si="53"/>
        <v>B4-01</v>
      </c>
      <c r="AC90" s="25" t="str">
        <f t="shared" si="54"/>
        <v>B1-04</v>
      </c>
      <c r="AD90" s="25" t="str">
        <f t="shared" si="55"/>
        <v>B3-19</v>
      </c>
      <c r="AE90" s="25" t="str">
        <f t="shared" si="56"/>
        <v/>
      </c>
      <c r="AF90" s="25" t="str">
        <f t="shared" si="57"/>
        <v/>
      </c>
      <c r="AG90" s="25" t="str">
        <f t="shared" si="58"/>
        <v/>
      </c>
      <c r="AH90" s="25" t="str">
        <f t="shared" si="59"/>
        <v/>
      </c>
      <c r="AI90" s="25" t="str">
        <f t="shared" si="60"/>
        <v/>
      </c>
      <c r="AJ90" s="25" t="str">
        <f t="shared" si="61"/>
        <v>未充足</v>
      </c>
      <c r="AK90" s="25" t="str">
        <f t="shared" si="62"/>
        <v>未充足</v>
      </c>
      <c r="AL90" s="25" t="str">
        <f t="shared" si="63"/>
        <v>未充足</v>
      </c>
      <c r="AM90" s="25" t="str">
        <f t="shared" si="64"/>
        <v/>
      </c>
      <c r="AN90" s="25" t="str">
        <f t="shared" si="65"/>
        <v/>
      </c>
      <c r="AO90" s="25" t="str">
        <f t="shared" si="66"/>
        <v/>
      </c>
      <c r="AP90" s="25" t="str">
        <f t="shared" si="67"/>
        <v/>
      </c>
      <c r="AQ90" s="25" t="str">
        <f t="shared" si="68"/>
        <v/>
      </c>
      <c r="AR90" s="35" t="str">
        <f t="shared" si="69"/>
        <v/>
      </c>
      <c r="AS90" s="28" t="str">
        <f>IF(COUNTIF('02_工程タスク'!$A$4:$A$135,A90)&lt;&gt;1,"参照ID不正",IF(INDEX('02_工程タスク'!$H$4:$H$135,MATCH(A90,'02_工程タスク'!$A$4:$A$135,0))="","",INDEX('02_工程タスク'!$H$4:$H$135,MATCH(A90,'02_工程タスク'!$A$4:$A$135,0))))</f>
        <v>R14</v>
      </c>
      <c r="AT90" s="28" t="str">
        <f t="shared" si="70"/>
        <v>INIT-B4-07</v>
      </c>
      <c r="AU90" s="29" t="s">
        <v>3630</v>
      </c>
      <c r="AV90" s="29"/>
      <c r="AW90" s="29"/>
      <c r="AX90" s="32"/>
      <c r="AY90" s="29"/>
      <c r="AZ90" s="29"/>
      <c r="BA90" s="32"/>
      <c r="BB90" s="28" t="str">
        <f>IF(COUNTIF('02_工程タスク'!$A$4:$A$135,A90)&lt;&gt;1,"参照ID不正",IF(INDEX('02_工程タスク'!$O$4:$O$135,MATCH(A90,'02_工程タスク'!$A$4:$A$135,0))="","",INDEX('02_工程タスク'!$O$4:$O$135,MATCH(A90,'02_工程タスク'!$A$4:$A$135,0))))</f>
        <v>B4-01,B1-04,B3-19</v>
      </c>
      <c r="BC90" s="28" t="str">
        <f t="shared" si="71"/>
        <v>記法OK</v>
      </c>
      <c r="BD90" s="28" t="str">
        <f>IF(A90="B6-01",IF(OR(AV90="",COUNTIF('29_ゲート承認記録'!$F$4:$F$83,AV90)&lt;&gt;1),"終了開始根拠不足",IF(IF(COUNTIF('29_ゲート承認記録'!$F$4:$F$83,AV90)&lt;&gt;1,"参照ID不正",IF(INDEX('29_ゲート承認記録'!$L$4:$L$83,MATCH(AV90,'29_ゲート承認記録'!$F$4:$F$83,0))="","",INDEX('29_ゲート承認記録'!$L$4:$L$83,MATCH(AV90,'29_ゲート承認記録'!$F$4:$F$83,0))))&lt;&gt;"Stop","Stop判断要確認","開始根拠あり")),IF(AND(A90="B5-18",AU90="事故"),IF(AV90="","事故レビュー参照不足","開始根拠あり"),"開始根拠あり"))</f>
        <v>開始根拠あり</v>
      </c>
      <c r="BE90" s="29"/>
      <c r="BF90" s="29"/>
    </row>
    <row r="91" spans="1:58" ht="38" customHeight="1" x14ac:dyDescent="0.2">
      <c r="A91" s="13" t="s">
        <v>1155</v>
      </c>
      <c r="B91" s="28" t="str">
        <f>IF(COUNTIF('02_工程タスク'!$A$4:$A$135,A91)&lt;&gt;1,"参照ID不正",IF(INDEX('02_工程タスク'!$B$4:$B$135,MATCH(A91,'02_工程タスク'!$A$4:$A$135,0))="","",INDEX('02_工程タスク'!$B$4:$B$135,MATCH(A91,'02_工程タスク'!$A$4:$A$135,0))))</f>
        <v>評価</v>
      </c>
      <c r="C91" s="28" t="str">
        <f>IF(COUNTIF('02_工程タスク'!$A$4:$A$135,A91)&lt;&gt;1,"参照ID不正",IF(INDEX('02_工程タスク'!$D$4:$D$135,MATCH(A91,'02_工程タスク'!$A$4:$A$135,0))="","",INDEX('02_工程タスク'!$D$4:$D$135,MATCH(A91,'02_工程タスク'!$A$4:$A$135,0))))</f>
        <v>負荷・障害・再試行・費用評価</v>
      </c>
      <c r="D91" s="6"/>
      <c r="E91" s="6" t="s">
        <v>1598</v>
      </c>
      <c r="F91" s="6"/>
      <c r="G91" s="6"/>
      <c r="H91" s="5"/>
      <c r="I91" s="5"/>
      <c r="J91" s="5"/>
      <c r="K91" s="5"/>
      <c r="L91" s="6" t="s">
        <v>3629</v>
      </c>
      <c r="M91" s="6"/>
      <c r="N91" s="6"/>
      <c r="O91" s="5"/>
      <c r="P91" s="17"/>
      <c r="Q91" s="17"/>
      <c r="R91" s="6"/>
      <c r="S91" s="6"/>
      <c r="T91" s="6"/>
      <c r="U91" s="5"/>
      <c r="V91" s="6" t="s">
        <v>1162</v>
      </c>
      <c r="W91" s="28" t="str">
        <f t="shared" si="48"/>
        <v>適用未判定</v>
      </c>
      <c r="X91" s="28" t="str">
        <f t="shared" si="49"/>
        <v/>
      </c>
      <c r="Y91" s="26" t="str">
        <f t="shared" si="50"/>
        <v/>
      </c>
      <c r="Z91" s="26" t="str">
        <f t="shared" si="51"/>
        <v>適用未判定</v>
      </c>
      <c r="AA91" s="26">
        <f t="shared" si="52"/>
        <v>0</v>
      </c>
      <c r="AB91" s="26" t="str">
        <f t="shared" si="53"/>
        <v>B4-01</v>
      </c>
      <c r="AC91" s="26" t="str">
        <f t="shared" si="54"/>
        <v>B3-15</v>
      </c>
      <c r="AD91" s="26" t="str">
        <f t="shared" si="55"/>
        <v/>
      </c>
      <c r="AE91" s="26" t="str">
        <f t="shared" si="56"/>
        <v/>
      </c>
      <c r="AF91" s="26" t="str">
        <f t="shared" si="57"/>
        <v/>
      </c>
      <c r="AG91" s="26" t="str">
        <f t="shared" si="58"/>
        <v/>
      </c>
      <c r="AH91" s="26" t="str">
        <f t="shared" si="59"/>
        <v/>
      </c>
      <c r="AI91" s="26" t="str">
        <f t="shared" si="60"/>
        <v/>
      </c>
      <c r="AJ91" s="26" t="str">
        <f t="shared" si="61"/>
        <v>未充足</v>
      </c>
      <c r="AK91" s="26" t="str">
        <f t="shared" si="62"/>
        <v>未充足</v>
      </c>
      <c r="AL91" s="26" t="str">
        <f t="shared" si="63"/>
        <v/>
      </c>
      <c r="AM91" s="26" t="str">
        <f t="shared" si="64"/>
        <v/>
      </c>
      <c r="AN91" s="26" t="str">
        <f t="shared" si="65"/>
        <v/>
      </c>
      <c r="AO91" s="26" t="str">
        <f t="shared" si="66"/>
        <v/>
      </c>
      <c r="AP91" s="26" t="str">
        <f t="shared" si="67"/>
        <v/>
      </c>
      <c r="AQ91" s="26" t="str">
        <f t="shared" si="68"/>
        <v/>
      </c>
      <c r="AR91" s="36" t="str">
        <f t="shared" si="69"/>
        <v/>
      </c>
      <c r="AS91" s="28" t="str">
        <f>IF(COUNTIF('02_工程タスク'!$A$4:$A$135,A91)&lt;&gt;1,"参照ID不正",IF(INDEX('02_工程タスク'!$H$4:$H$135,MATCH(A91,'02_工程タスク'!$A$4:$A$135,0))="","",INDEX('02_工程タスク'!$H$4:$H$135,MATCH(A91,'02_工程タスク'!$A$4:$A$135,0))))</f>
        <v>R18</v>
      </c>
      <c r="AT91" s="28" t="str">
        <f t="shared" si="70"/>
        <v>INIT-B4-08</v>
      </c>
      <c r="AU91" s="29" t="s">
        <v>3630</v>
      </c>
      <c r="AV91" s="29"/>
      <c r="AW91" s="29"/>
      <c r="AX91" s="32"/>
      <c r="AY91" s="29"/>
      <c r="AZ91" s="29"/>
      <c r="BA91" s="32"/>
      <c r="BB91" s="28" t="str">
        <f>IF(COUNTIF('02_工程タスク'!$A$4:$A$135,A91)&lt;&gt;1,"参照ID不正",IF(INDEX('02_工程タスク'!$O$4:$O$135,MATCH(A91,'02_工程タスク'!$A$4:$A$135,0))="","",INDEX('02_工程タスク'!$O$4:$O$135,MATCH(A91,'02_工程タスク'!$A$4:$A$135,0))))</f>
        <v>B4-01,B3-15</v>
      </c>
      <c r="BC91" s="28" t="str">
        <f t="shared" si="71"/>
        <v>記法OK</v>
      </c>
      <c r="BD91" s="28" t="str">
        <f>IF(A91="B6-01",IF(OR(AV91="",COUNTIF('29_ゲート承認記録'!$F$4:$F$83,AV91)&lt;&gt;1),"終了開始根拠不足",IF(IF(COUNTIF('29_ゲート承認記録'!$F$4:$F$83,AV91)&lt;&gt;1,"参照ID不正",IF(INDEX('29_ゲート承認記録'!$L$4:$L$83,MATCH(AV91,'29_ゲート承認記録'!$F$4:$F$83,0))="","",INDEX('29_ゲート承認記録'!$L$4:$L$83,MATCH(AV91,'29_ゲート承認記録'!$F$4:$F$83,0))))&lt;&gt;"Stop","Stop判断要確認","開始根拠あり")),IF(AND(A91="B5-18",AU91="事故"),IF(AV91="","事故レビュー参照不足","開始根拠あり"),"開始根拠あり"))</f>
        <v>開始根拠あり</v>
      </c>
      <c r="BE91" s="29"/>
      <c r="BF91" s="29"/>
    </row>
    <row r="92" spans="1:58" ht="38" customHeight="1" x14ac:dyDescent="0.2">
      <c r="A92" s="13" t="s">
        <v>1165</v>
      </c>
      <c r="B92" s="28" t="str">
        <f>IF(COUNTIF('02_工程タスク'!$A$4:$A$135,A92)&lt;&gt;1,"参照ID不正",IF(INDEX('02_工程タスク'!$B$4:$B$135,MATCH(A92,'02_工程タスク'!$A$4:$A$135,0))="","",INDEX('02_工程タスク'!$B$4:$B$135,MATCH(A92,'02_工程タスク'!$A$4:$A$135,0))))</f>
        <v>評価</v>
      </c>
      <c r="C92" s="28" t="str">
        <f>IF(COUNTIF('02_工程タスク'!$A$4:$A$135,A92)&lt;&gt;1,"参照ID不正",IF(INDEX('02_工程タスク'!$D$4:$D$135,MATCH(A92,'02_工程タスク'!$A$4:$A$135,0))="","",INDEX('02_工程タスク'!$D$4:$D$135,MATCH(A92,'02_工程タスク'!$A$4:$A$135,0))))</f>
        <v>利用者タスク・アクセシビリティ評価</v>
      </c>
      <c r="D92" s="6"/>
      <c r="E92" s="6" t="s">
        <v>1598</v>
      </c>
      <c r="F92" s="6"/>
      <c r="G92" s="6"/>
      <c r="H92" s="5"/>
      <c r="I92" s="5"/>
      <c r="J92" s="5"/>
      <c r="K92" s="5"/>
      <c r="L92" s="6" t="s">
        <v>3629</v>
      </c>
      <c r="M92" s="6"/>
      <c r="N92" s="6"/>
      <c r="O92" s="5"/>
      <c r="P92" s="17"/>
      <c r="Q92" s="17"/>
      <c r="R92" s="6"/>
      <c r="S92" s="6"/>
      <c r="T92" s="6"/>
      <c r="U92" s="5"/>
      <c r="V92" s="6" t="s">
        <v>1171</v>
      </c>
      <c r="W92" s="28" t="str">
        <f t="shared" si="48"/>
        <v>適用未判定</v>
      </c>
      <c r="X92" s="28" t="str">
        <f t="shared" si="49"/>
        <v/>
      </c>
      <c r="Y92" s="25" t="str">
        <f t="shared" si="50"/>
        <v/>
      </c>
      <c r="Z92" s="25" t="str">
        <f t="shared" si="51"/>
        <v>適用未判定</v>
      </c>
      <c r="AA92" s="25">
        <f t="shared" si="52"/>
        <v>0</v>
      </c>
      <c r="AB92" s="25" t="str">
        <f t="shared" si="53"/>
        <v>B4-01</v>
      </c>
      <c r="AC92" s="25" t="str">
        <f t="shared" si="54"/>
        <v>B3-13</v>
      </c>
      <c r="AD92" s="25" t="str">
        <f t="shared" si="55"/>
        <v/>
      </c>
      <c r="AE92" s="25" t="str">
        <f t="shared" si="56"/>
        <v/>
      </c>
      <c r="AF92" s="25" t="str">
        <f t="shared" si="57"/>
        <v/>
      </c>
      <c r="AG92" s="25" t="str">
        <f t="shared" si="58"/>
        <v/>
      </c>
      <c r="AH92" s="25" t="str">
        <f t="shared" si="59"/>
        <v/>
      </c>
      <c r="AI92" s="25" t="str">
        <f t="shared" si="60"/>
        <v/>
      </c>
      <c r="AJ92" s="25" t="str">
        <f t="shared" si="61"/>
        <v>未充足</v>
      </c>
      <c r="AK92" s="25" t="str">
        <f t="shared" si="62"/>
        <v>未充足</v>
      </c>
      <c r="AL92" s="25" t="str">
        <f t="shared" si="63"/>
        <v/>
      </c>
      <c r="AM92" s="25" t="str">
        <f t="shared" si="64"/>
        <v/>
      </c>
      <c r="AN92" s="25" t="str">
        <f t="shared" si="65"/>
        <v/>
      </c>
      <c r="AO92" s="25" t="str">
        <f t="shared" si="66"/>
        <v/>
      </c>
      <c r="AP92" s="25" t="str">
        <f t="shared" si="67"/>
        <v/>
      </c>
      <c r="AQ92" s="25" t="str">
        <f t="shared" si="68"/>
        <v/>
      </c>
      <c r="AR92" s="35" t="str">
        <f t="shared" si="69"/>
        <v/>
      </c>
      <c r="AS92" s="28" t="str">
        <f>IF(COUNTIF('02_工程タスク'!$A$4:$A$135,A92)&lt;&gt;1,"参照ID不正",IF(INDEX('02_工程タスク'!$H$4:$H$135,MATCH(A92,'02_工程タスク'!$A$4:$A$135,0))="","",INDEX('02_工程タスク'!$H$4:$H$135,MATCH(A92,'02_工程タスク'!$A$4:$A$135,0))))</f>
        <v>R02</v>
      </c>
      <c r="AT92" s="28" t="str">
        <f t="shared" si="70"/>
        <v>INIT-B4-09</v>
      </c>
      <c r="AU92" s="29" t="s">
        <v>3630</v>
      </c>
      <c r="AV92" s="29"/>
      <c r="AW92" s="29"/>
      <c r="AX92" s="32"/>
      <c r="AY92" s="29"/>
      <c r="AZ92" s="29"/>
      <c r="BA92" s="32"/>
      <c r="BB92" s="28" t="str">
        <f>IF(COUNTIF('02_工程タスク'!$A$4:$A$135,A92)&lt;&gt;1,"参照ID不正",IF(INDEX('02_工程タスク'!$O$4:$O$135,MATCH(A92,'02_工程タスク'!$A$4:$A$135,0))="","",INDEX('02_工程タスク'!$O$4:$O$135,MATCH(A92,'02_工程タスク'!$A$4:$A$135,0))))</f>
        <v>B4-01,B3-13</v>
      </c>
      <c r="BC92" s="28" t="str">
        <f t="shared" si="71"/>
        <v>記法OK</v>
      </c>
      <c r="BD92" s="28" t="str">
        <f>IF(A92="B6-01",IF(OR(AV92="",COUNTIF('29_ゲート承認記録'!$F$4:$F$83,AV92)&lt;&gt;1),"終了開始根拠不足",IF(IF(COUNTIF('29_ゲート承認記録'!$F$4:$F$83,AV92)&lt;&gt;1,"参照ID不正",IF(INDEX('29_ゲート承認記録'!$L$4:$L$83,MATCH(AV92,'29_ゲート承認記録'!$F$4:$F$83,0))="","",INDEX('29_ゲート承認記録'!$L$4:$L$83,MATCH(AV92,'29_ゲート承認記録'!$F$4:$F$83,0))))&lt;&gt;"Stop","Stop判断要確認","開始根拠あり")),IF(AND(A92="B5-18",AU92="事故"),IF(AV92="","事故レビュー参照不足","開始根拠あり"),"開始根拠あり"))</f>
        <v>開始根拠あり</v>
      </c>
      <c r="BE92" s="29"/>
      <c r="BF92" s="29"/>
    </row>
    <row r="93" spans="1:58" ht="38" customHeight="1" x14ac:dyDescent="0.2">
      <c r="A93" s="13" t="s">
        <v>1174</v>
      </c>
      <c r="B93" s="28" t="str">
        <f>IF(COUNTIF('02_工程タスク'!$A$4:$A$135,A93)&lt;&gt;1,"参照ID不正",IF(INDEX('02_工程タスク'!$B$4:$B$135,MATCH(A93,'02_工程タスク'!$A$4:$A$135,0))="","",INDEX('02_工程タスク'!$B$4:$B$135,MATCH(A93,'02_工程タスク'!$A$4:$A$135,0))))</f>
        <v>評価</v>
      </c>
      <c r="C93" s="28" t="str">
        <f>IF(COUNTIF('02_工程タスク'!$A$4:$A$135,A93)&lt;&gt;1,"参照ID不正",IF(INDEX('02_工程タスク'!$D$4:$D$135,MATCH(A93,'02_工程タスク'!$A$4:$A$135,0))="","",INDEX('02_工程タスク'!$D$4:$D$135,MATCH(A93,'02_工程タスク'!$A$4:$A$135,0))))</f>
        <v>価格・課金・単位経済性の検証</v>
      </c>
      <c r="D93" s="6"/>
      <c r="E93" s="6" t="s">
        <v>1598</v>
      </c>
      <c r="F93" s="6"/>
      <c r="G93" s="6"/>
      <c r="H93" s="5"/>
      <c r="I93" s="5"/>
      <c r="J93" s="5"/>
      <c r="K93" s="5"/>
      <c r="L93" s="6" t="s">
        <v>3629</v>
      </c>
      <c r="M93" s="6"/>
      <c r="N93" s="6"/>
      <c r="O93" s="5"/>
      <c r="P93" s="17"/>
      <c r="Q93" s="17"/>
      <c r="R93" s="6"/>
      <c r="S93" s="6"/>
      <c r="T93" s="6"/>
      <c r="U93" s="5"/>
      <c r="V93" s="6" t="s">
        <v>1181</v>
      </c>
      <c r="W93" s="28" t="str">
        <f t="shared" si="48"/>
        <v>適用未判定</v>
      </c>
      <c r="X93" s="28" t="str">
        <f t="shared" si="49"/>
        <v/>
      </c>
      <c r="Y93" s="26" t="str">
        <f t="shared" si="50"/>
        <v/>
      </c>
      <c r="Z93" s="26" t="str">
        <f t="shared" si="51"/>
        <v>適用未判定</v>
      </c>
      <c r="AA93" s="26">
        <f t="shared" si="52"/>
        <v>0</v>
      </c>
      <c r="AB93" s="26" t="str">
        <f t="shared" si="53"/>
        <v>B4-08</v>
      </c>
      <c r="AC93" s="26" t="str">
        <f t="shared" si="54"/>
        <v>B3-14</v>
      </c>
      <c r="AD93" s="26" t="str">
        <f t="shared" si="55"/>
        <v/>
      </c>
      <c r="AE93" s="26" t="str">
        <f t="shared" si="56"/>
        <v/>
      </c>
      <c r="AF93" s="26" t="str">
        <f t="shared" si="57"/>
        <v/>
      </c>
      <c r="AG93" s="26" t="str">
        <f t="shared" si="58"/>
        <v/>
      </c>
      <c r="AH93" s="26" t="str">
        <f t="shared" si="59"/>
        <v/>
      </c>
      <c r="AI93" s="26" t="str">
        <f t="shared" si="60"/>
        <v/>
      </c>
      <c r="AJ93" s="26" t="str">
        <f t="shared" si="61"/>
        <v>未充足</v>
      </c>
      <c r="AK93" s="26" t="str">
        <f t="shared" si="62"/>
        <v>未充足</v>
      </c>
      <c r="AL93" s="26" t="str">
        <f t="shared" si="63"/>
        <v/>
      </c>
      <c r="AM93" s="26" t="str">
        <f t="shared" si="64"/>
        <v/>
      </c>
      <c r="AN93" s="26" t="str">
        <f t="shared" si="65"/>
        <v/>
      </c>
      <c r="AO93" s="26" t="str">
        <f t="shared" si="66"/>
        <v/>
      </c>
      <c r="AP93" s="26" t="str">
        <f t="shared" si="67"/>
        <v/>
      </c>
      <c r="AQ93" s="26" t="str">
        <f t="shared" si="68"/>
        <v/>
      </c>
      <c r="AR93" s="36" t="str">
        <f t="shared" si="69"/>
        <v/>
      </c>
      <c r="AS93" s="28" t="str">
        <f>IF(COUNTIF('02_工程タスク'!$A$4:$A$135,A93)&lt;&gt;1,"参照ID不正",IF(INDEX('02_工程タスク'!$H$4:$H$135,MATCH(A93,'02_工程タスク'!$A$4:$A$135,0))="","",INDEX('02_工程タスク'!$H$4:$H$135,MATCH(A93,'02_工程タスク'!$A$4:$A$135,0))))</f>
        <v>R01</v>
      </c>
      <c r="AT93" s="28" t="str">
        <f t="shared" si="70"/>
        <v>INIT-B4-10</v>
      </c>
      <c r="AU93" s="29" t="s">
        <v>3630</v>
      </c>
      <c r="AV93" s="29"/>
      <c r="AW93" s="29"/>
      <c r="AX93" s="32"/>
      <c r="AY93" s="29"/>
      <c r="AZ93" s="29"/>
      <c r="BA93" s="32"/>
      <c r="BB93" s="28" t="str">
        <f>IF(COUNTIF('02_工程タスク'!$A$4:$A$135,A93)&lt;&gt;1,"参照ID不正",IF(INDEX('02_工程タスク'!$O$4:$O$135,MATCH(A93,'02_工程タスク'!$A$4:$A$135,0))="","",INDEX('02_工程タスク'!$O$4:$O$135,MATCH(A93,'02_工程タスク'!$A$4:$A$135,0))))</f>
        <v>B4-08,B3-14</v>
      </c>
      <c r="BC93" s="28" t="str">
        <f t="shared" si="71"/>
        <v>記法OK</v>
      </c>
      <c r="BD93" s="28" t="str">
        <f>IF(A93="B6-01",IF(OR(AV93="",COUNTIF('29_ゲート承認記録'!$F$4:$F$83,AV93)&lt;&gt;1),"終了開始根拠不足",IF(IF(COUNTIF('29_ゲート承認記録'!$F$4:$F$83,AV93)&lt;&gt;1,"参照ID不正",IF(INDEX('29_ゲート承認記録'!$L$4:$L$83,MATCH(AV93,'29_ゲート承認記録'!$F$4:$F$83,0))="","",INDEX('29_ゲート承認記録'!$L$4:$L$83,MATCH(AV93,'29_ゲート承認記録'!$F$4:$F$83,0))))&lt;&gt;"Stop","Stop判断要確認","開始根拠あり")),IF(AND(A93="B5-18",AU93="事故"),IF(AV93="","事故レビュー参照不足","開始根拠あり"),"開始根拠あり"))</f>
        <v>開始根拠あり</v>
      </c>
      <c r="BE93" s="29"/>
      <c r="BF93" s="29"/>
    </row>
    <row r="94" spans="1:58" ht="38" customHeight="1" x14ac:dyDescent="0.2">
      <c r="A94" s="13" t="s">
        <v>1184</v>
      </c>
      <c r="B94" s="28" t="str">
        <f>IF(COUNTIF('02_工程タスク'!$A$4:$A$135,A94)&lt;&gt;1,"参照ID不正",IF(INDEX('02_工程タスク'!$B$4:$B$135,MATCH(A94,'02_工程タスク'!$A$4:$A$135,0))="","",INDEX('02_工程タスク'!$B$4:$B$135,MATCH(A94,'02_工程タスク'!$A$4:$A$135,0))))</f>
        <v>評価</v>
      </c>
      <c r="C94" s="28" t="str">
        <f>IF(COUNTIF('02_工程タスク'!$A$4:$A$135,A94)&lt;&gt;1,"参照ID不正",IF(INDEX('02_工程タスク'!$D$4:$D$135,MATCH(A94,'02_工程タスク'!$A$4:$A$135,0))="","",INDEX('02_工程タスク'!$D$4:$D$135,MATCH(A94,'02_工程タスク'!$A$4:$A$135,0))))</f>
        <v>停止・復旧・移管のリハーサル</v>
      </c>
      <c r="D94" s="6"/>
      <c r="E94" s="6" t="s">
        <v>1598</v>
      </c>
      <c r="F94" s="6"/>
      <c r="G94" s="6"/>
      <c r="H94" s="5"/>
      <c r="I94" s="5"/>
      <c r="J94" s="5"/>
      <c r="K94" s="5"/>
      <c r="L94" s="6" t="s">
        <v>3629</v>
      </c>
      <c r="M94" s="6"/>
      <c r="N94" s="6"/>
      <c r="O94" s="5"/>
      <c r="P94" s="17"/>
      <c r="Q94" s="17"/>
      <c r="R94" s="6"/>
      <c r="S94" s="6"/>
      <c r="T94" s="6"/>
      <c r="U94" s="5"/>
      <c r="V94" s="6" t="s">
        <v>1191</v>
      </c>
      <c r="W94" s="28" t="str">
        <f t="shared" si="48"/>
        <v>適用未判定</v>
      </c>
      <c r="X94" s="28" t="str">
        <f t="shared" si="49"/>
        <v/>
      </c>
      <c r="Y94" s="25" t="str">
        <f t="shared" si="50"/>
        <v/>
      </c>
      <c r="Z94" s="25" t="str">
        <f t="shared" si="51"/>
        <v>適用未判定</v>
      </c>
      <c r="AA94" s="25">
        <f t="shared" si="52"/>
        <v>0</v>
      </c>
      <c r="AB94" s="25" t="str">
        <f t="shared" si="53"/>
        <v>B4-01</v>
      </c>
      <c r="AC94" s="25" t="str">
        <f t="shared" si="54"/>
        <v>B3-19</v>
      </c>
      <c r="AD94" s="25" t="str">
        <f t="shared" si="55"/>
        <v/>
      </c>
      <c r="AE94" s="25" t="str">
        <f t="shared" si="56"/>
        <v/>
      </c>
      <c r="AF94" s="25" t="str">
        <f t="shared" si="57"/>
        <v/>
      </c>
      <c r="AG94" s="25" t="str">
        <f t="shared" si="58"/>
        <v/>
      </c>
      <c r="AH94" s="25" t="str">
        <f t="shared" si="59"/>
        <v/>
      </c>
      <c r="AI94" s="25" t="str">
        <f t="shared" si="60"/>
        <v/>
      </c>
      <c r="AJ94" s="25" t="str">
        <f t="shared" si="61"/>
        <v>未充足</v>
      </c>
      <c r="AK94" s="25" t="str">
        <f t="shared" si="62"/>
        <v>未充足</v>
      </c>
      <c r="AL94" s="25" t="str">
        <f t="shared" si="63"/>
        <v/>
      </c>
      <c r="AM94" s="25" t="str">
        <f t="shared" si="64"/>
        <v/>
      </c>
      <c r="AN94" s="25" t="str">
        <f t="shared" si="65"/>
        <v/>
      </c>
      <c r="AO94" s="25" t="str">
        <f t="shared" si="66"/>
        <v/>
      </c>
      <c r="AP94" s="25" t="str">
        <f t="shared" si="67"/>
        <v/>
      </c>
      <c r="AQ94" s="25" t="str">
        <f t="shared" si="68"/>
        <v/>
      </c>
      <c r="AR94" s="35" t="str">
        <f t="shared" si="69"/>
        <v/>
      </c>
      <c r="AS94" s="28" t="str">
        <f>IF(COUNTIF('02_工程タスク'!$A$4:$A$135,A94)&lt;&gt;1,"参照ID不正",IF(INDEX('02_工程タスク'!$H$4:$H$135,MATCH(A94,'02_工程タスク'!$A$4:$A$135,0))="","",INDEX('02_工程タスク'!$H$4:$H$135,MATCH(A94,'02_工程タスク'!$A$4:$A$135,0))))</f>
        <v>R18</v>
      </c>
      <c r="AT94" s="28" t="str">
        <f t="shared" si="70"/>
        <v>INIT-B4-11</v>
      </c>
      <c r="AU94" s="29" t="s">
        <v>3630</v>
      </c>
      <c r="AV94" s="29"/>
      <c r="AW94" s="29"/>
      <c r="AX94" s="32"/>
      <c r="AY94" s="29"/>
      <c r="AZ94" s="29"/>
      <c r="BA94" s="32"/>
      <c r="BB94" s="28" t="str">
        <f>IF(COUNTIF('02_工程タスク'!$A$4:$A$135,A94)&lt;&gt;1,"参照ID不正",IF(INDEX('02_工程タスク'!$O$4:$O$135,MATCH(A94,'02_工程タスク'!$A$4:$A$135,0))="","",INDEX('02_工程タスク'!$O$4:$O$135,MATCH(A94,'02_工程タスク'!$A$4:$A$135,0))))</f>
        <v>B4-01,B3-19</v>
      </c>
      <c r="BC94" s="28" t="str">
        <f t="shared" si="71"/>
        <v>記法OK</v>
      </c>
      <c r="BD94" s="28" t="str">
        <f>IF(A94="B6-01",IF(OR(AV94="",COUNTIF('29_ゲート承認記録'!$F$4:$F$83,AV94)&lt;&gt;1),"終了開始根拠不足",IF(IF(COUNTIF('29_ゲート承認記録'!$F$4:$F$83,AV94)&lt;&gt;1,"参照ID不正",IF(INDEX('29_ゲート承認記録'!$L$4:$L$83,MATCH(AV94,'29_ゲート承認記録'!$F$4:$F$83,0))="","",INDEX('29_ゲート承認記録'!$L$4:$L$83,MATCH(AV94,'29_ゲート承認記録'!$F$4:$F$83,0))))&lt;&gt;"Stop","Stop判断要確認","開始根拠あり")),IF(AND(A94="B5-18",AU94="事故"),IF(AV94="","事故レビュー参照不足","開始根拠あり"),"開始根拠あり"))</f>
        <v>開始根拠あり</v>
      </c>
      <c r="BE94" s="29"/>
      <c r="BF94" s="29"/>
    </row>
    <row r="95" spans="1:58" ht="38" customHeight="1" x14ac:dyDescent="0.2">
      <c r="A95" s="13" t="s">
        <v>1193</v>
      </c>
      <c r="B95" s="28" t="str">
        <f>IF(COUNTIF('02_工程タスク'!$A$4:$A$135,A95)&lt;&gt;1,"参照ID不正",IF(INDEX('02_工程タスク'!$B$4:$B$135,MATCH(A95,'02_工程タスク'!$A$4:$A$135,0))="","",INDEX('02_工程タスク'!$B$4:$B$135,MATCH(A95,'02_工程タスク'!$A$4:$A$135,0))))</f>
        <v>評価</v>
      </c>
      <c r="C95" s="28" t="str">
        <f>IF(COUNTIF('02_工程タスク'!$A$4:$A$135,A95)&lt;&gt;1,"参照ID不正",IF(INDEX('02_工程タスク'!$D$4:$D$135,MATCH(A95,'02_工程タスク'!$A$4:$A$135,0))="","",INDEX('02_工程タスク'!$D$4:$D$135,MATCH(A95,'02_工程タスク'!$A$4:$A$135,0))))</f>
        <v>Service Owner・当番・CS・通知確認</v>
      </c>
      <c r="D95" s="6"/>
      <c r="E95" s="6" t="s">
        <v>1598</v>
      </c>
      <c r="F95" s="6"/>
      <c r="G95" s="6"/>
      <c r="H95" s="5"/>
      <c r="I95" s="5"/>
      <c r="J95" s="5"/>
      <c r="K95" s="5"/>
      <c r="L95" s="6" t="s">
        <v>3629</v>
      </c>
      <c r="M95" s="6"/>
      <c r="N95" s="6"/>
      <c r="O95" s="5"/>
      <c r="P95" s="17"/>
      <c r="Q95" s="17"/>
      <c r="R95" s="6"/>
      <c r="S95" s="6"/>
      <c r="T95" s="6"/>
      <c r="U95" s="5"/>
      <c r="V95" s="6" t="s">
        <v>1200</v>
      </c>
      <c r="W95" s="28" t="str">
        <f t="shared" si="48"/>
        <v>適用未判定</v>
      </c>
      <c r="X95" s="28" t="str">
        <f t="shared" si="49"/>
        <v/>
      </c>
      <c r="Y95" s="26" t="str">
        <f t="shared" si="50"/>
        <v/>
      </c>
      <c r="Z95" s="26" t="str">
        <f t="shared" si="51"/>
        <v>適用未判定</v>
      </c>
      <c r="AA95" s="26">
        <f t="shared" si="52"/>
        <v>0</v>
      </c>
      <c r="AB95" s="26" t="str">
        <f t="shared" si="53"/>
        <v>B3-20</v>
      </c>
      <c r="AC95" s="26" t="str">
        <f t="shared" si="54"/>
        <v>B4-11</v>
      </c>
      <c r="AD95" s="26" t="str">
        <f t="shared" si="55"/>
        <v/>
      </c>
      <c r="AE95" s="26" t="str">
        <f t="shared" si="56"/>
        <v/>
      </c>
      <c r="AF95" s="26" t="str">
        <f t="shared" si="57"/>
        <v/>
      </c>
      <c r="AG95" s="26" t="str">
        <f t="shared" si="58"/>
        <v/>
      </c>
      <c r="AH95" s="26" t="str">
        <f t="shared" si="59"/>
        <v/>
      </c>
      <c r="AI95" s="26" t="str">
        <f t="shared" si="60"/>
        <v/>
      </c>
      <c r="AJ95" s="26" t="str">
        <f t="shared" si="61"/>
        <v>未充足</v>
      </c>
      <c r="AK95" s="26" t="str">
        <f t="shared" si="62"/>
        <v>未充足</v>
      </c>
      <c r="AL95" s="26" t="str">
        <f t="shared" si="63"/>
        <v/>
      </c>
      <c r="AM95" s="26" t="str">
        <f t="shared" si="64"/>
        <v/>
      </c>
      <c r="AN95" s="26" t="str">
        <f t="shared" si="65"/>
        <v/>
      </c>
      <c r="AO95" s="26" t="str">
        <f t="shared" si="66"/>
        <v/>
      </c>
      <c r="AP95" s="26" t="str">
        <f t="shared" si="67"/>
        <v/>
      </c>
      <c r="AQ95" s="26" t="str">
        <f t="shared" si="68"/>
        <v/>
      </c>
      <c r="AR95" s="36" t="str">
        <f t="shared" si="69"/>
        <v/>
      </c>
      <c r="AS95" s="28" t="str">
        <f>IF(COUNTIF('02_工程タスク'!$A$4:$A$135,A95)&lt;&gt;1,"参照ID不正",IF(INDEX('02_工程タスク'!$H$4:$H$135,MATCH(A95,'02_工程タスク'!$A$4:$A$135,0))="","",INDEX('02_工程タスク'!$H$4:$H$135,MATCH(A95,'02_工程タスク'!$A$4:$A$135,0))))</f>
        <v>R18</v>
      </c>
      <c r="AT95" s="28" t="str">
        <f t="shared" si="70"/>
        <v>INIT-B4-12</v>
      </c>
      <c r="AU95" s="29" t="s">
        <v>3630</v>
      </c>
      <c r="AV95" s="29"/>
      <c r="AW95" s="29"/>
      <c r="AX95" s="32"/>
      <c r="AY95" s="29"/>
      <c r="AZ95" s="29"/>
      <c r="BA95" s="32"/>
      <c r="BB95" s="28" t="str">
        <f>IF(COUNTIF('02_工程タスク'!$A$4:$A$135,A95)&lt;&gt;1,"参照ID不正",IF(INDEX('02_工程タスク'!$O$4:$O$135,MATCH(A95,'02_工程タスク'!$A$4:$A$135,0))="","",INDEX('02_工程タスク'!$O$4:$O$135,MATCH(A95,'02_工程タスク'!$A$4:$A$135,0))))</f>
        <v>B3-20,B4-11</v>
      </c>
      <c r="BC95" s="28" t="str">
        <f t="shared" si="71"/>
        <v>記法OK</v>
      </c>
      <c r="BD95" s="28" t="str">
        <f>IF(A95="B6-01",IF(OR(AV95="",COUNTIF('29_ゲート承認記録'!$F$4:$F$83,AV95)&lt;&gt;1),"終了開始根拠不足",IF(IF(COUNTIF('29_ゲート承認記録'!$F$4:$F$83,AV95)&lt;&gt;1,"参照ID不正",IF(INDEX('29_ゲート承認記録'!$L$4:$L$83,MATCH(AV95,'29_ゲート承認記録'!$F$4:$F$83,0))="","",INDEX('29_ゲート承認記録'!$L$4:$L$83,MATCH(AV95,'29_ゲート承認記録'!$F$4:$F$83,0))))&lt;&gt;"Stop","Stop判断要確認","開始根拠あり")),IF(AND(A95="B5-18",AU95="事故"),IF(AV95="","事故レビュー参照不足","開始根拠あり"),"開始根拠あり"))</f>
        <v>開始根拠あり</v>
      </c>
      <c r="BE95" s="29"/>
      <c r="BF95" s="29"/>
    </row>
    <row r="96" spans="1:58" ht="38" customHeight="1" x14ac:dyDescent="0.2">
      <c r="A96" s="13" t="s">
        <v>1203</v>
      </c>
      <c r="B96" s="28" t="str">
        <f>IF(COUNTIF('02_工程タスク'!$A$4:$A$135,A96)&lt;&gt;1,"参照ID不正",IF(INDEX('02_工程タスク'!$B$4:$B$135,MATCH(A96,'02_工程タスク'!$A$4:$A$135,0))="","",INDEX('02_工程タスク'!$B$4:$B$135,MATCH(A96,'02_工程タスク'!$A$4:$A$135,0))))</f>
        <v>評価</v>
      </c>
      <c r="C96" s="28" t="str">
        <f>IF(COUNTIF('02_工程タスク'!$A$4:$A$135,A96)&lt;&gt;1,"参照ID不正",IF(INDEX('02_工程タスク'!$D$4:$D$135,MATCH(A96,'02_工程タスク'!$A$4:$A$135,0))="","",INDEX('02_工程タスク'!$D$4:$D$135,MATCH(A96,'02_工程タスク'!$A$4:$A$135,0))))</f>
        <v>評価報告・残存リスク・公開勧告</v>
      </c>
      <c r="D96" s="6"/>
      <c r="E96" s="6" t="s">
        <v>1598</v>
      </c>
      <c r="F96" s="6"/>
      <c r="G96" s="6"/>
      <c r="H96" s="5"/>
      <c r="I96" s="5"/>
      <c r="J96" s="5"/>
      <c r="K96" s="5"/>
      <c r="L96" s="6" t="s">
        <v>3629</v>
      </c>
      <c r="M96" s="6"/>
      <c r="N96" s="6"/>
      <c r="O96" s="5"/>
      <c r="P96" s="17"/>
      <c r="Q96" s="17"/>
      <c r="R96" s="6"/>
      <c r="S96" s="6"/>
      <c r="T96" s="6"/>
      <c r="U96" s="5"/>
      <c r="V96" s="6" t="s">
        <v>1209</v>
      </c>
      <c r="W96" s="28" t="str">
        <f t="shared" si="48"/>
        <v>適用未判定</v>
      </c>
      <c r="X96" s="28" t="str">
        <f t="shared" si="49"/>
        <v/>
      </c>
      <c r="Y96" s="25" t="str">
        <f t="shared" si="50"/>
        <v/>
      </c>
      <c r="Z96" s="25" t="str">
        <f t="shared" si="51"/>
        <v>適用未判定</v>
      </c>
      <c r="AA96" s="25">
        <f t="shared" si="52"/>
        <v>0</v>
      </c>
      <c r="AB96" s="25" t="str">
        <f t="shared" si="53"/>
        <v>B4-02</v>
      </c>
      <c r="AC96" s="25" t="str">
        <f t="shared" si="54"/>
        <v>B4-03</v>
      </c>
      <c r="AD96" s="25" t="str">
        <f t="shared" si="55"/>
        <v>B4-04</v>
      </c>
      <c r="AE96" s="25" t="str">
        <f t="shared" si="56"/>
        <v>B4-05</v>
      </c>
      <c r="AF96" s="25" t="str">
        <f t="shared" si="57"/>
        <v>B4-06</v>
      </c>
      <c r="AG96" s="25" t="str">
        <f t="shared" si="58"/>
        <v>B4-07</v>
      </c>
      <c r="AH96" s="25" t="str">
        <f t="shared" si="59"/>
        <v>B4-08</v>
      </c>
      <c r="AI96" s="25" t="str">
        <f t="shared" si="60"/>
        <v>B4-09</v>
      </c>
      <c r="AJ96" s="25" t="str">
        <f t="shared" si="61"/>
        <v>未充足</v>
      </c>
      <c r="AK96" s="25" t="str">
        <f t="shared" si="62"/>
        <v>未充足</v>
      </c>
      <c r="AL96" s="25" t="str">
        <f t="shared" si="63"/>
        <v>未充足</v>
      </c>
      <c r="AM96" s="25" t="str">
        <f t="shared" si="64"/>
        <v>未充足</v>
      </c>
      <c r="AN96" s="25" t="str">
        <f t="shared" si="65"/>
        <v>未充足</v>
      </c>
      <c r="AO96" s="25" t="str">
        <f t="shared" si="66"/>
        <v>未充足</v>
      </c>
      <c r="AP96" s="25" t="str">
        <f t="shared" si="67"/>
        <v>未充足</v>
      </c>
      <c r="AQ96" s="25" t="str">
        <f t="shared" si="68"/>
        <v>未充足</v>
      </c>
      <c r="AR96" s="35" t="str">
        <f t="shared" si="69"/>
        <v/>
      </c>
      <c r="AS96" s="28" t="str">
        <f>IF(COUNTIF('02_工程タスク'!$A$4:$A$135,A96)&lt;&gt;1,"参照ID不正",IF(INDEX('02_工程タスク'!$H$4:$H$135,MATCH(A96,'02_工程タスク'!$A$4:$A$135,0))="","",INDEX('02_工程タスク'!$H$4:$H$135,MATCH(A96,'02_工程タスク'!$A$4:$A$135,0))))</f>
        <v>R19</v>
      </c>
      <c r="AT96" s="28" t="str">
        <f t="shared" si="70"/>
        <v>INIT-B4-13</v>
      </c>
      <c r="AU96" s="29" t="s">
        <v>3630</v>
      </c>
      <c r="AV96" s="29"/>
      <c r="AW96" s="29"/>
      <c r="AX96" s="32"/>
      <c r="AY96" s="29"/>
      <c r="AZ96" s="29"/>
      <c r="BA96" s="32"/>
      <c r="BB96" s="28" t="str">
        <f>IF(COUNTIF('02_工程タスク'!$A$4:$A$135,A96)&lt;&gt;1,"参照ID不正",IF(INDEX('02_工程タスク'!$O$4:$O$135,MATCH(A96,'02_工程タスク'!$A$4:$A$135,0))="","",INDEX('02_工程タスク'!$O$4:$O$135,MATCH(A96,'02_工程タスク'!$A$4:$A$135,0))))</f>
        <v>B4-02,B4-03,B4-04,B4-05,B4-06,B4-07,B4-08,B4-09</v>
      </c>
      <c r="BC96" s="28" t="str">
        <f t="shared" si="71"/>
        <v>記法OK</v>
      </c>
      <c r="BD96" s="28" t="str">
        <f>IF(A96="B6-01",IF(OR(AV96="",COUNTIF('29_ゲート承認記録'!$F$4:$F$83,AV96)&lt;&gt;1),"終了開始根拠不足",IF(IF(COUNTIF('29_ゲート承認記録'!$F$4:$F$83,AV96)&lt;&gt;1,"参照ID不正",IF(INDEX('29_ゲート承認記録'!$L$4:$L$83,MATCH(AV96,'29_ゲート承認記録'!$F$4:$F$83,0))="","",INDEX('29_ゲート承認記録'!$L$4:$L$83,MATCH(AV96,'29_ゲート承認記録'!$F$4:$F$83,0))))&lt;&gt;"Stop","Stop判断要確認","開始根拠あり")),IF(AND(A96="B5-18",AU96="事故"),IF(AV96="","事故レビュー参照不足","開始根拠あり"),"開始根拠あり"))</f>
        <v>開始根拠あり</v>
      </c>
      <c r="BE96" s="29"/>
      <c r="BF96" s="29"/>
    </row>
    <row r="97" spans="1:58" ht="38" customHeight="1" x14ac:dyDescent="0.2">
      <c r="A97" s="13" t="s">
        <v>1212</v>
      </c>
      <c r="B97" s="28" t="str">
        <f>IF(COUNTIF('02_工程タスク'!$A$4:$A$135,A97)&lt;&gt;1,"参照ID不正",IF(INDEX('02_工程タスク'!$B$4:$B$135,MATCH(A97,'02_工程タスク'!$A$4:$A$135,0))="","",INDEX('02_工程タスク'!$B$4:$B$135,MATCH(A97,'02_工程タスク'!$A$4:$A$135,0))))</f>
        <v>評価</v>
      </c>
      <c r="C97" s="28" t="str">
        <f>IF(COUNTIF('02_工程タスク'!$A$4:$A$135,A97)&lt;&gt;1,"参照ID不正",IF(INDEX('02_工程タスク'!$D$4:$D$135,MATCH(A97,'02_工程タスク'!$A$4:$A$135,0))="","",INDEX('02_工程タスク'!$D$4:$D$135,MATCH(A97,'02_工程タスク'!$A$4:$A$135,0))))</f>
        <v>Release Candidate・本番公開承認</v>
      </c>
      <c r="D97" s="6"/>
      <c r="E97" s="6" t="s">
        <v>1598</v>
      </c>
      <c r="F97" s="6"/>
      <c r="G97" s="6"/>
      <c r="H97" s="5"/>
      <c r="I97" s="5"/>
      <c r="J97" s="5"/>
      <c r="K97" s="5"/>
      <c r="L97" s="6" t="s">
        <v>3629</v>
      </c>
      <c r="M97" s="6"/>
      <c r="N97" s="6"/>
      <c r="O97" s="5"/>
      <c r="P97" s="17"/>
      <c r="Q97" s="17"/>
      <c r="R97" s="6"/>
      <c r="S97" s="6"/>
      <c r="T97" s="6"/>
      <c r="U97" s="5"/>
      <c r="V97" s="6" t="s">
        <v>1218</v>
      </c>
      <c r="W97" s="28" t="str">
        <f t="shared" si="48"/>
        <v>適用未判定</v>
      </c>
      <c r="X97" s="28" t="str">
        <f t="shared" si="49"/>
        <v/>
      </c>
      <c r="Y97" s="26" t="str">
        <f t="shared" si="50"/>
        <v/>
      </c>
      <c r="Z97" s="26" t="str">
        <f t="shared" si="51"/>
        <v>適用未判定</v>
      </c>
      <c r="AA97" s="26">
        <f t="shared" si="52"/>
        <v>0</v>
      </c>
      <c r="AB97" s="26" t="str">
        <f t="shared" si="53"/>
        <v>B4-13</v>
      </c>
      <c r="AC97" s="26" t="str">
        <f t="shared" si="54"/>
        <v>B4-10</v>
      </c>
      <c r="AD97" s="26" t="str">
        <f t="shared" si="55"/>
        <v>B4-12</v>
      </c>
      <c r="AE97" s="26" t="str">
        <f t="shared" si="56"/>
        <v/>
      </c>
      <c r="AF97" s="26" t="str">
        <f t="shared" si="57"/>
        <v/>
      </c>
      <c r="AG97" s="26" t="str">
        <f t="shared" si="58"/>
        <v/>
      </c>
      <c r="AH97" s="26" t="str">
        <f t="shared" si="59"/>
        <v/>
      </c>
      <c r="AI97" s="26" t="str">
        <f t="shared" si="60"/>
        <v/>
      </c>
      <c r="AJ97" s="26" t="str">
        <f t="shared" si="61"/>
        <v>未充足</v>
      </c>
      <c r="AK97" s="26" t="str">
        <f t="shared" si="62"/>
        <v>未充足</v>
      </c>
      <c r="AL97" s="26" t="str">
        <f t="shared" si="63"/>
        <v>未充足</v>
      </c>
      <c r="AM97" s="26" t="str">
        <f t="shared" si="64"/>
        <v/>
      </c>
      <c r="AN97" s="26" t="str">
        <f t="shared" si="65"/>
        <v/>
      </c>
      <c r="AO97" s="26" t="str">
        <f t="shared" si="66"/>
        <v/>
      </c>
      <c r="AP97" s="26" t="str">
        <f t="shared" si="67"/>
        <v/>
      </c>
      <c r="AQ97" s="26" t="str">
        <f t="shared" si="68"/>
        <v/>
      </c>
      <c r="AR97" s="36" t="str">
        <f t="shared" si="69"/>
        <v/>
      </c>
      <c r="AS97" s="28" t="str">
        <f>IF(COUNTIF('02_工程タスク'!$A$4:$A$135,A97)&lt;&gt;1,"参照ID不正",IF(INDEX('02_工程タスク'!$H$4:$H$135,MATCH(A97,'02_工程タスク'!$A$4:$A$135,0))="","",INDEX('02_工程タスク'!$H$4:$H$135,MATCH(A97,'02_工程タスク'!$A$4:$A$135,0))))</f>
        <v>R18</v>
      </c>
      <c r="AT97" s="28" t="str">
        <f t="shared" si="70"/>
        <v>INIT-B4-14</v>
      </c>
      <c r="AU97" s="29" t="s">
        <v>3630</v>
      </c>
      <c r="AV97" s="29"/>
      <c r="AW97" s="29"/>
      <c r="AX97" s="32"/>
      <c r="AY97" s="29"/>
      <c r="AZ97" s="29"/>
      <c r="BA97" s="32"/>
      <c r="BB97" s="28" t="str">
        <f>IF(COUNTIF('02_工程タスク'!$A$4:$A$135,A97)&lt;&gt;1,"参照ID不正",IF(INDEX('02_工程タスク'!$O$4:$O$135,MATCH(A97,'02_工程タスク'!$A$4:$A$135,0))="","",INDEX('02_工程タスク'!$O$4:$O$135,MATCH(A97,'02_工程タスク'!$A$4:$A$135,0))))</f>
        <v>B4-13,B4-10,B4-12</v>
      </c>
      <c r="BC97" s="28" t="str">
        <f t="shared" si="71"/>
        <v>記法OK</v>
      </c>
      <c r="BD97" s="28" t="str">
        <f>IF(A97="B6-01",IF(OR(AV97="",COUNTIF('29_ゲート承認記録'!$F$4:$F$83,AV97)&lt;&gt;1),"終了開始根拠不足",IF(IF(COUNTIF('29_ゲート承認記録'!$F$4:$F$83,AV97)&lt;&gt;1,"参照ID不正",IF(INDEX('29_ゲート承認記録'!$L$4:$L$83,MATCH(AV97,'29_ゲート承認記録'!$F$4:$F$83,0))="","",INDEX('29_ゲート承認記録'!$L$4:$L$83,MATCH(AV97,'29_ゲート承認記録'!$F$4:$F$83,0))))&lt;&gt;"Stop","Stop判断要確認","開始根拠あり")),IF(AND(A97="B5-18",AU97="事故"),IF(AV97="","事故レビュー参照不足","開始根拠あり"),"開始根拠あり"))</f>
        <v>開始根拠あり</v>
      </c>
      <c r="BE97" s="29"/>
      <c r="BF97" s="29"/>
    </row>
    <row r="98" spans="1:58" ht="38" customHeight="1" x14ac:dyDescent="0.2">
      <c r="A98" s="13" t="s">
        <v>1221</v>
      </c>
      <c r="B98" s="28" t="str">
        <f>IF(COUNTIF('02_工程タスク'!$A$4:$A$135,A98)&lt;&gt;1,"参照ID不正",IF(INDEX('02_工程タスク'!$B$4:$B$135,MATCH(A98,'02_工程タスク'!$A$4:$A$135,0))="","",INDEX('02_工程タスク'!$B$4:$B$135,MATCH(A98,'02_工程タスク'!$A$4:$A$135,0))))</f>
        <v>評価</v>
      </c>
      <c r="C98" s="28" t="str">
        <f>IF(COUNTIF('02_工程タスク'!$A$4:$A$135,A98)&lt;&gt;1,"参照ID不正",IF(INDEX('02_工程タスク'!$D$4:$D$135,MATCH(A98,'02_工程タスク'!$A$4:$A$135,0))="","",INDEX('02_工程タスク'!$D$4:$D$135,MATCH(A98,'02_工程タスク'!$A$4:$A$135,0))))</f>
        <v>限定公開・canary・実利用確認</v>
      </c>
      <c r="D98" s="6"/>
      <c r="E98" s="6" t="s">
        <v>1598</v>
      </c>
      <c r="F98" s="6"/>
      <c r="G98" s="6"/>
      <c r="H98" s="5"/>
      <c r="I98" s="5"/>
      <c r="J98" s="5"/>
      <c r="K98" s="5"/>
      <c r="L98" s="6" t="s">
        <v>3629</v>
      </c>
      <c r="M98" s="6"/>
      <c r="N98" s="6"/>
      <c r="O98" s="5"/>
      <c r="P98" s="17"/>
      <c r="Q98" s="17"/>
      <c r="R98" s="6"/>
      <c r="S98" s="6"/>
      <c r="T98" s="6"/>
      <c r="U98" s="5"/>
      <c r="V98" s="6" t="s">
        <v>1212</v>
      </c>
      <c r="W98" s="28" t="str">
        <f t="shared" si="48"/>
        <v>適用未判定</v>
      </c>
      <c r="X98" s="28" t="str">
        <f t="shared" si="49"/>
        <v/>
      </c>
      <c r="Y98" s="25" t="str">
        <f t="shared" si="50"/>
        <v/>
      </c>
      <c r="Z98" s="25" t="str">
        <f t="shared" si="51"/>
        <v>適用未判定</v>
      </c>
      <c r="AA98" s="25">
        <f t="shared" si="52"/>
        <v>0</v>
      </c>
      <c r="AB98" s="25" t="str">
        <f t="shared" si="53"/>
        <v>B4-14</v>
      </c>
      <c r="AC98" s="25" t="str">
        <f t="shared" si="54"/>
        <v/>
      </c>
      <c r="AD98" s="25" t="str">
        <f t="shared" si="55"/>
        <v/>
      </c>
      <c r="AE98" s="25" t="str">
        <f t="shared" si="56"/>
        <v/>
      </c>
      <c r="AF98" s="25" t="str">
        <f t="shared" si="57"/>
        <v/>
      </c>
      <c r="AG98" s="25" t="str">
        <f t="shared" si="58"/>
        <v/>
      </c>
      <c r="AH98" s="25" t="str">
        <f t="shared" si="59"/>
        <v/>
      </c>
      <c r="AI98" s="25" t="str">
        <f t="shared" si="60"/>
        <v/>
      </c>
      <c r="AJ98" s="25" t="str">
        <f t="shared" si="61"/>
        <v>未充足</v>
      </c>
      <c r="AK98" s="25" t="str">
        <f t="shared" si="62"/>
        <v/>
      </c>
      <c r="AL98" s="25" t="str">
        <f t="shared" si="63"/>
        <v/>
      </c>
      <c r="AM98" s="25" t="str">
        <f t="shared" si="64"/>
        <v/>
      </c>
      <c r="AN98" s="25" t="str">
        <f t="shared" si="65"/>
        <v/>
      </c>
      <c r="AO98" s="25" t="str">
        <f t="shared" si="66"/>
        <v/>
      </c>
      <c r="AP98" s="25" t="str">
        <f t="shared" si="67"/>
        <v/>
      </c>
      <c r="AQ98" s="25" t="str">
        <f t="shared" si="68"/>
        <v/>
      </c>
      <c r="AR98" s="35" t="str">
        <f t="shared" si="69"/>
        <v/>
      </c>
      <c r="AS98" s="28" t="str">
        <f>IF(COUNTIF('02_工程タスク'!$A$4:$A$135,A98)&lt;&gt;1,"参照ID不正",IF(INDEX('02_工程タスク'!$H$4:$H$135,MATCH(A98,'02_工程タスク'!$A$4:$A$135,0))="","",INDEX('02_工程タスク'!$H$4:$H$135,MATCH(A98,'02_工程タスク'!$A$4:$A$135,0))))</f>
        <v>R18</v>
      </c>
      <c r="AT98" s="28" t="str">
        <f t="shared" si="70"/>
        <v>INIT-B4-15</v>
      </c>
      <c r="AU98" s="29" t="s">
        <v>3630</v>
      </c>
      <c r="AV98" s="29"/>
      <c r="AW98" s="29"/>
      <c r="AX98" s="32"/>
      <c r="AY98" s="29"/>
      <c r="AZ98" s="29"/>
      <c r="BA98" s="32"/>
      <c r="BB98" s="28" t="str">
        <f>IF(COUNTIF('02_工程タスク'!$A$4:$A$135,A98)&lt;&gt;1,"参照ID不正",IF(INDEX('02_工程タスク'!$O$4:$O$135,MATCH(A98,'02_工程タスク'!$A$4:$A$135,0))="","",INDEX('02_工程タスク'!$O$4:$O$135,MATCH(A98,'02_工程タスク'!$A$4:$A$135,0))))</f>
        <v>B4-14</v>
      </c>
      <c r="BC98" s="28" t="str">
        <f t="shared" si="71"/>
        <v>記法OK</v>
      </c>
      <c r="BD98" s="28" t="str">
        <f>IF(A98="B6-01",IF(OR(AV98="",COUNTIF('29_ゲート承認記録'!$F$4:$F$83,AV98)&lt;&gt;1),"終了開始根拠不足",IF(IF(COUNTIF('29_ゲート承認記録'!$F$4:$F$83,AV98)&lt;&gt;1,"参照ID不正",IF(INDEX('29_ゲート承認記録'!$L$4:$L$83,MATCH(AV98,'29_ゲート承認記録'!$F$4:$F$83,0))="","",INDEX('29_ゲート承認記録'!$L$4:$L$83,MATCH(AV98,'29_ゲート承認記録'!$F$4:$F$83,0))))&lt;&gt;"Stop","Stop判断要確認","開始根拠あり")),IF(AND(A98="B5-18",AU98="事故"),IF(AV98="","事故レビュー参照不足","開始根拠あり"),"開始根拠あり"))</f>
        <v>開始根拠あり</v>
      </c>
      <c r="BE98" s="29"/>
      <c r="BF98" s="29"/>
    </row>
    <row r="99" spans="1:58" ht="38" customHeight="1" x14ac:dyDescent="0.2">
      <c r="A99" s="13" t="s">
        <v>1230</v>
      </c>
      <c r="B99" s="28" t="str">
        <f>IF(COUNTIF('02_工程タスク'!$A$4:$A$135,A99)&lt;&gt;1,"参照ID不正",IF(INDEX('02_工程タスク'!$B$4:$B$135,MATCH(A99,'02_工程タスク'!$A$4:$A$135,0))="","",INDEX('02_工程タスク'!$B$4:$B$135,MATCH(A99,'02_工程タスク'!$A$4:$A$135,0))))</f>
        <v>評価</v>
      </c>
      <c r="C99" s="28" t="str">
        <f>IF(COUNTIF('02_工程タスク'!$A$4:$A$135,A99)&lt;&gt;1,"参照ID不正",IF(INDEX('02_工程タスク'!$D$4:$D$135,MATCH(A99,'02_工程タスク'!$A$4:$A$135,0))="","",INDEX('02_工程タスク'!$D$4:$D$135,MATCH(A99,'02_工程タスク'!$A$4:$A$135,0))))</f>
        <v>ローンチ・価格・営業・導入開始</v>
      </c>
      <c r="D99" s="6"/>
      <c r="E99" s="6" t="s">
        <v>1598</v>
      </c>
      <c r="F99" s="6"/>
      <c r="G99" s="6"/>
      <c r="H99" s="5"/>
      <c r="I99" s="5"/>
      <c r="J99" s="5"/>
      <c r="K99" s="5"/>
      <c r="L99" s="6" t="s">
        <v>3629</v>
      </c>
      <c r="M99" s="6"/>
      <c r="N99" s="6"/>
      <c r="O99" s="5"/>
      <c r="P99" s="17"/>
      <c r="Q99" s="17"/>
      <c r="R99" s="6"/>
      <c r="S99" s="6"/>
      <c r="T99" s="6"/>
      <c r="U99" s="5"/>
      <c r="V99" s="6" t="s">
        <v>1236</v>
      </c>
      <c r="W99" s="28" t="str">
        <f t="shared" si="48"/>
        <v>適用未判定</v>
      </c>
      <c r="X99" s="28" t="str">
        <f t="shared" si="49"/>
        <v/>
      </c>
      <c r="Y99" s="26" t="str">
        <f t="shared" si="50"/>
        <v/>
      </c>
      <c r="Z99" s="26" t="str">
        <f t="shared" si="51"/>
        <v>適用未判定</v>
      </c>
      <c r="AA99" s="26">
        <f t="shared" si="52"/>
        <v>0</v>
      </c>
      <c r="AB99" s="26" t="str">
        <f t="shared" si="53"/>
        <v>B4-15</v>
      </c>
      <c r="AC99" s="26" t="str">
        <f t="shared" si="54"/>
        <v>B4-10</v>
      </c>
      <c r="AD99" s="26" t="str">
        <f t="shared" si="55"/>
        <v>B4-12</v>
      </c>
      <c r="AE99" s="26" t="str">
        <f t="shared" si="56"/>
        <v/>
      </c>
      <c r="AF99" s="26" t="str">
        <f t="shared" si="57"/>
        <v/>
      </c>
      <c r="AG99" s="26" t="str">
        <f t="shared" si="58"/>
        <v/>
      </c>
      <c r="AH99" s="26" t="str">
        <f t="shared" si="59"/>
        <v/>
      </c>
      <c r="AI99" s="26" t="str">
        <f t="shared" si="60"/>
        <v/>
      </c>
      <c r="AJ99" s="26" t="str">
        <f t="shared" si="61"/>
        <v>未充足</v>
      </c>
      <c r="AK99" s="26" t="str">
        <f t="shared" si="62"/>
        <v>未充足</v>
      </c>
      <c r="AL99" s="26" t="str">
        <f t="shared" si="63"/>
        <v>未充足</v>
      </c>
      <c r="AM99" s="26" t="str">
        <f t="shared" si="64"/>
        <v/>
      </c>
      <c r="AN99" s="26" t="str">
        <f t="shared" si="65"/>
        <v/>
      </c>
      <c r="AO99" s="26" t="str">
        <f t="shared" si="66"/>
        <v/>
      </c>
      <c r="AP99" s="26" t="str">
        <f t="shared" si="67"/>
        <v/>
      </c>
      <c r="AQ99" s="26" t="str">
        <f t="shared" si="68"/>
        <v/>
      </c>
      <c r="AR99" s="36" t="str">
        <f t="shared" si="69"/>
        <v/>
      </c>
      <c r="AS99" s="28" t="str">
        <f>IF(COUNTIF('02_工程タスク'!$A$4:$A$135,A99)&lt;&gt;1,"参照ID不正",IF(INDEX('02_工程タスク'!$H$4:$H$135,MATCH(A99,'02_工程タスク'!$A$4:$A$135,0))="","",INDEX('02_工程タスク'!$H$4:$H$135,MATCH(A99,'02_工程タスク'!$A$4:$A$135,0))))</f>
        <v>R01</v>
      </c>
      <c r="AT99" s="28" t="str">
        <f t="shared" si="70"/>
        <v>INIT-B4-16</v>
      </c>
      <c r="AU99" s="29" t="s">
        <v>3630</v>
      </c>
      <c r="AV99" s="29"/>
      <c r="AW99" s="29"/>
      <c r="AX99" s="32"/>
      <c r="AY99" s="29"/>
      <c r="AZ99" s="29"/>
      <c r="BA99" s="32"/>
      <c r="BB99" s="28" t="str">
        <f>IF(COUNTIF('02_工程タスク'!$A$4:$A$135,A99)&lt;&gt;1,"参照ID不正",IF(INDEX('02_工程タスク'!$O$4:$O$135,MATCH(A99,'02_工程タスク'!$A$4:$A$135,0))="","",INDEX('02_工程タスク'!$O$4:$O$135,MATCH(A99,'02_工程タスク'!$A$4:$A$135,0))))</f>
        <v>B4-15,B4-10,B4-12</v>
      </c>
      <c r="BC99" s="28" t="str">
        <f t="shared" si="71"/>
        <v>記法OK</v>
      </c>
      <c r="BD99" s="28" t="str">
        <f>IF(A99="B6-01",IF(OR(AV99="",COUNTIF('29_ゲート承認記録'!$F$4:$F$83,AV99)&lt;&gt;1),"終了開始根拠不足",IF(IF(COUNTIF('29_ゲート承認記録'!$F$4:$F$83,AV99)&lt;&gt;1,"参照ID不正",IF(INDEX('29_ゲート承認記録'!$L$4:$L$83,MATCH(AV99,'29_ゲート承認記録'!$F$4:$F$83,0))="","",INDEX('29_ゲート承認記録'!$L$4:$L$83,MATCH(AV99,'29_ゲート承認記録'!$F$4:$F$83,0))))&lt;&gt;"Stop","Stop判断要確認","開始根拠あり")),IF(AND(A99="B5-18",AU99="事故"),IF(AV99="","事故レビュー参照不足","開始根拠あり"),"開始根拠あり"))</f>
        <v>開始根拠あり</v>
      </c>
      <c r="BE99" s="29"/>
      <c r="BF99" s="29"/>
    </row>
    <row r="100" spans="1:58" ht="38" customHeight="1" x14ac:dyDescent="0.2">
      <c r="A100" s="13" t="s">
        <v>1238</v>
      </c>
      <c r="B100" s="28" t="str">
        <f>IF(COUNTIF('02_工程タスク'!$A$4:$A$135,A100)&lt;&gt;1,"参照ID不正",IF(INDEX('02_工程タスク'!$B$4:$B$135,MATCH(A100,'02_工程タスク'!$A$4:$A$135,0))="","",INDEX('02_工程タスク'!$B$4:$B$135,MATCH(A100,'02_工程タスク'!$A$4:$A$135,0))))</f>
        <v>評価</v>
      </c>
      <c r="C100" s="28" t="str">
        <f>IF(COUNTIF('02_工程タスク'!$A$4:$A$135,A100)&lt;&gt;1,"参照ID不正",IF(INDEX('02_工程タスク'!$D$4:$D$135,MATCH(A100,'02_工程タスク'!$A$4:$A$135,0))="","",INDEX('02_工程タスク'!$D$4:$D$135,MATCH(A100,'02_工程タスク'!$A$4:$A$135,0))))</f>
        <v>初期実績・運用移管・残件の引継ぎ</v>
      </c>
      <c r="D100" s="6"/>
      <c r="E100" s="6" t="s">
        <v>1598</v>
      </c>
      <c r="F100" s="6"/>
      <c r="G100" s="6"/>
      <c r="H100" s="5"/>
      <c r="I100" s="5"/>
      <c r="J100" s="5"/>
      <c r="K100" s="5"/>
      <c r="L100" s="6" t="s">
        <v>3629</v>
      </c>
      <c r="M100" s="6"/>
      <c r="N100" s="6"/>
      <c r="O100" s="5"/>
      <c r="P100" s="17"/>
      <c r="Q100" s="17"/>
      <c r="R100" s="6"/>
      <c r="S100" s="6"/>
      <c r="T100" s="6"/>
      <c r="U100" s="5"/>
      <c r="V100" s="6" t="s">
        <v>1245</v>
      </c>
      <c r="W100" s="28" t="str">
        <f t="shared" ref="W100:W131" si="72">IF(OR(COUNTIF(TaskIDs,A100)&lt;&gt;1,COUNTIF($A$4:$A$135,A100)&lt;&gt;1),"Task ID不正・重複",IF(OR(AND(P100&lt;&gt;"",OR(NOT(ISNUMBER(P100)),IFERROR(P100&lt;0,TRUE))),AND(Q100&lt;&gt;"",OR(NOT(ISNUMBER(Q100)),IFERROR(Q100&lt;0,TRUE)))),"人時間不正",IF(OR(AND(J100&lt;&gt;"",OR(NOT(ISNUMBER(J100)),IFERROR(J100&lt;1,TRUE),IFERROR(INT(J100)&gt;INT(AsOfDate),TRUE))),AND(K100&lt;&gt;"",OR(NOT(ISNUMBER(K100)),IFERROR(K100&lt;1,TRUE),IFERROR(INT(K100)&gt;INT(AsOfDate),TRUE))),AND(O100&lt;&gt;"",OR(NOT(ISNUMBER(O100)),IFERROR(O100&lt;1,TRUE),IFERROR(INT(O100)&gt;INT(AsOfDate),TRUE))),AND(U100&lt;&gt;"",OR(NOT(ISNUMBER(U100)),IFERROR(U100&lt;1,TRUE),IFERROR(INT(U100)&gt;INT(AsOfDate),TRUE))),AND(BA100&lt;&gt;"",OR(NOT(ISNUMBER(BA100)),IFERROR(BA100&lt;1,TRUE),IFERROR(INT(BA100)&gt;INT(AsOfDate),TRUE)))),"実績・承認日不正",IF(AND(COUNT(H100:I100)=2,H100&gt;I100),"予定日不正",IF(E100="未判定","適用未判定",IF(E100="対象外",IF(OR(F100="",T100="",NOT(ISNUMBER(U100))),"除外承認不足","除外記録済"),IF(E100&lt;&gt;"適用","適用判定不正",IF(OR(T100="",NOT(ISNUMBER(U100))),"適用承認不足",IF(AND(V100&lt;&gt;BB100,OR(AY100="",AZ100="",NOT(ISNUMBER(BA100)))),"依存変更承認不足",IF(L100&lt;&gt;"完了","未完了",IF(OR(OR(G100="",M100="",N100="",BE100="",BF100=""),COUNT(J100:K100)&lt;2,NOT(ISNUMBER(O100))),"完了証拠不足",IF(OR(J100&gt;K100,O100&lt;K100,U100&gt;J100),"完了・適用日逆転",IF(BD100&lt;&gt;"開始根拠あり",BD100,IF(AND(AS100="R19",OR(G100=N100,BE100=BF100)),"独立承認不足","完了記録済"))))))))))))))</f>
        <v>適用未判定</v>
      </c>
      <c r="X100" s="28" t="str">
        <f t="shared" ref="X100:X135" si="73">IF(E100&lt;&gt;"適用","",IF(AND(V100&lt;&gt;BB100,OR(AY100="",AZ100="",NOT(ISNUMBER(BA100)))),"依存変更承認不足",IF(BC100="依存なし","なし",IF(BC100&lt;&gt;"記法OK",BC100,IF(COUNTIF(AJ100:AQ100,"ID不正")&gt;0,"依存ID不正",IF(COUNTIF(AJ100:AQ100,"未充足")&gt;0,"前提未充足","記録上充足"))))))</f>
        <v/>
      </c>
      <c r="Y100" s="25" t="str">
        <f t="shared" ref="Y100:Y135" si="74">IF(OR(E100&lt;&gt;"適用",L100="完了",I100=""),"",IF(NOT(ISNUMBER(I100)),"予定日不正",IF(I100&lt;AsOfDate,"期限超過","期限内")))</f>
        <v/>
      </c>
      <c r="Z100" s="25" t="str">
        <f t="shared" ref="Z100:Z135" si="75">IF(W100="完了記録済",IF(OR(X100="なし",X100="記録上充足"),"完了記録・前提充足",X100),W100)</f>
        <v>適用未判定</v>
      </c>
      <c r="AA100" s="25">
        <f t="shared" ref="AA100:AA135" si="76">IF(AND(E100="適用",L100="完了",W100="完了記録済",OR(X100="なし",X100="記録上充足")),1,0)</f>
        <v>0</v>
      </c>
      <c r="AB100" s="25" t="str">
        <f t="shared" ref="AB100:AB135" si="77">TRIM(MID(SUBSTITUTE($V100,",",REPT(" ",64)),1,64))</f>
        <v>B4-15</v>
      </c>
      <c r="AC100" s="25" t="str">
        <f t="shared" ref="AC100:AC135" si="78">TRIM(MID(SUBSTITUTE($V100,",",REPT(" ",64)),65,64))</f>
        <v>B4-16</v>
      </c>
      <c r="AD100" s="25" t="str">
        <f t="shared" ref="AD100:AD135" si="79">TRIM(MID(SUBSTITUTE($V100,",",REPT(" ",64)),129,64))</f>
        <v/>
      </c>
      <c r="AE100" s="25" t="str">
        <f t="shared" ref="AE100:AE135" si="80">TRIM(MID(SUBSTITUTE($V100,",",REPT(" ",64)),193,64))</f>
        <v/>
      </c>
      <c r="AF100" s="25" t="str">
        <f t="shared" ref="AF100:AF135" si="81">TRIM(MID(SUBSTITUTE($V100,",",REPT(" ",64)),257,64))</f>
        <v/>
      </c>
      <c r="AG100" s="25" t="str">
        <f t="shared" ref="AG100:AG135" si="82">TRIM(MID(SUBSTITUTE($V100,",",REPT(" ",64)),321,64))</f>
        <v/>
      </c>
      <c r="AH100" s="25" t="str">
        <f t="shared" ref="AH100:AH135" si="83">TRIM(MID(SUBSTITUTE($V100,",",REPT(" ",64)),385,64))</f>
        <v/>
      </c>
      <c r="AI100" s="25" t="str">
        <f t="shared" ref="AI100:AI135" si="84">TRIM(MID(SUBSTITUTE($V100,",",REPT(" ",64)),449,64))</f>
        <v/>
      </c>
      <c r="AJ100" s="25" t="str">
        <f t="shared" ref="AJ100:AJ135" si="85">IF(AB100="","",IF(OR(AB100=$A100,COUNTIF($A$4:$A$135,AB100)&lt;&gt;1,COUNTIF($AB100:$AI100,AB100)&gt;1),"ID不正",IFERROR(IF(OR(INDEX($W$4:$W$135,MATCH(AB100,$A$4:$A$135,0))="完了記録済",INDEX($W$4:$W$135,MATCH(AB100,$A$4:$A$135,0))="除外記録済"),"記録充足","未充足"),"ID不正")))</f>
        <v>未充足</v>
      </c>
      <c r="AK100" s="25" t="str">
        <f t="shared" ref="AK100:AK135" si="86">IF(AC100="","",IF(OR(AC100=$A100,COUNTIF($A$4:$A$135,AC100)&lt;&gt;1,COUNTIF($AB100:$AI100,AC100)&gt;1),"ID不正",IFERROR(IF(OR(INDEX($W$4:$W$135,MATCH(AC100,$A$4:$A$135,0))="完了記録済",INDEX($W$4:$W$135,MATCH(AC100,$A$4:$A$135,0))="除外記録済"),"記録充足","未充足"),"ID不正")))</f>
        <v>未充足</v>
      </c>
      <c r="AL100" s="25" t="str">
        <f t="shared" ref="AL100:AL135" si="87">IF(AD100="","",IF(OR(AD100=$A100,COUNTIF($A$4:$A$135,AD100)&lt;&gt;1,COUNTIF($AB100:$AI100,AD100)&gt;1),"ID不正",IFERROR(IF(OR(INDEX($W$4:$W$135,MATCH(AD100,$A$4:$A$135,0))="完了記録済",INDEX($W$4:$W$135,MATCH(AD100,$A$4:$A$135,0))="除外記録済"),"記録充足","未充足"),"ID不正")))</f>
        <v/>
      </c>
      <c r="AM100" s="25" t="str">
        <f t="shared" ref="AM100:AM135" si="88">IF(AE100="","",IF(OR(AE100=$A100,COUNTIF($A$4:$A$135,AE100)&lt;&gt;1,COUNTIF($AB100:$AI100,AE100)&gt;1),"ID不正",IFERROR(IF(OR(INDEX($W$4:$W$135,MATCH(AE100,$A$4:$A$135,0))="完了記録済",INDEX($W$4:$W$135,MATCH(AE100,$A$4:$A$135,0))="除外記録済"),"記録充足","未充足"),"ID不正")))</f>
        <v/>
      </c>
      <c r="AN100" s="25" t="str">
        <f t="shared" ref="AN100:AN135" si="89">IF(AF100="","",IF(OR(AF100=$A100,COUNTIF($A$4:$A$135,AF100)&lt;&gt;1,COUNTIF($AB100:$AI100,AF100)&gt;1),"ID不正",IFERROR(IF(OR(INDEX($W$4:$W$135,MATCH(AF100,$A$4:$A$135,0))="完了記録済",INDEX($W$4:$W$135,MATCH(AF100,$A$4:$A$135,0))="除外記録済"),"記録充足","未充足"),"ID不正")))</f>
        <v/>
      </c>
      <c r="AO100" s="25" t="str">
        <f t="shared" ref="AO100:AO135" si="90">IF(AG100="","",IF(OR(AG100=$A100,COUNTIF($A$4:$A$135,AG100)&lt;&gt;1,COUNTIF($AB100:$AI100,AG100)&gt;1),"ID不正",IFERROR(IF(OR(INDEX($W$4:$W$135,MATCH(AG100,$A$4:$A$135,0))="完了記録済",INDEX($W$4:$W$135,MATCH(AG100,$A$4:$A$135,0))="除外記録済"),"記録充足","未充足"),"ID不正")))</f>
        <v/>
      </c>
      <c r="AP100" s="25" t="str">
        <f t="shared" ref="AP100:AP135" si="91">IF(AH100="","",IF(OR(AH100=$A100,COUNTIF($A$4:$A$135,AH100)&lt;&gt;1,COUNTIF($AB100:$AI100,AH100)&gt;1),"ID不正",IFERROR(IF(OR(INDEX($W$4:$W$135,MATCH(AH100,$A$4:$A$135,0))="完了記録済",INDEX($W$4:$W$135,MATCH(AH100,$A$4:$A$135,0))="除外記録済"),"記録充足","未充足"),"ID不正")))</f>
        <v/>
      </c>
      <c r="AQ100" s="25" t="str">
        <f t="shared" ref="AQ100:AQ135" si="92">IF(AI100="","",IF(OR(AI100=$A100,COUNTIF($A$4:$A$135,AI100)&lt;&gt;1,COUNTIF($AB100:$AI100,AI100)&gt;1),"ID不正",IFERROR(IF(OR(INDEX($W$4:$W$135,MATCH(AI100,$A$4:$A$135,0))="完了記録済",INDEX($W$4:$W$135,MATCH(AI100,$A$4:$A$135,0))="除外記録済"),"記録充足","未充足"),"ID不正")))</f>
        <v/>
      </c>
      <c r="AR100" s="35" t="str">
        <f t="shared" ref="AR100:AR135" si="93">IF(COUNT(P100:Q100)&lt;2,"",Q100-P100)</f>
        <v/>
      </c>
      <c r="AS100" s="28" t="str">
        <f>IF(COUNTIF('02_工程タスク'!$A$4:$A$135,A100)&lt;&gt;1,"参照ID不正",IF(INDEX('02_工程タスク'!$H$4:$H$135,MATCH(A100,'02_工程タスク'!$A$4:$A$135,0))="","",INDEX('02_工程タスク'!$H$4:$H$135,MATCH(A100,'02_工程タスク'!$A$4:$A$135,0))))</f>
        <v>R18</v>
      </c>
      <c r="AT100" s="28" t="str">
        <f t="shared" ref="AT100:AT135" si="94">IF(A100="","","INIT-"&amp;A100)</f>
        <v>INIT-B4-17</v>
      </c>
      <c r="AU100" s="29" t="s">
        <v>3630</v>
      </c>
      <c r="AV100" s="29"/>
      <c r="AW100" s="29"/>
      <c r="AX100" s="32"/>
      <c r="AY100" s="29"/>
      <c r="AZ100" s="29"/>
      <c r="BA100" s="32"/>
      <c r="BB100" s="28" t="str">
        <f>IF(COUNTIF('02_工程タスク'!$A$4:$A$135,A100)&lt;&gt;1,"参照ID不正",IF(INDEX('02_工程タスク'!$O$4:$O$135,MATCH(A100,'02_工程タスク'!$A$4:$A$135,0))="","",INDEX('02_工程タスク'!$O$4:$O$135,MATCH(A100,'02_工程タスク'!$A$4:$A$135,0))))</f>
        <v>B4-15,B4-16</v>
      </c>
      <c r="BC100" s="28" t="str">
        <f t="shared" ref="BC100:BC135" si="95">IF(V100="","依存なし",IF(OR(LEFT(V100,1)=",",RIGHT(V100,1)=",",ISNUMBER(SEARCH(",,",SUBSTITUTE(V100," ",""))),LEN(V100)&lt;&gt;LEN(SUBSTITUTE(V100," ","")),ISNUMBER(SEARCH("，",V100))),"依存記法不正",IF(LEN(V100)-LEN(SUBSTITUTE(V100,",",""))&gt;7,"依存8件超過","記法OK")))</f>
        <v>記法OK</v>
      </c>
      <c r="BD100" s="28" t="str">
        <f>IF(A100="B6-01",IF(OR(AV100="",COUNTIF('29_ゲート承認記録'!$F$4:$F$83,AV100)&lt;&gt;1),"終了開始根拠不足",IF(IF(COUNTIF('29_ゲート承認記録'!$F$4:$F$83,AV100)&lt;&gt;1,"参照ID不正",IF(INDEX('29_ゲート承認記録'!$L$4:$L$83,MATCH(AV100,'29_ゲート承認記録'!$F$4:$F$83,0))="","",INDEX('29_ゲート承認記録'!$L$4:$L$83,MATCH(AV100,'29_ゲート承認記録'!$F$4:$F$83,0))))&lt;&gt;"Stop","Stop判断要確認","開始根拠あり")),IF(AND(A100="B5-18",AU100="事故"),IF(AV100="","事故レビュー参照不足","開始根拠あり"),"開始根拠あり"))</f>
        <v>開始根拠あり</v>
      </c>
      <c r="BE100" s="29"/>
      <c r="BF100" s="29"/>
    </row>
    <row r="101" spans="1:58" ht="38" customHeight="1" x14ac:dyDescent="0.2">
      <c r="A101" s="14" t="s">
        <v>1248</v>
      </c>
      <c r="B101" s="28" t="str">
        <f>IF(COUNTIF('02_工程タスク'!$A$4:$A$135,A101)&lt;&gt;1,"参照ID不正",IF(INDEX('02_工程タスク'!$B$4:$B$135,MATCH(A101,'02_工程タスク'!$A$4:$A$135,0))="","",INDEX('02_工程タスク'!$B$4:$B$135,MATCH(A101,'02_工程タスク'!$A$4:$A$135,0))))</f>
        <v>運用</v>
      </c>
      <c r="C101" s="28" t="str">
        <f>IF(COUNTIF('02_工程タスク'!$A$4:$A$135,A101)&lt;&gt;1,"参照ID不正",IF(INDEX('02_工程タスク'!$D$4:$D$135,MATCH(A101,'02_工程タスク'!$A$4:$A$135,0))="","",INDEX('02_工程タスク'!$D$4:$D$135,MATCH(A101,'02_工程タスク'!$A$4:$A$135,0))))</f>
        <v>サービス責任・予算・運用体制維持</v>
      </c>
      <c r="D101" s="6"/>
      <c r="E101" s="6" t="s">
        <v>1598</v>
      </c>
      <c r="F101" s="6"/>
      <c r="G101" s="6"/>
      <c r="H101" s="5"/>
      <c r="I101" s="5"/>
      <c r="J101" s="5"/>
      <c r="K101" s="5"/>
      <c r="L101" s="6" t="s">
        <v>3629</v>
      </c>
      <c r="M101" s="6"/>
      <c r="N101" s="6"/>
      <c r="O101" s="5"/>
      <c r="P101" s="17"/>
      <c r="Q101" s="17"/>
      <c r="R101" s="6"/>
      <c r="S101" s="6"/>
      <c r="T101" s="6"/>
      <c r="U101" s="5"/>
      <c r="V101" s="6" t="s">
        <v>1238</v>
      </c>
      <c r="W101" s="28" t="str">
        <f t="shared" si="72"/>
        <v>適用未判定</v>
      </c>
      <c r="X101" s="28" t="str">
        <f t="shared" si="73"/>
        <v/>
      </c>
      <c r="Y101" s="26" t="str">
        <f t="shared" si="74"/>
        <v/>
      </c>
      <c r="Z101" s="26" t="str">
        <f t="shared" si="75"/>
        <v>適用未判定</v>
      </c>
      <c r="AA101" s="26">
        <f t="shared" si="76"/>
        <v>0</v>
      </c>
      <c r="AB101" s="26" t="str">
        <f t="shared" si="77"/>
        <v>B4-17</v>
      </c>
      <c r="AC101" s="26" t="str">
        <f t="shared" si="78"/>
        <v/>
      </c>
      <c r="AD101" s="26" t="str">
        <f t="shared" si="79"/>
        <v/>
      </c>
      <c r="AE101" s="26" t="str">
        <f t="shared" si="80"/>
        <v/>
      </c>
      <c r="AF101" s="26" t="str">
        <f t="shared" si="81"/>
        <v/>
      </c>
      <c r="AG101" s="26" t="str">
        <f t="shared" si="82"/>
        <v/>
      </c>
      <c r="AH101" s="26" t="str">
        <f t="shared" si="83"/>
        <v/>
      </c>
      <c r="AI101" s="26" t="str">
        <f t="shared" si="84"/>
        <v/>
      </c>
      <c r="AJ101" s="26" t="str">
        <f t="shared" si="85"/>
        <v>未充足</v>
      </c>
      <c r="AK101" s="26" t="str">
        <f t="shared" si="86"/>
        <v/>
      </c>
      <c r="AL101" s="26" t="str">
        <f t="shared" si="87"/>
        <v/>
      </c>
      <c r="AM101" s="26" t="str">
        <f t="shared" si="88"/>
        <v/>
      </c>
      <c r="AN101" s="26" t="str">
        <f t="shared" si="89"/>
        <v/>
      </c>
      <c r="AO101" s="26" t="str">
        <f t="shared" si="90"/>
        <v/>
      </c>
      <c r="AP101" s="26" t="str">
        <f t="shared" si="91"/>
        <v/>
      </c>
      <c r="AQ101" s="26" t="str">
        <f t="shared" si="92"/>
        <v/>
      </c>
      <c r="AR101" s="36" t="str">
        <f t="shared" si="93"/>
        <v/>
      </c>
      <c r="AS101" s="28" t="str">
        <f>IF(COUNTIF('02_工程タスク'!$A$4:$A$135,A101)&lt;&gt;1,"参照ID不正",IF(INDEX('02_工程タスク'!$H$4:$H$135,MATCH(A101,'02_工程タスク'!$A$4:$A$135,0))="","",INDEX('02_工程タスク'!$H$4:$H$135,MATCH(A101,'02_工程タスク'!$A$4:$A$135,0))))</f>
        <v>R18</v>
      </c>
      <c r="AT101" s="28" t="str">
        <f t="shared" si="94"/>
        <v>INIT-B5-01</v>
      </c>
      <c r="AU101" s="29" t="s">
        <v>3630</v>
      </c>
      <c r="AV101" s="29"/>
      <c r="AW101" s="29"/>
      <c r="AX101" s="32"/>
      <c r="AY101" s="29"/>
      <c r="AZ101" s="29"/>
      <c r="BA101" s="32"/>
      <c r="BB101" s="28" t="str">
        <f>IF(COUNTIF('02_工程タスク'!$A$4:$A$135,A101)&lt;&gt;1,"参照ID不正",IF(INDEX('02_工程タスク'!$O$4:$O$135,MATCH(A101,'02_工程タスク'!$A$4:$A$135,0))="","",INDEX('02_工程タスク'!$O$4:$O$135,MATCH(A101,'02_工程タスク'!$A$4:$A$135,0))))</f>
        <v>B4-17</v>
      </c>
      <c r="BC101" s="28" t="str">
        <f t="shared" si="95"/>
        <v>記法OK</v>
      </c>
      <c r="BD101" s="28" t="str">
        <f>IF(A101="B6-01",IF(OR(AV101="",COUNTIF('29_ゲート承認記録'!$F$4:$F$83,AV101)&lt;&gt;1),"終了開始根拠不足",IF(IF(COUNTIF('29_ゲート承認記録'!$F$4:$F$83,AV101)&lt;&gt;1,"参照ID不正",IF(INDEX('29_ゲート承認記録'!$L$4:$L$83,MATCH(AV101,'29_ゲート承認記録'!$F$4:$F$83,0))="","",INDEX('29_ゲート承認記録'!$L$4:$L$83,MATCH(AV101,'29_ゲート承認記録'!$F$4:$F$83,0))))&lt;&gt;"Stop","Stop判断要確認","開始根拠あり")),IF(AND(A101="B5-18",AU101="事故"),IF(AV101="","事故レビュー参照不足","開始根拠あり"),"開始根拠あり"))</f>
        <v>開始根拠あり</v>
      </c>
      <c r="BE101" s="29"/>
      <c r="BF101" s="29"/>
    </row>
    <row r="102" spans="1:58" ht="38" customHeight="1" x14ac:dyDescent="0.2">
      <c r="A102" s="14" t="s">
        <v>1258</v>
      </c>
      <c r="B102" s="28" t="str">
        <f>IF(COUNTIF('02_工程タスク'!$A$4:$A$135,A102)&lt;&gt;1,"参照ID不正",IF(INDEX('02_工程タスク'!$B$4:$B$135,MATCH(A102,'02_工程タスク'!$A$4:$A$135,0))="","",INDEX('02_工程タスク'!$B$4:$B$135,MATCH(A102,'02_工程タスク'!$A$4:$A$135,0))))</f>
        <v>運用</v>
      </c>
      <c r="C102" s="28" t="str">
        <f>IF(COUNTIF('02_工程タスク'!$A$4:$A$135,A102)&lt;&gt;1,"参照ID不正",IF(INDEX('02_工程タスク'!$D$4:$D$135,MATCH(A102,'02_工程タスク'!$A$4:$A$135,0))="","",INDEX('02_工程タスク'!$D$4:$D$135,MATCH(A102,'02_工程タスク'!$A$4:$A$135,0))))</f>
        <v>業務成果・ファネル・継続率</v>
      </c>
      <c r="D102" s="6"/>
      <c r="E102" s="6" t="s">
        <v>1598</v>
      </c>
      <c r="F102" s="6"/>
      <c r="G102" s="6"/>
      <c r="H102" s="5"/>
      <c r="I102" s="5"/>
      <c r="J102" s="5"/>
      <c r="K102" s="5"/>
      <c r="L102" s="6" t="s">
        <v>3629</v>
      </c>
      <c r="M102" s="6"/>
      <c r="N102" s="6"/>
      <c r="O102" s="5"/>
      <c r="P102" s="17"/>
      <c r="Q102" s="17"/>
      <c r="R102" s="6"/>
      <c r="S102" s="6"/>
      <c r="T102" s="6"/>
      <c r="U102" s="5"/>
      <c r="V102" s="6" t="s">
        <v>1248</v>
      </c>
      <c r="W102" s="28" t="str">
        <f t="shared" si="72"/>
        <v>適用未判定</v>
      </c>
      <c r="X102" s="28" t="str">
        <f t="shared" si="73"/>
        <v/>
      </c>
      <c r="Y102" s="25" t="str">
        <f t="shared" si="74"/>
        <v/>
      </c>
      <c r="Z102" s="25" t="str">
        <f t="shared" si="75"/>
        <v>適用未判定</v>
      </c>
      <c r="AA102" s="25">
        <f t="shared" si="76"/>
        <v>0</v>
      </c>
      <c r="AB102" s="25" t="str">
        <f t="shared" si="77"/>
        <v>B5-01</v>
      </c>
      <c r="AC102" s="25" t="str">
        <f t="shared" si="78"/>
        <v/>
      </c>
      <c r="AD102" s="25" t="str">
        <f t="shared" si="79"/>
        <v/>
      </c>
      <c r="AE102" s="25" t="str">
        <f t="shared" si="80"/>
        <v/>
      </c>
      <c r="AF102" s="25" t="str">
        <f t="shared" si="81"/>
        <v/>
      </c>
      <c r="AG102" s="25" t="str">
        <f t="shared" si="82"/>
        <v/>
      </c>
      <c r="AH102" s="25" t="str">
        <f t="shared" si="83"/>
        <v/>
      </c>
      <c r="AI102" s="25" t="str">
        <f t="shared" si="84"/>
        <v/>
      </c>
      <c r="AJ102" s="25" t="str">
        <f t="shared" si="85"/>
        <v>未充足</v>
      </c>
      <c r="AK102" s="25" t="str">
        <f t="shared" si="86"/>
        <v/>
      </c>
      <c r="AL102" s="25" t="str">
        <f t="shared" si="87"/>
        <v/>
      </c>
      <c r="AM102" s="25" t="str">
        <f t="shared" si="88"/>
        <v/>
      </c>
      <c r="AN102" s="25" t="str">
        <f t="shared" si="89"/>
        <v/>
      </c>
      <c r="AO102" s="25" t="str">
        <f t="shared" si="90"/>
        <v/>
      </c>
      <c r="AP102" s="25" t="str">
        <f t="shared" si="91"/>
        <v/>
      </c>
      <c r="AQ102" s="25" t="str">
        <f t="shared" si="92"/>
        <v/>
      </c>
      <c r="AR102" s="35" t="str">
        <f t="shared" si="93"/>
        <v/>
      </c>
      <c r="AS102" s="28" t="str">
        <f>IF(COUNTIF('02_工程タスク'!$A$4:$A$135,A102)&lt;&gt;1,"参照ID不正",IF(INDEX('02_工程タスク'!$H$4:$H$135,MATCH(A102,'02_工程タスク'!$A$4:$A$135,0))="","",INDEX('02_工程タスク'!$H$4:$H$135,MATCH(A102,'02_工程タスク'!$A$4:$A$135,0))))</f>
        <v>R01</v>
      </c>
      <c r="AT102" s="28" t="str">
        <f t="shared" si="94"/>
        <v>INIT-B5-02</v>
      </c>
      <c r="AU102" s="29" t="s">
        <v>3630</v>
      </c>
      <c r="AV102" s="29"/>
      <c r="AW102" s="29"/>
      <c r="AX102" s="32"/>
      <c r="AY102" s="29"/>
      <c r="AZ102" s="29"/>
      <c r="BA102" s="32"/>
      <c r="BB102" s="28" t="str">
        <f>IF(COUNTIF('02_工程タスク'!$A$4:$A$135,A102)&lt;&gt;1,"参照ID不正",IF(INDEX('02_工程タスク'!$O$4:$O$135,MATCH(A102,'02_工程タスク'!$A$4:$A$135,0))="","",INDEX('02_工程タスク'!$O$4:$O$135,MATCH(A102,'02_工程タスク'!$A$4:$A$135,0))))</f>
        <v>B5-01</v>
      </c>
      <c r="BC102" s="28" t="str">
        <f t="shared" si="95"/>
        <v>記法OK</v>
      </c>
      <c r="BD102" s="28" t="str">
        <f>IF(A102="B6-01",IF(OR(AV102="",COUNTIF('29_ゲート承認記録'!$F$4:$F$83,AV102)&lt;&gt;1),"終了開始根拠不足",IF(IF(COUNTIF('29_ゲート承認記録'!$F$4:$F$83,AV102)&lt;&gt;1,"参照ID不正",IF(INDEX('29_ゲート承認記録'!$L$4:$L$83,MATCH(AV102,'29_ゲート承認記録'!$F$4:$F$83,0))="","",INDEX('29_ゲート承認記録'!$L$4:$L$83,MATCH(AV102,'29_ゲート承認記録'!$F$4:$F$83,0))))&lt;&gt;"Stop","Stop判断要確認","開始根拠あり")),IF(AND(A102="B5-18",AU102="事故"),IF(AV102="","事故レビュー参照不足","開始根拠あり"),"開始根拠あり"))</f>
        <v>開始根拠あり</v>
      </c>
      <c r="BE102" s="29"/>
      <c r="BF102" s="29"/>
    </row>
    <row r="103" spans="1:58" ht="38" customHeight="1" x14ac:dyDescent="0.2">
      <c r="A103" s="14" t="s">
        <v>1267</v>
      </c>
      <c r="B103" s="28" t="str">
        <f>IF(COUNTIF('02_工程タスク'!$A$4:$A$135,A103)&lt;&gt;1,"参照ID不正",IF(INDEX('02_工程タスク'!$B$4:$B$135,MATCH(A103,'02_工程タスク'!$A$4:$A$135,0))="","",INDEX('02_工程タスク'!$B$4:$B$135,MATCH(A103,'02_工程タスク'!$A$4:$A$135,0))))</f>
        <v>運用</v>
      </c>
      <c r="C103" s="28" t="str">
        <f>IF(COUNTIF('02_工程タスク'!$A$4:$A$135,A103)&lt;&gt;1,"参照ID不正",IF(INDEX('02_工程タスク'!$D$4:$D$135,MATCH(A103,'02_工程タスク'!$A$4:$A$135,0))="","",INDEX('02_工程タスク'!$D$4:$D$135,MATCH(A103,'02_工程タスク'!$A$4:$A$135,0))))</f>
        <v>SLO・error budget・負荷監視</v>
      </c>
      <c r="D103" s="6"/>
      <c r="E103" s="6" t="s">
        <v>1598</v>
      </c>
      <c r="F103" s="6"/>
      <c r="G103" s="6"/>
      <c r="H103" s="5"/>
      <c r="I103" s="5"/>
      <c r="J103" s="5"/>
      <c r="K103" s="5"/>
      <c r="L103" s="6" t="s">
        <v>3629</v>
      </c>
      <c r="M103" s="6"/>
      <c r="N103" s="6"/>
      <c r="O103" s="5"/>
      <c r="P103" s="17"/>
      <c r="Q103" s="17"/>
      <c r="R103" s="6"/>
      <c r="S103" s="6"/>
      <c r="T103" s="6"/>
      <c r="U103" s="5"/>
      <c r="V103" s="6" t="s">
        <v>1248</v>
      </c>
      <c r="W103" s="28" t="str">
        <f t="shared" si="72"/>
        <v>適用未判定</v>
      </c>
      <c r="X103" s="28" t="str">
        <f t="shared" si="73"/>
        <v/>
      </c>
      <c r="Y103" s="26" t="str">
        <f t="shared" si="74"/>
        <v/>
      </c>
      <c r="Z103" s="26" t="str">
        <f t="shared" si="75"/>
        <v>適用未判定</v>
      </c>
      <c r="AA103" s="26">
        <f t="shared" si="76"/>
        <v>0</v>
      </c>
      <c r="AB103" s="26" t="str">
        <f t="shared" si="77"/>
        <v>B5-01</v>
      </c>
      <c r="AC103" s="26" t="str">
        <f t="shared" si="78"/>
        <v/>
      </c>
      <c r="AD103" s="26" t="str">
        <f t="shared" si="79"/>
        <v/>
      </c>
      <c r="AE103" s="26" t="str">
        <f t="shared" si="80"/>
        <v/>
      </c>
      <c r="AF103" s="26" t="str">
        <f t="shared" si="81"/>
        <v/>
      </c>
      <c r="AG103" s="26" t="str">
        <f t="shared" si="82"/>
        <v/>
      </c>
      <c r="AH103" s="26" t="str">
        <f t="shared" si="83"/>
        <v/>
      </c>
      <c r="AI103" s="26" t="str">
        <f t="shared" si="84"/>
        <v/>
      </c>
      <c r="AJ103" s="26" t="str">
        <f t="shared" si="85"/>
        <v>未充足</v>
      </c>
      <c r="AK103" s="26" t="str">
        <f t="shared" si="86"/>
        <v/>
      </c>
      <c r="AL103" s="26" t="str">
        <f t="shared" si="87"/>
        <v/>
      </c>
      <c r="AM103" s="26" t="str">
        <f t="shared" si="88"/>
        <v/>
      </c>
      <c r="AN103" s="26" t="str">
        <f t="shared" si="89"/>
        <v/>
      </c>
      <c r="AO103" s="26" t="str">
        <f t="shared" si="90"/>
        <v/>
      </c>
      <c r="AP103" s="26" t="str">
        <f t="shared" si="91"/>
        <v/>
      </c>
      <c r="AQ103" s="26" t="str">
        <f t="shared" si="92"/>
        <v/>
      </c>
      <c r="AR103" s="36" t="str">
        <f t="shared" si="93"/>
        <v/>
      </c>
      <c r="AS103" s="28" t="str">
        <f>IF(COUNTIF('02_工程タスク'!$A$4:$A$135,A103)&lt;&gt;1,"参照ID不正",IF(INDEX('02_工程タスク'!$H$4:$H$135,MATCH(A103,'02_工程タスク'!$A$4:$A$135,0))="","",INDEX('02_工程タスク'!$H$4:$H$135,MATCH(A103,'02_工程タスク'!$A$4:$A$135,0))))</f>
        <v>R18</v>
      </c>
      <c r="AT103" s="28" t="str">
        <f t="shared" si="94"/>
        <v>INIT-B5-03</v>
      </c>
      <c r="AU103" s="29" t="s">
        <v>3630</v>
      </c>
      <c r="AV103" s="29"/>
      <c r="AW103" s="29"/>
      <c r="AX103" s="32"/>
      <c r="AY103" s="29"/>
      <c r="AZ103" s="29"/>
      <c r="BA103" s="32"/>
      <c r="BB103" s="28" t="str">
        <f>IF(COUNTIF('02_工程タスク'!$A$4:$A$135,A103)&lt;&gt;1,"参照ID不正",IF(INDEX('02_工程タスク'!$O$4:$O$135,MATCH(A103,'02_工程タスク'!$A$4:$A$135,0))="","",INDEX('02_工程タスク'!$O$4:$O$135,MATCH(A103,'02_工程タスク'!$A$4:$A$135,0))))</f>
        <v>B5-01</v>
      </c>
      <c r="BC103" s="28" t="str">
        <f t="shared" si="95"/>
        <v>記法OK</v>
      </c>
      <c r="BD103" s="28" t="str">
        <f>IF(A103="B6-01",IF(OR(AV103="",COUNTIF('29_ゲート承認記録'!$F$4:$F$83,AV103)&lt;&gt;1),"終了開始根拠不足",IF(IF(COUNTIF('29_ゲート承認記録'!$F$4:$F$83,AV103)&lt;&gt;1,"参照ID不正",IF(INDEX('29_ゲート承認記録'!$L$4:$L$83,MATCH(AV103,'29_ゲート承認記録'!$F$4:$F$83,0))="","",INDEX('29_ゲート承認記録'!$L$4:$L$83,MATCH(AV103,'29_ゲート承認記録'!$F$4:$F$83,0))))&lt;&gt;"Stop","Stop判断要確認","開始根拠あり")),IF(AND(A103="B5-18",AU103="事故"),IF(AV103="","事故レビュー参照不足","開始根拠あり"),"開始根拠あり"))</f>
        <v>開始根拠あり</v>
      </c>
      <c r="BE103" s="29"/>
      <c r="BF103" s="29"/>
    </row>
    <row r="104" spans="1:58" ht="38" customHeight="1" x14ac:dyDescent="0.2">
      <c r="A104" s="14" t="s">
        <v>1275</v>
      </c>
      <c r="B104" s="28" t="str">
        <f>IF(COUNTIF('02_工程タスク'!$A$4:$A$135,A104)&lt;&gt;1,"参照ID不正",IF(INDEX('02_工程タスク'!$B$4:$B$135,MATCH(A104,'02_工程タスク'!$A$4:$A$135,0))="","",INDEX('02_工程タスク'!$B$4:$B$135,MATCH(A104,'02_工程タスク'!$A$4:$A$135,0))))</f>
        <v>運用</v>
      </c>
      <c r="C104" s="28" t="str">
        <f>IF(COUNTIF('02_工程タスク'!$A$4:$A$135,A104)&lt;&gt;1,"参照ID不正",IF(INDEX('02_工程タスク'!$D$4:$D$135,MATCH(A104,'02_工程タスク'!$A$4:$A$135,0))="","",INDEX('02_工程タスク'!$D$4:$D$135,MATCH(A104,'02_工程タスク'!$A$4:$A$135,0))))</f>
        <v>実利用AI性能・危害・介入率</v>
      </c>
      <c r="D104" s="6"/>
      <c r="E104" s="6" t="s">
        <v>1598</v>
      </c>
      <c r="F104" s="6"/>
      <c r="G104" s="6"/>
      <c r="H104" s="5"/>
      <c r="I104" s="5"/>
      <c r="J104" s="5"/>
      <c r="K104" s="5"/>
      <c r="L104" s="6" t="s">
        <v>3629</v>
      </c>
      <c r="M104" s="6"/>
      <c r="N104" s="6"/>
      <c r="O104" s="5"/>
      <c r="P104" s="17"/>
      <c r="Q104" s="17"/>
      <c r="R104" s="6"/>
      <c r="S104" s="6"/>
      <c r="T104" s="6"/>
      <c r="U104" s="5"/>
      <c r="V104" s="6" t="s">
        <v>1248</v>
      </c>
      <c r="W104" s="28" t="str">
        <f t="shared" si="72"/>
        <v>適用未判定</v>
      </c>
      <c r="X104" s="28" t="str">
        <f t="shared" si="73"/>
        <v/>
      </c>
      <c r="Y104" s="25" t="str">
        <f t="shared" si="74"/>
        <v/>
      </c>
      <c r="Z104" s="25" t="str">
        <f t="shared" si="75"/>
        <v>適用未判定</v>
      </c>
      <c r="AA104" s="25">
        <f t="shared" si="76"/>
        <v>0</v>
      </c>
      <c r="AB104" s="25" t="str">
        <f t="shared" si="77"/>
        <v>B5-01</v>
      </c>
      <c r="AC104" s="25" t="str">
        <f t="shared" si="78"/>
        <v/>
      </c>
      <c r="AD104" s="25" t="str">
        <f t="shared" si="79"/>
        <v/>
      </c>
      <c r="AE104" s="25" t="str">
        <f t="shared" si="80"/>
        <v/>
      </c>
      <c r="AF104" s="25" t="str">
        <f t="shared" si="81"/>
        <v/>
      </c>
      <c r="AG104" s="25" t="str">
        <f t="shared" si="82"/>
        <v/>
      </c>
      <c r="AH104" s="25" t="str">
        <f t="shared" si="83"/>
        <v/>
      </c>
      <c r="AI104" s="25" t="str">
        <f t="shared" si="84"/>
        <v/>
      </c>
      <c r="AJ104" s="25" t="str">
        <f t="shared" si="85"/>
        <v>未充足</v>
      </c>
      <c r="AK104" s="25" t="str">
        <f t="shared" si="86"/>
        <v/>
      </c>
      <c r="AL104" s="25" t="str">
        <f t="shared" si="87"/>
        <v/>
      </c>
      <c r="AM104" s="25" t="str">
        <f t="shared" si="88"/>
        <v/>
      </c>
      <c r="AN104" s="25" t="str">
        <f t="shared" si="89"/>
        <v/>
      </c>
      <c r="AO104" s="25" t="str">
        <f t="shared" si="90"/>
        <v/>
      </c>
      <c r="AP104" s="25" t="str">
        <f t="shared" si="91"/>
        <v/>
      </c>
      <c r="AQ104" s="25" t="str">
        <f t="shared" si="92"/>
        <v/>
      </c>
      <c r="AR104" s="35" t="str">
        <f t="shared" si="93"/>
        <v/>
      </c>
      <c r="AS104" s="28" t="str">
        <f>IF(COUNTIF('02_工程タスク'!$A$4:$A$135,A104)&lt;&gt;1,"参照ID不正",IF(INDEX('02_工程タスク'!$H$4:$H$135,MATCH(A104,'02_工程タスク'!$A$4:$A$135,0))="","",INDEX('02_工程タスク'!$H$4:$H$135,MATCH(A104,'02_工程タスク'!$A$4:$A$135,0))))</f>
        <v>R19</v>
      </c>
      <c r="AT104" s="28" t="str">
        <f t="shared" si="94"/>
        <v>INIT-B5-04</v>
      </c>
      <c r="AU104" s="29" t="s">
        <v>3630</v>
      </c>
      <c r="AV104" s="29"/>
      <c r="AW104" s="29"/>
      <c r="AX104" s="32"/>
      <c r="AY104" s="29"/>
      <c r="AZ104" s="29"/>
      <c r="BA104" s="32"/>
      <c r="BB104" s="28" t="str">
        <f>IF(COUNTIF('02_工程タスク'!$A$4:$A$135,A104)&lt;&gt;1,"参照ID不正",IF(INDEX('02_工程タスク'!$O$4:$O$135,MATCH(A104,'02_工程タスク'!$A$4:$A$135,0))="","",INDEX('02_工程タスク'!$O$4:$O$135,MATCH(A104,'02_工程タスク'!$A$4:$A$135,0))))</f>
        <v>B5-01</v>
      </c>
      <c r="BC104" s="28" t="str">
        <f t="shared" si="95"/>
        <v>記法OK</v>
      </c>
      <c r="BD104" s="28" t="str">
        <f>IF(A104="B6-01",IF(OR(AV104="",COUNTIF('29_ゲート承認記録'!$F$4:$F$83,AV104)&lt;&gt;1),"終了開始根拠不足",IF(IF(COUNTIF('29_ゲート承認記録'!$F$4:$F$83,AV104)&lt;&gt;1,"参照ID不正",IF(INDEX('29_ゲート承認記録'!$L$4:$L$83,MATCH(AV104,'29_ゲート承認記録'!$F$4:$F$83,0))="","",INDEX('29_ゲート承認記録'!$L$4:$L$83,MATCH(AV104,'29_ゲート承認記録'!$F$4:$F$83,0))))&lt;&gt;"Stop","Stop判断要確認","開始根拠あり")),IF(AND(A104="B5-18",AU104="事故"),IF(AV104="","事故レビュー参照不足","開始根拠あり"),"開始根拠あり"))</f>
        <v>開始根拠あり</v>
      </c>
      <c r="BE104" s="29"/>
      <c r="BF104" s="29"/>
    </row>
    <row r="105" spans="1:58" ht="38" customHeight="1" x14ac:dyDescent="0.2">
      <c r="A105" s="14" t="s">
        <v>1284</v>
      </c>
      <c r="B105" s="28" t="str">
        <f>IF(COUNTIF('02_工程タスク'!$A$4:$A$135,A105)&lt;&gt;1,"参照ID不正",IF(INDEX('02_工程タスク'!$B$4:$B$135,MATCH(A105,'02_工程タスク'!$A$4:$A$135,0))="","",INDEX('02_工程タスク'!$B$4:$B$135,MATCH(A105,'02_工程タスク'!$A$4:$A$135,0))))</f>
        <v>運用</v>
      </c>
      <c r="C105" s="28" t="str">
        <f>IF(COUNTIF('02_工程タスク'!$A$4:$A$135,A105)&lt;&gt;1,"参照ID不正",IF(INDEX('02_工程タスク'!$D$4:$D$135,MATCH(A105,'02_工程タスク'!$A$4:$A$135,0))="","",INDEX('02_工程タスク'!$D$4:$D$135,MATCH(A105,'02_工程タスク'!$A$4:$A$135,0))))</f>
        <v>鮮度・lineage・品質・削除伝播</v>
      </c>
      <c r="D105" s="6"/>
      <c r="E105" s="6" t="s">
        <v>1598</v>
      </c>
      <c r="F105" s="6"/>
      <c r="G105" s="6"/>
      <c r="H105" s="5"/>
      <c r="I105" s="5"/>
      <c r="J105" s="5"/>
      <c r="K105" s="5"/>
      <c r="L105" s="6" t="s">
        <v>3629</v>
      </c>
      <c r="M105" s="6"/>
      <c r="N105" s="6"/>
      <c r="O105" s="5"/>
      <c r="P105" s="17"/>
      <c r="Q105" s="17"/>
      <c r="R105" s="6"/>
      <c r="S105" s="6"/>
      <c r="T105" s="6"/>
      <c r="U105" s="5"/>
      <c r="V105" s="6" t="s">
        <v>1248</v>
      </c>
      <c r="W105" s="28" t="str">
        <f t="shared" si="72"/>
        <v>適用未判定</v>
      </c>
      <c r="X105" s="28" t="str">
        <f t="shared" si="73"/>
        <v/>
      </c>
      <c r="Y105" s="26" t="str">
        <f t="shared" si="74"/>
        <v/>
      </c>
      <c r="Z105" s="26" t="str">
        <f t="shared" si="75"/>
        <v>適用未判定</v>
      </c>
      <c r="AA105" s="26">
        <f t="shared" si="76"/>
        <v>0</v>
      </c>
      <c r="AB105" s="26" t="str">
        <f t="shared" si="77"/>
        <v>B5-01</v>
      </c>
      <c r="AC105" s="26" t="str">
        <f t="shared" si="78"/>
        <v/>
      </c>
      <c r="AD105" s="26" t="str">
        <f t="shared" si="79"/>
        <v/>
      </c>
      <c r="AE105" s="26" t="str">
        <f t="shared" si="80"/>
        <v/>
      </c>
      <c r="AF105" s="26" t="str">
        <f t="shared" si="81"/>
        <v/>
      </c>
      <c r="AG105" s="26" t="str">
        <f t="shared" si="82"/>
        <v/>
      </c>
      <c r="AH105" s="26" t="str">
        <f t="shared" si="83"/>
        <v/>
      </c>
      <c r="AI105" s="26" t="str">
        <f t="shared" si="84"/>
        <v/>
      </c>
      <c r="AJ105" s="26" t="str">
        <f t="shared" si="85"/>
        <v>未充足</v>
      </c>
      <c r="AK105" s="26" t="str">
        <f t="shared" si="86"/>
        <v/>
      </c>
      <c r="AL105" s="26" t="str">
        <f t="shared" si="87"/>
        <v/>
      </c>
      <c r="AM105" s="26" t="str">
        <f t="shared" si="88"/>
        <v/>
      </c>
      <c r="AN105" s="26" t="str">
        <f t="shared" si="89"/>
        <v/>
      </c>
      <c r="AO105" s="26" t="str">
        <f t="shared" si="90"/>
        <v/>
      </c>
      <c r="AP105" s="26" t="str">
        <f t="shared" si="91"/>
        <v/>
      </c>
      <c r="AQ105" s="26" t="str">
        <f t="shared" si="92"/>
        <v/>
      </c>
      <c r="AR105" s="36" t="str">
        <f t="shared" si="93"/>
        <v/>
      </c>
      <c r="AS105" s="28" t="str">
        <f>IF(COUNTIF('02_工程タスク'!$A$4:$A$135,A105)&lt;&gt;1,"参照ID不正",IF(INDEX('02_工程タスク'!$H$4:$H$135,MATCH(A105,'02_工程タスク'!$A$4:$A$135,0))="","",INDEX('02_工程タスク'!$H$4:$H$135,MATCH(A105,'02_工程タスク'!$A$4:$A$135,0))))</f>
        <v>R10</v>
      </c>
      <c r="AT105" s="28" t="str">
        <f t="shared" si="94"/>
        <v>INIT-B5-05</v>
      </c>
      <c r="AU105" s="29" t="s">
        <v>3630</v>
      </c>
      <c r="AV105" s="29"/>
      <c r="AW105" s="29"/>
      <c r="AX105" s="32"/>
      <c r="AY105" s="29"/>
      <c r="AZ105" s="29"/>
      <c r="BA105" s="32"/>
      <c r="BB105" s="28" t="str">
        <f>IF(COUNTIF('02_工程タスク'!$A$4:$A$135,A105)&lt;&gt;1,"参照ID不正",IF(INDEX('02_工程タスク'!$O$4:$O$135,MATCH(A105,'02_工程タスク'!$A$4:$A$135,0))="","",INDEX('02_工程タスク'!$O$4:$O$135,MATCH(A105,'02_工程タスク'!$A$4:$A$135,0))))</f>
        <v>B5-01</v>
      </c>
      <c r="BC105" s="28" t="str">
        <f t="shared" si="95"/>
        <v>記法OK</v>
      </c>
      <c r="BD105" s="28" t="str">
        <f>IF(A105="B6-01",IF(OR(AV105="",COUNTIF('29_ゲート承認記録'!$F$4:$F$83,AV105)&lt;&gt;1),"終了開始根拠不足",IF(IF(COUNTIF('29_ゲート承認記録'!$F$4:$F$83,AV105)&lt;&gt;1,"参照ID不正",IF(INDEX('29_ゲート承認記録'!$L$4:$L$83,MATCH(AV105,'29_ゲート承認記録'!$F$4:$F$83,0))="","",INDEX('29_ゲート承認記録'!$L$4:$L$83,MATCH(AV105,'29_ゲート承認記録'!$F$4:$F$83,0))))&lt;&gt;"Stop","Stop判断要確認","開始根拠あり")),IF(AND(A105="B5-18",AU105="事故"),IF(AV105="","事故レビュー参照不足","開始根拠あり"),"開始根拠あり"))</f>
        <v>開始根拠あり</v>
      </c>
      <c r="BE105" s="29"/>
      <c r="BF105" s="29"/>
    </row>
    <row r="106" spans="1:58" ht="38" customHeight="1" x14ac:dyDescent="0.2">
      <c r="A106" s="14" t="s">
        <v>1292</v>
      </c>
      <c r="B106" s="28" t="str">
        <f>IF(COUNTIF('02_工程タスク'!$A$4:$A$135,A106)&lt;&gt;1,"参照ID不正",IF(INDEX('02_工程タスク'!$B$4:$B$135,MATCH(A106,'02_工程タスク'!$A$4:$A$135,0))="","",INDEX('02_工程タスク'!$B$4:$B$135,MATCH(A106,'02_工程タスク'!$A$4:$A$135,0))))</f>
        <v>運用</v>
      </c>
      <c r="C106" s="28" t="str">
        <f>IF(COUNTIF('02_工程タスク'!$A$4:$A$135,A106)&lt;&gt;1,"参照ID不正",IF(INDEX('02_工程タスク'!$D$4:$D$135,MATCH(A106,'02_工程タスク'!$A$4:$A$135,0))="","",INDEX('02_工程タスク'!$D$4:$D$135,MATCH(A106,'02_工程タスク'!$A$4:$A$135,0))))</f>
        <v>原価・課金・粗利・異常利用監視</v>
      </c>
      <c r="D106" s="6"/>
      <c r="E106" s="6" t="s">
        <v>1598</v>
      </c>
      <c r="F106" s="6"/>
      <c r="G106" s="6"/>
      <c r="H106" s="5"/>
      <c r="I106" s="5"/>
      <c r="J106" s="5"/>
      <c r="K106" s="5"/>
      <c r="L106" s="6" t="s">
        <v>3629</v>
      </c>
      <c r="M106" s="6"/>
      <c r="N106" s="6"/>
      <c r="O106" s="5"/>
      <c r="P106" s="17"/>
      <c r="Q106" s="17"/>
      <c r="R106" s="6"/>
      <c r="S106" s="6"/>
      <c r="T106" s="6"/>
      <c r="U106" s="5"/>
      <c r="V106" s="6" t="s">
        <v>1248</v>
      </c>
      <c r="W106" s="28" t="str">
        <f t="shared" si="72"/>
        <v>適用未判定</v>
      </c>
      <c r="X106" s="28" t="str">
        <f t="shared" si="73"/>
        <v/>
      </c>
      <c r="Y106" s="25" t="str">
        <f t="shared" si="74"/>
        <v/>
      </c>
      <c r="Z106" s="25" t="str">
        <f t="shared" si="75"/>
        <v>適用未判定</v>
      </c>
      <c r="AA106" s="25">
        <f t="shared" si="76"/>
        <v>0</v>
      </c>
      <c r="AB106" s="25" t="str">
        <f t="shared" si="77"/>
        <v>B5-01</v>
      </c>
      <c r="AC106" s="25" t="str">
        <f t="shared" si="78"/>
        <v/>
      </c>
      <c r="AD106" s="25" t="str">
        <f t="shared" si="79"/>
        <v/>
      </c>
      <c r="AE106" s="25" t="str">
        <f t="shared" si="80"/>
        <v/>
      </c>
      <c r="AF106" s="25" t="str">
        <f t="shared" si="81"/>
        <v/>
      </c>
      <c r="AG106" s="25" t="str">
        <f t="shared" si="82"/>
        <v/>
      </c>
      <c r="AH106" s="25" t="str">
        <f t="shared" si="83"/>
        <v/>
      </c>
      <c r="AI106" s="25" t="str">
        <f t="shared" si="84"/>
        <v/>
      </c>
      <c r="AJ106" s="25" t="str">
        <f t="shared" si="85"/>
        <v>未充足</v>
      </c>
      <c r="AK106" s="25" t="str">
        <f t="shared" si="86"/>
        <v/>
      </c>
      <c r="AL106" s="25" t="str">
        <f t="shared" si="87"/>
        <v/>
      </c>
      <c r="AM106" s="25" t="str">
        <f t="shared" si="88"/>
        <v/>
      </c>
      <c r="AN106" s="25" t="str">
        <f t="shared" si="89"/>
        <v/>
      </c>
      <c r="AO106" s="25" t="str">
        <f t="shared" si="90"/>
        <v/>
      </c>
      <c r="AP106" s="25" t="str">
        <f t="shared" si="91"/>
        <v/>
      </c>
      <c r="AQ106" s="25" t="str">
        <f t="shared" si="92"/>
        <v/>
      </c>
      <c r="AR106" s="35" t="str">
        <f t="shared" si="93"/>
        <v/>
      </c>
      <c r="AS106" s="28" t="str">
        <f>IF(COUNTIF('02_工程タスク'!$A$4:$A$135,A106)&lt;&gt;1,"参照ID不正",IF(INDEX('02_工程タスク'!$H$4:$H$135,MATCH(A106,'02_工程タスク'!$A$4:$A$135,0))="","",INDEX('02_工程タスク'!$H$4:$H$135,MATCH(A106,'02_工程タスク'!$A$4:$A$135,0))))</f>
        <v>R01</v>
      </c>
      <c r="AT106" s="28" t="str">
        <f t="shared" si="94"/>
        <v>INIT-B5-06</v>
      </c>
      <c r="AU106" s="29" t="s">
        <v>3630</v>
      </c>
      <c r="AV106" s="29"/>
      <c r="AW106" s="29"/>
      <c r="AX106" s="32"/>
      <c r="AY106" s="29"/>
      <c r="AZ106" s="29"/>
      <c r="BA106" s="32"/>
      <c r="BB106" s="28" t="str">
        <f>IF(COUNTIF('02_工程タスク'!$A$4:$A$135,A106)&lt;&gt;1,"参照ID不正",IF(INDEX('02_工程タスク'!$O$4:$O$135,MATCH(A106,'02_工程タスク'!$A$4:$A$135,0))="","",INDEX('02_工程タスク'!$O$4:$O$135,MATCH(A106,'02_工程タスク'!$A$4:$A$135,0))))</f>
        <v>B5-01</v>
      </c>
      <c r="BC106" s="28" t="str">
        <f t="shared" si="95"/>
        <v>記法OK</v>
      </c>
      <c r="BD106" s="28" t="str">
        <f>IF(A106="B6-01",IF(OR(AV106="",COUNTIF('29_ゲート承認記録'!$F$4:$F$83,AV106)&lt;&gt;1),"終了開始根拠不足",IF(IF(COUNTIF('29_ゲート承認記録'!$F$4:$F$83,AV106)&lt;&gt;1,"参照ID不正",IF(INDEX('29_ゲート承認記録'!$L$4:$L$83,MATCH(AV106,'29_ゲート承認記録'!$F$4:$F$83,0))="","",INDEX('29_ゲート承認記録'!$L$4:$L$83,MATCH(AV106,'29_ゲート承認記録'!$F$4:$F$83,0))))&lt;&gt;"Stop","Stop判断要確認","開始根拠あり")),IF(AND(A106="B5-18",AU106="事故"),IF(AV106="","事故レビュー参照不足","開始根拠あり"),"開始根拠あり"))</f>
        <v>開始根拠あり</v>
      </c>
      <c r="BE106" s="29"/>
      <c r="BF106" s="29"/>
    </row>
    <row r="107" spans="1:58" ht="38" customHeight="1" x14ac:dyDescent="0.2">
      <c r="A107" s="14" t="s">
        <v>1299</v>
      </c>
      <c r="B107" s="28" t="str">
        <f>IF(COUNTIF('02_工程タスク'!$A$4:$A$135,A107)&lt;&gt;1,"参照ID不正",IF(INDEX('02_工程タスク'!$B$4:$B$135,MATCH(A107,'02_工程タスク'!$A$4:$A$135,0))="","",INDEX('02_工程タスク'!$B$4:$B$135,MATCH(A107,'02_工程タスク'!$A$4:$A$135,0))))</f>
        <v>運用</v>
      </c>
      <c r="C107" s="28" t="str">
        <f>IF(COUNTIF('02_工程タスク'!$A$4:$A$135,A107)&lt;&gt;1,"参照ID不正",IF(INDEX('02_工程タスク'!$D$4:$D$135,MATCH(A107,'02_工程タスク'!$A$4:$A$135,0))="","",INDEX('02_工程タスク'!$D$4:$D$135,MATCH(A107,'02_工程タスク'!$A$4:$A$135,0))))</f>
        <v>サポート・苦情・救済・導入改善</v>
      </c>
      <c r="D107" s="6"/>
      <c r="E107" s="6" t="s">
        <v>1598</v>
      </c>
      <c r="F107" s="6"/>
      <c r="G107" s="6"/>
      <c r="H107" s="5"/>
      <c r="I107" s="5"/>
      <c r="J107" s="5"/>
      <c r="K107" s="5"/>
      <c r="L107" s="6" t="s">
        <v>3629</v>
      </c>
      <c r="M107" s="6"/>
      <c r="N107" s="6"/>
      <c r="O107" s="5"/>
      <c r="P107" s="17"/>
      <c r="Q107" s="17"/>
      <c r="R107" s="6"/>
      <c r="S107" s="6"/>
      <c r="T107" s="6"/>
      <c r="U107" s="5"/>
      <c r="V107" s="6" t="s">
        <v>1248</v>
      </c>
      <c r="W107" s="28" t="str">
        <f t="shared" si="72"/>
        <v>適用未判定</v>
      </c>
      <c r="X107" s="28" t="str">
        <f t="shared" si="73"/>
        <v/>
      </c>
      <c r="Y107" s="26" t="str">
        <f t="shared" si="74"/>
        <v/>
      </c>
      <c r="Z107" s="26" t="str">
        <f t="shared" si="75"/>
        <v>適用未判定</v>
      </c>
      <c r="AA107" s="26">
        <f t="shared" si="76"/>
        <v>0</v>
      </c>
      <c r="AB107" s="26" t="str">
        <f t="shared" si="77"/>
        <v>B5-01</v>
      </c>
      <c r="AC107" s="26" t="str">
        <f t="shared" si="78"/>
        <v/>
      </c>
      <c r="AD107" s="26" t="str">
        <f t="shared" si="79"/>
        <v/>
      </c>
      <c r="AE107" s="26" t="str">
        <f t="shared" si="80"/>
        <v/>
      </c>
      <c r="AF107" s="26" t="str">
        <f t="shared" si="81"/>
        <v/>
      </c>
      <c r="AG107" s="26" t="str">
        <f t="shared" si="82"/>
        <v/>
      </c>
      <c r="AH107" s="26" t="str">
        <f t="shared" si="83"/>
        <v/>
      </c>
      <c r="AI107" s="26" t="str">
        <f t="shared" si="84"/>
        <v/>
      </c>
      <c r="AJ107" s="26" t="str">
        <f t="shared" si="85"/>
        <v>未充足</v>
      </c>
      <c r="AK107" s="26" t="str">
        <f t="shared" si="86"/>
        <v/>
      </c>
      <c r="AL107" s="26" t="str">
        <f t="shared" si="87"/>
        <v/>
      </c>
      <c r="AM107" s="26" t="str">
        <f t="shared" si="88"/>
        <v/>
      </c>
      <c r="AN107" s="26" t="str">
        <f t="shared" si="89"/>
        <v/>
      </c>
      <c r="AO107" s="26" t="str">
        <f t="shared" si="90"/>
        <v/>
      </c>
      <c r="AP107" s="26" t="str">
        <f t="shared" si="91"/>
        <v/>
      </c>
      <c r="AQ107" s="26" t="str">
        <f t="shared" si="92"/>
        <v/>
      </c>
      <c r="AR107" s="36" t="str">
        <f t="shared" si="93"/>
        <v/>
      </c>
      <c r="AS107" s="28" t="str">
        <f>IF(COUNTIF('02_工程タスク'!$A$4:$A$135,A107)&lt;&gt;1,"参照ID不正",IF(INDEX('02_工程タスク'!$H$4:$H$135,MATCH(A107,'02_工程タスク'!$A$4:$A$135,0))="","",INDEX('02_工程タスク'!$H$4:$H$135,MATCH(A107,'02_工程タスク'!$A$4:$A$135,0))))</f>
        <v>R18</v>
      </c>
      <c r="AT107" s="28" t="str">
        <f t="shared" si="94"/>
        <v>INIT-B5-07</v>
      </c>
      <c r="AU107" s="29" t="s">
        <v>3630</v>
      </c>
      <c r="AV107" s="29"/>
      <c r="AW107" s="29"/>
      <c r="AX107" s="32"/>
      <c r="AY107" s="29"/>
      <c r="AZ107" s="29"/>
      <c r="BA107" s="32"/>
      <c r="BB107" s="28" t="str">
        <f>IF(COUNTIF('02_工程タスク'!$A$4:$A$135,A107)&lt;&gt;1,"参照ID不正",IF(INDEX('02_工程タスク'!$O$4:$O$135,MATCH(A107,'02_工程タスク'!$A$4:$A$135,0))="","",INDEX('02_工程タスク'!$O$4:$O$135,MATCH(A107,'02_工程タスク'!$A$4:$A$135,0))))</f>
        <v>B5-01</v>
      </c>
      <c r="BC107" s="28" t="str">
        <f t="shared" si="95"/>
        <v>記法OK</v>
      </c>
      <c r="BD107" s="28" t="str">
        <f>IF(A107="B6-01",IF(OR(AV107="",COUNTIF('29_ゲート承認記録'!$F$4:$F$83,AV107)&lt;&gt;1),"終了開始根拠不足",IF(IF(COUNTIF('29_ゲート承認記録'!$F$4:$F$83,AV107)&lt;&gt;1,"参照ID不正",IF(INDEX('29_ゲート承認記録'!$L$4:$L$83,MATCH(AV107,'29_ゲート承認記録'!$F$4:$F$83,0))="","",INDEX('29_ゲート承認記録'!$L$4:$L$83,MATCH(AV107,'29_ゲート承認記録'!$F$4:$F$83,0))))&lt;&gt;"Stop","Stop判断要確認","開始根拠あり")),IF(AND(A107="B5-18",AU107="事故"),IF(AV107="","事故レビュー参照不足","開始根拠あり"),"開始根拠あり"))</f>
        <v>開始根拠あり</v>
      </c>
      <c r="BE107" s="29"/>
      <c r="BF107" s="29"/>
    </row>
    <row r="108" spans="1:58" ht="38" customHeight="1" x14ac:dyDescent="0.2">
      <c r="A108" s="14" t="s">
        <v>1307</v>
      </c>
      <c r="B108" s="28" t="str">
        <f>IF(COUNTIF('02_工程タスク'!$A$4:$A$135,A108)&lt;&gt;1,"参照ID不正",IF(INDEX('02_工程タスク'!$B$4:$B$135,MATCH(A108,'02_工程タスク'!$A$4:$A$135,0))="","",INDEX('02_工程タスク'!$B$4:$B$135,MATCH(A108,'02_工程タスク'!$A$4:$A$135,0))))</f>
        <v>運用</v>
      </c>
      <c r="C108" s="28" t="str">
        <f>IF(COUNTIF('02_工程タスク'!$A$4:$A$135,A108)&lt;&gt;1,"参照ID不正",IF(INDEX('02_工程タスク'!$D$4:$D$135,MATCH(A108,'02_工程タスク'!$A$4:$A$135,0))="","",INDEX('02_工程タスク'!$D$4:$D$135,MATCH(A108,'02_工程タスク'!$A$4:$A$135,0))))</f>
        <v>検知・封じ込め・安全停止</v>
      </c>
      <c r="D108" s="6"/>
      <c r="E108" s="6" t="s">
        <v>1598</v>
      </c>
      <c r="F108" s="6"/>
      <c r="G108" s="6"/>
      <c r="H108" s="5"/>
      <c r="I108" s="5"/>
      <c r="J108" s="5"/>
      <c r="K108" s="5"/>
      <c r="L108" s="6" t="s">
        <v>3629</v>
      </c>
      <c r="M108" s="6"/>
      <c r="N108" s="6"/>
      <c r="O108" s="5"/>
      <c r="P108" s="17"/>
      <c r="Q108" s="17"/>
      <c r="R108" s="6"/>
      <c r="S108" s="6"/>
      <c r="T108" s="6"/>
      <c r="U108" s="5"/>
      <c r="V108" s="6" t="s">
        <v>1248</v>
      </c>
      <c r="W108" s="28" t="str">
        <f t="shared" si="72"/>
        <v>適用未判定</v>
      </c>
      <c r="X108" s="28" t="str">
        <f t="shared" si="73"/>
        <v/>
      </c>
      <c r="Y108" s="25" t="str">
        <f t="shared" si="74"/>
        <v/>
      </c>
      <c r="Z108" s="25" t="str">
        <f t="shared" si="75"/>
        <v>適用未判定</v>
      </c>
      <c r="AA108" s="25">
        <f t="shared" si="76"/>
        <v>0</v>
      </c>
      <c r="AB108" s="25" t="str">
        <f t="shared" si="77"/>
        <v>B5-01</v>
      </c>
      <c r="AC108" s="25" t="str">
        <f t="shared" si="78"/>
        <v/>
      </c>
      <c r="AD108" s="25" t="str">
        <f t="shared" si="79"/>
        <v/>
      </c>
      <c r="AE108" s="25" t="str">
        <f t="shared" si="80"/>
        <v/>
      </c>
      <c r="AF108" s="25" t="str">
        <f t="shared" si="81"/>
        <v/>
      </c>
      <c r="AG108" s="25" t="str">
        <f t="shared" si="82"/>
        <v/>
      </c>
      <c r="AH108" s="25" t="str">
        <f t="shared" si="83"/>
        <v/>
      </c>
      <c r="AI108" s="25" t="str">
        <f t="shared" si="84"/>
        <v/>
      </c>
      <c r="AJ108" s="25" t="str">
        <f t="shared" si="85"/>
        <v>未充足</v>
      </c>
      <c r="AK108" s="25" t="str">
        <f t="shared" si="86"/>
        <v/>
      </c>
      <c r="AL108" s="25" t="str">
        <f t="shared" si="87"/>
        <v/>
      </c>
      <c r="AM108" s="25" t="str">
        <f t="shared" si="88"/>
        <v/>
      </c>
      <c r="AN108" s="25" t="str">
        <f t="shared" si="89"/>
        <v/>
      </c>
      <c r="AO108" s="25" t="str">
        <f t="shared" si="90"/>
        <v/>
      </c>
      <c r="AP108" s="25" t="str">
        <f t="shared" si="91"/>
        <v/>
      </c>
      <c r="AQ108" s="25" t="str">
        <f t="shared" si="92"/>
        <v/>
      </c>
      <c r="AR108" s="35" t="str">
        <f t="shared" si="93"/>
        <v/>
      </c>
      <c r="AS108" s="28" t="str">
        <f>IF(COUNTIF('02_工程タスク'!$A$4:$A$135,A108)&lt;&gt;1,"参照ID不正",IF(INDEX('02_工程タスク'!$H$4:$H$135,MATCH(A108,'02_工程タスク'!$A$4:$A$135,0))="","",INDEX('02_工程タスク'!$H$4:$H$135,MATCH(A108,'02_工程タスク'!$A$4:$A$135,0))))</f>
        <v>R18</v>
      </c>
      <c r="AT108" s="28" t="str">
        <f t="shared" si="94"/>
        <v>INIT-B5-08</v>
      </c>
      <c r="AU108" s="29" t="s">
        <v>3630</v>
      </c>
      <c r="AV108" s="29"/>
      <c r="AW108" s="29"/>
      <c r="AX108" s="32"/>
      <c r="AY108" s="29"/>
      <c r="AZ108" s="29"/>
      <c r="BA108" s="32"/>
      <c r="BB108" s="28" t="str">
        <f>IF(COUNTIF('02_工程タスク'!$A$4:$A$135,A108)&lt;&gt;1,"参照ID不正",IF(INDEX('02_工程タスク'!$O$4:$O$135,MATCH(A108,'02_工程タスク'!$A$4:$A$135,0))="","",INDEX('02_工程タスク'!$O$4:$O$135,MATCH(A108,'02_工程タスク'!$A$4:$A$135,0))))</f>
        <v>B5-01</v>
      </c>
      <c r="BC108" s="28" t="str">
        <f t="shared" si="95"/>
        <v>記法OK</v>
      </c>
      <c r="BD108" s="28" t="str">
        <f>IF(A108="B6-01",IF(OR(AV108="",COUNTIF('29_ゲート承認記録'!$F$4:$F$83,AV108)&lt;&gt;1),"終了開始根拠不足",IF(IF(COUNTIF('29_ゲート承認記録'!$F$4:$F$83,AV108)&lt;&gt;1,"参照ID不正",IF(INDEX('29_ゲート承認記録'!$L$4:$L$83,MATCH(AV108,'29_ゲート承認記録'!$F$4:$F$83,0))="","",INDEX('29_ゲート承認記録'!$L$4:$L$83,MATCH(AV108,'29_ゲート承認記録'!$F$4:$F$83,0))))&lt;&gt;"Stop","Stop判断要確認","開始根拠あり")),IF(AND(A108="B5-18",AU108="事故"),IF(AV108="","事故レビュー参照不足","開始根拠あり"),"開始根拠あり"))</f>
        <v>開始根拠あり</v>
      </c>
      <c r="BE108" s="29"/>
      <c r="BF108" s="29"/>
    </row>
    <row r="109" spans="1:58" ht="38" customHeight="1" x14ac:dyDescent="0.2">
      <c r="A109" s="14" t="s">
        <v>1315</v>
      </c>
      <c r="B109" s="28" t="str">
        <f>IF(COUNTIF('02_工程タスク'!$A$4:$A$135,A109)&lt;&gt;1,"参照ID不正",IF(INDEX('02_工程タスク'!$B$4:$B$135,MATCH(A109,'02_工程タスク'!$A$4:$A$135,0))="","",INDEX('02_工程タスク'!$B$4:$B$135,MATCH(A109,'02_工程タスク'!$A$4:$A$135,0))))</f>
        <v>運用</v>
      </c>
      <c r="C109" s="28" t="str">
        <f>IF(COUNTIF('02_工程タスク'!$A$4:$A$135,A109)&lt;&gt;1,"参照ID不正",IF(INDEX('02_工程タスク'!$D$4:$D$135,MATCH(A109,'02_工程タスク'!$A$4:$A$135,0))="","",INDEX('02_工程タスク'!$D$4:$D$135,MATCH(A109,'02_工程タスク'!$A$4:$A$135,0))))</f>
        <v>RCA・再発防止・評価還流</v>
      </c>
      <c r="D109" s="6"/>
      <c r="E109" s="6" t="s">
        <v>1598</v>
      </c>
      <c r="F109" s="6"/>
      <c r="G109" s="6"/>
      <c r="H109" s="5"/>
      <c r="I109" s="5"/>
      <c r="J109" s="5"/>
      <c r="K109" s="5"/>
      <c r="L109" s="6" t="s">
        <v>3629</v>
      </c>
      <c r="M109" s="6"/>
      <c r="N109" s="6"/>
      <c r="O109" s="5"/>
      <c r="P109" s="17"/>
      <c r="Q109" s="17"/>
      <c r="R109" s="6"/>
      <c r="S109" s="6"/>
      <c r="T109" s="6"/>
      <c r="U109" s="5"/>
      <c r="V109" s="6" t="s">
        <v>1307</v>
      </c>
      <c r="W109" s="28" t="str">
        <f t="shared" si="72"/>
        <v>適用未判定</v>
      </c>
      <c r="X109" s="28" t="str">
        <f t="shared" si="73"/>
        <v/>
      </c>
      <c r="Y109" s="26" t="str">
        <f t="shared" si="74"/>
        <v/>
      </c>
      <c r="Z109" s="26" t="str">
        <f t="shared" si="75"/>
        <v>適用未判定</v>
      </c>
      <c r="AA109" s="26">
        <f t="shared" si="76"/>
        <v>0</v>
      </c>
      <c r="AB109" s="26" t="str">
        <f t="shared" si="77"/>
        <v>B5-08</v>
      </c>
      <c r="AC109" s="26" t="str">
        <f t="shared" si="78"/>
        <v/>
      </c>
      <c r="AD109" s="26" t="str">
        <f t="shared" si="79"/>
        <v/>
      </c>
      <c r="AE109" s="26" t="str">
        <f t="shared" si="80"/>
        <v/>
      </c>
      <c r="AF109" s="26" t="str">
        <f t="shared" si="81"/>
        <v/>
      </c>
      <c r="AG109" s="26" t="str">
        <f t="shared" si="82"/>
        <v/>
      </c>
      <c r="AH109" s="26" t="str">
        <f t="shared" si="83"/>
        <v/>
      </c>
      <c r="AI109" s="26" t="str">
        <f t="shared" si="84"/>
        <v/>
      </c>
      <c r="AJ109" s="26" t="str">
        <f t="shared" si="85"/>
        <v>未充足</v>
      </c>
      <c r="AK109" s="26" t="str">
        <f t="shared" si="86"/>
        <v/>
      </c>
      <c r="AL109" s="26" t="str">
        <f t="shared" si="87"/>
        <v/>
      </c>
      <c r="AM109" s="26" t="str">
        <f t="shared" si="88"/>
        <v/>
      </c>
      <c r="AN109" s="26" t="str">
        <f t="shared" si="89"/>
        <v/>
      </c>
      <c r="AO109" s="26" t="str">
        <f t="shared" si="90"/>
        <v/>
      </c>
      <c r="AP109" s="26" t="str">
        <f t="shared" si="91"/>
        <v/>
      </c>
      <c r="AQ109" s="26" t="str">
        <f t="shared" si="92"/>
        <v/>
      </c>
      <c r="AR109" s="36" t="str">
        <f t="shared" si="93"/>
        <v/>
      </c>
      <c r="AS109" s="28" t="str">
        <f>IF(COUNTIF('02_工程タスク'!$A$4:$A$135,A109)&lt;&gt;1,"参照ID不正",IF(INDEX('02_工程タスク'!$H$4:$H$135,MATCH(A109,'02_工程タスク'!$A$4:$A$135,0))="","",INDEX('02_工程タスク'!$H$4:$H$135,MATCH(A109,'02_工程タスク'!$A$4:$A$135,0))))</f>
        <v>R18</v>
      </c>
      <c r="AT109" s="28" t="str">
        <f t="shared" si="94"/>
        <v>INIT-B5-09</v>
      </c>
      <c r="AU109" s="29" t="s">
        <v>3630</v>
      </c>
      <c r="AV109" s="29"/>
      <c r="AW109" s="29"/>
      <c r="AX109" s="32"/>
      <c r="AY109" s="29"/>
      <c r="AZ109" s="29"/>
      <c r="BA109" s="32"/>
      <c r="BB109" s="28" t="str">
        <f>IF(COUNTIF('02_工程タスク'!$A$4:$A$135,A109)&lt;&gt;1,"参照ID不正",IF(INDEX('02_工程タスク'!$O$4:$O$135,MATCH(A109,'02_工程タスク'!$A$4:$A$135,0))="","",INDEX('02_工程タスク'!$O$4:$O$135,MATCH(A109,'02_工程タスク'!$A$4:$A$135,0))))</f>
        <v>B5-08</v>
      </c>
      <c r="BC109" s="28" t="str">
        <f t="shared" si="95"/>
        <v>記法OK</v>
      </c>
      <c r="BD109" s="28" t="str">
        <f>IF(A109="B6-01",IF(OR(AV109="",COUNTIF('29_ゲート承認記録'!$F$4:$F$83,AV109)&lt;&gt;1),"終了開始根拠不足",IF(IF(COUNTIF('29_ゲート承認記録'!$F$4:$F$83,AV109)&lt;&gt;1,"参照ID不正",IF(INDEX('29_ゲート承認記録'!$L$4:$L$83,MATCH(AV109,'29_ゲート承認記録'!$F$4:$F$83,0))="","",INDEX('29_ゲート承認記録'!$L$4:$L$83,MATCH(AV109,'29_ゲート承認記録'!$F$4:$F$83,0))))&lt;&gt;"Stop","Stop判断要確認","開始根拠あり")),IF(AND(A109="B5-18",AU109="事故"),IF(AV109="","事故レビュー参照不足","開始根拠あり"),"開始根拠あり"))</f>
        <v>開始根拠あり</v>
      </c>
      <c r="BE109" s="29"/>
      <c r="BF109" s="29"/>
    </row>
    <row r="110" spans="1:58" ht="38" customHeight="1" x14ac:dyDescent="0.2">
      <c r="A110" s="14" t="s">
        <v>1324</v>
      </c>
      <c r="B110" s="28" t="str">
        <f>IF(COUNTIF('02_工程タスク'!$A$4:$A$135,A110)&lt;&gt;1,"参照ID不正",IF(INDEX('02_工程タスク'!$B$4:$B$135,MATCH(A110,'02_工程タスク'!$A$4:$A$135,0))="","",INDEX('02_工程タスク'!$B$4:$B$135,MATCH(A110,'02_工程タスク'!$A$4:$A$135,0))))</f>
        <v>運用</v>
      </c>
      <c r="C110" s="28" t="str">
        <f>IF(COUNTIF('02_工程タスク'!$A$4:$A$135,A110)&lt;&gt;1,"参照ID不正",IF(INDEX('02_工程タスク'!$D$4:$D$135,MATCH(A110,'02_工程タスク'!$A$4:$A$135,0))="","",INDEX('02_工程タスク'!$D$4:$D$135,MATCH(A110,'02_工程タスク'!$A$4:$A$135,0))))</f>
        <v>モデルEOL・規約・料金・地域の監視</v>
      </c>
      <c r="D110" s="6"/>
      <c r="E110" s="6" t="s">
        <v>1598</v>
      </c>
      <c r="F110" s="6"/>
      <c r="G110" s="6"/>
      <c r="H110" s="5"/>
      <c r="I110" s="5"/>
      <c r="J110" s="5"/>
      <c r="K110" s="5"/>
      <c r="L110" s="6" t="s">
        <v>3629</v>
      </c>
      <c r="M110" s="6"/>
      <c r="N110" s="6"/>
      <c r="O110" s="5"/>
      <c r="P110" s="17"/>
      <c r="Q110" s="17"/>
      <c r="R110" s="6"/>
      <c r="S110" s="6"/>
      <c r="T110" s="6"/>
      <c r="U110" s="5"/>
      <c r="V110" s="6" t="s">
        <v>1248</v>
      </c>
      <c r="W110" s="28" t="str">
        <f t="shared" si="72"/>
        <v>適用未判定</v>
      </c>
      <c r="X110" s="28" t="str">
        <f t="shared" si="73"/>
        <v/>
      </c>
      <c r="Y110" s="25" t="str">
        <f t="shared" si="74"/>
        <v/>
      </c>
      <c r="Z110" s="25" t="str">
        <f t="shared" si="75"/>
        <v>適用未判定</v>
      </c>
      <c r="AA110" s="25">
        <f t="shared" si="76"/>
        <v>0</v>
      </c>
      <c r="AB110" s="25" t="str">
        <f t="shared" si="77"/>
        <v>B5-01</v>
      </c>
      <c r="AC110" s="25" t="str">
        <f t="shared" si="78"/>
        <v/>
      </c>
      <c r="AD110" s="25" t="str">
        <f t="shared" si="79"/>
        <v/>
      </c>
      <c r="AE110" s="25" t="str">
        <f t="shared" si="80"/>
        <v/>
      </c>
      <c r="AF110" s="25" t="str">
        <f t="shared" si="81"/>
        <v/>
      </c>
      <c r="AG110" s="25" t="str">
        <f t="shared" si="82"/>
        <v/>
      </c>
      <c r="AH110" s="25" t="str">
        <f t="shared" si="83"/>
        <v/>
      </c>
      <c r="AI110" s="25" t="str">
        <f t="shared" si="84"/>
        <v/>
      </c>
      <c r="AJ110" s="25" t="str">
        <f t="shared" si="85"/>
        <v>未充足</v>
      </c>
      <c r="AK110" s="25" t="str">
        <f t="shared" si="86"/>
        <v/>
      </c>
      <c r="AL110" s="25" t="str">
        <f t="shared" si="87"/>
        <v/>
      </c>
      <c r="AM110" s="25" t="str">
        <f t="shared" si="88"/>
        <v/>
      </c>
      <c r="AN110" s="25" t="str">
        <f t="shared" si="89"/>
        <v/>
      </c>
      <c r="AO110" s="25" t="str">
        <f t="shared" si="90"/>
        <v/>
      </c>
      <c r="AP110" s="25" t="str">
        <f t="shared" si="91"/>
        <v/>
      </c>
      <c r="AQ110" s="25" t="str">
        <f t="shared" si="92"/>
        <v/>
      </c>
      <c r="AR110" s="35" t="str">
        <f t="shared" si="93"/>
        <v/>
      </c>
      <c r="AS110" s="28" t="str">
        <f>IF(COUNTIF('02_工程タスク'!$A$4:$A$135,A110)&lt;&gt;1,"参照ID不正",IF(INDEX('02_工程タスク'!$H$4:$H$135,MATCH(A110,'02_工程タスク'!$A$4:$A$135,0))="","",INDEX('02_工程タスク'!$H$4:$H$135,MATCH(A110,'02_工程タスク'!$A$4:$A$135,0))))</f>
        <v>R18</v>
      </c>
      <c r="AT110" s="28" t="str">
        <f t="shared" si="94"/>
        <v>INIT-B5-10</v>
      </c>
      <c r="AU110" s="29" t="s">
        <v>3630</v>
      </c>
      <c r="AV110" s="29"/>
      <c r="AW110" s="29"/>
      <c r="AX110" s="32"/>
      <c r="AY110" s="29"/>
      <c r="AZ110" s="29"/>
      <c r="BA110" s="32"/>
      <c r="BB110" s="28" t="str">
        <f>IF(COUNTIF('02_工程タスク'!$A$4:$A$135,A110)&lt;&gt;1,"参照ID不正",IF(INDEX('02_工程タスク'!$O$4:$O$135,MATCH(A110,'02_工程タスク'!$A$4:$A$135,0))="","",INDEX('02_工程タスク'!$O$4:$O$135,MATCH(A110,'02_工程タスク'!$A$4:$A$135,0))))</f>
        <v>B5-01</v>
      </c>
      <c r="BC110" s="28" t="str">
        <f t="shared" si="95"/>
        <v>記法OK</v>
      </c>
      <c r="BD110" s="28" t="str">
        <f>IF(A110="B6-01",IF(OR(AV110="",COUNTIF('29_ゲート承認記録'!$F$4:$F$83,AV110)&lt;&gt;1),"終了開始根拠不足",IF(IF(COUNTIF('29_ゲート承認記録'!$F$4:$F$83,AV110)&lt;&gt;1,"参照ID不正",IF(INDEX('29_ゲート承認記録'!$L$4:$L$83,MATCH(AV110,'29_ゲート承認記録'!$F$4:$F$83,0))="","",INDEX('29_ゲート承認記録'!$L$4:$L$83,MATCH(AV110,'29_ゲート承認記録'!$F$4:$F$83,0))))&lt;&gt;"Stop","Stop判断要確認","開始根拠あり")),IF(AND(A110="B5-18",AU110="事故"),IF(AV110="","事故レビュー参照不足","開始根拠あり"),"開始根拠あり"))</f>
        <v>開始根拠あり</v>
      </c>
      <c r="BE110" s="29"/>
      <c r="BF110" s="29"/>
    </row>
    <row r="111" spans="1:58" ht="38" customHeight="1" x14ac:dyDescent="0.2">
      <c r="A111" s="14" t="s">
        <v>1333</v>
      </c>
      <c r="B111" s="28" t="str">
        <f>IF(COUNTIF('02_工程タスク'!$A$4:$A$135,A111)&lt;&gt;1,"参照ID不正",IF(INDEX('02_工程タスク'!$B$4:$B$135,MATCH(A111,'02_工程タスク'!$A$4:$A$135,0))="","",INDEX('02_工程タスク'!$B$4:$B$135,MATCH(A111,'02_工程タスク'!$A$4:$A$135,0))))</f>
        <v>運用</v>
      </c>
      <c r="C111" s="28" t="str">
        <f>IF(COUNTIF('02_工程タスク'!$A$4:$A$135,A111)&lt;&gt;1,"参照ID不正",IF(INDEX('02_工程タスク'!$D$4:$D$135,MATCH(A111,'02_工程タスク'!$A$4:$A$135,0))="","",INDEX('02_工程タスク'!$D$4:$D$135,MATCH(A111,'02_工程タスク'!$A$4:$A$135,0))))</f>
        <v>脆弱性・パッチ・容量・復旧維持</v>
      </c>
      <c r="D111" s="6"/>
      <c r="E111" s="6" t="s">
        <v>1598</v>
      </c>
      <c r="F111" s="6"/>
      <c r="G111" s="6"/>
      <c r="H111" s="5"/>
      <c r="I111" s="5"/>
      <c r="J111" s="5"/>
      <c r="K111" s="5"/>
      <c r="L111" s="6" t="s">
        <v>3629</v>
      </c>
      <c r="M111" s="6"/>
      <c r="N111" s="6"/>
      <c r="O111" s="5"/>
      <c r="P111" s="17"/>
      <c r="Q111" s="17"/>
      <c r="R111" s="6"/>
      <c r="S111" s="6"/>
      <c r="T111" s="6"/>
      <c r="U111" s="5"/>
      <c r="V111" s="6" t="s">
        <v>1248</v>
      </c>
      <c r="W111" s="28" t="str">
        <f t="shared" si="72"/>
        <v>適用未判定</v>
      </c>
      <c r="X111" s="28" t="str">
        <f t="shared" si="73"/>
        <v/>
      </c>
      <c r="Y111" s="26" t="str">
        <f t="shared" si="74"/>
        <v/>
      </c>
      <c r="Z111" s="26" t="str">
        <f t="shared" si="75"/>
        <v>適用未判定</v>
      </c>
      <c r="AA111" s="26">
        <f t="shared" si="76"/>
        <v>0</v>
      </c>
      <c r="AB111" s="26" t="str">
        <f t="shared" si="77"/>
        <v>B5-01</v>
      </c>
      <c r="AC111" s="26" t="str">
        <f t="shared" si="78"/>
        <v/>
      </c>
      <c r="AD111" s="26" t="str">
        <f t="shared" si="79"/>
        <v/>
      </c>
      <c r="AE111" s="26" t="str">
        <f t="shared" si="80"/>
        <v/>
      </c>
      <c r="AF111" s="26" t="str">
        <f t="shared" si="81"/>
        <v/>
      </c>
      <c r="AG111" s="26" t="str">
        <f t="shared" si="82"/>
        <v/>
      </c>
      <c r="AH111" s="26" t="str">
        <f t="shared" si="83"/>
        <v/>
      </c>
      <c r="AI111" s="26" t="str">
        <f t="shared" si="84"/>
        <v/>
      </c>
      <c r="AJ111" s="26" t="str">
        <f t="shared" si="85"/>
        <v>未充足</v>
      </c>
      <c r="AK111" s="26" t="str">
        <f t="shared" si="86"/>
        <v/>
      </c>
      <c r="AL111" s="26" t="str">
        <f t="shared" si="87"/>
        <v/>
      </c>
      <c r="AM111" s="26" t="str">
        <f t="shared" si="88"/>
        <v/>
      </c>
      <c r="AN111" s="26" t="str">
        <f t="shared" si="89"/>
        <v/>
      </c>
      <c r="AO111" s="26" t="str">
        <f t="shared" si="90"/>
        <v/>
      </c>
      <c r="AP111" s="26" t="str">
        <f t="shared" si="91"/>
        <v/>
      </c>
      <c r="AQ111" s="26" t="str">
        <f t="shared" si="92"/>
        <v/>
      </c>
      <c r="AR111" s="36" t="str">
        <f t="shared" si="93"/>
        <v/>
      </c>
      <c r="AS111" s="28" t="str">
        <f>IF(COUNTIF('02_工程タスク'!$A$4:$A$135,A111)&lt;&gt;1,"参照ID不正",IF(INDEX('02_工程タスク'!$H$4:$H$135,MATCH(A111,'02_工程タスク'!$A$4:$A$135,0))="","",INDEX('02_工程タスク'!$H$4:$H$135,MATCH(A111,'02_工程タスク'!$A$4:$A$135,0))))</f>
        <v>R18</v>
      </c>
      <c r="AT111" s="28" t="str">
        <f t="shared" si="94"/>
        <v>INIT-B5-11</v>
      </c>
      <c r="AU111" s="29" t="s">
        <v>3630</v>
      </c>
      <c r="AV111" s="29"/>
      <c r="AW111" s="29"/>
      <c r="AX111" s="32"/>
      <c r="AY111" s="29"/>
      <c r="AZ111" s="29"/>
      <c r="BA111" s="32"/>
      <c r="BB111" s="28" t="str">
        <f>IF(COUNTIF('02_工程タスク'!$A$4:$A$135,A111)&lt;&gt;1,"参照ID不正",IF(INDEX('02_工程タスク'!$O$4:$O$135,MATCH(A111,'02_工程タスク'!$A$4:$A$135,0))="","",INDEX('02_工程タスク'!$O$4:$O$135,MATCH(A111,'02_工程タスク'!$A$4:$A$135,0))))</f>
        <v>B5-01</v>
      </c>
      <c r="BC111" s="28" t="str">
        <f t="shared" si="95"/>
        <v>記法OK</v>
      </c>
      <c r="BD111" s="28" t="str">
        <f>IF(A111="B6-01",IF(OR(AV111="",COUNTIF('29_ゲート承認記録'!$F$4:$F$83,AV111)&lt;&gt;1),"終了開始根拠不足",IF(IF(COUNTIF('29_ゲート承認記録'!$F$4:$F$83,AV111)&lt;&gt;1,"参照ID不正",IF(INDEX('29_ゲート承認記録'!$L$4:$L$83,MATCH(AV111,'29_ゲート承認記録'!$F$4:$F$83,0))="","",INDEX('29_ゲート承認記録'!$L$4:$L$83,MATCH(AV111,'29_ゲート承認記録'!$F$4:$F$83,0))))&lt;&gt;"Stop","Stop判断要確認","開始根拠あり")),IF(AND(A111="B5-18",AU111="事故"),IF(AV111="","事故レビュー参照不足","開始根拠あり"),"開始根拠あり"))</f>
        <v>開始根拠あり</v>
      </c>
      <c r="BE111" s="29"/>
      <c r="BF111" s="29"/>
    </row>
    <row r="112" spans="1:58" ht="38" customHeight="1" x14ac:dyDescent="0.2">
      <c r="A112" s="14" t="s">
        <v>1341</v>
      </c>
      <c r="B112" s="28" t="str">
        <f>IF(COUNTIF('02_工程タスク'!$A$4:$A$135,A112)&lt;&gt;1,"参照ID不正",IF(INDEX('02_工程タスク'!$B$4:$B$135,MATCH(A112,'02_工程タスク'!$A$4:$A$135,0))="","",INDEX('02_工程タスク'!$B$4:$B$135,MATCH(A112,'02_工程タスク'!$A$4:$A$135,0))))</f>
        <v>運用</v>
      </c>
      <c r="C112" s="28" t="str">
        <f>IF(COUNTIF('02_工程タスク'!$A$4:$A$135,A112)&lt;&gt;1,"参照ID不正",IF(INDEX('02_工程タスク'!$D$4:$D$135,MATCH(A112,'02_工程タスク'!$A$4:$A$135,0))="","",INDEX('02_工程タスク'!$D$4:$D$135,MATCH(A112,'02_工程タスク'!$A$4:$A$135,0))))</f>
        <v>Major Change判定・再ゲート</v>
      </c>
      <c r="D112" s="6"/>
      <c r="E112" s="6" t="s">
        <v>1598</v>
      </c>
      <c r="F112" s="6"/>
      <c r="G112" s="6"/>
      <c r="H112" s="5"/>
      <c r="I112" s="5"/>
      <c r="J112" s="5"/>
      <c r="K112" s="5"/>
      <c r="L112" s="6" t="s">
        <v>3629</v>
      </c>
      <c r="M112" s="6"/>
      <c r="N112" s="6"/>
      <c r="O112" s="5"/>
      <c r="P112" s="17"/>
      <c r="Q112" s="17"/>
      <c r="R112" s="6"/>
      <c r="S112" s="6"/>
      <c r="T112" s="6"/>
      <c r="U112" s="5"/>
      <c r="V112" s="6" t="s">
        <v>1248</v>
      </c>
      <c r="W112" s="28" t="str">
        <f t="shared" si="72"/>
        <v>適用未判定</v>
      </c>
      <c r="X112" s="28" t="str">
        <f t="shared" si="73"/>
        <v/>
      </c>
      <c r="Y112" s="25" t="str">
        <f t="shared" si="74"/>
        <v/>
      </c>
      <c r="Z112" s="25" t="str">
        <f t="shared" si="75"/>
        <v>適用未判定</v>
      </c>
      <c r="AA112" s="25">
        <f t="shared" si="76"/>
        <v>0</v>
      </c>
      <c r="AB112" s="25" t="str">
        <f t="shared" si="77"/>
        <v>B5-01</v>
      </c>
      <c r="AC112" s="25" t="str">
        <f t="shared" si="78"/>
        <v/>
      </c>
      <c r="AD112" s="25" t="str">
        <f t="shared" si="79"/>
        <v/>
      </c>
      <c r="AE112" s="25" t="str">
        <f t="shared" si="80"/>
        <v/>
      </c>
      <c r="AF112" s="25" t="str">
        <f t="shared" si="81"/>
        <v/>
      </c>
      <c r="AG112" s="25" t="str">
        <f t="shared" si="82"/>
        <v/>
      </c>
      <c r="AH112" s="25" t="str">
        <f t="shared" si="83"/>
        <v/>
      </c>
      <c r="AI112" s="25" t="str">
        <f t="shared" si="84"/>
        <v/>
      </c>
      <c r="AJ112" s="25" t="str">
        <f t="shared" si="85"/>
        <v>未充足</v>
      </c>
      <c r="AK112" s="25" t="str">
        <f t="shared" si="86"/>
        <v/>
      </c>
      <c r="AL112" s="25" t="str">
        <f t="shared" si="87"/>
        <v/>
      </c>
      <c r="AM112" s="25" t="str">
        <f t="shared" si="88"/>
        <v/>
      </c>
      <c r="AN112" s="25" t="str">
        <f t="shared" si="89"/>
        <v/>
      </c>
      <c r="AO112" s="25" t="str">
        <f t="shared" si="90"/>
        <v/>
      </c>
      <c r="AP112" s="25" t="str">
        <f t="shared" si="91"/>
        <v/>
      </c>
      <c r="AQ112" s="25" t="str">
        <f t="shared" si="92"/>
        <v/>
      </c>
      <c r="AR112" s="35" t="str">
        <f t="shared" si="93"/>
        <v/>
      </c>
      <c r="AS112" s="28" t="str">
        <f>IF(COUNTIF('02_工程タスク'!$A$4:$A$135,A112)&lt;&gt;1,"参照ID不正",IF(INDEX('02_工程タスク'!$H$4:$H$135,MATCH(A112,'02_工程タスク'!$A$4:$A$135,0))="","",INDEX('02_工程タスク'!$H$4:$H$135,MATCH(A112,'02_工程タスク'!$A$4:$A$135,0))))</f>
        <v>R18</v>
      </c>
      <c r="AT112" s="28" t="str">
        <f t="shared" si="94"/>
        <v>INIT-B5-12</v>
      </c>
      <c r="AU112" s="29" t="s">
        <v>3630</v>
      </c>
      <c r="AV112" s="29"/>
      <c r="AW112" s="29"/>
      <c r="AX112" s="32"/>
      <c r="AY112" s="29"/>
      <c r="AZ112" s="29"/>
      <c r="BA112" s="32"/>
      <c r="BB112" s="28" t="str">
        <f>IF(COUNTIF('02_工程タスク'!$A$4:$A$135,A112)&lt;&gt;1,"参照ID不正",IF(INDEX('02_工程タスク'!$O$4:$O$135,MATCH(A112,'02_工程タスク'!$A$4:$A$135,0))="","",INDEX('02_工程タスク'!$O$4:$O$135,MATCH(A112,'02_工程タスク'!$A$4:$A$135,0))))</f>
        <v>B5-01</v>
      </c>
      <c r="BC112" s="28" t="str">
        <f t="shared" si="95"/>
        <v>記法OK</v>
      </c>
      <c r="BD112" s="28" t="str">
        <f>IF(A112="B6-01",IF(OR(AV112="",COUNTIF('29_ゲート承認記録'!$F$4:$F$83,AV112)&lt;&gt;1),"終了開始根拠不足",IF(IF(COUNTIF('29_ゲート承認記録'!$F$4:$F$83,AV112)&lt;&gt;1,"参照ID不正",IF(INDEX('29_ゲート承認記録'!$L$4:$L$83,MATCH(AV112,'29_ゲート承認記録'!$F$4:$F$83,0))="","",INDEX('29_ゲート承認記録'!$L$4:$L$83,MATCH(AV112,'29_ゲート承認記録'!$F$4:$F$83,0))))&lt;&gt;"Stop","Stop判断要確認","開始根拠あり")),IF(AND(A112="B5-18",AU112="事故"),IF(AV112="","事故レビュー参照不足","開始根拠あり"),"開始根拠あり"))</f>
        <v>開始根拠あり</v>
      </c>
      <c r="BE112" s="29"/>
      <c r="BF112" s="29"/>
    </row>
    <row r="113" spans="1:58" ht="38" customHeight="1" x14ac:dyDescent="0.2">
      <c r="A113" s="14" t="s">
        <v>1350</v>
      </c>
      <c r="B113" s="28" t="str">
        <f>IF(COUNTIF('02_工程タスク'!$A$4:$A$135,A113)&lt;&gt;1,"参照ID不正",IF(INDEX('02_工程タスク'!$B$4:$B$135,MATCH(A113,'02_工程タスク'!$A$4:$A$135,0))="","",INDEX('02_工程タスク'!$B$4:$B$135,MATCH(A113,'02_工程タスク'!$A$4:$A$135,0))))</f>
        <v>運用</v>
      </c>
      <c r="C113" s="28" t="str">
        <f>IF(COUNTIF('02_工程タスク'!$A$4:$A$135,A113)&lt;&gt;1,"参照ID不正",IF(INDEX('02_工程タスク'!$D$4:$D$135,MATCH(A113,'02_工程タスク'!$A$4:$A$135,0))="","",INDEX('02_工程タスク'!$D$4:$D$135,MATCH(A113,'02_工程タスク'!$A$4:$A$135,0))))</f>
        <v>フィードバック・機会・実験の更新</v>
      </c>
      <c r="D113" s="6"/>
      <c r="E113" s="6" t="s">
        <v>1598</v>
      </c>
      <c r="F113" s="6"/>
      <c r="G113" s="6"/>
      <c r="H113" s="5"/>
      <c r="I113" s="5"/>
      <c r="J113" s="5"/>
      <c r="K113" s="5"/>
      <c r="L113" s="6" t="s">
        <v>3629</v>
      </c>
      <c r="M113" s="6"/>
      <c r="N113" s="6"/>
      <c r="O113" s="5"/>
      <c r="P113" s="17"/>
      <c r="Q113" s="17"/>
      <c r="R113" s="6"/>
      <c r="S113" s="6"/>
      <c r="T113" s="6"/>
      <c r="U113" s="5"/>
      <c r="V113" s="6" t="s">
        <v>1357</v>
      </c>
      <c r="W113" s="28" t="str">
        <f t="shared" si="72"/>
        <v>適用未判定</v>
      </c>
      <c r="X113" s="28" t="str">
        <f t="shared" si="73"/>
        <v/>
      </c>
      <c r="Y113" s="26" t="str">
        <f t="shared" si="74"/>
        <v/>
      </c>
      <c r="Z113" s="26" t="str">
        <f t="shared" si="75"/>
        <v>適用未判定</v>
      </c>
      <c r="AA113" s="26">
        <f t="shared" si="76"/>
        <v>0</v>
      </c>
      <c r="AB113" s="26" t="str">
        <f t="shared" si="77"/>
        <v>B5-02</v>
      </c>
      <c r="AC113" s="26" t="str">
        <f t="shared" si="78"/>
        <v>B5-04</v>
      </c>
      <c r="AD113" s="26" t="str">
        <f t="shared" si="79"/>
        <v>B5-07</v>
      </c>
      <c r="AE113" s="26" t="str">
        <f t="shared" si="80"/>
        <v/>
      </c>
      <c r="AF113" s="26" t="str">
        <f t="shared" si="81"/>
        <v/>
      </c>
      <c r="AG113" s="26" t="str">
        <f t="shared" si="82"/>
        <v/>
      </c>
      <c r="AH113" s="26" t="str">
        <f t="shared" si="83"/>
        <v/>
      </c>
      <c r="AI113" s="26" t="str">
        <f t="shared" si="84"/>
        <v/>
      </c>
      <c r="AJ113" s="26" t="str">
        <f t="shared" si="85"/>
        <v>未充足</v>
      </c>
      <c r="AK113" s="26" t="str">
        <f t="shared" si="86"/>
        <v>未充足</v>
      </c>
      <c r="AL113" s="26" t="str">
        <f t="shared" si="87"/>
        <v>未充足</v>
      </c>
      <c r="AM113" s="26" t="str">
        <f t="shared" si="88"/>
        <v/>
      </c>
      <c r="AN113" s="26" t="str">
        <f t="shared" si="89"/>
        <v/>
      </c>
      <c r="AO113" s="26" t="str">
        <f t="shared" si="90"/>
        <v/>
      </c>
      <c r="AP113" s="26" t="str">
        <f t="shared" si="91"/>
        <v/>
      </c>
      <c r="AQ113" s="26" t="str">
        <f t="shared" si="92"/>
        <v/>
      </c>
      <c r="AR113" s="36" t="str">
        <f t="shared" si="93"/>
        <v/>
      </c>
      <c r="AS113" s="28" t="str">
        <f>IF(COUNTIF('02_工程タスク'!$A$4:$A$135,A113)&lt;&gt;1,"参照ID不正",IF(INDEX('02_工程タスク'!$H$4:$H$135,MATCH(A113,'02_工程タスク'!$A$4:$A$135,0))="","",INDEX('02_工程タスク'!$H$4:$H$135,MATCH(A113,'02_工程タスク'!$A$4:$A$135,0))))</f>
        <v>R02</v>
      </c>
      <c r="AT113" s="28" t="str">
        <f t="shared" si="94"/>
        <v>INIT-B5-13</v>
      </c>
      <c r="AU113" s="29" t="s">
        <v>3630</v>
      </c>
      <c r="AV113" s="29"/>
      <c r="AW113" s="29"/>
      <c r="AX113" s="32"/>
      <c r="AY113" s="29"/>
      <c r="AZ113" s="29"/>
      <c r="BA113" s="32"/>
      <c r="BB113" s="28" t="str">
        <f>IF(COUNTIF('02_工程タスク'!$A$4:$A$135,A113)&lt;&gt;1,"参照ID不正",IF(INDEX('02_工程タスク'!$O$4:$O$135,MATCH(A113,'02_工程タスク'!$A$4:$A$135,0))="","",INDEX('02_工程タスク'!$O$4:$O$135,MATCH(A113,'02_工程タスク'!$A$4:$A$135,0))))</f>
        <v>B5-02,B5-04,B5-07</v>
      </c>
      <c r="BC113" s="28" t="str">
        <f t="shared" si="95"/>
        <v>記法OK</v>
      </c>
      <c r="BD113" s="28" t="str">
        <f>IF(A113="B6-01",IF(OR(AV113="",COUNTIF('29_ゲート承認記録'!$F$4:$F$83,AV113)&lt;&gt;1),"終了開始根拠不足",IF(IF(COUNTIF('29_ゲート承認記録'!$F$4:$F$83,AV113)&lt;&gt;1,"参照ID不正",IF(INDEX('29_ゲート承認記録'!$L$4:$L$83,MATCH(AV113,'29_ゲート承認記録'!$F$4:$F$83,0))="","",INDEX('29_ゲート承認記録'!$L$4:$L$83,MATCH(AV113,'29_ゲート承認記録'!$F$4:$F$83,0))))&lt;&gt;"Stop","Stop判断要確認","開始根拠あり")),IF(AND(A113="B5-18",AU113="事故"),IF(AV113="","事故レビュー参照不足","開始根拠あり"),"開始根拠あり"))</f>
        <v>開始根拠あり</v>
      </c>
      <c r="BE113" s="29"/>
      <c r="BF113" s="29"/>
    </row>
    <row r="114" spans="1:58" ht="38" customHeight="1" x14ac:dyDescent="0.2">
      <c r="A114" s="14" t="s">
        <v>1360</v>
      </c>
      <c r="B114" s="28" t="str">
        <f>IF(COUNTIF('02_工程タスク'!$A$4:$A$135,A114)&lt;&gt;1,"参照ID不正",IF(INDEX('02_工程タスク'!$B$4:$B$135,MATCH(A114,'02_工程タスク'!$A$4:$A$135,0))="","",INDEX('02_工程タスク'!$B$4:$B$135,MATCH(A114,'02_工程タスク'!$A$4:$A$135,0))))</f>
        <v>運用</v>
      </c>
      <c r="C114" s="28" t="str">
        <f>IF(COUNTIF('02_工程タスク'!$A$4:$A$135,A114)&lt;&gt;1,"参照ID不正",IF(INDEX('02_工程タスク'!$D$4:$D$135,MATCH(A114,'02_工程タスク'!$A$4:$A$135,0))="","",INDEX('02_工程タスク'!$D$4:$D$135,MATCH(A114,'02_工程タスク'!$A$4:$A$135,0))))</f>
        <v>価格・導入・継続の実験</v>
      </c>
      <c r="D114" s="6"/>
      <c r="E114" s="6" t="s">
        <v>1598</v>
      </c>
      <c r="F114" s="6"/>
      <c r="G114" s="6"/>
      <c r="H114" s="5"/>
      <c r="I114" s="5"/>
      <c r="J114" s="5"/>
      <c r="K114" s="5"/>
      <c r="L114" s="6" t="s">
        <v>3629</v>
      </c>
      <c r="M114" s="6"/>
      <c r="N114" s="6"/>
      <c r="O114" s="5"/>
      <c r="P114" s="17"/>
      <c r="Q114" s="17"/>
      <c r="R114" s="6"/>
      <c r="S114" s="6"/>
      <c r="T114" s="6"/>
      <c r="U114" s="5"/>
      <c r="V114" s="6" t="s">
        <v>1368</v>
      </c>
      <c r="W114" s="28" t="str">
        <f t="shared" si="72"/>
        <v>適用未判定</v>
      </c>
      <c r="X114" s="28" t="str">
        <f t="shared" si="73"/>
        <v/>
      </c>
      <c r="Y114" s="25" t="str">
        <f t="shared" si="74"/>
        <v/>
      </c>
      <c r="Z114" s="25" t="str">
        <f t="shared" si="75"/>
        <v>適用未判定</v>
      </c>
      <c r="AA114" s="25">
        <f t="shared" si="76"/>
        <v>0</v>
      </c>
      <c r="AB114" s="25" t="str">
        <f t="shared" si="77"/>
        <v>B5-13</v>
      </c>
      <c r="AC114" s="25" t="str">
        <f t="shared" si="78"/>
        <v>B5-06</v>
      </c>
      <c r="AD114" s="25" t="str">
        <f t="shared" si="79"/>
        <v/>
      </c>
      <c r="AE114" s="25" t="str">
        <f t="shared" si="80"/>
        <v/>
      </c>
      <c r="AF114" s="25" t="str">
        <f t="shared" si="81"/>
        <v/>
      </c>
      <c r="AG114" s="25" t="str">
        <f t="shared" si="82"/>
        <v/>
      </c>
      <c r="AH114" s="25" t="str">
        <f t="shared" si="83"/>
        <v/>
      </c>
      <c r="AI114" s="25" t="str">
        <f t="shared" si="84"/>
        <v/>
      </c>
      <c r="AJ114" s="25" t="str">
        <f t="shared" si="85"/>
        <v>未充足</v>
      </c>
      <c r="AK114" s="25" t="str">
        <f t="shared" si="86"/>
        <v>未充足</v>
      </c>
      <c r="AL114" s="25" t="str">
        <f t="shared" si="87"/>
        <v/>
      </c>
      <c r="AM114" s="25" t="str">
        <f t="shared" si="88"/>
        <v/>
      </c>
      <c r="AN114" s="25" t="str">
        <f t="shared" si="89"/>
        <v/>
      </c>
      <c r="AO114" s="25" t="str">
        <f t="shared" si="90"/>
        <v/>
      </c>
      <c r="AP114" s="25" t="str">
        <f t="shared" si="91"/>
        <v/>
      </c>
      <c r="AQ114" s="25" t="str">
        <f t="shared" si="92"/>
        <v/>
      </c>
      <c r="AR114" s="35" t="str">
        <f t="shared" si="93"/>
        <v/>
      </c>
      <c r="AS114" s="28" t="str">
        <f>IF(COUNTIF('02_工程タスク'!$A$4:$A$135,A114)&lt;&gt;1,"参照ID不正",IF(INDEX('02_工程タスク'!$H$4:$H$135,MATCH(A114,'02_工程タスク'!$A$4:$A$135,0))="","",INDEX('02_工程タスク'!$H$4:$H$135,MATCH(A114,'02_工程タスク'!$A$4:$A$135,0))))</f>
        <v>R01</v>
      </c>
      <c r="AT114" s="28" t="str">
        <f t="shared" si="94"/>
        <v>INIT-B5-14</v>
      </c>
      <c r="AU114" s="29" t="s">
        <v>3630</v>
      </c>
      <c r="AV114" s="29"/>
      <c r="AW114" s="29"/>
      <c r="AX114" s="32"/>
      <c r="AY114" s="29"/>
      <c r="AZ114" s="29"/>
      <c r="BA114" s="32"/>
      <c r="BB114" s="28" t="str">
        <f>IF(COUNTIF('02_工程タスク'!$A$4:$A$135,A114)&lt;&gt;1,"参照ID不正",IF(INDEX('02_工程タスク'!$O$4:$O$135,MATCH(A114,'02_工程タスク'!$A$4:$A$135,0))="","",INDEX('02_工程タスク'!$O$4:$O$135,MATCH(A114,'02_工程タスク'!$A$4:$A$135,0))))</f>
        <v>B5-13,B5-06</v>
      </c>
      <c r="BC114" s="28" t="str">
        <f t="shared" si="95"/>
        <v>記法OK</v>
      </c>
      <c r="BD114" s="28" t="str">
        <f>IF(A114="B6-01",IF(OR(AV114="",COUNTIF('29_ゲート承認記録'!$F$4:$F$83,AV114)&lt;&gt;1),"終了開始根拠不足",IF(IF(COUNTIF('29_ゲート承認記録'!$F$4:$F$83,AV114)&lt;&gt;1,"参照ID不正",IF(INDEX('29_ゲート承認記録'!$L$4:$L$83,MATCH(AV114,'29_ゲート承認記録'!$F$4:$F$83,0))="","",INDEX('29_ゲート承認記録'!$L$4:$L$83,MATCH(AV114,'29_ゲート承認記録'!$F$4:$F$83,0))))&lt;&gt;"Stop","Stop判断要確認","開始根拠あり")),IF(AND(A114="B5-18",AU114="事故"),IF(AV114="","事故レビュー参照不足","開始根拠あり"),"開始根拠あり"))</f>
        <v>開始根拠あり</v>
      </c>
      <c r="BE114" s="29"/>
      <c r="BF114" s="29"/>
    </row>
    <row r="115" spans="1:58" ht="38" customHeight="1" x14ac:dyDescent="0.2">
      <c r="A115" s="14" t="s">
        <v>1370</v>
      </c>
      <c r="B115" s="28" t="str">
        <f>IF(COUNTIF('02_工程タスク'!$A$4:$A$135,A115)&lt;&gt;1,"参照ID不正",IF(INDEX('02_工程タスク'!$B$4:$B$135,MATCH(A115,'02_工程タスク'!$A$4:$A$135,0))="","",INDEX('02_工程タスク'!$B$4:$B$135,MATCH(A115,'02_工程タスク'!$A$4:$A$135,0))))</f>
        <v>運用</v>
      </c>
      <c r="C115" s="28" t="str">
        <f>IF(COUNTIF('02_工程タスク'!$A$4:$A$135,A115)&lt;&gt;1,"参照ID不正",IF(INDEX('02_工程タスク'!$D$4:$D$135,MATCH(A115,'02_工程タスク'!$A$4:$A$135,0))="","",INDEX('02_工程タスク'!$D$4:$D$135,MATCH(A115,'02_工程タスク'!$A$4:$A$135,0))))</f>
        <v>再学習・RAG更新の採否とデータ準備</v>
      </c>
      <c r="D115" s="6"/>
      <c r="E115" s="6" t="s">
        <v>1598</v>
      </c>
      <c r="F115" s="6"/>
      <c r="G115" s="6"/>
      <c r="H115" s="5"/>
      <c r="I115" s="5"/>
      <c r="J115" s="5"/>
      <c r="K115" s="5"/>
      <c r="L115" s="6" t="s">
        <v>3629</v>
      </c>
      <c r="M115" s="6"/>
      <c r="N115" s="6"/>
      <c r="O115" s="5"/>
      <c r="P115" s="17"/>
      <c r="Q115" s="17"/>
      <c r="R115" s="6"/>
      <c r="S115" s="6"/>
      <c r="T115" s="6"/>
      <c r="U115" s="5"/>
      <c r="V115" s="6" t="s">
        <v>1378</v>
      </c>
      <c r="W115" s="28" t="str">
        <f t="shared" si="72"/>
        <v>適用未判定</v>
      </c>
      <c r="X115" s="28" t="str">
        <f t="shared" si="73"/>
        <v/>
      </c>
      <c r="Y115" s="26" t="str">
        <f t="shared" si="74"/>
        <v/>
      </c>
      <c r="Z115" s="26" t="str">
        <f t="shared" si="75"/>
        <v>適用未判定</v>
      </c>
      <c r="AA115" s="26">
        <f t="shared" si="76"/>
        <v>0</v>
      </c>
      <c r="AB115" s="26" t="str">
        <f t="shared" si="77"/>
        <v>B5-04</v>
      </c>
      <c r="AC115" s="26" t="str">
        <f t="shared" si="78"/>
        <v>B5-05</v>
      </c>
      <c r="AD115" s="26" t="str">
        <f t="shared" si="79"/>
        <v>B5-12</v>
      </c>
      <c r="AE115" s="26" t="str">
        <f t="shared" si="80"/>
        <v/>
      </c>
      <c r="AF115" s="26" t="str">
        <f t="shared" si="81"/>
        <v/>
      </c>
      <c r="AG115" s="26" t="str">
        <f t="shared" si="82"/>
        <v/>
      </c>
      <c r="AH115" s="26" t="str">
        <f t="shared" si="83"/>
        <v/>
      </c>
      <c r="AI115" s="26" t="str">
        <f t="shared" si="84"/>
        <v/>
      </c>
      <c r="AJ115" s="26" t="str">
        <f t="shared" si="85"/>
        <v>未充足</v>
      </c>
      <c r="AK115" s="26" t="str">
        <f t="shared" si="86"/>
        <v>未充足</v>
      </c>
      <c r="AL115" s="26" t="str">
        <f t="shared" si="87"/>
        <v>未充足</v>
      </c>
      <c r="AM115" s="26" t="str">
        <f t="shared" si="88"/>
        <v/>
      </c>
      <c r="AN115" s="26" t="str">
        <f t="shared" si="89"/>
        <v/>
      </c>
      <c r="AO115" s="26" t="str">
        <f t="shared" si="90"/>
        <v/>
      </c>
      <c r="AP115" s="26" t="str">
        <f t="shared" si="91"/>
        <v/>
      </c>
      <c r="AQ115" s="26" t="str">
        <f t="shared" si="92"/>
        <v/>
      </c>
      <c r="AR115" s="36" t="str">
        <f t="shared" si="93"/>
        <v/>
      </c>
      <c r="AS115" s="28" t="str">
        <f>IF(COUNTIF('02_工程タスク'!$A$4:$A$135,A115)&lt;&gt;1,"参照ID不正",IF(INDEX('02_工程タスク'!$H$4:$H$135,MATCH(A115,'02_工程タスク'!$A$4:$A$135,0))="","",INDEX('02_工程タスク'!$H$4:$H$135,MATCH(A115,'02_工程タスク'!$A$4:$A$135,0))))</f>
        <v>R06</v>
      </c>
      <c r="AT115" s="28" t="str">
        <f t="shared" si="94"/>
        <v>INIT-B5-15</v>
      </c>
      <c r="AU115" s="29" t="s">
        <v>3630</v>
      </c>
      <c r="AV115" s="29"/>
      <c r="AW115" s="29"/>
      <c r="AX115" s="32"/>
      <c r="AY115" s="29"/>
      <c r="AZ115" s="29"/>
      <c r="BA115" s="32"/>
      <c r="BB115" s="28" t="str">
        <f>IF(COUNTIF('02_工程タスク'!$A$4:$A$135,A115)&lt;&gt;1,"参照ID不正",IF(INDEX('02_工程タスク'!$O$4:$O$135,MATCH(A115,'02_工程タスク'!$A$4:$A$135,0))="","",INDEX('02_工程タスク'!$O$4:$O$135,MATCH(A115,'02_工程タスク'!$A$4:$A$135,0))))</f>
        <v>B5-04,B5-05,B5-12</v>
      </c>
      <c r="BC115" s="28" t="str">
        <f t="shared" si="95"/>
        <v>記法OK</v>
      </c>
      <c r="BD115" s="28" t="str">
        <f>IF(A115="B6-01",IF(OR(AV115="",COUNTIF('29_ゲート承認記録'!$F$4:$F$83,AV115)&lt;&gt;1),"終了開始根拠不足",IF(IF(COUNTIF('29_ゲート承認記録'!$F$4:$F$83,AV115)&lt;&gt;1,"参照ID不正",IF(INDEX('29_ゲート承認記録'!$L$4:$L$83,MATCH(AV115,'29_ゲート承認記録'!$F$4:$F$83,0))="","",INDEX('29_ゲート承認記録'!$L$4:$L$83,MATCH(AV115,'29_ゲート承認記録'!$F$4:$F$83,0))))&lt;&gt;"Stop","Stop判断要確認","開始根拠あり")),IF(AND(A115="B5-18",AU115="事故"),IF(AV115="","事故レビュー参照不足","開始根拠あり"),"開始根拠あり"))</f>
        <v>開始根拠あり</v>
      </c>
      <c r="BE115" s="29"/>
      <c r="BF115" s="29"/>
    </row>
    <row r="116" spans="1:58" ht="38" customHeight="1" x14ac:dyDescent="0.2">
      <c r="A116" s="14" t="s">
        <v>1381</v>
      </c>
      <c r="B116" s="28" t="str">
        <f>IF(COUNTIF('02_工程タスク'!$A$4:$A$135,A116)&lt;&gt;1,"参照ID不正",IF(INDEX('02_工程タスク'!$B$4:$B$135,MATCH(A116,'02_工程タスク'!$A$4:$A$135,0))="","",INDEX('02_工程タスク'!$B$4:$B$135,MATCH(A116,'02_工程タスク'!$A$4:$A$135,0))))</f>
        <v>運用</v>
      </c>
      <c r="C116" s="28" t="str">
        <f>IF(COUNTIF('02_工程タスク'!$A$4:$A$135,A116)&lt;&gt;1,"参照ID不正",IF(INDEX('02_工程タスク'!$D$4:$D$135,MATCH(A116,'02_工程タスク'!$A$4:$A$135,0))="","",INDEX('02_工程タスク'!$D$4:$D$135,MATCH(A116,'02_工程タスク'!$A$4:$A$135,0))))</f>
        <v>Champion/Challenger・回帰・独立評価</v>
      </c>
      <c r="D116" s="6"/>
      <c r="E116" s="6" t="s">
        <v>1598</v>
      </c>
      <c r="F116" s="6"/>
      <c r="G116" s="6"/>
      <c r="H116" s="5"/>
      <c r="I116" s="5"/>
      <c r="J116" s="5"/>
      <c r="K116" s="5"/>
      <c r="L116" s="6" t="s">
        <v>3629</v>
      </c>
      <c r="M116" s="6"/>
      <c r="N116" s="6"/>
      <c r="O116" s="5"/>
      <c r="P116" s="17"/>
      <c r="Q116" s="17"/>
      <c r="R116" s="6"/>
      <c r="S116" s="6"/>
      <c r="T116" s="6"/>
      <c r="U116" s="5"/>
      <c r="V116" s="6" t="s">
        <v>1341</v>
      </c>
      <c r="W116" s="28" t="str">
        <f t="shared" si="72"/>
        <v>適用未判定</v>
      </c>
      <c r="X116" s="28" t="str">
        <f t="shared" si="73"/>
        <v/>
      </c>
      <c r="Y116" s="25" t="str">
        <f t="shared" si="74"/>
        <v/>
      </c>
      <c r="Z116" s="25" t="str">
        <f t="shared" si="75"/>
        <v>適用未判定</v>
      </c>
      <c r="AA116" s="25">
        <f t="shared" si="76"/>
        <v>0</v>
      </c>
      <c r="AB116" s="25" t="str">
        <f t="shared" si="77"/>
        <v>B5-12</v>
      </c>
      <c r="AC116" s="25" t="str">
        <f t="shared" si="78"/>
        <v/>
      </c>
      <c r="AD116" s="25" t="str">
        <f t="shared" si="79"/>
        <v/>
      </c>
      <c r="AE116" s="25" t="str">
        <f t="shared" si="80"/>
        <v/>
      </c>
      <c r="AF116" s="25" t="str">
        <f t="shared" si="81"/>
        <v/>
      </c>
      <c r="AG116" s="25" t="str">
        <f t="shared" si="82"/>
        <v/>
      </c>
      <c r="AH116" s="25" t="str">
        <f t="shared" si="83"/>
        <v/>
      </c>
      <c r="AI116" s="25" t="str">
        <f t="shared" si="84"/>
        <v/>
      </c>
      <c r="AJ116" s="25" t="str">
        <f t="shared" si="85"/>
        <v>未充足</v>
      </c>
      <c r="AK116" s="25" t="str">
        <f t="shared" si="86"/>
        <v/>
      </c>
      <c r="AL116" s="25" t="str">
        <f t="shared" si="87"/>
        <v/>
      </c>
      <c r="AM116" s="25" t="str">
        <f t="shared" si="88"/>
        <v/>
      </c>
      <c r="AN116" s="25" t="str">
        <f t="shared" si="89"/>
        <v/>
      </c>
      <c r="AO116" s="25" t="str">
        <f t="shared" si="90"/>
        <v/>
      </c>
      <c r="AP116" s="25" t="str">
        <f t="shared" si="91"/>
        <v/>
      </c>
      <c r="AQ116" s="25" t="str">
        <f t="shared" si="92"/>
        <v/>
      </c>
      <c r="AR116" s="35" t="str">
        <f t="shared" si="93"/>
        <v/>
      </c>
      <c r="AS116" s="28" t="str">
        <f>IF(COUNTIF('02_工程タスク'!$A$4:$A$135,A116)&lt;&gt;1,"参照ID不正",IF(INDEX('02_工程タスク'!$H$4:$H$135,MATCH(A116,'02_工程タスク'!$A$4:$A$135,0))="","",INDEX('02_工程タスク'!$H$4:$H$135,MATCH(A116,'02_工程タスク'!$A$4:$A$135,0))))</f>
        <v>R19</v>
      </c>
      <c r="AT116" s="28" t="str">
        <f t="shared" si="94"/>
        <v>INIT-B5-16</v>
      </c>
      <c r="AU116" s="29" t="s">
        <v>3630</v>
      </c>
      <c r="AV116" s="29"/>
      <c r="AW116" s="29"/>
      <c r="AX116" s="32"/>
      <c r="AY116" s="29"/>
      <c r="AZ116" s="29"/>
      <c r="BA116" s="32"/>
      <c r="BB116" s="28" t="str">
        <f>IF(COUNTIF('02_工程タスク'!$A$4:$A$135,A116)&lt;&gt;1,"参照ID不正",IF(INDEX('02_工程タスク'!$O$4:$O$135,MATCH(A116,'02_工程タスク'!$A$4:$A$135,0))="","",INDEX('02_工程タスク'!$O$4:$O$135,MATCH(A116,'02_工程タスク'!$A$4:$A$135,0))))</f>
        <v>B5-12</v>
      </c>
      <c r="BC116" s="28" t="str">
        <f t="shared" si="95"/>
        <v>記法OK</v>
      </c>
      <c r="BD116" s="28" t="str">
        <f>IF(A116="B6-01",IF(OR(AV116="",COUNTIF('29_ゲート承認記録'!$F$4:$F$83,AV116)&lt;&gt;1),"終了開始根拠不足",IF(IF(COUNTIF('29_ゲート承認記録'!$F$4:$F$83,AV116)&lt;&gt;1,"参照ID不正",IF(INDEX('29_ゲート承認記録'!$L$4:$L$83,MATCH(AV116,'29_ゲート承認記録'!$F$4:$F$83,0))="","",INDEX('29_ゲート承認記録'!$L$4:$L$83,MATCH(AV116,'29_ゲート承認記録'!$F$4:$F$83,0))))&lt;&gt;"Stop","Stop判断要確認","開始根拠あり")),IF(AND(A116="B5-18",AU116="事故"),IF(AV116="","事故レビュー参照不足","開始根拠あり"),"開始根拠あり"))</f>
        <v>開始根拠あり</v>
      </c>
      <c r="BE116" s="29"/>
      <c r="BF116" s="29"/>
    </row>
    <row r="117" spans="1:58" ht="38" customHeight="1" x14ac:dyDescent="0.2">
      <c r="A117" s="14" t="s">
        <v>1390</v>
      </c>
      <c r="B117" s="28" t="str">
        <f>IF(COUNTIF('02_工程タスク'!$A$4:$A$135,A117)&lt;&gt;1,"参照ID不正",IF(INDEX('02_工程タスク'!$B$4:$B$135,MATCH(A117,'02_工程タスク'!$A$4:$A$135,0))="","",INDEX('02_工程タスク'!$B$4:$B$135,MATCH(A117,'02_工程タスク'!$A$4:$A$135,0))))</f>
        <v>運用</v>
      </c>
      <c r="C117" s="28" t="str">
        <f>IF(COUNTIF('02_工程タスク'!$A$4:$A$135,A117)&lt;&gt;1,"参照ID不正",IF(INDEX('02_工程タスク'!$D$4:$D$135,MATCH(A117,'02_工程タスク'!$A$4:$A$135,0))="","",INDEX('02_工程タスク'!$D$4:$D$135,MATCH(A117,'02_工程タスク'!$A$4:$A$135,0))))</f>
        <v>承認済み段階配備・rollback</v>
      </c>
      <c r="D117" s="6"/>
      <c r="E117" s="6" t="s">
        <v>1598</v>
      </c>
      <c r="F117" s="6"/>
      <c r="G117" s="6"/>
      <c r="H117" s="5"/>
      <c r="I117" s="5"/>
      <c r="J117" s="5"/>
      <c r="K117" s="5"/>
      <c r="L117" s="6" t="s">
        <v>3629</v>
      </c>
      <c r="M117" s="6"/>
      <c r="N117" s="6"/>
      <c r="O117" s="5"/>
      <c r="P117" s="17"/>
      <c r="Q117" s="17"/>
      <c r="R117" s="6"/>
      <c r="S117" s="6"/>
      <c r="T117" s="6"/>
      <c r="U117" s="5"/>
      <c r="V117" s="6" t="s">
        <v>1381</v>
      </c>
      <c r="W117" s="28" t="str">
        <f t="shared" si="72"/>
        <v>適用未判定</v>
      </c>
      <c r="X117" s="28" t="str">
        <f t="shared" si="73"/>
        <v/>
      </c>
      <c r="Y117" s="26" t="str">
        <f t="shared" si="74"/>
        <v/>
      </c>
      <c r="Z117" s="26" t="str">
        <f t="shared" si="75"/>
        <v>適用未判定</v>
      </c>
      <c r="AA117" s="26">
        <f t="shared" si="76"/>
        <v>0</v>
      </c>
      <c r="AB117" s="26" t="str">
        <f t="shared" si="77"/>
        <v>B5-16</v>
      </c>
      <c r="AC117" s="26" t="str">
        <f t="shared" si="78"/>
        <v/>
      </c>
      <c r="AD117" s="26" t="str">
        <f t="shared" si="79"/>
        <v/>
      </c>
      <c r="AE117" s="26" t="str">
        <f t="shared" si="80"/>
        <v/>
      </c>
      <c r="AF117" s="26" t="str">
        <f t="shared" si="81"/>
        <v/>
      </c>
      <c r="AG117" s="26" t="str">
        <f t="shared" si="82"/>
        <v/>
      </c>
      <c r="AH117" s="26" t="str">
        <f t="shared" si="83"/>
        <v/>
      </c>
      <c r="AI117" s="26" t="str">
        <f t="shared" si="84"/>
        <v/>
      </c>
      <c r="AJ117" s="26" t="str">
        <f t="shared" si="85"/>
        <v>未充足</v>
      </c>
      <c r="AK117" s="26" t="str">
        <f t="shared" si="86"/>
        <v/>
      </c>
      <c r="AL117" s="26" t="str">
        <f t="shared" si="87"/>
        <v/>
      </c>
      <c r="AM117" s="26" t="str">
        <f t="shared" si="88"/>
        <v/>
      </c>
      <c r="AN117" s="26" t="str">
        <f t="shared" si="89"/>
        <v/>
      </c>
      <c r="AO117" s="26" t="str">
        <f t="shared" si="90"/>
        <v/>
      </c>
      <c r="AP117" s="26" t="str">
        <f t="shared" si="91"/>
        <v/>
      </c>
      <c r="AQ117" s="26" t="str">
        <f t="shared" si="92"/>
        <v/>
      </c>
      <c r="AR117" s="36" t="str">
        <f t="shared" si="93"/>
        <v/>
      </c>
      <c r="AS117" s="28" t="str">
        <f>IF(COUNTIF('02_工程タスク'!$A$4:$A$135,A117)&lt;&gt;1,"参照ID不正",IF(INDEX('02_工程タスク'!$H$4:$H$135,MATCH(A117,'02_工程タスク'!$A$4:$A$135,0))="","",INDEX('02_工程タスク'!$H$4:$H$135,MATCH(A117,'02_工程タスク'!$A$4:$A$135,0))))</f>
        <v>R18</v>
      </c>
      <c r="AT117" s="28" t="str">
        <f t="shared" si="94"/>
        <v>INIT-B5-17</v>
      </c>
      <c r="AU117" s="29" t="s">
        <v>3630</v>
      </c>
      <c r="AV117" s="29"/>
      <c r="AW117" s="29"/>
      <c r="AX117" s="32"/>
      <c r="AY117" s="29"/>
      <c r="AZ117" s="29"/>
      <c r="BA117" s="32"/>
      <c r="BB117" s="28" t="str">
        <f>IF(COUNTIF('02_工程タスク'!$A$4:$A$135,A117)&lt;&gt;1,"参照ID不正",IF(INDEX('02_工程タスク'!$O$4:$O$135,MATCH(A117,'02_工程タスク'!$A$4:$A$135,0))="","",INDEX('02_工程タスク'!$O$4:$O$135,MATCH(A117,'02_工程タスク'!$A$4:$A$135,0))))</f>
        <v>B5-16</v>
      </c>
      <c r="BC117" s="28" t="str">
        <f t="shared" si="95"/>
        <v>記法OK</v>
      </c>
      <c r="BD117" s="28" t="str">
        <f>IF(A117="B6-01",IF(OR(AV117="",COUNTIF('29_ゲート承認記録'!$F$4:$F$83,AV117)&lt;&gt;1),"終了開始根拠不足",IF(IF(COUNTIF('29_ゲート承認記録'!$F$4:$F$83,AV117)&lt;&gt;1,"参照ID不正",IF(INDEX('29_ゲート承認記録'!$L$4:$L$83,MATCH(AV117,'29_ゲート承認記録'!$F$4:$F$83,0))="","",INDEX('29_ゲート承認記録'!$L$4:$L$83,MATCH(AV117,'29_ゲート承認記録'!$F$4:$F$83,0))))&lt;&gt;"Stop","Stop判断要確認","開始根拠あり")),IF(AND(A117="B5-18",AU117="事故"),IF(AV117="","事故レビュー参照不足","開始根拠あり"),"開始根拠あり"))</f>
        <v>開始根拠あり</v>
      </c>
      <c r="BE117" s="29"/>
      <c r="BF117" s="29"/>
    </row>
    <row r="118" spans="1:58" ht="38" customHeight="1" x14ac:dyDescent="0.2">
      <c r="A118" s="14" t="s">
        <v>1399</v>
      </c>
      <c r="B118" s="28" t="str">
        <f>IF(COUNTIF('02_工程タスク'!$A$4:$A$135,A118)&lt;&gt;1,"参照ID不正",IF(INDEX('02_工程タスク'!$B$4:$B$135,MATCH(A118,'02_工程タスク'!$A$4:$A$135,0))="","",INDEX('02_工程タスク'!$B$4:$B$135,MATCH(A118,'02_工程タスク'!$A$4:$A$135,0))))</f>
        <v>運用</v>
      </c>
      <c r="C118" s="28" t="str">
        <f>IF(COUNTIF('02_工程タスク'!$A$4:$A$135,A118)&lt;&gt;1,"参照ID不正",IF(INDEX('02_工程タスク'!$D$4:$D$135,MATCH(A118,'02_工程タスク'!$A$4:$A$135,0))="","",INDEX('02_工程タスク'!$D$4:$D$135,MATCH(A118,'02_工程タスク'!$A$4:$A$135,0))))</f>
        <v>Harness・Skill・標準の保守</v>
      </c>
      <c r="D118" s="6"/>
      <c r="E118" s="6" t="s">
        <v>1598</v>
      </c>
      <c r="F118" s="6"/>
      <c r="G118" s="6"/>
      <c r="H118" s="5"/>
      <c r="I118" s="5"/>
      <c r="J118" s="5"/>
      <c r="K118" s="5"/>
      <c r="L118" s="6" t="s">
        <v>3629</v>
      </c>
      <c r="M118" s="6"/>
      <c r="N118" s="6"/>
      <c r="O118" s="5"/>
      <c r="P118" s="17"/>
      <c r="Q118" s="17"/>
      <c r="R118" s="6"/>
      <c r="S118" s="6"/>
      <c r="T118" s="6"/>
      <c r="U118" s="5"/>
      <c r="V118" s="6" t="s">
        <v>1341</v>
      </c>
      <c r="W118" s="28" t="str">
        <f t="shared" si="72"/>
        <v>適用未判定</v>
      </c>
      <c r="X118" s="28" t="str">
        <f t="shared" si="73"/>
        <v/>
      </c>
      <c r="Y118" s="25" t="str">
        <f t="shared" si="74"/>
        <v/>
      </c>
      <c r="Z118" s="25" t="str">
        <f t="shared" si="75"/>
        <v>適用未判定</v>
      </c>
      <c r="AA118" s="25">
        <f t="shared" si="76"/>
        <v>0</v>
      </c>
      <c r="AB118" s="25" t="str">
        <f t="shared" si="77"/>
        <v>B5-12</v>
      </c>
      <c r="AC118" s="25" t="str">
        <f t="shared" si="78"/>
        <v/>
      </c>
      <c r="AD118" s="25" t="str">
        <f t="shared" si="79"/>
        <v/>
      </c>
      <c r="AE118" s="25" t="str">
        <f t="shared" si="80"/>
        <v/>
      </c>
      <c r="AF118" s="25" t="str">
        <f t="shared" si="81"/>
        <v/>
      </c>
      <c r="AG118" s="25" t="str">
        <f t="shared" si="82"/>
        <v/>
      </c>
      <c r="AH118" s="25" t="str">
        <f t="shared" si="83"/>
        <v/>
      </c>
      <c r="AI118" s="25" t="str">
        <f t="shared" si="84"/>
        <v/>
      </c>
      <c r="AJ118" s="25" t="str">
        <f t="shared" si="85"/>
        <v>未充足</v>
      </c>
      <c r="AK118" s="25" t="str">
        <f t="shared" si="86"/>
        <v/>
      </c>
      <c r="AL118" s="25" t="str">
        <f t="shared" si="87"/>
        <v/>
      </c>
      <c r="AM118" s="25" t="str">
        <f t="shared" si="88"/>
        <v/>
      </c>
      <c r="AN118" s="25" t="str">
        <f t="shared" si="89"/>
        <v/>
      </c>
      <c r="AO118" s="25" t="str">
        <f t="shared" si="90"/>
        <v/>
      </c>
      <c r="AP118" s="25" t="str">
        <f t="shared" si="91"/>
        <v/>
      </c>
      <c r="AQ118" s="25" t="str">
        <f t="shared" si="92"/>
        <v/>
      </c>
      <c r="AR118" s="35" t="str">
        <f t="shared" si="93"/>
        <v/>
      </c>
      <c r="AS118" s="28" t="str">
        <f>IF(COUNTIF('02_工程タスク'!$A$4:$A$135,A118)&lt;&gt;1,"参照ID不正",IF(INDEX('02_工程タスク'!$H$4:$H$135,MATCH(A118,'02_工程タスク'!$A$4:$A$135,0))="","",INDEX('02_工程タスク'!$H$4:$H$135,MATCH(A118,'02_工程タスク'!$A$4:$A$135,0))))</f>
        <v>R06</v>
      </c>
      <c r="AT118" s="28" t="str">
        <f t="shared" si="94"/>
        <v>INIT-B5-18</v>
      </c>
      <c r="AU118" s="29" t="s">
        <v>3630</v>
      </c>
      <c r="AV118" s="29"/>
      <c r="AW118" s="29"/>
      <c r="AX118" s="32"/>
      <c r="AY118" s="29"/>
      <c r="AZ118" s="29"/>
      <c r="BA118" s="32"/>
      <c r="BB118" s="28" t="str">
        <f>IF(COUNTIF('02_工程タスク'!$A$4:$A$135,A118)&lt;&gt;1,"参照ID不正",IF(INDEX('02_工程タスク'!$O$4:$O$135,MATCH(A118,'02_工程タスク'!$A$4:$A$135,0))="","",INDEX('02_工程タスク'!$O$4:$O$135,MATCH(A118,'02_工程タスク'!$A$4:$A$135,0))))</f>
        <v>B5-12</v>
      </c>
      <c r="BC118" s="28" t="str">
        <f t="shared" si="95"/>
        <v>記法OK</v>
      </c>
      <c r="BD118" s="28" t="str">
        <f>IF(A118="B6-01",IF(OR(AV118="",COUNTIF('29_ゲート承認記録'!$F$4:$F$83,AV118)&lt;&gt;1),"終了開始根拠不足",IF(IF(COUNTIF('29_ゲート承認記録'!$F$4:$F$83,AV118)&lt;&gt;1,"参照ID不正",IF(INDEX('29_ゲート承認記録'!$L$4:$L$83,MATCH(AV118,'29_ゲート承認記録'!$F$4:$F$83,0))="","",INDEX('29_ゲート承認記録'!$L$4:$L$83,MATCH(AV118,'29_ゲート承認記録'!$F$4:$F$83,0))))&lt;&gt;"Stop","Stop判断要確認","開始根拠あり")),IF(AND(A118="B5-18",AU118="事故"),IF(AV118="","事故レビュー参照不足","開始根拠あり"),"開始根拠あり"))</f>
        <v>開始根拠あり</v>
      </c>
      <c r="BE118" s="29"/>
      <c r="BF118" s="29"/>
    </row>
    <row r="119" spans="1:58" ht="38" customHeight="1" x14ac:dyDescent="0.2">
      <c r="A119" s="14" t="s">
        <v>1410</v>
      </c>
      <c r="B119" s="28" t="str">
        <f>IF(COUNTIF('02_工程タスク'!$A$4:$A$135,A119)&lt;&gt;1,"参照ID不正",IF(INDEX('02_工程タスク'!$B$4:$B$135,MATCH(A119,'02_工程タスク'!$A$4:$A$135,0))="","",INDEX('02_工程タスク'!$B$4:$B$135,MATCH(A119,'02_工程タスク'!$A$4:$A$135,0))))</f>
        <v>運用</v>
      </c>
      <c r="C119" s="28" t="str">
        <f>IF(COUNTIF('02_工程タスク'!$A$4:$A$135,A119)&lt;&gt;1,"参照ID不正",IF(INDEX('02_工程タスク'!$D$4:$D$135,MATCH(A119,'02_工程タスク'!$A$4:$A$135,0))="","",INDEX('02_工程タスク'!$D$4:$D$135,MATCH(A119,'02_工程タスク'!$A$4:$A$135,0))))</f>
        <v>スキル育成・同等品質の効果再計測</v>
      </c>
      <c r="D119" s="6"/>
      <c r="E119" s="6" t="s">
        <v>1598</v>
      </c>
      <c r="F119" s="6"/>
      <c r="G119" s="6"/>
      <c r="H119" s="5"/>
      <c r="I119" s="5"/>
      <c r="J119" s="5"/>
      <c r="K119" s="5"/>
      <c r="L119" s="6" t="s">
        <v>3629</v>
      </c>
      <c r="M119" s="6"/>
      <c r="N119" s="6"/>
      <c r="O119" s="5"/>
      <c r="P119" s="17"/>
      <c r="Q119" s="17"/>
      <c r="R119" s="6"/>
      <c r="S119" s="6"/>
      <c r="T119" s="6"/>
      <c r="U119" s="5"/>
      <c r="V119" s="6" t="s">
        <v>1248</v>
      </c>
      <c r="W119" s="28" t="str">
        <f t="shared" si="72"/>
        <v>適用未判定</v>
      </c>
      <c r="X119" s="28" t="str">
        <f t="shared" si="73"/>
        <v/>
      </c>
      <c r="Y119" s="26" t="str">
        <f t="shared" si="74"/>
        <v/>
      </c>
      <c r="Z119" s="26" t="str">
        <f t="shared" si="75"/>
        <v>適用未判定</v>
      </c>
      <c r="AA119" s="26">
        <f t="shared" si="76"/>
        <v>0</v>
      </c>
      <c r="AB119" s="26" t="str">
        <f t="shared" si="77"/>
        <v>B5-01</v>
      </c>
      <c r="AC119" s="26" t="str">
        <f t="shared" si="78"/>
        <v/>
      </c>
      <c r="AD119" s="26" t="str">
        <f t="shared" si="79"/>
        <v/>
      </c>
      <c r="AE119" s="26" t="str">
        <f t="shared" si="80"/>
        <v/>
      </c>
      <c r="AF119" s="26" t="str">
        <f t="shared" si="81"/>
        <v/>
      </c>
      <c r="AG119" s="26" t="str">
        <f t="shared" si="82"/>
        <v/>
      </c>
      <c r="AH119" s="26" t="str">
        <f t="shared" si="83"/>
        <v/>
      </c>
      <c r="AI119" s="26" t="str">
        <f t="shared" si="84"/>
        <v/>
      </c>
      <c r="AJ119" s="26" t="str">
        <f t="shared" si="85"/>
        <v>未充足</v>
      </c>
      <c r="AK119" s="26" t="str">
        <f t="shared" si="86"/>
        <v/>
      </c>
      <c r="AL119" s="26" t="str">
        <f t="shared" si="87"/>
        <v/>
      </c>
      <c r="AM119" s="26" t="str">
        <f t="shared" si="88"/>
        <v/>
      </c>
      <c r="AN119" s="26" t="str">
        <f t="shared" si="89"/>
        <v/>
      </c>
      <c r="AO119" s="26" t="str">
        <f t="shared" si="90"/>
        <v/>
      </c>
      <c r="AP119" s="26" t="str">
        <f t="shared" si="91"/>
        <v/>
      </c>
      <c r="AQ119" s="26" t="str">
        <f t="shared" si="92"/>
        <v/>
      </c>
      <c r="AR119" s="36" t="str">
        <f t="shared" si="93"/>
        <v/>
      </c>
      <c r="AS119" s="28" t="str">
        <f>IF(COUNTIF('02_工程タスク'!$A$4:$A$135,A119)&lt;&gt;1,"参照ID不正",IF(INDEX('02_工程タスク'!$H$4:$H$135,MATCH(A119,'02_工程タスク'!$A$4:$A$135,0))="","",INDEX('02_工程タスク'!$H$4:$H$135,MATCH(A119,'02_工程タスク'!$A$4:$A$135,0))))</f>
        <v>R06</v>
      </c>
      <c r="AT119" s="28" t="str">
        <f t="shared" si="94"/>
        <v>INIT-B5-19</v>
      </c>
      <c r="AU119" s="29" t="s">
        <v>3630</v>
      </c>
      <c r="AV119" s="29"/>
      <c r="AW119" s="29"/>
      <c r="AX119" s="32"/>
      <c r="AY119" s="29"/>
      <c r="AZ119" s="29"/>
      <c r="BA119" s="32"/>
      <c r="BB119" s="28" t="str">
        <f>IF(COUNTIF('02_工程タスク'!$A$4:$A$135,A119)&lt;&gt;1,"参照ID不正",IF(INDEX('02_工程タスク'!$O$4:$O$135,MATCH(A119,'02_工程タスク'!$A$4:$A$135,0))="","",INDEX('02_工程タスク'!$O$4:$O$135,MATCH(A119,'02_工程タスク'!$A$4:$A$135,0))))</f>
        <v>B5-01</v>
      </c>
      <c r="BC119" s="28" t="str">
        <f t="shared" si="95"/>
        <v>記法OK</v>
      </c>
      <c r="BD119" s="28" t="str">
        <f>IF(A119="B6-01",IF(OR(AV119="",COUNTIF('29_ゲート承認記録'!$F$4:$F$83,AV119)&lt;&gt;1),"終了開始根拠不足",IF(IF(COUNTIF('29_ゲート承認記録'!$F$4:$F$83,AV119)&lt;&gt;1,"参照ID不正",IF(INDEX('29_ゲート承認記録'!$L$4:$L$83,MATCH(AV119,'29_ゲート承認記録'!$F$4:$F$83,0))="","",INDEX('29_ゲート承認記録'!$L$4:$L$83,MATCH(AV119,'29_ゲート承認記録'!$F$4:$F$83,0))))&lt;&gt;"Stop","Stop判断要確認","開始根拠あり")),IF(AND(A119="B5-18",AU119="事故"),IF(AV119="","事故レビュー参照不足","開始根拠あり"),"開始根拠あり"))</f>
        <v>開始根拠あり</v>
      </c>
      <c r="BE119" s="29"/>
      <c r="BF119" s="29"/>
    </row>
    <row r="120" spans="1:58" ht="38" customHeight="1" x14ac:dyDescent="0.2">
      <c r="A120" s="14" t="s">
        <v>1419</v>
      </c>
      <c r="B120" s="28" t="str">
        <f>IF(COUNTIF('02_工程タスク'!$A$4:$A$135,A120)&lt;&gt;1,"参照ID不正",IF(INDEX('02_工程タスク'!$B$4:$B$135,MATCH(A120,'02_工程タスク'!$A$4:$A$135,0))="","",INDEX('02_工程タスク'!$B$4:$B$135,MATCH(A120,'02_工程タスク'!$A$4:$A$135,0))))</f>
        <v>運用</v>
      </c>
      <c r="C120" s="28" t="str">
        <f>IF(COUNTIF('02_工程タスク'!$A$4:$A$135,A120)&lt;&gt;1,"参照ID不正",IF(INDEX('02_工程タスク'!$D$4:$D$135,MATCH(A120,'02_工程タスク'!$A$4:$A$135,0))="","",INDEX('02_工程タスク'!$D$4:$D$135,MATCH(A120,'02_工程タスク'!$A$4:$A$135,0))))</f>
        <v>法令・Security・Privacy定期再判定</v>
      </c>
      <c r="D120" s="6"/>
      <c r="E120" s="6" t="s">
        <v>1598</v>
      </c>
      <c r="F120" s="6"/>
      <c r="G120" s="6"/>
      <c r="H120" s="5"/>
      <c r="I120" s="5"/>
      <c r="J120" s="5"/>
      <c r="K120" s="5"/>
      <c r="L120" s="6" t="s">
        <v>3629</v>
      </c>
      <c r="M120" s="6"/>
      <c r="N120" s="6"/>
      <c r="O120" s="5"/>
      <c r="P120" s="17"/>
      <c r="Q120" s="17"/>
      <c r="R120" s="6"/>
      <c r="S120" s="6"/>
      <c r="T120" s="6"/>
      <c r="U120" s="5"/>
      <c r="V120" s="6" t="s">
        <v>1426</v>
      </c>
      <c r="W120" s="28" t="str">
        <f t="shared" si="72"/>
        <v>適用未判定</v>
      </c>
      <c r="X120" s="28" t="str">
        <f t="shared" si="73"/>
        <v/>
      </c>
      <c r="Y120" s="25" t="str">
        <f t="shared" si="74"/>
        <v/>
      </c>
      <c r="Z120" s="25" t="str">
        <f t="shared" si="75"/>
        <v>適用未判定</v>
      </c>
      <c r="AA120" s="25">
        <f t="shared" si="76"/>
        <v>0</v>
      </c>
      <c r="AB120" s="25" t="str">
        <f t="shared" si="77"/>
        <v>B5-10</v>
      </c>
      <c r="AC120" s="25" t="str">
        <f t="shared" si="78"/>
        <v>B5-12</v>
      </c>
      <c r="AD120" s="25" t="str">
        <f t="shared" si="79"/>
        <v/>
      </c>
      <c r="AE120" s="25" t="str">
        <f t="shared" si="80"/>
        <v/>
      </c>
      <c r="AF120" s="25" t="str">
        <f t="shared" si="81"/>
        <v/>
      </c>
      <c r="AG120" s="25" t="str">
        <f t="shared" si="82"/>
        <v/>
      </c>
      <c r="AH120" s="25" t="str">
        <f t="shared" si="83"/>
        <v/>
      </c>
      <c r="AI120" s="25" t="str">
        <f t="shared" si="84"/>
        <v/>
      </c>
      <c r="AJ120" s="25" t="str">
        <f t="shared" si="85"/>
        <v>未充足</v>
      </c>
      <c r="AK120" s="25" t="str">
        <f t="shared" si="86"/>
        <v>未充足</v>
      </c>
      <c r="AL120" s="25" t="str">
        <f t="shared" si="87"/>
        <v/>
      </c>
      <c r="AM120" s="25" t="str">
        <f t="shared" si="88"/>
        <v/>
      </c>
      <c r="AN120" s="25" t="str">
        <f t="shared" si="89"/>
        <v/>
      </c>
      <c r="AO120" s="25" t="str">
        <f t="shared" si="90"/>
        <v/>
      </c>
      <c r="AP120" s="25" t="str">
        <f t="shared" si="91"/>
        <v/>
      </c>
      <c r="AQ120" s="25" t="str">
        <f t="shared" si="92"/>
        <v/>
      </c>
      <c r="AR120" s="35" t="str">
        <f t="shared" si="93"/>
        <v/>
      </c>
      <c r="AS120" s="28" t="str">
        <f>IF(COUNTIF('02_工程タスク'!$A$4:$A$135,A120)&lt;&gt;1,"参照ID不正",IF(INDEX('02_工程タスク'!$H$4:$H$135,MATCH(A120,'02_工程タスク'!$A$4:$A$135,0))="","",INDEX('02_工程タスク'!$H$4:$H$135,MATCH(A120,'02_工程タスク'!$A$4:$A$135,0))))</f>
        <v>R01</v>
      </c>
      <c r="AT120" s="28" t="str">
        <f t="shared" si="94"/>
        <v>INIT-B5-20</v>
      </c>
      <c r="AU120" s="29" t="s">
        <v>3630</v>
      </c>
      <c r="AV120" s="29"/>
      <c r="AW120" s="29"/>
      <c r="AX120" s="32"/>
      <c r="AY120" s="29"/>
      <c r="AZ120" s="29"/>
      <c r="BA120" s="32"/>
      <c r="BB120" s="28" t="str">
        <f>IF(COUNTIF('02_工程タスク'!$A$4:$A$135,A120)&lt;&gt;1,"参照ID不正",IF(INDEX('02_工程タスク'!$O$4:$O$135,MATCH(A120,'02_工程タスク'!$A$4:$A$135,0))="","",INDEX('02_工程タスク'!$O$4:$O$135,MATCH(A120,'02_工程タスク'!$A$4:$A$135,0))))</f>
        <v>B5-10,B5-12</v>
      </c>
      <c r="BC120" s="28" t="str">
        <f t="shared" si="95"/>
        <v>記法OK</v>
      </c>
      <c r="BD120" s="28" t="str">
        <f>IF(A120="B6-01",IF(OR(AV120="",COUNTIF('29_ゲート承認記録'!$F$4:$F$83,AV120)&lt;&gt;1),"終了開始根拠不足",IF(IF(COUNTIF('29_ゲート承認記録'!$F$4:$F$83,AV120)&lt;&gt;1,"参照ID不正",IF(INDEX('29_ゲート承認記録'!$L$4:$L$83,MATCH(AV120,'29_ゲート承認記録'!$F$4:$F$83,0))="","",INDEX('29_ゲート承認記録'!$L$4:$L$83,MATCH(AV120,'29_ゲート承認記録'!$F$4:$F$83,0))))&lt;&gt;"Stop","Stop判断要確認","開始根拠あり")),IF(AND(A120="B5-18",AU120="事故"),IF(AV120="","事故レビュー参照不足","開始根拠あり"),"開始根拠あり"))</f>
        <v>開始根拠あり</v>
      </c>
      <c r="BE120" s="29"/>
      <c r="BF120" s="29"/>
    </row>
    <row r="121" spans="1:58" ht="38" customHeight="1" x14ac:dyDescent="0.2">
      <c r="A121" s="14" t="s">
        <v>1431</v>
      </c>
      <c r="B121" s="28" t="str">
        <f>IF(COUNTIF('02_工程タスク'!$A$4:$A$135,A121)&lt;&gt;1,"参照ID不正",IF(INDEX('02_工程タスク'!$B$4:$B$135,MATCH(A121,'02_工程タスク'!$A$4:$A$135,0))="","",INDEX('02_工程タスク'!$B$4:$B$135,MATCH(A121,'02_工程タスク'!$A$4:$A$135,0))))</f>
        <v>運用</v>
      </c>
      <c r="C121" s="28" t="str">
        <f>IF(COUNTIF('02_工程タスク'!$A$4:$A$135,A121)&lt;&gt;1,"参照ID不正",IF(INDEX('02_工程タスク'!$D$4:$D$135,MATCH(A121,'02_工程タスク'!$A$4:$A$135,0))="","",INDEX('02_工程タスク'!$D$4:$D$135,MATCH(A121,'02_工程タスク'!$A$4:$A$135,0))))</f>
        <v>Scale/Continue/Pivot/Stop判断</v>
      </c>
      <c r="D121" s="6"/>
      <c r="E121" s="6" t="s">
        <v>1598</v>
      </c>
      <c r="F121" s="6"/>
      <c r="G121" s="6"/>
      <c r="H121" s="5"/>
      <c r="I121" s="5"/>
      <c r="J121" s="5"/>
      <c r="K121" s="5"/>
      <c r="L121" s="6" t="s">
        <v>3629</v>
      </c>
      <c r="M121" s="6"/>
      <c r="N121" s="6"/>
      <c r="O121" s="5"/>
      <c r="P121" s="17"/>
      <c r="Q121" s="17"/>
      <c r="R121" s="6"/>
      <c r="S121" s="6"/>
      <c r="T121" s="6"/>
      <c r="U121" s="5"/>
      <c r="V121" s="6" t="s">
        <v>1437</v>
      </c>
      <c r="W121" s="28" t="str">
        <f t="shared" si="72"/>
        <v>適用未判定</v>
      </c>
      <c r="X121" s="28" t="str">
        <f t="shared" si="73"/>
        <v/>
      </c>
      <c r="Y121" s="26" t="str">
        <f t="shared" si="74"/>
        <v/>
      </c>
      <c r="Z121" s="26" t="str">
        <f t="shared" si="75"/>
        <v>適用未判定</v>
      </c>
      <c r="AA121" s="26">
        <f t="shared" si="76"/>
        <v>0</v>
      </c>
      <c r="AB121" s="26" t="str">
        <f t="shared" si="77"/>
        <v>B5-02</v>
      </c>
      <c r="AC121" s="26" t="str">
        <f t="shared" si="78"/>
        <v>B5-04</v>
      </c>
      <c r="AD121" s="26" t="str">
        <f t="shared" si="79"/>
        <v>B5-06</v>
      </c>
      <c r="AE121" s="26" t="str">
        <f t="shared" si="80"/>
        <v>B5-20</v>
      </c>
      <c r="AF121" s="26" t="str">
        <f t="shared" si="81"/>
        <v/>
      </c>
      <c r="AG121" s="26" t="str">
        <f t="shared" si="82"/>
        <v/>
      </c>
      <c r="AH121" s="26" t="str">
        <f t="shared" si="83"/>
        <v/>
      </c>
      <c r="AI121" s="26" t="str">
        <f t="shared" si="84"/>
        <v/>
      </c>
      <c r="AJ121" s="26" t="str">
        <f t="shared" si="85"/>
        <v>未充足</v>
      </c>
      <c r="AK121" s="26" t="str">
        <f t="shared" si="86"/>
        <v>未充足</v>
      </c>
      <c r="AL121" s="26" t="str">
        <f t="shared" si="87"/>
        <v>未充足</v>
      </c>
      <c r="AM121" s="26" t="str">
        <f t="shared" si="88"/>
        <v>未充足</v>
      </c>
      <c r="AN121" s="26" t="str">
        <f t="shared" si="89"/>
        <v/>
      </c>
      <c r="AO121" s="26" t="str">
        <f t="shared" si="90"/>
        <v/>
      </c>
      <c r="AP121" s="26" t="str">
        <f t="shared" si="91"/>
        <v/>
      </c>
      <c r="AQ121" s="26" t="str">
        <f t="shared" si="92"/>
        <v/>
      </c>
      <c r="AR121" s="36" t="str">
        <f t="shared" si="93"/>
        <v/>
      </c>
      <c r="AS121" s="28" t="str">
        <f>IF(COUNTIF('02_工程タスク'!$A$4:$A$135,A121)&lt;&gt;1,"参照ID不正",IF(INDEX('02_工程タスク'!$H$4:$H$135,MATCH(A121,'02_工程タスク'!$A$4:$A$135,0))="","",INDEX('02_工程タスク'!$H$4:$H$135,MATCH(A121,'02_工程タスク'!$A$4:$A$135,0))))</f>
        <v>R01</v>
      </c>
      <c r="AT121" s="28" t="str">
        <f t="shared" si="94"/>
        <v>INIT-B5-21</v>
      </c>
      <c r="AU121" s="29" t="s">
        <v>3630</v>
      </c>
      <c r="AV121" s="29"/>
      <c r="AW121" s="29"/>
      <c r="AX121" s="32"/>
      <c r="AY121" s="29"/>
      <c r="AZ121" s="29"/>
      <c r="BA121" s="32"/>
      <c r="BB121" s="28" t="str">
        <f>IF(COUNTIF('02_工程タスク'!$A$4:$A$135,A121)&lt;&gt;1,"参照ID不正",IF(INDEX('02_工程タスク'!$O$4:$O$135,MATCH(A121,'02_工程タスク'!$A$4:$A$135,0))="","",INDEX('02_工程タスク'!$O$4:$O$135,MATCH(A121,'02_工程タスク'!$A$4:$A$135,0))))</f>
        <v>B5-02,B5-04,B5-06,B5-20</v>
      </c>
      <c r="BC121" s="28" t="str">
        <f t="shared" si="95"/>
        <v>記法OK</v>
      </c>
      <c r="BD121" s="28" t="str">
        <f>IF(A121="B6-01",IF(OR(AV121="",COUNTIF('29_ゲート承認記録'!$F$4:$F$83,AV121)&lt;&gt;1),"終了開始根拠不足",IF(IF(COUNTIF('29_ゲート承認記録'!$F$4:$F$83,AV121)&lt;&gt;1,"参照ID不正",IF(INDEX('29_ゲート承認記録'!$L$4:$L$83,MATCH(AV121,'29_ゲート承認記録'!$F$4:$F$83,0))="","",INDEX('29_ゲート承認記録'!$L$4:$L$83,MATCH(AV121,'29_ゲート承認記録'!$F$4:$F$83,0))))&lt;&gt;"Stop","Stop判断要確認","開始根拠あり")),IF(AND(A121="B5-18",AU121="事故"),IF(AV121="","事故レビュー参照不足","開始根拠あり"),"開始根拠あり"))</f>
        <v>開始根拠あり</v>
      </c>
      <c r="BE121" s="29"/>
      <c r="BF121" s="29"/>
    </row>
    <row r="122" spans="1:58" ht="38" customHeight="1" x14ac:dyDescent="0.2">
      <c r="A122" s="14" t="s">
        <v>1440</v>
      </c>
      <c r="B122" s="28" t="str">
        <f>IF(COUNTIF('02_工程タスク'!$A$4:$A$135,A122)&lt;&gt;1,"参照ID不正",IF(INDEX('02_工程タスク'!$B$4:$B$135,MATCH(A122,'02_工程タスク'!$A$4:$A$135,0))="","",INDEX('02_工程タスク'!$B$4:$B$135,MATCH(A122,'02_工程タスク'!$A$4:$A$135,0))))</f>
        <v>運用</v>
      </c>
      <c r="C122" s="28" t="str">
        <f>IF(COUNTIF('02_工程タスク'!$A$4:$A$135,A122)&lt;&gt;1,"参照ID不正",IF(INDEX('02_工程タスク'!$D$4:$D$135,MATCH(A122,'02_工程タスク'!$A$4:$A$135,0))="","",INDEX('02_工程タスク'!$D$4:$D$135,MATCH(A122,'02_工程タスク'!$A$4:$A$135,0))))</f>
        <v>新市場・用途・自律度拡大の再計画</v>
      </c>
      <c r="D122" s="6"/>
      <c r="E122" s="6" t="s">
        <v>1598</v>
      </c>
      <c r="F122" s="6"/>
      <c r="G122" s="6"/>
      <c r="H122" s="5"/>
      <c r="I122" s="5"/>
      <c r="J122" s="5"/>
      <c r="K122" s="5"/>
      <c r="L122" s="6" t="s">
        <v>3629</v>
      </c>
      <c r="M122" s="6"/>
      <c r="N122" s="6"/>
      <c r="O122" s="5"/>
      <c r="P122" s="17"/>
      <c r="Q122" s="17"/>
      <c r="R122" s="6"/>
      <c r="S122" s="6"/>
      <c r="T122" s="6"/>
      <c r="U122" s="5"/>
      <c r="V122" s="6" t="s">
        <v>1431</v>
      </c>
      <c r="W122" s="28" t="str">
        <f t="shared" si="72"/>
        <v>適用未判定</v>
      </c>
      <c r="X122" s="28" t="str">
        <f t="shared" si="73"/>
        <v/>
      </c>
      <c r="Y122" s="25" t="str">
        <f t="shared" si="74"/>
        <v/>
      </c>
      <c r="Z122" s="25" t="str">
        <f t="shared" si="75"/>
        <v>適用未判定</v>
      </c>
      <c r="AA122" s="25">
        <f t="shared" si="76"/>
        <v>0</v>
      </c>
      <c r="AB122" s="25" t="str">
        <f t="shared" si="77"/>
        <v>B5-21</v>
      </c>
      <c r="AC122" s="25" t="str">
        <f t="shared" si="78"/>
        <v/>
      </c>
      <c r="AD122" s="25" t="str">
        <f t="shared" si="79"/>
        <v/>
      </c>
      <c r="AE122" s="25" t="str">
        <f t="shared" si="80"/>
        <v/>
      </c>
      <c r="AF122" s="25" t="str">
        <f t="shared" si="81"/>
        <v/>
      </c>
      <c r="AG122" s="25" t="str">
        <f t="shared" si="82"/>
        <v/>
      </c>
      <c r="AH122" s="25" t="str">
        <f t="shared" si="83"/>
        <v/>
      </c>
      <c r="AI122" s="25" t="str">
        <f t="shared" si="84"/>
        <v/>
      </c>
      <c r="AJ122" s="25" t="str">
        <f t="shared" si="85"/>
        <v>未充足</v>
      </c>
      <c r="AK122" s="25" t="str">
        <f t="shared" si="86"/>
        <v/>
      </c>
      <c r="AL122" s="25" t="str">
        <f t="shared" si="87"/>
        <v/>
      </c>
      <c r="AM122" s="25" t="str">
        <f t="shared" si="88"/>
        <v/>
      </c>
      <c r="AN122" s="25" t="str">
        <f t="shared" si="89"/>
        <v/>
      </c>
      <c r="AO122" s="25" t="str">
        <f t="shared" si="90"/>
        <v/>
      </c>
      <c r="AP122" s="25" t="str">
        <f t="shared" si="91"/>
        <v/>
      </c>
      <c r="AQ122" s="25" t="str">
        <f t="shared" si="92"/>
        <v/>
      </c>
      <c r="AR122" s="35" t="str">
        <f t="shared" si="93"/>
        <v/>
      </c>
      <c r="AS122" s="28" t="str">
        <f>IF(COUNTIF('02_工程タスク'!$A$4:$A$135,A122)&lt;&gt;1,"参照ID不正",IF(INDEX('02_工程タスク'!$H$4:$H$135,MATCH(A122,'02_工程タスク'!$A$4:$A$135,0))="","",INDEX('02_工程タスク'!$H$4:$H$135,MATCH(A122,'02_工程タスク'!$A$4:$A$135,0))))</f>
        <v>R01</v>
      </c>
      <c r="AT122" s="28" t="str">
        <f t="shared" si="94"/>
        <v>INIT-B5-22</v>
      </c>
      <c r="AU122" s="29" t="s">
        <v>3630</v>
      </c>
      <c r="AV122" s="29"/>
      <c r="AW122" s="29"/>
      <c r="AX122" s="32"/>
      <c r="AY122" s="29"/>
      <c r="AZ122" s="29"/>
      <c r="BA122" s="32"/>
      <c r="BB122" s="28" t="str">
        <f>IF(COUNTIF('02_工程タスク'!$A$4:$A$135,A122)&lt;&gt;1,"参照ID不正",IF(INDEX('02_工程タスク'!$O$4:$O$135,MATCH(A122,'02_工程タスク'!$A$4:$A$135,0))="","",INDEX('02_工程タスク'!$O$4:$O$135,MATCH(A122,'02_工程タスク'!$A$4:$A$135,0))))</f>
        <v>B5-21</v>
      </c>
      <c r="BC122" s="28" t="str">
        <f t="shared" si="95"/>
        <v>記法OK</v>
      </c>
      <c r="BD122" s="28" t="str">
        <f>IF(A122="B6-01",IF(OR(AV122="",COUNTIF('29_ゲート承認記録'!$F$4:$F$83,AV122)&lt;&gt;1),"終了開始根拠不足",IF(IF(COUNTIF('29_ゲート承認記録'!$F$4:$F$83,AV122)&lt;&gt;1,"参照ID不正",IF(INDEX('29_ゲート承認記録'!$L$4:$L$83,MATCH(AV122,'29_ゲート承認記録'!$F$4:$F$83,0))="","",INDEX('29_ゲート承認記録'!$L$4:$L$83,MATCH(AV122,'29_ゲート承認記録'!$F$4:$F$83,0))))&lt;&gt;"Stop","Stop判断要確認","開始根拠あり")),IF(AND(A122="B5-18",AU122="事故"),IF(AV122="","事故レビュー参照不足","開始根拠あり"),"開始根拠あり"))</f>
        <v>開始根拠あり</v>
      </c>
      <c r="BE122" s="29"/>
      <c r="BF122" s="29"/>
    </row>
    <row r="123" spans="1:58" ht="38" customHeight="1" x14ac:dyDescent="0.2">
      <c r="A123" s="14" t="s">
        <v>1451</v>
      </c>
      <c r="B123" s="28" t="str">
        <f>IF(COUNTIF('02_工程タスク'!$A$4:$A$135,A123)&lt;&gt;1,"参照ID不正",IF(INDEX('02_工程タスク'!$B$4:$B$135,MATCH(A123,'02_工程タスク'!$A$4:$A$135,0))="","",INDEX('02_工程タスク'!$B$4:$B$135,MATCH(A123,'02_工程タスク'!$A$4:$A$135,0))))</f>
        <v>運用</v>
      </c>
      <c r="C123" s="28" t="str">
        <f>IF(COUNTIF('02_工程タスク'!$A$4:$A$135,A123)&lt;&gt;1,"参照ID不正",IF(INDEX('02_工程タスク'!$D$4:$D$135,MATCH(A123,'02_工程タスク'!$A$4:$A$135,0))="","",INDEX('02_工程タスク'!$D$4:$D$135,MATCH(A123,'02_工程タスク'!$A$4:$A$135,0))))</f>
        <v>縮小・廃止・移管計画の起動</v>
      </c>
      <c r="D123" s="6"/>
      <c r="E123" s="6" t="s">
        <v>1598</v>
      </c>
      <c r="F123" s="6"/>
      <c r="G123" s="6"/>
      <c r="H123" s="5"/>
      <c r="I123" s="5"/>
      <c r="J123" s="5"/>
      <c r="K123" s="5"/>
      <c r="L123" s="6" t="s">
        <v>3629</v>
      </c>
      <c r="M123" s="6"/>
      <c r="N123" s="6"/>
      <c r="O123" s="5"/>
      <c r="P123" s="17"/>
      <c r="Q123" s="17"/>
      <c r="R123" s="6"/>
      <c r="S123" s="6"/>
      <c r="T123" s="6"/>
      <c r="U123" s="5"/>
      <c r="V123" s="6" t="s">
        <v>1431</v>
      </c>
      <c r="W123" s="28" t="str">
        <f t="shared" si="72"/>
        <v>適用未判定</v>
      </c>
      <c r="X123" s="28" t="str">
        <f t="shared" si="73"/>
        <v/>
      </c>
      <c r="Y123" s="26" t="str">
        <f t="shared" si="74"/>
        <v/>
      </c>
      <c r="Z123" s="26" t="str">
        <f t="shared" si="75"/>
        <v>適用未判定</v>
      </c>
      <c r="AA123" s="26">
        <f t="shared" si="76"/>
        <v>0</v>
      </c>
      <c r="AB123" s="26" t="str">
        <f t="shared" si="77"/>
        <v>B5-21</v>
      </c>
      <c r="AC123" s="26" t="str">
        <f t="shared" si="78"/>
        <v/>
      </c>
      <c r="AD123" s="26" t="str">
        <f t="shared" si="79"/>
        <v/>
      </c>
      <c r="AE123" s="26" t="str">
        <f t="shared" si="80"/>
        <v/>
      </c>
      <c r="AF123" s="26" t="str">
        <f t="shared" si="81"/>
        <v/>
      </c>
      <c r="AG123" s="26" t="str">
        <f t="shared" si="82"/>
        <v/>
      </c>
      <c r="AH123" s="26" t="str">
        <f t="shared" si="83"/>
        <v/>
      </c>
      <c r="AI123" s="26" t="str">
        <f t="shared" si="84"/>
        <v/>
      </c>
      <c r="AJ123" s="26" t="str">
        <f t="shared" si="85"/>
        <v>未充足</v>
      </c>
      <c r="AK123" s="26" t="str">
        <f t="shared" si="86"/>
        <v/>
      </c>
      <c r="AL123" s="26" t="str">
        <f t="shared" si="87"/>
        <v/>
      </c>
      <c r="AM123" s="26" t="str">
        <f t="shared" si="88"/>
        <v/>
      </c>
      <c r="AN123" s="26" t="str">
        <f t="shared" si="89"/>
        <v/>
      </c>
      <c r="AO123" s="26" t="str">
        <f t="shared" si="90"/>
        <v/>
      </c>
      <c r="AP123" s="26" t="str">
        <f t="shared" si="91"/>
        <v/>
      </c>
      <c r="AQ123" s="26" t="str">
        <f t="shared" si="92"/>
        <v/>
      </c>
      <c r="AR123" s="36" t="str">
        <f t="shared" si="93"/>
        <v/>
      </c>
      <c r="AS123" s="28" t="str">
        <f>IF(COUNTIF('02_工程タスク'!$A$4:$A$135,A123)&lt;&gt;1,"参照ID不正",IF(INDEX('02_工程タスク'!$H$4:$H$135,MATCH(A123,'02_工程タスク'!$A$4:$A$135,0))="","",INDEX('02_工程タスク'!$H$4:$H$135,MATCH(A123,'02_工程タスク'!$A$4:$A$135,0))))</f>
        <v>R01</v>
      </c>
      <c r="AT123" s="28" t="str">
        <f t="shared" si="94"/>
        <v>INIT-B5-23</v>
      </c>
      <c r="AU123" s="29" t="s">
        <v>3630</v>
      </c>
      <c r="AV123" s="29"/>
      <c r="AW123" s="29"/>
      <c r="AX123" s="32"/>
      <c r="AY123" s="29"/>
      <c r="AZ123" s="29"/>
      <c r="BA123" s="32"/>
      <c r="BB123" s="28" t="str">
        <f>IF(COUNTIF('02_工程タスク'!$A$4:$A$135,A123)&lt;&gt;1,"参照ID不正",IF(INDEX('02_工程タスク'!$O$4:$O$135,MATCH(A123,'02_工程タスク'!$A$4:$A$135,0))="","",INDEX('02_工程タスク'!$O$4:$O$135,MATCH(A123,'02_工程タスク'!$A$4:$A$135,0))))</f>
        <v>B5-21</v>
      </c>
      <c r="BC123" s="28" t="str">
        <f t="shared" si="95"/>
        <v>記法OK</v>
      </c>
      <c r="BD123" s="28" t="str">
        <f>IF(A123="B6-01",IF(OR(AV123="",COUNTIF('29_ゲート承認記録'!$F$4:$F$83,AV123)&lt;&gt;1),"終了開始根拠不足",IF(IF(COUNTIF('29_ゲート承認記録'!$F$4:$F$83,AV123)&lt;&gt;1,"参照ID不正",IF(INDEX('29_ゲート承認記録'!$L$4:$L$83,MATCH(AV123,'29_ゲート承認記録'!$F$4:$F$83,0))="","",INDEX('29_ゲート承認記録'!$L$4:$L$83,MATCH(AV123,'29_ゲート承認記録'!$F$4:$F$83,0))))&lt;&gt;"Stop","Stop判断要確認","開始根拠あり")),IF(AND(A123="B5-18",AU123="事故"),IF(AV123="","事故レビュー参照不足","開始根拠あり"),"開始根拠あり"))</f>
        <v>開始根拠あり</v>
      </c>
      <c r="BE123" s="29"/>
      <c r="BF123" s="29"/>
    </row>
    <row r="124" spans="1:58" ht="38" customHeight="1" x14ac:dyDescent="0.2">
      <c r="A124" s="14" t="s">
        <v>1461</v>
      </c>
      <c r="B124" s="28" t="str">
        <f>IF(COUNTIF('02_工程タスク'!$A$4:$A$135,A124)&lt;&gt;1,"参照ID不正",IF(INDEX('02_工程タスク'!$B$4:$B$135,MATCH(A124,'02_工程タスク'!$A$4:$A$135,0))="","",INDEX('02_工程タスク'!$B$4:$B$135,MATCH(A124,'02_工程タスク'!$A$4:$A$135,0))))</f>
        <v>運用</v>
      </c>
      <c r="C124" s="28" t="str">
        <f>IF(COUNTIF('02_工程タスク'!$A$4:$A$135,A124)&lt;&gt;1,"参照ID不正",IF(INDEX('02_工程タスク'!$D$4:$D$135,MATCH(A124,'02_工程タスク'!$A$4:$A$135,0))="","",INDEX('02_工程タスク'!$D$4:$D$135,MATCH(A124,'02_工程タスク'!$A$4:$A$135,0))))</f>
        <v>知見・原則・再利用資産の蓄積</v>
      </c>
      <c r="D124" s="6"/>
      <c r="E124" s="6" t="s">
        <v>1598</v>
      </c>
      <c r="F124" s="6"/>
      <c r="G124" s="6"/>
      <c r="H124" s="5"/>
      <c r="I124" s="5"/>
      <c r="J124" s="5"/>
      <c r="K124" s="5"/>
      <c r="L124" s="6" t="s">
        <v>3629</v>
      </c>
      <c r="M124" s="6"/>
      <c r="N124" s="6"/>
      <c r="O124" s="5"/>
      <c r="P124" s="17"/>
      <c r="Q124" s="17"/>
      <c r="R124" s="6"/>
      <c r="S124" s="6"/>
      <c r="T124" s="6"/>
      <c r="U124" s="5"/>
      <c r="V124" s="6" t="s">
        <v>1468</v>
      </c>
      <c r="W124" s="28" t="str">
        <f t="shared" si="72"/>
        <v>適用未判定</v>
      </c>
      <c r="X124" s="28" t="str">
        <f t="shared" si="73"/>
        <v/>
      </c>
      <c r="Y124" s="25" t="str">
        <f t="shared" si="74"/>
        <v/>
      </c>
      <c r="Z124" s="25" t="str">
        <f t="shared" si="75"/>
        <v>適用未判定</v>
      </c>
      <c r="AA124" s="25">
        <f t="shared" si="76"/>
        <v>0</v>
      </c>
      <c r="AB124" s="25" t="str">
        <f t="shared" si="77"/>
        <v>B5-13</v>
      </c>
      <c r="AC124" s="25" t="str">
        <f t="shared" si="78"/>
        <v>B5-19</v>
      </c>
      <c r="AD124" s="25" t="str">
        <f t="shared" si="79"/>
        <v/>
      </c>
      <c r="AE124" s="25" t="str">
        <f t="shared" si="80"/>
        <v/>
      </c>
      <c r="AF124" s="25" t="str">
        <f t="shared" si="81"/>
        <v/>
      </c>
      <c r="AG124" s="25" t="str">
        <f t="shared" si="82"/>
        <v/>
      </c>
      <c r="AH124" s="25" t="str">
        <f t="shared" si="83"/>
        <v/>
      </c>
      <c r="AI124" s="25" t="str">
        <f t="shared" si="84"/>
        <v/>
      </c>
      <c r="AJ124" s="25" t="str">
        <f t="shared" si="85"/>
        <v>未充足</v>
      </c>
      <c r="AK124" s="25" t="str">
        <f t="shared" si="86"/>
        <v>未充足</v>
      </c>
      <c r="AL124" s="25" t="str">
        <f t="shared" si="87"/>
        <v/>
      </c>
      <c r="AM124" s="25" t="str">
        <f t="shared" si="88"/>
        <v/>
      </c>
      <c r="AN124" s="25" t="str">
        <f t="shared" si="89"/>
        <v/>
      </c>
      <c r="AO124" s="25" t="str">
        <f t="shared" si="90"/>
        <v/>
      </c>
      <c r="AP124" s="25" t="str">
        <f t="shared" si="91"/>
        <v/>
      </c>
      <c r="AQ124" s="25" t="str">
        <f t="shared" si="92"/>
        <v/>
      </c>
      <c r="AR124" s="35" t="str">
        <f t="shared" si="93"/>
        <v/>
      </c>
      <c r="AS124" s="28" t="str">
        <f>IF(COUNTIF('02_工程タスク'!$A$4:$A$135,A124)&lt;&gt;1,"参照ID不正",IF(INDEX('02_工程タスク'!$H$4:$H$135,MATCH(A124,'02_工程タスク'!$A$4:$A$135,0))="","",INDEX('02_工程タスク'!$H$4:$H$135,MATCH(A124,'02_工程タスク'!$A$4:$A$135,0))))</f>
        <v>R02</v>
      </c>
      <c r="AT124" s="28" t="str">
        <f t="shared" si="94"/>
        <v>INIT-B5-24</v>
      </c>
      <c r="AU124" s="29" t="s">
        <v>3630</v>
      </c>
      <c r="AV124" s="29"/>
      <c r="AW124" s="29"/>
      <c r="AX124" s="32"/>
      <c r="AY124" s="29"/>
      <c r="AZ124" s="29"/>
      <c r="BA124" s="32"/>
      <c r="BB124" s="28" t="str">
        <f>IF(COUNTIF('02_工程タスク'!$A$4:$A$135,A124)&lt;&gt;1,"参照ID不正",IF(INDEX('02_工程タスク'!$O$4:$O$135,MATCH(A124,'02_工程タスク'!$A$4:$A$135,0))="","",INDEX('02_工程タスク'!$O$4:$O$135,MATCH(A124,'02_工程タスク'!$A$4:$A$135,0))))</f>
        <v>B5-13,B5-19</v>
      </c>
      <c r="BC124" s="28" t="str">
        <f t="shared" si="95"/>
        <v>記法OK</v>
      </c>
      <c r="BD124" s="28" t="str">
        <f>IF(A124="B6-01",IF(OR(AV124="",COUNTIF('29_ゲート承認記録'!$F$4:$F$83,AV124)&lt;&gt;1),"終了開始根拠不足",IF(IF(COUNTIF('29_ゲート承認記録'!$F$4:$F$83,AV124)&lt;&gt;1,"参照ID不正",IF(INDEX('29_ゲート承認記録'!$L$4:$L$83,MATCH(AV124,'29_ゲート承認記録'!$F$4:$F$83,0))="","",INDEX('29_ゲート承認記録'!$L$4:$L$83,MATCH(AV124,'29_ゲート承認記録'!$F$4:$F$83,0))))&lt;&gt;"Stop","Stop判断要確認","開始根拠あり")),IF(AND(A124="B5-18",AU124="事故"),IF(AV124="","事故レビュー参照不足","開始根拠あり"),"開始根拠あり"))</f>
        <v>開始根拠あり</v>
      </c>
      <c r="BE124" s="29"/>
      <c r="BF124" s="29"/>
    </row>
    <row r="125" spans="1:58" ht="38" customHeight="1" x14ac:dyDescent="0.2">
      <c r="A125" s="15" t="s">
        <v>1470</v>
      </c>
      <c r="B125" s="28" t="str">
        <f>IF(COUNTIF('02_工程タスク'!$A$4:$A$135,A125)&lt;&gt;1,"参照ID不正",IF(INDEX('02_工程タスク'!$B$4:$B$135,MATCH(A125,'02_工程タスク'!$A$4:$A$135,0))="","",INDEX('02_工程タスク'!$B$4:$B$135,MATCH(A125,'02_工程タスク'!$A$4:$A$135,0))))</f>
        <v>廃止</v>
      </c>
      <c r="C125" s="28" t="str">
        <f>IF(COUNTIF('02_工程タスク'!$A$4:$A$135,A125)&lt;&gt;1,"参照ID不正",IF(INDEX('02_工程タスク'!$D$4:$D$135,MATCH(A125,'02_工程タスク'!$A$4:$A$135,0))="","",INDEX('02_工程タスク'!$D$4:$D$135,MATCH(A125,'02_工程タスク'!$A$4:$A$135,0))))</f>
        <v>廃止範囲・日程・責任の承認</v>
      </c>
      <c r="D125" s="6"/>
      <c r="E125" s="6" t="s">
        <v>1598</v>
      </c>
      <c r="F125" s="6"/>
      <c r="G125" s="6"/>
      <c r="H125" s="5"/>
      <c r="I125" s="5"/>
      <c r="J125" s="5"/>
      <c r="K125" s="5"/>
      <c r="L125" s="6" t="s">
        <v>3629</v>
      </c>
      <c r="M125" s="6"/>
      <c r="N125" s="6"/>
      <c r="O125" s="5"/>
      <c r="P125" s="17"/>
      <c r="Q125" s="17"/>
      <c r="R125" s="6"/>
      <c r="S125" s="6"/>
      <c r="T125" s="6"/>
      <c r="U125" s="5"/>
      <c r="V125" s="6"/>
      <c r="W125" s="28" t="str">
        <f t="shared" si="72"/>
        <v>適用未判定</v>
      </c>
      <c r="X125" s="28" t="str">
        <f t="shared" si="73"/>
        <v/>
      </c>
      <c r="Y125" s="26" t="str">
        <f t="shared" si="74"/>
        <v/>
      </c>
      <c r="Z125" s="26" t="str">
        <f t="shared" si="75"/>
        <v>適用未判定</v>
      </c>
      <c r="AA125" s="26">
        <f t="shared" si="76"/>
        <v>0</v>
      </c>
      <c r="AB125" s="26" t="str">
        <f t="shared" si="77"/>
        <v/>
      </c>
      <c r="AC125" s="26" t="str">
        <f t="shared" si="78"/>
        <v/>
      </c>
      <c r="AD125" s="26" t="str">
        <f t="shared" si="79"/>
        <v/>
      </c>
      <c r="AE125" s="26" t="str">
        <f t="shared" si="80"/>
        <v/>
      </c>
      <c r="AF125" s="26" t="str">
        <f t="shared" si="81"/>
        <v/>
      </c>
      <c r="AG125" s="26" t="str">
        <f t="shared" si="82"/>
        <v/>
      </c>
      <c r="AH125" s="26" t="str">
        <f t="shared" si="83"/>
        <v/>
      </c>
      <c r="AI125" s="26" t="str">
        <f t="shared" si="84"/>
        <v/>
      </c>
      <c r="AJ125" s="26" t="str">
        <f t="shared" si="85"/>
        <v/>
      </c>
      <c r="AK125" s="26" t="str">
        <f t="shared" si="86"/>
        <v/>
      </c>
      <c r="AL125" s="26" t="str">
        <f t="shared" si="87"/>
        <v/>
      </c>
      <c r="AM125" s="26" t="str">
        <f t="shared" si="88"/>
        <v/>
      </c>
      <c r="AN125" s="26" t="str">
        <f t="shared" si="89"/>
        <v/>
      </c>
      <c r="AO125" s="26" t="str">
        <f t="shared" si="90"/>
        <v/>
      </c>
      <c r="AP125" s="26" t="str">
        <f t="shared" si="91"/>
        <v/>
      </c>
      <c r="AQ125" s="26" t="str">
        <f t="shared" si="92"/>
        <v/>
      </c>
      <c r="AR125" s="36" t="str">
        <f t="shared" si="93"/>
        <v/>
      </c>
      <c r="AS125" s="28" t="str">
        <f>IF(COUNTIF('02_工程タスク'!$A$4:$A$135,A125)&lt;&gt;1,"参照ID不正",IF(INDEX('02_工程タスク'!$H$4:$H$135,MATCH(A125,'02_工程タスク'!$A$4:$A$135,0))="","",INDEX('02_工程タスク'!$H$4:$H$135,MATCH(A125,'02_工程タスク'!$A$4:$A$135,0))))</f>
        <v>R01</v>
      </c>
      <c r="AT125" s="28" t="str">
        <f t="shared" si="94"/>
        <v>INIT-B6-01</v>
      </c>
      <c r="AU125" s="29" t="s">
        <v>3630</v>
      </c>
      <c r="AV125" s="29"/>
      <c r="AW125" s="29"/>
      <c r="AX125" s="32"/>
      <c r="AY125" s="29"/>
      <c r="AZ125" s="29"/>
      <c r="BA125" s="32"/>
      <c r="BB125" s="28" t="str">
        <f>IF(COUNTIF('02_工程タスク'!$A$4:$A$135,A125)&lt;&gt;1,"参照ID不正",IF(INDEX('02_工程タスク'!$O$4:$O$135,MATCH(A125,'02_工程タスク'!$A$4:$A$135,0))="","",INDEX('02_工程タスク'!$O$4:$O$135,MATCH(A125,'02_工程タスク'!$A$4:$A$135,0))))</f>
        <v/>
      </c>
      <c r="BC125" s="28" t="str">
        <f t="shared" si="95"/>
        <v>依存なし</v>
      </c>
      <c r="BD125" s="28" t="str">
        <f>IF(A125="B6-01",IF(OR(AV125="",COUNTIF('29_ゲート承認記録'!$F$4:$F$83,AV125)&lt;&gt;1),"終了開始根拠不足",IF(IF(COUNTIF('29_ゲート承認記録'!$F$4:$F$83,AV125)&lt;&gt;1,"参照ID不正",IF(INDEX('29_ゲート承認記録'!$L$4:$L$83,MATCH(AV125,'29_ゲート承認記録'!$F$4:$F$83,0))="","",INDEX('29_ゲート承認記録'!$L$4:$L$83,MATCH(AV125,'29_ゲート承認記録'!$F$4:$F$83,0))))&lt;&gt;"Stop","Stop判断要確認","開始根拠あり")),IF(AND(A125="B5-18",AU125="事故"),IF(AV125="","事故レビュー参照不足","開始根拠あり"),"開始根拠あり"))</f>
        <v>終了開始根拠不足</v>
      </c>
      <c r="BE125" s="29"/>
      <c r="BF125" s="29"/>
    </row>
    <row r="126" spans="1:58" ht="38" customHeight="1" x14ac:dyDescent="0.2">
      <c r="A126" s="15" t="s">
        <v>1479</v>
      </c>
      <c r="B126" s="28" t="str">
        <f>IF(COUNTIF('02_工程タスク'!$A$4:$A$135,A126)&lt;&gt;1,"参照ID不正",IF(INDEX('02_工程タスク'!$B$4:$B$135,MATCH(A126,'02_工程タスク'!$A$4:$A$135,0))="","",INDEX('02_工程タスク'!$B$4:$B$135,MATCH(A126,'02_工程タスク'!$A$4:$A$135,0))))</f>
        <v>廃止</v>
      </c>
      <c r="C126" s="28" t="str">
        <f>IF(COUNTIF('02_工程タスク'!$A$4:$A$135,A126)&lt;&gt;1,"参照ID不正",IF(INDEX('02_工程タスク'!$D$4:$D$135,MATCH(A126,'02_工程タスク'!$A$4:$A$135,0))="","",INDEX('02_工程タスク'!$D$4:$D$135,MATCH(A126,'02_工程タスク'!$A$4:$A$135,0))))</f>
        <v>顧客・社内利用者への通知と移行</v>
      </c>
      <c r="D126" s="6"/>
      <c r="E126" s="6" t="s">
        <v>1598</v>
      </c>
      <c r="F126" s="6"/>
      <c r="G126" s="6"/>
      <c r="H126" s="5"/>
      <c r="I126" s="5"/>
      <c r="J126" s="5"/>
      <c r="K126" s="5"/>
      <c r="L126" s="6" t="s">
        <v>3629</v>
      </c>
      <c r="M126" s="6"/>
      <c r="N126" s="6"/>
      <c r="O126" s="5"/>
      <c r="P126" s="17"/>
      <c r="Q126" s="17"/>
      <c r="R126" s="6"/>
      <c r="S126" s="6"/>
      <c r="T126" s="6"/>
      <c r="U126" s="5"/>
      <c r="V126" s="6" t="s">
        <v>1470</v>
      </c>
      <c r="W126" s="28" t="str">
        <f t="shared" si="72"/>
        <v>適用未判定</v>
      </c>
      <c r="X126" s="28" t="str">
        <f t="shared" si="73"/>
        <v/>
      </c>
      <c r="Y126" s="25" t="str">
        <f t="shared" si="74"/>
        <v/>
      </c>
      <c r="Z126" s="25" t="str">
        <f t="shared" si="75"/>
        <v>適用未判定</v>
      </c>
      <c r="AA126" s="25">
        <f t="shared" si="76"/>
        <v>0</v>
      </c>
      <c r="AB126" s="25" t="str">
        <f t="shared" si="77"/>
        <v>B6-01</v>
      </c>
      <c r="AC126" s="25" t="str">
        <f t="shared" si="78"/>
        <v/>
      </c>
      <c r="AD126" s="25" t="str">
        <f t="shared" si="79"/>
        <v/>
      </c>
      <c r="AE126" s="25" t="str">
        <f t="shared" si="80"/>
        <v/>
      </c>
      <c r="AF126" s="25" t="str">
        <f t="shared" si="81"/>
        <v/>
      </c>
      <c r="AG126" s="25" t="str">
        <f t="shared" si="82"/>
        <v/>
      </c>
      <c r="AH126" s="25" t="str">
        <f t="shared" si="83"/>
        <v/>
      </c>
      <c r="AI126" s="25" t="str">
        <f t="shared" si="84"/>
        <v/>
      </c>
      <c r="AJ126" s="25" t="str">
        <f t="shared" si="85"/>
        <v>未充足</v>
      </c>
      <c r="AK126" s="25" t="str">
        <f t="shared" si="86"/>
        <v/>
      </c>
      <c r="AL126" s="25" t="str">
        <f t="shared" si="87"/>
        <v/>
      </c>
      <c r="AM126" s="25" t="str">
        <f t="shared" si="88"/>
        <v/>
      </c>
      <c r="AN126" s="25" t="str">
        <f t="shared" si="89"/>
        <v/>
      </c>
      <c r="AO126" s="25" t="str">
        <f t="shared" si="90"/>
        <v/>
      </c>
      <c r="AP126" s="25" t="str">
        <f t="shared" si="91"/>
        <v/>
      </c>
      <c r="AQ126" s="25" t="str">
        <f t="shared" si="92"/>
        <v/>
      </c>
      <c r="AR126" s="35" t="str">
        <f t="shared" si="93"/>
        <v/>
      </c>
      <c r="AS126" s="28" t="str">
        <f>IF(COUNTIF('02_工程タスク'!$A$4:$A$135,A126)&lt;&gt;1,"参照ID不正",IF(INDEX('02_工程タスク'!$H$4:$H$135,MATCH(A126,'02_工程タスク'!$A$4:$A$135,0))="","",INDEX('02_工程タスク'!$H$4:$H$135,MATCH(A126,'02_工程タスク'!$A$4:$A$135,0))))</f>
        <v>R18</v>
      </c>
      <c r="AT126" s="28" t="str">
        <f t="shared" si="94"/>
        <v>INIT-B6-02</v>
      </c>
      <c r="AU126" s="29" t="s">
        <v>3630</v>
      </c>
      <c r="AV126" s="29"/>
      <c r="AW126" s="29"/>
      <c r="AX126" s="32"/>
      <c r="AY126" s="29"/>
      <c r="AZ126" s="29"/>
      <c r="BA126" s="32"/>
      <c r="BB126" s="28" t="str">
        <f>IF(COUNTIF('02_工程タスク'!$A$4:$A$135,A126)&lt;&gt;1,"参照ID不正",IF(INDEX('02_工程タスク'!$O$4:$O$135,MATCH(A126,'02_工程タスク'!$A$4:$A$135,0))="","",INDEX('02_工程タスク'!$O$4:$O$135,MATCH(A126,'02_工程タスク'!$A$4:$A$135,0))))</f>
        <v>B6-01</v>
      </c>
      <c r="BC126" s="28" t="str">
        <f t="shared" si="95"/>
        <v>記法OK</v>
      </c>
      <c r="BD126" s="28" t="str">
        <f>IF(A126="B6-01",IF(OR(AV126="",COUNTIF('29_ゲート承認記録'!$F$4:$F$83,AV126)&lt;&gt;1),"終了開始根拠不足",IF(IF(COUNTIF('29_ゲート承認記録'!$F$4:$F$83,AV126)&lt;&gt;1,"参照ID不正",IF(INDEX('29_ゲート承認記録'!$L$4:$L$83,MATCH(AV126,'29_ゲート承認記録'!$F$4:$F$83,0))="","",INDEX('29_ゲート承認記録'!$L$4:$L$83,MATCH(AV126,'29_ゲート承認記録'!$F$4:$F$83,0))))&lt;&gt;"Stop","Stop判断要確認","開始根拠あり")),IF(AND(A126="B5-18",AU126="事故"),IF(AV126="","事故レビュー参照不足","開始根拠あり"),"開始根拠あり"))</f>
        <v>開始根拠あり</v>
      </c>
      <c r="BE126" s="29"/>
      <c r="BF126" s="29"/>
    </row>
    <row r="127" spans="1:58" ht="38" customHeight="1" x14ac:dyDescent="0.2">
      <c r="A127" s="15" t="s">
        <v>1487</v>
      </c>
      <c r="B127" s="28" t="str">
        <f>IF(COUNTIF('02_工程タスク'!$A$4:$A$135,A127)&lt;&gt;1,"参照ID不正",IF(INDEX('02_工程タスク'!$B$4:$B$135,MATCH(A127,'02_工程タスク'!$A$4:$A$135,0))="","",INDEX('02_工程タスク'!$B$4:$B$135,MATCH(A127,'02_工程タスク'!$A$4:$A$135,0))))</f>
        <v>廃止</v>
      </c>
      <c r="C127" s="28" t="str">
        <f>IF(COUNTIF('02_工程タスク'!$A$4:$A$135,A127)&lt;&gt;1,"参照ID不正",IF(INDEX('02_工程タスク'!$D$4:$D$135,MATCH(A127,'02_工程タスク'!$A$4:$A$135,0))="","",INDEX('02_工程タスク'!$D$4:$D$135,MATCH(A127,'02_工程タスク'!$A$4:$A$135,0))))</f>
        <v>データ・モデル・Tool・アカウント一覧</v>
      </c>
      <c r="D127" s="6"/>
      <c r="E127" s="6" t="s">
        <v>1598</v>
      </c>
      <c r="F127" s="6"/>
      <c r="G127" s="6"/>
      <c r="H127" s="5"/>
      <c r="I127" s="5"/>
      <c r="J127" s="5"/>
      <c r="K127" s="5"/>
      <c r="L127" s="6" t="s">
        <v>3629</v>
      </c>
      <c r="M127" s="6"/>
      <c r="N127" s="6"/>
      <c r="O127" s="5"/>
      <c r="P127" s="17"/>
      <c r="Q127" s="17"/>
      <c r="R127" s="6"/>
      <c r="S127" s="6"/>
      <c r="T127" s="6"/>
      <c r="U127" s="5"/>
      <c r="V127" s="6" t="s">
        <v>1470</v>
      </c>
      <c r="W127" s="28" t="str">
        <f t="shared" si="72"/>
        <v>適用未判定</v>
      </c>
      <c r="X127" s="28" t="str">
        <f t="shared" si="73"/>
        <v/>
      </c>
      <c r="Y127" s="26" t="str">
        <f t="shared" si="74"/>
        <v/>
      </c>
      <c r="Z127" s="26" t="str">
        <f t="shared" si="75"/>
        <v>適用未判定</v>
      </c>
      <c r="AA127" s="26">
        <f t="shared" si="76"/>
        <v>0</v>
      </c>
      <c r="AB127" s="26" t="str">
        <f t="shared" si="77"/>
        <v>B6-01</v>
      </c>
      <c r="AC127" s="26" t="str">
        <f t="shared" si="78"/>
        <v/>
      </c>
      <c r="AD127" s="26" t="str">
        <f t="shared" si="79"/>
        <v/>
      </c>
      <c r="AE127" s="26" t="str">
        <f t="shared" si="80"/>
        <v/>
      </c>
      <c r="AF127" s="26" t="str">
        <f t="shared" si="81"/>
        <v/>
      </c>
      <c r="AG127" s="26" t="str">
        <f t="shared" si="82"/>
        <v/>
      </c>
      <c r="AH127" s="26" t="str">
        <f t="shared" si="83"/>
        <v/>
      </c>
      <c r="AI127" s="26" t="str">
        <f t="shared" si="84"/>
        <v/>
      </c>
      <c r="AJ127" s="26" t="str">
        <f t="shared" si="85"/>
        <v>未充足</v>
      </c>
      <c r="AK127" s="26" t="str">
        <f t="shared" si="86"/>
        <v/>
      </c>
      <c r="AL127" s="26" t="str">
        <f t="shared" si="87"/>
        <v/>
      </c>
      <c r="AM127" s="26" t="str">
        <f t="shared" si="88"/>
        <v/>
      </c>
      <c r="AN127" s="26" t="str">
        <f t="shared" si="89"/>
        <v/>
      </c>
      <c r="AO127" s="26" t="str">
        <f t="shared" si="90"/>
        <v/>
      </c>
      <c r="AP127" s="26" t="str">
        <f t="shared" si="91"/>
        <v/>
      </c>
      <c r="AQ127" s="26" t="str">
        <f t="shared" si="92"/>
        <v/>
      </c>
      <c r="AR127" s="36" t="str">
        <f t="shared" si="93"/>
        <v/>
      </c>
      <c r="AS127" s="28" t="str">
        <f>IF(COUNTIF('02_工程タスク'!$A$4:$A$135,A127)&lt;&gt;1,"参照ID不正",IF(INDEX('02_工程タスク'!$H$4:$H$135,MATCH(A127,'02_工程タスク'!$A$4:$A$135,0))="","",INDEX('02_工程タスク'!$H$4:$H$135,MATCH(A127,'02_工程タスク'!$A$4:$A$135,0))))</f>
        <v>R18</v>
      </c>
      <c r="AT127" s="28" t="str">
        <f t="shared" si="94"/>
        <v>INIT-B6-03</v>
      </c>
      <c r="AU127" s="29" t="s">
        <v>3630</v>
      </c>
      <c r="AV127" s="29"/>
      <c r="AW127" s="29"/>
      <c r="AX127" s="32"/>
      <c r="AY127" s="29"/>
      <c r="AZ127" s="29"/>
      <c r="BA127" s="32"/>
      <c r="BB127" s="28" t="str">
        <f>IF(COUNTIF('02_工程タスク'!$A$4:$A$135,A127)&lt;&gt;1,"参照ID不正",IF(INDEX('02_工程タスク'!$O$4:$O$135,MATCH(A127,'02_工程タスク'!$A$4:$A$135,0))="","",INDEX('02_工程タスク'!$O$4:$O$135,MATCH(A127,'02_工程タスク'!$A$4:$A$135,0))))</f>
        <v>B6-01</v>
      </c>
      <c r="BC127" s="28" t="str">
        <f t="shared" si="95"/>
        <v>記法OK</v>
      </c>
      <c r="BD127" s="28" t="str">
        <f>IF(A127="B6-01",IF(OR(AV127="",COUNTIF('29_ゲート承認記録'!$F$4:$F$83,AV127)&lt;&gt;1),"終了開始根拠不足",IF(IF(COUNTIF('29_ゲート承認記録'!$F$4:$F$83,AV127)&lt;&gt;1,"参照ID不正",IF(INDEX('29_ゲート承認記録'!$L$4:$L$83,MATCH(AV127,'29_ゲート承認記録'!$F$4:$F$83,0))="","",INDEX('29_ゲート承認記録'!$L$4:$L$83,MATCH(AV127,'29_ゲート承認記録'!$F$4:$F$83,0))))&lt;&gt;"Stop","Stop判断要確認","開始根拠あり")),IF(AND(A127="B5-18",AU127="事故"),IF(AV127="","事故レビュー参照不足","開始根拠あり"),"開始根拠あり"))</f>
        <v>開始根拠あり</v>
      </c>
      <c r="BE127" s="29"/>
      <c r="BF127" s="29"/>
    </row>
    <row r="128" spans="1:58" ht="38" customHeight="1" x14ac:dyDescent="0.2">
      <c r="A128" s="15" t="s">
        <v>1495</v>
      </c>
      <c r="B128" s="28" t="str">
        <f>IF(COUNTIF('02_工程タスク'!$A$4:$A$135,A128)&lt;&gt;1,"参照ID不正",IF(INDEX('02_工程タスク'!$B$4:$B$135,MATCH(A128,'02_工程タスク'!$A$4:$A$135,0))="","",INDEX('02_工程タスク'!$B$4:$B$135,MATCH(A128,'02_工程タスク'!$A$4:$A$135,0))))</f>
        <v>廃止</v>
      </c>
      <c r="C128" s="28" t="str">
        <f>IF(COUNTIF('02_工程タスク'!$A$4:$A$135,A128)&lt;&gt;1,"参照ID不正",IF(INDEX('02_工程タスク'!$D$4:$D$135,MATCH(A128,'02_工程タスク'!$A$4:$A$135,0))="","",INDEX('02_工程タスク'!$D$4:$D$135,MATCH(A128,'02_工程タスク'!$A$4:$A$135,0))))</f>
        <v>保持義務・保全・削除・学習資産判断</v>
      </c>
      <c r="D128" s="6"/>
      <c r="E128" s="6" t="s">
        <v>1598</v>
      </c>
      <c r="F128" s="6"/>
      <c r="G128" s="6"/>
      <c r="H128" s="5"/>
      <c r="I128" s="5"/>
      <c r="J128" s="5"/>
      <c r="K128" s="5"/>
      <c r="L128" s="6" t="s">
        <v>3629</v>
      </c>
      <c r="M128" s="6"/>
      <c r="N128" s="6"/>
      <c r="O128" s="5"/>
      <c r="P128" s="17"/>
      <c r="Q128" s="17"/>
      <c r="R128" s="6"/>
      <c r="S128" s="6"/>
      <c r="T128" s="6"/>
      <c r="U128" s="5"/>
      <c r="V128" s="6" t="s">
        <v>1487</v>
      </c>
      <c r="W128" s="28" t="str">
        <f t="shared" si="72"/>
        <v>適用未判定</v>
      </c>
      <c r="X128" s="28" t="str">
        <f t="shared" si="73"/>
        <v/>
      </c>
      <c r="Y128" s="25" t="str">
        <f t="shared" si="74"/>
        <v/>
      </c>
      <c r="Z128" s="25" t="str">
        <f t="shared" si="75"/>
        <v>適用未判定</v>
      </c>
      <c r="AA128" s="25">
        <f t="shared" si="76"/>
        <v>0</v>
      </c>
      <c r="AB128" s="25" t="str">
        <f t="shared" si="77"/>
        <v>B6-03</v>
      </c>
      <c r="AC128" s="25" t="str">
        <f t="shared" si="78"/>
        <v/>
      </c>
      <c r="AD128" s="25" t="str">
        <f t="shared" si="79"/>
        <v/>
      </c>
      <c r="AE128" s="25" t="str">
        <f t="shared" si="80"/>
        <v/>
      </c>
      <c r="AF128" s="25" t="str">
        <f t="shared" si="81"/>
        <v/>
      </c>
      <c r="AG128" s="25" t="str">
        <f t="shared" si="82"/>
        <v/>
      </c>
      <c r="AH128" s="25" t="str">
        <f t="shared" si="83"/>
        <v/>
      </c>
      <c r="AI128" s="25" t="str">
        <f t="shared" si="84"/>
        <v/>
      </c>
      <c r="AJ128" s="25" t="str">
        <f t="shared" si="85"/>
        <v>未充足</v>
      </c>
      <c r="AK128" s="25" t="str">
        <f t="shared" si="86"/>
        <v/>
      </c>
      <c r="AL128" s="25" t="str">
        <f t="shared" si="87"/>
        <v/>
      </c>
      <c r="AM128" s="25" t="str">
        <f t="shared" si="88"/>
        <v/>
      </c>
      <c r="AN128" s="25" t="str">
        <f t="shared" si="89"/>
        <v/>
      </c>
      <c r="AO128" s="25" t="str">
        <f t="shared" si="90"/>
        <v/>
      </c>
      <c r="AP128" s="25" t="str">
        <f t="shared" si="91"/>
        <v/>
      </c>
      <c r="AQ128" s="25" t="str">
        <f t="shared" si="92"/>
        <v/>
      </c>
      <c r="AR128" s="35" t="str">
        <f t="shared" si="93"/>
        <v/>
      </c>
      <c r="AS128" s="28" t="str">
        <f>IF(COUNTIF('02_工程タスク'!$A$4:$A$135,A128)&lt;&gt;1,"参照ID不正",IF(INDEX('02_工程タスク'!$H$4:$H$135,MATCH(A128,'02_工程タスク'!$A$4:$A$135,0))="","",INDEX('02_工程タスク'!$H$4:$H$135,MATCH(A128,'02_工程タスク'!$A$4:$A$135,0))))</f>
        <v>R10</v>
      </c>
      <c r="AT128" s="28" t="str">
        <f t="shared" si="94"/>
        <v>INIT-B6-04</v>
      </c>
      <c r="AU128" s="29" t="s">
        <v>3630</v>
      </c>
      <c r="AV128" s="29"/>
      <c r="AW128" s="29"/>
      <c r="AX128" s="32"/>
      <c r="AY128" s="29"/>
      <c r="AZ128" s="29"/>
      <c r="BA128" s="32"/>
      <c r="BB128" s="28" t="str">
        <f>IF(COUNTIF('02_工程タスク'!$A$4:$A$135,A128)&lt;&gt;1,"参照ID不正",IF(INDEX('02_工程タスク'!$O$4:$O$135,MATCH(A128,'02_工程タスク'!$A$4:$A$135,0))="","",INDEX('02_工程タスク'!$O$4:$O$135,MATCH(A128,'02_工程タスク'!$A$4:$A$135,0))))</f>
        <v>B6-03</v>
      </c>
      <c r="BC128" s="28" t="str">
        <f t="shared" si="95"/>
        <v>記法OK</v>
      </c>
      <c r="BD128" s="28" t="str">
        <f>IF(A128="B6-01",IF(OR(AV128="",COUNTIF('29_ゲート承認記録'!$F$4:$F$83,AV128)&lt;&gt;1),"終了開始根拠不足",IF(IF(COUNTIF('29_ゲート承認記録'!$F$4:$F$83,AV128)&lt;&gt;1,"参照ID不正",IF(INDEX('29_ゲート承認記録'!$L$4:$L$83,MATCH(AV128,'29_ゲート承認記録'!$F$4:$F$83,0))="","",INDEX('29_ゲート承認記録'!$L$4:$L$83,MATCH(AV128,'29_ゲート承認記録'!$F$4:$F$83,0))))&lt;&gt;"Stop","Stop判断要確認","開始根拠あり")),IF(AND(A128="B5-18",AU128="事故"),IF(AV128="","事故レビュー参照不足","開始根拠あり"),"開始根拠あり"))</f>
        <v>開始根拠あり</v>
      </c>
      <c r="BE128" s="29"/>
      <c r="BF128" s="29"/>
    </row>
    <row r="129" spans="1:58" ht="38" customHeight="1" x14ac:dyDescent="0.2">
      <c r="A129" s="15" t="s">
        <v>1503</v>
      </c>
      <c r="B129" s="28" t="str">
        <f>IF(COUNTIF('02_工程タスク'!$A$4:$A$135,A129)&lt;&gt;1,"参照ID不正",IF(INDEX('02_工程タスク'!$B$4:$B$135,MATCH(A129,'02_工程タスク'!$A$4:$A$135,0))="","",INDEX('02_工程タスク'!$B$4:$B$135,MATCH(A129,'02_工程タスク'!$A$4:$A$135,0))))</f>
        <v>廃止</v>
      </c>
      <c r="C129" s="28" t="str">
        <f>IF(COUNTIF('02_工程タスク'!$A$4:$A$135,A129)&lt;&gt;1,"参照ID不正",IF(INDEX('02_工程タスク'!$D$4:$D$135,MATCH(A129,'02_工程タスク'!$A$4:$A$135,0))="","",INDEX('02_工程タスク'!$D$4:$D$135,MATCH(A129,'02_工程タスク'!$A$4:$A$135,0))))</f>
        <v>APIキー・MCP・OAuth・IDの失効</v>
      </c>
      <c r="D129" s="6"/>
      <c r="E129" s="6" t="s">
        <v>1598</v>
      </c>
      <c r="F129" s="6"/>
      <c r="G129" s="6"/>
      <c r="H129" s="5"/>
      <c r="I129" s="5"/>
      <c r="J129" s="5"/>
      <c r="K129" s="5"/>
      <c r="L129" s="6" t="s">
        <v>3629</v>
      </c>
      <c r="M129" s="6"/>
      <c r="N129" s="6"/>
      <c r="O129" s="5"/>
      <c r="P129" s="17"/>
      <c r="Q129" s="17"/>
      <c r="R129" s="6"/>
      <c r="S129" s="6"/>
      <c r="T129" s="6"/>
      <c r="U129" s="5"/>
      <c r="V129" s="6" t="s">
        <v>1487</v>
      </c>
      <c r="W129" s="28" t="str">
        <f t="shared" si="72"/>
        <v>適用未判定</v>
      </c>
      <c r="X129" s="28" t="str">
        <f t="shared" si="73"/>
        <v/>
      </c>
      <c r="Y129" s="26" t="str">
        <f t="shared" si="74"/>
        <v/>
      </c>
      <c r="Z129" s="26" t="str">
        <f t="shared" si="75"/>
        <v>適用未判定</v>
      </c>
      <c r="AA129" s="26">
        <f t="shared" si="76"/>
        <v>0</v>
      </c>
      <c r="AB129" s="26" t="str">
        <f t="shared" si="77"/>
        <v>B6-03</v>
      </c>
      <c r="AC129" s="26" t="str">
        <f t="shared" si="78"/>
        <v/>
      </c>
      <c r="AD129" s="26" t="str">
        <f t="shared" si="79"/>
        <v/>
      </c>
      <c r="AE129" s="26" t="str">
        <f t="shared" si="80"/>
        <v/>
      </c>
      <c r="AF129" s="26" t="str">
        <f t="shared" si="81"/>
        <v/>
      </c>
      <c r="AG129" s="26" t="str">
        <f t="shared" si="82"/>
        <v/>
      </c>
      <c r="AH129" s="26" t="str">
        <f t="shared" si="83"/>
        <v/>
      </c>
      <c r="AI129" s="26" t="str">
        <f t="shared" si="84"/>
        <v/>
      </c>
      <c r="AJ129" s="26" t="str">
        <f t="shared" si="85"/>
        <v>未充足</v>
      </c>
      <c r="AK129" s="26" t="str">
        <f t="shared" si="86"/>
        <v/>
      </c>
      <c r="AL129" s="26" t="str">
        <f t="shared" si="87"/>
        <v/>
      </c>
      <c r="AM129" s="26" t="str">
        <f t="shared" si="88"/>
        <v/>
      </c>
      <c r="AN129" s="26" t="str">
        <f t="shared" si="89"/>
        <v/>
      </c>
      <c r="AO129" s="26" t="str">
        <f t="shared" si="90"/>
        <v/>
      </c>
      <c r="AP129" s="26" t="str">
        <f t="shared" si="91"/>
        <v/>
      </c>
      <c r="AQ129" s="26" t="str">
        <f t="shared" si="92"/>
        <v/>
      </c>
      <c r="AR129" s="36" t="str">
        <f t="shared" si="93"/>
        <v/>
      </c>
      <c r="AS129" s="28" t="str">
        <f>IF(COUNTIF('02_工程タスク'!$A$4:$A$135,A129)&lt;&gt;1,"参照ID不正",IF(INDEX('02_工程タスク'!$H$4:$H$135,MATCH(A129,'02_工程タスク'!$A$4:$A$135,0))="","",INDEX('02_工程タスク'!$H$4:$H$135,MATCH(A129,'02_工程タスク'!$A$4:$A$135,0))))</f>
        <v>R13</v>
      </c>
      <c r="AT129" s="28" t="str">
        <f t="shared" si="94"/>
        <v>INIT-B6-05</v>
      </c>
      <c r="AU129" s="29" t="s">
        <v>3630</v>
      </c>
      <c r="AV129" s="29"/>
      <c r="AW129" s="29"/>
      <c r="AX129" s="32"/>
      <c r="AY129" s="29"/>
      <c r="AZ129" s="29"/>
      <c r="BA129" s="32"/>
      <c r="BB129" s="28" t="str">
        <f>IF(COUNTIF('02_工程タスク'!$A$4:$A$135,A129)&lt;&gt;1,"参照ID不正",IF(INDEX('02_工程タスク'!$O$4:$O$135,MATCH(A129,'02_工程タスク'!$A$4:$A$135,0))="","",INDEX('02_工程タスク'!$O$4:$O$135,MATCH(A129,'02_工程タスク'!$A$4:$A$135,0))))</f>
        <v>B6-03</v>
      </c>
      <c r="BC129" s="28" t="str">
        <f t="shared" si="95"/>
        <v>記法OK</v>
      </c>
      <c r="BD129" s="28" t="str">
        <f>IF(A129="B6-01",IF(OR(AV129="",COUNTIF('29_ゲート承認記録'!$F$4:$F$83,AV129)&lt;&gt;1),"終了開始根拠不足",IF(IF(COUNTIF('29_ゲート承認記録'!$F$4:$F$83,AV129)&lt;&gt;1,"参照ID不正",IF(INDEX('29_ゲート承認記録'!$L$4:$L$83,MATCH(AV129,'29_ゲート承認記録'!$F$4:$F$83,0))="","",INDEX('29_ゲート承認記録'!$L$4:$L$83,MATCH(AV129,'29_ゲート承認記録'!$F$4:$F$83,0))))&lt;&gt;"Stop","Stop判断要確認","開始根拠あり")),IF(AND(A129="B5-18",AU129="事故"),IF(AV129="","事故レビュー参照不足","開始根拠あり"),"開始根拠あり"))</f>
        <v>開始根拠あり</v>
      </c>
      <c r="BE129" s="29"/>
      <c r="BF129" s="29"/>
    </row>
    <row r="130" spans="1:58" ht="38" customHeight="1" x14ac:dyDescent="0.2">
      <c r="A130" s="15" t="s">
        <v>1511</v>
      </c>
      <c r="B130" s="28" t="str">
        <f>IF(COUNTIF('02_工程タスク'!$A$4:$A$135,A130)&lt;&gt;1,"参照ID不正",IF(INDEX('02_工程タスク'!$B$4:$B$135,MATCH(A130,'02_工程タスク'!$A$4:$A$135,0))="","",INDEX('02_工程タスク'!$B$4:$B$135,MATCH(A130,'02_工程タスク'!$A$4:$A$135,0))))</f>
        <v>廃止</v>
      </c>
      <c r="C130" s="28" t="str">
        <f>IF(COUNTIF('02_工程タスク'!$A$4:$A$135,A130)&lt;&gt;1,"参照ID不正",IF(INDEX('02_工程タスク'!$D$4:$D$135,MATCH(A130,'02_工程タスク'!$A$4:$A$135,0))="","",INDEX('02_工程タスク'!$D$4:$D$135,MATCH(A130,'02_工程タスク'!$A$4:$A$135,0))))</f>
        <v>推論・学習・バッチ・監視の停止</v>
      </c>
      <c r="D130" s="6"/>
      <c r="E130" s="6" t="s">
        <v>1598</v>
      </c>
      <c r="F130" s="6"/>
      <c r="G130" s="6"/>
      <c r="H130" s="5"/>
      <c r="I130" s="5"/>
      <c r="J130" s="5"/>
      <c r="K130" s="5"/>
      <c r="L130" s="6" t="s">
        <v>3629</v>
      </c>
      <c r="M130" s="6"/>
      <c r="N130" s="6"/>
      <c r="O130" s="5"/>
      <c r="P130" s="17"/>
      <c r="Q130" s="17"/>
      <c r="R130" s="6"/>
      <c r="S130" s="6"/>
      <c r="T130" s="6"/>
      <c r="U130" s="5"/>
      <c r="V130" s="6" t="s">
        <v>1518</v>
      </c>
      <c r="W130" s="28" t="str">
        <f t="shared" si="72"/>
        <v>適用未判定</v>
      </c>
      <c r="X130" s="28" t="str">
        <f t="shared" si="73"/>
        <v/>
      </c>
      <c r="Y130" s="25" t="str">
        <f t="shared" si="74"/>
        <v/>
      </c>
      <c r="Z130" s="25" t="str">
        <f t="shared" si="75"/>
        <v>適用未判定</v>
      </c>
      <c r="AA130" s="25">
        <f t="shared" si="76"/>
        <v>0</v>
      </c>
      <c r="AB130" s="25" t="str">
        <f t="shared" si="77"/>
        <v>B6-02</v>
      </c>
      <c r="AC130" s="25" t="str">
        <f t="shared" si="78"/>
        <v>B6-05</v>
      </c>
      <c r="AD130" s="25" t="str">
        <f t="shared" si="79"/>
        <v/>
      </c>
      <c r="AE130" s="25" t="str">
        <f t="shared" si="80"/>
        <v/>
      </c>
      <c r="AF130" s="25" t="str">
        <f t="shared" si="81"/>
        <v/>
      </c>
      <c r="AG130" s="25" t="str">
        <f t="shared" si="82"/>
        <v/>
      </c>
      <c r="AH130" s="25" t="str">
        <f t="shared" si="83"/>
        <v/>
      </c>
      <c r="AI130" s="25" t="str">
        <f t="shared" si="84"/>
        <v/>
      </c>
      <c r="AJ130" s="25" t="str">
        <f t="shared" si="85"/>
        <v>未充足</v>
      </c>
      <c r="AK130" s="25" t="str">
        <f t="shared" si="86"/>
        <v>未充足</v>
      </c>
      <c r="AL130" s="25" t="str">
        <f t="shared" si="87"/>
        <v/>
      </c>
      <c r="AM130" s="25" t="str">
        <f t="shared" si="88"/>
        <v/>
      </c>
      <c r="AN130" s="25" t="str">
        <f t="shared" si="89"/>
        <v/>
      </c>
      <c r="AO130" s="25" t="str">
        <f t="shared" si="90"/>
        <v/>
      </c>
      <c r="AP130" s="25" t="str">
        <f t="shared" si="91"/>
        <v/>
      </c>
      <c r="AQ130" s="25" t="str">
        <f t="shared" si="92"/>
        <v/>
      </c>
      <c r="AR130" s="35" t="str">
        <f t="shared" si="93"/>
        <v/>
      </c>
      <c r="AS130" s="28" t="str">
        <f>IF(COUNTIF('02_工程タスク'!$A$4:$A$135,A130)&lt;&gt;1,"参照ID不正",IF(INDEX('02_工程タスク'!$H$4:$H$135,MATCH(A130,'02_工程タスク'!$A$4:$A$135,0))="","",INDEX('02_工程タスク'!$H$4:$H$135,MATCH(A130,'02_工程タスク'!$A$4:$A$135,0))))</f>
        <v>R18</v>
      </c>
      <c r="AT130" s="28" t="str">
        <f t="shared" si="94"/>
        <v>INIT-B6-06</v>
      </c>
      <c r="AU130" s="29" t="s">
        <v>3630</v>
      </c>
      <c r="AV130" s="29"/>
      <c r="AW130" s="29"/>
      <c r="AX130" s="32"/>
      <c r="AY130" s="29"/>
      <c r="AZ130" s="29"/>
      <c r="BA130" s="32"/>
      <c r="BB130" s="28" t="str">
        <f>IF(COUNTIF('02_工程タスク'!$A$4:$A$135,A130)&lt;&gt;1,"参照ID不正",IF(INDEX('02_工程タスク'!$O$4:$O$135,MATCH(A130,'02_工程タスク'!$A$4:$A$135,0))="","",INDEX('02_工程タスク'!$O$4:$O$135,MATCH(A130,'02_工程タスク'!$A$4:$A$135,0))))</f>
        <v>B6-02,B6-05</v>
      </c>
      <c r="BC130" s="28" t="str">
        <f t="shared" si="95"/>
        <v>記法OK</v>
      </c>
      <c r="BD130" s="28" t="str">
        <f>IF(A130="B6-01",IF(OR(AV130="",COUNTIF('29_ゲート承認記録'!$F$4:$F$83,AV130)&lt;&gt;1),"終了開始根拠不足",IF(IF(COUNTIF('29_ゲート承認記録'!$F$4:$F$83,AV130)&lt;&gt;1,"参照ID不正",IF(INDEX('29_ゲート承認記録'!$L$4:$L$83,MATCH(AV130,'29_ゲート承認記録'!$F$4:$F$83,0))="","",INDEX('29_ゲート承認記録'!$L$4:$L$83,MATCH(AV130,'29_ゲート承認記録'!$F$4:$F$83,0))))&lt;&gt;"Stop","Stop判断要確認","開始根拠あり")),IF(AND(A130="B5-18",AU130="事故"),IF(AV130="","事故レビュー参照不足","開始根拠あり"),"開始根拠あり"))</f>
        <v>開始根拠あり</v>
      </c>
      <c r="BE130" s="29"/>
      <c r="BF130" s="29"/>
    </row>
    <row r="131" spans="1:58" ht="38" customHeight="1" x14ac:dyDescent="0.2">
      <c r="A131" s="15" t="s">
        <v>1520</v>
      </c>
      <c r="B131" s="28" t="str">
        <f>IF(COUNTIF('02_工程タスク'!$A$4:$A$135,A131)&lt;&gt;1,"参照ID不正",IF(INDEX('02_工程タスク'!$B$4:$B$135,MATCH(A131,'02_工程タスク'!$A$4:$A$135,0))="","",INDEX('02_工程タスク'!$B$4:$B$135,MATCH(A131,'02_工程タスク'!$A$4:$A$135,0))))</f>
        <v>廃止</v>
      </c>
      <c r="C131" s="28" t="str">
        <f>IF(COUNTIF('02_工程タスク'!$A$4:$A$135,A131)&lt;&gt;1,"参照ID不正",IF(INDEX('02_工程タスク'!$D$4:$D$135,MATCH(A131,'02_工程タスク'!$A$4:$A$135,0))="","",INDEX('02_工程タスク'!$D$4:$D$135,MATCH(A131,'02_工程タスク'!$A$4:$A$135,0))))</f>
        <v>ベンダー解約・削除確認・請求停止</v>
      </c>
      <c r="D131" s="6"/>
      <c r="E131" s="6" t="s">
        <v>1598</v>
      </c>
      <c r="F131" s="6"/>
      <c r="G131" s="6"/>
      <c r="H131" s="5"/>
      <c r="I131" s="5"/>
      <c r="J131" s="5"/>
      <c r="K131" s="5"/>
      <c r="L131" s="6" t="s">
        <v>3629</v>
      </c>
      <c r="M131" s="6"/>
      <c r="N131" s="6"/>
      <c r="O131" s="5"/>
      <c r="P131" s="17"/>
      <c r="Q131" s="17"/>
      <c r="R131" s="6"/>
      <c r="S131" s="6"/>
      <c r="T131" s="6"/>
      <c r="U131" s="5"/>
      <c r="V131" s="6" t="s">
        <v>1527</v>
      </c>
      <c r="W131" s="28" t="str">
        <f t="shared" si="72"/>
        <v>適用未判定</v>
      </c>
      <c r="X131" s="28" t="str">
        <f t="shared" si="73"/>
        <v/>
      </c>
      <c r="Y131" s="26" t="str">
        <f t="shared" si="74"/>
        <v/>
      </c>
      <c r="Z131" s="26" t="str">
        <f t="shared" si="75"/>
        <v>適用未判定</v>
      </c>
      <c r="AA131" s="26">
        <f t="shared" si="76"/>
        <v>0</v>
      </c>
      <c r="AB131" s="26" t="str">
        <f t="shared" si="77"/>
        <v>B6-03</v>
      </c>
      <c r="AC131" s="26" t="str">
        <f t="shared" si="78"/>
        <v>B6-04</v>
      </c>
      <c r="AD131" s="26" t="str">
        <f t="shared" si="79"/>
        <v/>
      </c>
      <c r="AE131" s="26" t="str">
        <f t="shared" si="80"/>
        <v/>
      </c>
      <c r="AF131" s="26" t="str">
        <f t="shared" si="81"/>
        <v/>
      </c>
      <c r="AG131" s="26" t="str">
        <f t="shared" si="82"/>
        <v/>
      </c>
      <c r="AH131" s="26" t="str">
        <f t="shared" si="83"/>
        <v/>
      </c>
      <c r="AI131" s="26" t="str">
        <f t="shared" si="84"/>
        <v/>
      </c>
      <c r="AJ131" s="26" t="str">
        <f t="shared" si="85"/>
        <v>未充足</v>
      </c>
      <c r="AK131" s="26" t="str">
        <f t="shared" si="86"/>
        <v>未充足</v>
      </c>
      <c r="AL131" s="26" t="str">
        <f t="shared" si="87"/>
        <v/>
      </c>
      <c r="AM131" s="26" t="str">
        <f t="shared" si="88"/>
        <v/>
      </c>
      <c r="AN131" s="26" t="str">
        <f t="shared" si="89"/>
        <v/>
      </c>
      <c r="AO131" s="26" t="str">
        <f t="shared" si="90"/>
        <v/>
      </c>
      <c r="AP131" s="26" t="str">
        <f t="shared" si="91"/>
        <v/>
      </c>
      <c r="AQ131" s="26" t="str">
        <f t="shared" si="92"/>
        <v/>
      </c>
      <c r="AR131" s="36" t="str">
        <f t="shared" si="93"/>
        <v/>
      </c>
      <c r="AS131" s="28" t="str">
        <f>IF(COUNTIF('02_工程タスク'!$A$4:$A$135,A131)&lt;&gt;1,"参照ID不正",IF(INDEX('02_工程タスク'!$H$4:$H$135,MATCH(A131,'02_工程タスク'!$A$4:$A$135,0))="","",INDEX('02_工程タスク'!$H$4:$H$135,MATCH(A131,'02_工程タスク'!$A$4:$A$135,0))))</f>
        <v>R20</v>
      </c>
      <c r="AT131" s="28" t="str">
        <f t="shared" si="94"/>
        <v>INIT-B6-07</v>
      </c>
      <c r="AU131" s="29" t="s">
        <v>3630</v>
      </c>
      <c r="AV131" s="29"/>
      <c r="AW131" s="29"/>
      <c r="AX131" s="32"/>
      <c r="AY131" s="29"/>
      <c r="AZ131" s="29"/>
      <c r="BA131" s="32"/>
      <c r="BB131" s="28" t="str">
        <f>IF(COUNTIF('02_工程タスク'!$A$4:$A$135,A131)&lt;&gt;1,"参照ID不正",IF(INDEX('02_工程タスク'!$O$4:$O$135,MATCH(A131,'02_工程タスク'!$A$4:$A$135,0))="","",INDEX('02_工程タスク'!$O$4:$O$135,MATCH(A131,'02_工程タスク'!$A$4:$A$135,0))))</f>
        <v>B6-03,B6-04</v>
      </c>
      <c r="BC131" s="28" t="str">
        <f t="shared" si="95"/>
        <v>記法OK</v>
      </c>
      <c r="BD131" s="28" t="str">
        <f>IF(A131="B6-01",IF(OR(AV131="",COUNTIF('29_ゲート承認記録'!$F$4:$F$83,AV131)&lt;&gt;1),"終了開始根拠不足",IF(IF(COUNTIF('29_ゲート承認記録'!$F$4:$F$83,AV131)&lt;&gt;1,"参照ID不正",IF(INDEX('29_ゲート承認記録'!$L$4:$L$83,MATCH(AV131,'29_ゲート承認記録'!$F$4:$F$83,0))="","",INDEX('29_ゲート承認記録'!$L$4:$L$83,MATCH(AV131,'29_ゲート承認記録'!$F$4:$F$83,0))))&lt;&gt;"Stop","Stop判断要確認","開始根拠あり")),IF(AND(A131="B5-18",AU131="事故"),IF(AV131="","事故レビュー参照不足","開始根拠あり"),"開始根拠あり"))</f>
        <v>開始根拠あり</v>
      </c>
      <c r="BE131" s="29"/>
      <c r="BF131" s="29"/>
    </row>
    <row r="132" spans="1:58" ht="38" customHeight="1" x14ac:dyDescent="0.2">
      <c r="A132" s="15" t="s">
        <v>1529</v>
      </c>
      <c r="B132" s="28" t="str">
        <f>IF(COUNTIF('02_工程タスク'!$A$4:$A$135,A132)&lt;&gt;1,"参照ID不正",IF(INDEX('02_工程タスク'!$B$4:$B$135,MATCH(A132,'02_工程タスク'!$A$4:$A$135,0))="","",INDEX('02_工程タスク'!$B$4:$B$135,MATCH(A132,'02_工程タスク'!$A$4:$A$135,0))))</f>
        <v>廃止</v>
      </c>
      <c r="C132" s="28" t="str">
        <f>IF(COUNTIF('02_工程タスク'!$A$4:$A$135,A132)&lt;&gt;1,"参照ID不正",IF(INDEX('02_工程タスク'!$D$4:$D$135,MATCH(A132,'02_工程タスク'!$A$4:$A$135,0))="","",INDEX('02_工程タスク'!$D$4:$D$135,MATCH(A132,'02_工程タスク'!$A$4:$A$135,0))))</f>
        <v>削除・失効・移行の完了確認</v>
      </c>
      <c r="D132" s="6"/>
      <c r="E132" s="6" t="s">
        <v>1598</v>
      </c>
      <c r="F132" s="6"/>
      <c r="G132" s="6"/>
      <c r="H132" s="5"/>
      <c r="I132" s="5"/>
      <c r="J132" s="5"/>
      <c r="K132" s="5"/>
      <c r="L132" s="6" t="s">
        <v>3629</v>
      </c>
      <c r="M132" s="6"/>
      <c r="N132" s="6"/>
      <c r="O132" s="5"/>
      <c r="P132" s="17"/>
      <c r="Q132" s="17"/>
      <c r="R132" s="6"/>
      <c r="S132" s="6"/>
      <c r="T132" s="6"/>
      <c r="U132" s="5"/>
      <c r="V132" s="6" t="s">
        <v>1536</v>
      </c>
      <c r="W132" s="28" t="str">
        <f t="shared" ref="W132:W163" si="96">IF(OR(COUNTIF(TaskIDs,A132)&lt;&gt;1,COUNTIF($A$4:$A$135,A132)&lt;&gt;1),"Task ID不正・重複",IF(OR(AND(P132&lt;&gt;"",OR(NOT(ISNUMBER(P132)),IFERROR(P132&lt;0,TRUE))),AND(Q132&lt;&gt;"",OR(NOT(ISNUMBER(Q132)),IFERROR(Q132&lt;0,TRUE)))),"人時間不正",IF(OR(AND(J132&lt;&gt;"",OR(NOT(ISNUMBER(J132)),IFERROR(J132&lt;1,TRUE),IFERROR(INT(J132)&gt;INT(AsOfDate),TRUE))),AND(K132&lt;&gt;"",OR(NOT(ISNUMBER(K132)),IFERROR(K132&lt;1,TRUE),IFERROR(INT(K132)&gt;INT(AsOfDate),TRUE))),AND(O132&lt;&gt;"",OR(NOT(ISNUMBER(O132)),IFERROR(O132&lt;1,TRUE),IFERROR(INT(O132)&gt;INT(AsOfDate),TRUE))),AND(U132&lt;&gt;"",OR(NOT(ISNUMBER(U132)),IFERROR(U132&lt;1,TRUE),IFERROR(INT(U132)&gt;INT(AsOfDate),TRUE))),AND(BA132&lt;&gt;"",OR(NOT(ISNUMBER(BA132)),IFERROR(BA132&lt;1,TRUE),IFERROR(INT(BA132)&gt;INT(AsOfDate),TRUE)))),"実績・承認日不正",IF(AND(COUNT(H132:I132)=2,H132&gt;I132),"予定日不正",IF(E132="未判定","適用未判定",IF(E132="対象外",IF(OR(F132="",T132="",NOT(ISNUMBER(U132))),"除外承認不足","除外記録済"),IF(E132&lt;&gt;"適用","適用判定不正",IF(OR(T132="",NOT(ISNUMBER(U132))),"適用承認不足",IF(AND(V132&lt;&gt;BB132,OR(AY132="",AZ132="",NOT(ISNUMBER(BA132)))),"依存変更承認不足",IF(L132&lt;&gt;"完了","未完了",IF(OR(OR(G132="",M132="",N132="",BE132="",BF132=""),COUNT(J132:K132)&lt;2,NOT(ISNUMBER(O132))),"完了証拠不足",IF(OR(J132&gt;K132,O132&lt;K132,U132&gt;J132),"完了・適用日逆転",IF(BD132&lt;&gt;"開始根拠あり",BD132,IF(AND(AS132="R19",OR(G132=N132,BE132=BF132)),"独立承認不足","完了記録済"))))))))))))))</f>
        <v>適用未判定</v>
      </c>
      <c r="X132" s="28" t="str">
        <f t="shared" si="73"/>
        <v/>
      </c>
      <c r="Y132" s="25" t="str">
        <f t="shared" si="74"/>
        <v/>
      </c>
      <c r="Z132" s="25" t="str">
        <f t="shared" si="75"/>
        <v>適用未判定</v>
      </c>
      <c r="AA132" s="25">
        <f t="shared" si="76"/>
        <v>0</v>
      </c>
      <c r="AB132" s="25" t="str">
        <f t="shared" si="77"/>
        <v>B6-04</v>
      </c>
      <c r="AC132" s="25" t="str">
        <f t="shared" si="78"/>
        <v>B6-05</v>
      </c>
      <c r="AD132" s="25" t="str">
        <f t="shared" si="79"/>
        <v>B6-06</v>
      </c>
      <c r="AE132" s="25" t="str">
        <f t="shared" si="80"/>
        <v>B6-07</v>
      </c>
      <c r="AF132" s="25" t="str">
        <f t="shared" si="81"/>
        <v/>
      </c>
      <c r="AG132" s="25" t="str">
        <f t="shared" si="82"/>
        <v/>
      </c>
      <c r="AH132" s="25" t="str">
        <f t="shared" si="83"/>
        <v/>
      </c>
      <c r="AI132" s="25" t="str">
        <f t="shared" si="84"/>
        <v/>
      </c>
      <c r="AJ132" s="25" t="str">
        <f t="shared" si="85"/>
        <v>未充足</v>
      </c>
      <c r="AK132" s="25" t="str">
        <f t="shared" si="86"/>
        <v>未充足</v>
      </c>
      <c r="AL132" s="25" t="str">
        <f t="shared" si="87"/>
        <v>未充足</v>
      </c>
      <c r="AM132" s="25" t="str">
        <f t="shared" si="88"/>
        <v>未充足</v>
      </c>
      <c r="AN132" s="25" t="str">
        <f t="shared" si="89"/>
        <v/>
      </c>
      <c r="AO132" s="25" t="str">
        <f t="shared" si="90"/>
        <v/>
      </c>
      <c r="AP132" s="25" t="str">
        <f t="shared" si="91"/>
        <v/>
      </c>
      <c r="AQ132" s="25" t="str">
        <f t="shared" si="92"/>
        <v/>
      </c>
      <c r="AR132" s="35" t="str">
        <f t="shared" si="93"/>
        <v/>
      </c>
      <c r="AS132" s="28" t="str">
        <f>IF(COUNTIF('02_工程タスク'!$A$4:$A$135,A132)&lt;&gt;1,"参照ID不正",IF(INDEX('02_工程タスク'!$H$4:$H$135,MATCH(A132,'02_工程タスク'!$A$4:$A$135,0))="","",INDEX('02_工程タスク'!$H$4:$H$135,MATCH(A132,'02_工程タスク'!$A$4:$A$135,0))))</f>
        <v>R19</v>
      </c>
      <c r="AT132" s="28" t="str">
        <f t="shared" si="94"/>
        <v>INIT-B6-08</v>
      </c>
      <c r="AU132" s="29" t="s">
        <v>3630</v>
      </c>
      <c r="AV132" s="29"/>
      <c r="AW132" s="29"/>
      <c r="AX132" s="32"/>
      <c r="AY132" s="29"/>
      <c r="AZ132" s="29"/>
      <c r="BA132" s="32"/>
      <c r="BB132" s="28" t="str">
        <f>IF(COUNTIF('02_工程タスク'!$A$4:$A$135,A132)&lt;&gt;1,"参照ID不正",IF(INDEX('02_工程タスク'!$O$4:$O$135,MATCH(A132,'02_工程タスク'!$A$4:$A$135,0))="","",INDEX('02_工程タスク'!$O$4:$O$135,MATCH(A132,'02_工程タスク'!$A$4:$A$135,0))))</f>
        <v>B6-04,B6-05,B6-06,B6-07</v>
      </c>
      <c r="BC132" s="28" t="str">
        <f t="shared" si="95"/>
        <v>記法OK</v>
      </c>
      <c r="BD132" s="28" t="str">
        <f>IF(A132="B6-01",IF(OR(AV132="",COUNTIF('29_ゲート承認記録'!$F$4:$F$83,AV132)&lt;&gt;1),"終了開始根拠不足",IF(IF(COUNTIF('29_ゲート承認記録'!$F$4:$F$83,AV132)&lt;&gt;1,"参照ID不正",IF(INDEX('29_ゲート承認記録'!$L$4:$L$83,MATCH(AV132,'29_ゲート承認記録'!$F$4:$F$83,0))="","",INDEX('29_ゲート承認記録'!$L$4:$L$83,MATCH(AV132,'29_ゲート承認記録'!$F$4:$F$83,0))))&lt;&gt;"Stop","Stop判断要確認","開始根拠あり")),IF(AND(A132="B5-18",AU132="事故"),IF(AV132="","事故レビュー参照不足","開始根拠あり"),"開始根拠あり"))</f>
        <v>開始根拠あり</v>
      </c>
      <c r="BE132" s="29"/>
      <c r="BF132" s="29"/>
    </row>
    <row r="133" spans="1:58" ht="38" customHeight="1" x14ac:dyDescent="0.2">
      <c r="A133" s="15" t="s">
        <v>1538</v>
      </c>
      <c r="B133" s="28" t="str">
        <f>IF(COUNTIF('02_工程タスク'!$A$4:$A$135,A133)&lt;&gt;1,"参照ID不正",IF(INDEX('02_工程タスク'!$B$4:$B$135,MATCH(A133,'02_工程タスク'!$A$4:$A$135,0))="","",INDEX('02_工程タスク'!$B$4:$B$135,MATCH(A133,'02_工程タスク'!$A$4:$A$135,0))))</f>
        <v>廃止</v>
      </c>
      <c r="C133" s="28" t="str">
        <f>IF(COUNTIF('02_工程タスク'!$A$4:$A$135,A133)&lt;&gt;1,"参照ID不正",IF(INDEX('02_工程タスク'!$D$4:$D$135,MATCH(A133,'02_工程タスク'!$A$4:$A$135,0))="","",INDEX('02_工程タスク'!$D$4:$D$135,MATCH(A133,'02_工程タスク'!$A$4:$A$135,0))))</f>
        <v>事業結果・投資・知見の振り返り</v>
      </c>
      <c r="D133" s="6"/>
      <c r="E133" s="6" t="s">
        <v>1598</v>
      </c>
      <c r="F133" s="6"/>
      <c r="G133" s="6"/>
      <c r="H133" s="5"/>
      <c r="I133" s="5"/>
      <c r="J133" s="5"/>
      <c r="K133" s="5"/>
      <c r="L133" s="6" t="s">
        <v>3629</v>
      </c>
      <c r="M133" s="6"/>
      <c r="N133" s="6"/>
      <c r="O133" s="5"/>
      <c r="P133" s="17"/>
      <c r="Q133" s="17"/>
      <c r="R133" s="6"/>
      <c r="S133" s="6"/>
      <c r="T133" s="6"/>
      <c r="U133" s="5"/>
      <c r="V133" s="6" t="s">
        <v>1529</v>
      </c>
      <c r="W133" s="28" t="str">
        <f t="shared" si="96"/>
        <v>適用未判定</v>
      </c>
      <c r="X133" s="28" t="str">
        <f t="shared" si="73"/>
        <v/>
      </c>
      <c r="Y133" s="26" t="str">
        <f t="shared" si="74"/>
        <v/>
      </c>
      <c r="Z133" s="26" t="str">
        <f t="shared" si="75"/>
        <v>適用未判定</v>
      </c>
      <c r="AA133" s="26">
        <f t="shared" si="76"/>
        <v>0</v>
      </c>
      <c r="AB133" s="26" t="str">
        <f t="shared" si="77"/>
        <v>B6-08</v>
      </c>
      <c r="AC133" s="26" t="str">
        <f t="shared" si="78"/>
        <v/>
      </c>
      <c r="AD133" s="26" t="str">
        <f t="shared" si="79"/>
        <v/>
      </c>
      <c r="AE133" s="26" t="str">
        <f t="shared" si="80"/>
        <v/>
      </c>
      <c r="AF133" s="26" t="str">
        <f t="shared" si="81"/>
        <v/>
      </c>
      <c r="AG133" s="26" t="str">
        <f t="shared" si="82"/>
        <v/>
      </c>
      <c r="AH133" s="26" t="str">
        <f t="shared" si="83"/>
        <v/>
      </c>
      <c r="AI133" s="26" t="str">
        <f t="shared" si="84"/>
        <v/>
      </c>
      <c r="AJ133" s="26" t="str">
        <f t="shared" si="85"/>
        <v>未充足</v>
      </c>
      <c r="AK133" s="26" t="str">
        <f t="shared" si="86"/>
        <v/>
      </c>
      <c r="AL133" s="26" t="str">
        <f t="shared" si="87"/>
        <v/>
      </c>
      <c r="AM133" s="26" t="str">
        <f t="shared" si="88"/>
        <v/>
      </c>
      <c r="AN133" s="26" t="str">
        <f t="shared" si="89"/>
        <v/>
      </c>
      <c r="AO133" s="26" t="str">
        <f t="shared" si="90"/>
        <v/>
      </c>
      <c r="AP133" s="26" t="str">
        <f t="shared" si="91"/>
        <v/>
      </c>
      <c r="AQ133" s="26" t="str">
        <f t="shared" si="92"/>
        <v/>
      </c>
      <c r="AR133" s="36" t="str">
        <f t="shared" si="93"/>
        <v/>
      </c>
      <c r="AS133" s="28" t="str">
        <f>IF(COUNTIF('02_工程タスク'!$A$4:$A$135,A133)&lt;&gt;1,"参照ID不正",IF(INDEX('02_工程タスク'!$H$4:$H$135,MATCH(A133,'02_工程タスク'!$A$4:$A$135,0))="","",INDEX('02_工程タスク'!$H$4:$H$135,MATCH(A133,'02_工程タスク'!$A$4:$A$135,0))))</f>
        <v>R01</v>
      </c>
      <c r="AT133" s="28" t="str">
        <f t="shared" si="94"/>
        <v>INIT-B6-09</v>
      </c>
      <c r="AU133" s="29" t="s">
        <v>3630</v>
      </c>
      <c r="AV133" s="29"/>
      <c r="AW133" s="29"/>
      <c r="AX133" s="32"/>
      <c r="AY133" s="29"/>
      <c r="AZ133" s="29"/>
      <c r="BA133" s="32"/>
      <c r="BB133" s="28" t="str">
        <f>IF(COUNTIF('02_工程タスク'!$A$4:$A$135,A133)&lt;&gt;1,"参照ID不正",IF(INDEX('02_工程タスク'!$O$4:$O$135,MATCH(A133,'02_工程タスク'!$A$4:$A$135,0))="","",INDEX('02_工程タスク'!$O$4:$O$135,MATCH(A133,'02_工程タスク'!$A$4:$A$135,0))))</f>
        <v>B6-08</v>
      </c>
      <c r="BC133" s="28" t="str">
        <f t="shared" si="95"/>
        <v>記法OK</v>
      </c>
      <c r="BD133" s="28" t="str">
        <f>IF(A133="B6-01",IF(OR(AV133="",COUNTIF('29_ゲート承認記録'!$F$4:$F$83,AV133)&lt;&gt;1),"終了開始根拠不足",IF(IF(COUNTIF('29_ゲート承認記録'!$F$4:$F$83,AV133)&lt;&gt;1,"参照ID不正",IF(INDEX('29_ゲート承認記録'!$L$4:$L$83,MATCH(AV133,'29_ゲート承認記録'!$F$4:$F$83,0))="","",INDEX('29_ゲート承認記録'!$L$4:$L$83,MATCH(AV133,'29_ゲート承認記録'!$F$4:$F$83,0))))&lt;&gt;"Stop","Stop判断要確認","開始根拠あり")),IF(AND(A133="B5-18",AU133="事故"),IF(AV133="","事故レビュー参照不足","開始根拠あり"),"開始根拠あり"))</f>
        <v>開始根拠あり</v>
      </c>
      <c r="BE133" s="29"/>
      <c r="BF133" s="29"/>
    </row>
    <row r="134" spans="1:58" ht="38" customHeight="1" x14ac:dyDescent="0.2">
      <c r="A134" s="15" t="s">
        <v>1546</v>
      </c>
      <c r="B134" s="28" t="str">
        <f>IF(COUNTIF('02_工程タスク'!$A$4:$A$135,A134)&lt;&gt;1,"参照ID不正",IF(INDEX('02_工程タスク'!$B$4:$B$135,MATCH(A134,'02_工程タスク'!$A$4:$A$135,0))="","",INDEX('02_工程タスク'!$B$4:$B$135,MATCH(A134,'02_工程タスク'!$A$4:$A$135,0))))</f>
        <v>廃止</v>
      </c>
      <c r="C134" s="28" t="str">
        <f>IF(COUNTIF('02_工程タスク'!$A$4:$A$135,A134)&lt;&gt;1,"参照ID不正",IF(INDEX('02_工程タスク'!$D$4:$D$135,MATCH(A134,'02_工程タスク'!$A$4:$A$135,0))="","",INDEX('02_工程タスク'!$D$4:$D$135,MATCH(A134,'02_工程タスク'!$A$4:$A$135,0))))</f>
        <v>廃止完了承認</v>
      </c>
      <c r="D134" s="6"/>
      <c r="E134" s="6" t="s">
        <v>1598</v>
      </c>
      <c r="F134" s="6"/>
      <c r="G134" s="6"/>
      <c r="H134" s="5"/>
      <c r="I134" s="5"/>
      <c r="J134" s="5"/>
      <c r="K134" s="5"/>
      <c r="L134" s="6" t="s">
        <v>3629</v>
      </c>
      <c r="M134" s="6"/>
      <c r="N134" s="6"/>
      <c r="O134" s="5"/>
      <c r="P134" s="17"/>
      <c r="Q134" s="17"/>
      <c r="R134" s="6"/>
      <c r="S134" s="6"/>
      <c r="T134" s="6"/>
      <c r="U134" s="5"/>
      <c r="V134" s="6" t="s">
        <v>1551</v>
      </c>
      <c r="W134" s="28" t="str">
        <f t="shared" si="96"/>
        <v>適用未判定</v>
      </c>
      <c r="X134" s="28" t="str">
        <f t="shared" si="73"/>
        <v/>
      </c>
      <c r="Y134" s="25" t="str">
        <f t="shared" si="74"/>
        <v/>
      </c>
      <c r="Z134" s="25" t="str">
        <f t="shared" si="75"/>
        <v>適用未判定</v>
      </c>
      <c r="AA134" s="25">
        <f t="shared" si="76"/>
        <v>0</v>
      </c>
      <c r="AB134" s="25" t="str">
        <f t="shared" si="77"/>
        <v>B6-08</v>
      </c>
      <c r="AC134" s="25" t="str">
        <f t="shared" si="78"/>
        <v>B6-09</v>
      </c>
      <c r="AD134" s="25" t="str">
        <f t="shared" si="79"/>
        <v/>
      </c>
      <c r="AE134" s="25" t="str">
        <f t="shared" si="80"/>
        <v/>
      </c>
      <c r="AF134" s="25" t="str">
        <f t="shared" si="81"/>
        <v/>
      </c>
      <c r="AG134" s="25" t="str">
        <f t="shared" si="82"/>
        <v/>
      </c>
      <c r="AH134" s="25" t="str">
        <f t="shared" si="83"/>
        <v/>
      </c>
      <c r="AI134" s="25" t="str">
        <f t="shared" si="84"/>
        <v/>
      </c>
      <c r="AJ134" s="25" t="str">
        <f t="shared" si="85"/>
        <v>未充足</v>
      </c>
      <c r="AK134" s="25" t="str">
        <f t="shared" si="86"/>
        <v>未充足</v>
      </c>
      <c r="AL134" s="25" t="str">
        <f t="shared" si="87"/>
        <v/>
      </c>
      <c r="AM134" s="25" t="str">
        <f t="shared" si="88"/>
        <v/>
      </c>
      <c r="AN134" s="25" t="str">
        <f t="shared" si="89"/>
        <v/>
      </c>
      <c r="AO134" s="25" t="str">
        <f t="shared" si="90"/>
        <v/>
      </c>
      <c r="AP134" s="25" t="str">
        <f t="shared" si="91"/>
        <v/>
      </c>
      <c r="AQ134" s="25" t="str">
        <f t="shared" si="92"/>
        <v/>
      </c>
      <c r="AR134" s="35" t="str">
        <f t="shared" si="93"/>
        <v/>
      </c>
      <c r="AS134" s="28" t="str">
        <f>IF(COUNTIF('02_工程タスク'!$A$4:$A$135,A134)&lt;&gt;1,"参照ID不正",IF(INDEX('02_工程タスク'!$H$4:$H$135,MATCH(A134,'02_工程タスク'!$A$4:$A$135,0))="","",INDEX('02_工程タスク'!$H$4:$H$135,MATCH(A134,'02_工程タスク'!$A$4:$A$135,0))))</f>
        <v>R01</v>
      </c>
      <c r="AT134" s="28" t="str">
        <f t="shared" si="94"/>
        <v>INIT-B6-10</v>
      </c>
      <c r="AU134" s="29" t="s">
        <v>3630</v>
      </c>
      <c r="AV134" s="29"/>
      <c r="AW134" s="29"/>
      <c r="AX134" s="32"/>
      <c r="AY134" s="29"/>
      <c r="AZ134" s="29"/>
      <c r="BA134" s="32"/>
      <c r="BB134" s="28" t="str">
        <f>IF(COUNTIF('02_工程タスク'!$A$4:$A$135,A134)&lt;&gt;1,"参照ID不正",IF(INDEX('02_工程タスク'!$O$4:$O$135,MATCH(A134,'02_工程タスク'!$A$4:$A$135,0))="","",INDEX('02_工程タスク'!$O$4:$O$135,MATCH(A134,'02_工程タスク'!$A$4:$A$135,0))))</f>
        <v>B6-08,B6-09</v>
      </c>
      <c r="BC134" s="28" t="str">
        <f t="shared" si="95"/>
        <v>記法OK</v>
      </c>
      <c r="BD134" s="28" t="str">
        <f>IF(A134="B6-01",IF(OR(AV134="",COUNTIF('29_ゲート承認記録'!$F$4:$F$83,AV134)&lt;&gt;1),"終了開始根拠不足",IF(IF(COUNTIF('29_ゲート承認記録'!$F$4:$F$83,AV134)&lt;&gt;1,"参照ID不正",IF(INDEX('29_ゲート承認記録'!$L$4:$L$83,MATCH(AV134,'29_ゲート承認記録'!$F$4:$F$83,0))="","",INDEX('29_ゲート承認記録'!$L$4:$L$83,MATCH(AV134,'29_ゲート承認記録'!$F$4:$F$83,0))))&lt;&gt;"Stop","Stop判断要確認","開始根拠あり")),IF(AND(A134="B5-18",AU134="事故"),IF(AV134="","事故レビュー参照不足","開始根拠あり"),"開始根拠あり"))</f>
        <v>開始根拠あり</v>
      </c>
      <c r="BE134" s="29"/>
      <c r="BF134" s="29"/>
    </row>
    <row r="135" spans="1:58" ht="38" customHeight="1" x14ac:dyDescent="0.2">
      <c r="A135" s="15" t="s">
        <v>1553</v>
      </c>
      <c r="B135" s="28" t="str">
        <f>IF(COUNTIF('02_工程タスク'!$A$4:$A$135,A135)&lt;&gt;1,"参照ID不正",IF(INDEX('02_工程タスク'!$B$4:$B$135,MATCH(A135,'02_工程タスク'!$A$4:$A$135,0))="","",INDEX('02_工程タスク'!$B$4:$B$135,MATCH(A135,'02_工程タスク'!$A$4:$A$135,0))))</f>
        <v>廃止</v>
      </c>
      <c r="C135" s="28" t="str">
        <f>IF(COUNTIF('02_工程タスク'!$A$4:$A$135,A135)&lt;&gt;1,"参照ID不正",IF(INDEX('02_工程タスク'!$D$4:$D$135,MATCH(A135,'02_工程タスク'!$A$4:$A$135,0))="","",INDEX('02_工程タスク'!$D$4:$D$135,MATCH(A135,'02_工程タスク'!$A$4:$A$135,0))))</f>
        <v>保持期限到来・残存請求の追跡</v>
      </c>
      <c r="D135" s="6"/>
      <c r="E135" s="6" t="s">
        <v>1598</v>
      </c>
      <c r="F135" s="6"/>
      <c r="G135" s="6"/>
      <c r="H135" s="5"/>
      <c r="I135" s="5"/>
      <c r="J135" s="5"/>
      <c r="K135" s="5"/>
      <c r="L135" s="6" t="s">
        <v>3629</v>
      </c>
      <c r="M135" s="6"/>
      <c r="N135" s="6"/>
      <c r="O135" s="5"/>
      <c r="P135" s="17"/>
      <c r="Q135" s="17"/>
      <c r="R135" s="6"/>
      <c r="S135" s="6"/>
      <c r="T135" s="6"/>
      <c r="U135" s="5"/>
      <c r="V135" s="6" t="s">
        <v>1546</v>
      </c>
      <c r="W135" s="28" t="str">
        <f t="shared" si="96"/>
        <v>適用未判定</v>
      </c>
      <c r="X135" s="28" t="str">
        <f t="shared" si="73"/>
        <v/>
      </c>
      <c r="Y135" s="26" t="str">
        <f t="shared" si="74"/>
        <v/>
      </c>
      <c r="Z135" s="26" t="str">
        <f t="shared" si="75"/>
        <v>適用未判定</v>
      </c>
      <c r="AA135" s="26">
        <f t="shared" si="76"/>
        <v>0</v>
      </c>
      <c r="AB135" s="26" t="str">
        <f t="shared" si="77"/>
        <v>B6-10</v>
      </c>
      <c r="AC135" s="26" t="str">
        <f t="shared" si="78"/>
        <v/>
      </c>
      <c r="AD135" s="26" t="str">
        <f t="shared" si="79"/>
        <v/>
      </c>
      <c r="AE135" s="26" t="str">
        <f t="shared" si="80"/>
        <v/>
      </c>
      <c r="AF135" s="26" t="str">
        <f t="shared" si="81"/>
        <v/>
      </c>
      <c r="AG135" s="26" t="str">
        <f t="shared" si="82"/>
        <v/>
      </c>
      <c r="AH135" s="26" t="str">
        <f t="shared" si="83"/>
        <v/>
      </c>
      <c r="AI135" s="26" t="str">
        <f t="shared" si="84"/>
        <v/>
      </c>
      <c r="AJ135" s="26" t="str">
        <f t="shared" si="85"/>
        <v>未充足</v>
      </c>
      <c r="AK135" s="26" t="str">
        <f t="shared" si="86"/>
        <v/>
      </c>
      <c r="AL135" s="26" t="str">
        <f t="shared" si="87"/>
        <v/>
      </c>
      <c r="AM135" s="26" t="str">
        <f t="shared" si="88"/>
        <v/>
      </c>
      <c r="AN135" s="26" t="str">
        <f t="shared" si="89"/>
        <v/>
      </c>
      <c r="AO135" s="26" t="str">
        <f t="shared" si="90"/>
        <v/>
      </c>
      <c r="AP135" s="26" t="str">
        <f t="shared" si="91"/>
        <v/>
      </c>
      <c r="AQ135" s="26" t="str">
        <f t="shared" si="92"/>
        <v/>
      </c>
      <c r="AR135" s="36" t="str">
        <f t="shared" si="93"/>
        <v/>
      </c>
      <c r="AS135" s="28" t="str">
        <f>IF(COUNTIF('02_工程タスク'!$A$4:$A$135,A135)&lt;&gt;1,"参照ID不正",IF(INDEX('02_工程タスク'!$H$4:$H$135,MATCH(A135,'02_工程タスク'!$A$4:$A$135,0))="","",INDEX('02_工程タスク'!$H$4:$H$135,MATCH(A135,'02_工程タスク'!$A$4:$A$135,0))))</f>
        <v>R18</v>
      </c>
      <c r="AT135" s="28" t="str">
        <f t="shared" si="94"/>
        <v>INIT-B6-11</v>
      </c>
      <c r="AU135" s="29" t="s">
        <v>3630</v>
      </c>
      <c r="AV135" s="29"/>
      <c r="AW135" s="29"/>
      <c r="AX135" s="32"/>
      <c r="AY135" s="29"/>
      <c r="AZ135" s="29"/>
      <c r="BA135" s="32"/>
      <c r="BB135" s="28" t="str">
        <f>IF(COUNTIF('02_工程タスク'!$A$4:$A$135,A135)&lt;&gt;1,"参照ID不正",IF(INDEX('02_工程タスク'!$O$4:$O$135,MATCH(A135,'02_工程タスク'!$A$4:$A$135,0))="","",INDEX('02_工程タスク'!$O$4:$O$135,MATCH(A135,'02_工程タスク'!$A$4:$A$135,0))))</f>
        <v>B6-10</v>
      </c>
      <c r="BC135" s="28" t="str">
        <f t="shared" si="95"/>
        <v>記法OK</v>
      </c>
      <c r="BD135" s="28" t="str">
        <f>IF(A135="B6-01",IF(OR(AV135="",COUNTIF('29_ゲート承認記録'!$F$4:$F$83,AV135)&lt;&gt;1),"終了開始根拠不足",IF(IF(COUNTIF('29_ゲート承認記録'!$F$4:$F$83,AV135)&lt;&gt;1,"参照ID不正",IF(INDEX('29_ゲート承認記録'!$L$4:$L$83,MATCH(AV135,'29_ゲート承認記録'!$F$4:$F$83,0))="","",INDEX('29_ゲート承認記録'!$L$4:$L$83,MATCH(AV135,'29_ゲート承認記録'!$F$4:$F$83,0))))&lt;&gt;"Stop","Stop判断要確認","開始根拠あり")),IF(AND(A135="B5-18",AU135="事故"),IF(AV135="","事故レビュー参照不足","開始根拠あり"),"開始根拠あり"))</f>
        <v>開始根拠あり</v>
      </c>
      <c r="BE135" s="29"/>
      <c r="BF135" s="29"/>
    </row>
  </sheetData>
  <autoFilter ref="A3:BF135" xr:uid="{00000000-0009-0000-0000-000011000000}"/>
  <mergeCells count="2">
    <mergeCell ref="A2:I2"/>
    <mergeCell ref="A1:G1"/>
  </mergeCells>
  <phoneticPr fontId="12"/>
  <conditionalFormatting sqref="W4:Z135">
    <cfRule type="expression" dxfId="58" priority="1">
      <formula>ISNUMBER(SEARCH("不足",W4))</formula>
    </cfRule>
    <cfRule type="expression" dxfId="57" priority="2">
      <formula>ISNUMBER(SEARCH("不正",W4))</formula>
    </cfRule>
    <cfRule type="expression" dxfId="56" priority="3">
      <formula>ISNUMBER(SEARCH("未判定",W4))</formula>
    </cfRule>
    <cfRule type="expression" dxfId="55" priority="4">
      <formula>ISNUMBER(SEARCH("未承認",W4))</formula>
    </cfRule>
    <cfRule type="expression" dxfId="54" priority="5">
      <formula>ISNUMBER(SEARCH("超過",W4))</formula>
    </cfRule>
    <cfRule type="expression" dxfId="53" priority="6">
      <formula>ISNUMBER(SEARCH("要確認",W4))</formula>
    </cfRule>
  </conditionalFormatting>
  <dataValidations count="4">
    <dataValidation type="list" allowBlank="1" showErrorMessage="1" errorTitle="入力値を確認" error="選択肢から入力してください。" sqref="E4:E135" xr:uid="{00000000-0002-0000-1100-000000000000}">
      <formula1>"未判定,適用,対象外"</formula1>
    </dataValidation>
    <dataValidation type="list" allowBlank="1" showErrorMessage="1" errorTitle="入力値を確認" error="選択肢から入力してください。" sqref="L4:L135" xr:uid="{00000000-0002-0000-1100-000001000000}">
      <formula1>"未着手,進行中,保留,完了,中止"</formula1>
    </dataValidation>
    <dataValidation type="date" allowBlank="1" showErrorMessage="1" error="日付形式で入力してください。" sqref="H4:H135 I4:I135 J4:J135 K4:K135 O4:O135 U4:U135" xr:uid="{00000000-0002-0000-1100-000002000000}">
      <formula1>DATE(2000,1,1)</formula1>
      <formula2>DATE(2100,12,31)</formula2>
    </dataValidation>
    <dataValidation type="decimal" operator="greaterThanOrEqual" allowBlank="1" showErrorMessage="1" error="0以上の数値を入力してください。未測定は空欄です。" sqref="P4:P135 Q4:Q135" xr:uid="{00000000-0002-0000-1100-000003000000}">
      <formula1>0</formula1>
    </dataValidation>
  </dataValidations>
  <pageMargins left="0.25" right="0.25" top="0.4" bottom="0.4" header="0.5" footer="0.5"/>
  <pageSetup paperSize="8" fitToHeight="0" orientation="landscape"/>
  <headerFooter>
    <oddFooter>&amp;CAI自社事業PJ v1.0 | &amp;A&amp;R&amp;P / &amp;N</oddFooter>
  </headerFooter>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5494"/>
    <outlinePr summaryRight="0"/>
    <pageSetUpPr fitToPage="1"/>
  </sheetPr>
  <dimension ref="A1:AQ54"/>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6" customWidth="1"/>
    <col min="2" max="2" width="45" customWidth="1"/>
    <col min="3" max="3" width="64" customWidth="1"/>
    <col min="4" max="4" width="27" customWidth="1"/>
    <col min="5" max="18" width="19" customWidth="1"/>
    <col min="19" max="28" width="20" customWidth="1"/>
    <col min="29" max="29" width="16" customWidth="1"/>
    <col min="30" max="30" width="64" customWidth="1"/>
    <col min="31" max="31" width="25" customWidth="1"/>
    <col min="32" max="32" width="30" customWidth="1"/>
    <col min="33" max="33" width="34" customWidth="1"/>
    <col min="34" max="42" width="21" customWidth="1"/>
    <col min="43" max="43" width="26" customWidth="1"/>
  </cols>
  <sheetData>
    <row r="1" spans="1:43" ht="34" customHeight="1" x14ac:dyDescent="0.55000000000000004">
      <c r="A1" s="44" t="s">
        <v>3631</v>
      </c>
      <c r="B1" s="45"/>
      <c r="C1" s="45"/>
      <c r="D1" s="45"/>
      <c r="E1" s="45"/>
      <c r="F1" s="45"/>
      <c r="G1" s="45"/>
    </row>
    <row r="2" spans="1:43" ht="43" customHeight="1" x14ac:dyDescent="0.2">
      <c r="A2" s="47" t="s">
        <v>3632</v>
      </c>
      <c r="B2" s="45"/>
      <c r="C2" s="45"/>
      <c r="D2" s="45"/>
      <c r="E2" s="45"/>
      <c r="F2" s="45"/>
      <c r="G2" s="45"/>
      <c r="H2" s="45"/>
      <c r="I2" s="45"/>
    </row>
    <row r="3" spans="1:43" ht="36" customHeight="1" x14ac:dyDescent="0.2">
      <c r="A3" s="1" t="s">
        <v>3633</v>
      </c>
      <c r="B3" s="1" t="s">
        <v>3634</v>
      </c>
      <c r="C3" s="1" t="s">
        <v>3635</v>
      </c>
      <c r="D3" s="1" t="s">
        <v>3636</v>
      </c>
      <c r="E3" s="1" t="s">
        <v>3637</v>
      </c>
      <c r="F3" s="1" t="s">
        <v>3638</v>
      </c>
      <c r="G3" s="1" t="s">
        <v>3639</v>
      </c>
      <c r="H3" s="1" t="s">
        <v>3640</v>
      </c>
      <c r="I3" s="1" t="s">
        <v>3641</v>
      </c>
      <c r="J3" s="1" t="s">
        <v>3642</v>
      </c>
      <c r="K3" s="1" t="s">
        <v>3643</v>
      </c>
      <c r="L3" s="1" t="s">
        <v>3644</v>
      </c>
      <c r="M3" s="1" t="s">
        <v>3645</v>
      </c>
      <c r="N3" s="1" t="s">
        <v>3646</v>
      </c>
      <c r="O3" s="1" t="s">
        <v>3647</v>
      </c>
      <c r="P3" s="1" t="s">
        <v>3648</v>
      </c>
      <c r="Q3" s="1" t="s">
        <v>3649</v>
      </c>
      <c r="R3" s="1" t="s">
        <v>3650</v>
      </c>
      <c r="S3" s="1" t="s">
        <v>3651</v>
      </c>
      <c r="T3" s="1" t="s">
        <v>3652</v>
      </c>
      <c r="U3" s="1" t="s">
        <v>3653</v>
      </c>
      <c r="V3" s="1" t="s">
        <v>3654</v>
      </c>
      <c r="W3" s="1" t="s">
        <v>3655</v>
      </c>
      <c r="X3" s="1" t="s">
        <v>3656</v>
      </c>
      <c r="Y3" s="1" t="s">
        <v>3657</v>
      </c>
      <c r="Z3" s="1" t="s">
        <v>3658</v>
      </c>
      <c r="AA3" s="1" t="s">
        <v>3659</v>
      </c>
      <c r="AB3" s="1" t="s">
        <v>3660</v>
      </c>
      <c r="AC3" s="1" t="s">
        <v>3661</v>
      </c>
      <c r="AD3" s="1" t="s">
        <v>3110</v>
      </c>
      <c r="AE3" s="1" t="s">
        <v>3662</v>
      </c>
      <c r="AF3" s="1" t="s">
        <v>3663</v>
      </c>
      <c r="AG3" s="1" t="s">
        <v>3664</v>
      </c>
      <c r="AH3" s="1" t="s">
        <v>3665</v>
      </c>
      <c r="AI3" s="1" t="s">
        <v>3666</v>
      </c>
      <c r="AJ3" s="1" t="s">
        <v>3667</v>
      </c>
      <c r="AK3" s="1" t="s">
        <v>3668</v>
      </c>
      <c r="AL3" s="1" t="s">
        <v>3669</v>
      </c>
      <c r="AM3" s="1" t="s">
        <v>3670</v>
      </c>
      <c r="AN3" s="1" t="s">
        <v>3671</v>
      </c>
      <c r="AO3" s="1" t="s">
        <v>3672</v>
      </c>
      <c r="AP3" s="1" t="s">
        <v>3673</v>
      </c>
      <c r="AQ3" s="1" t="s">
        <v>3674</v>
      </c>
    </row>
    <row r="4" spans="1:43" ht="38" customHeight="1" x14ac:dyDescent="0.2">
      <c r="A4" s="6"/>
      <c r="B4" s="6"/>
      <c r="C4" s="6"/>
      <c r="D4" s="6"/>
      <c r="E4" s="17"/>
      <c r="F4" s="17"/>
      <c r="G4" s="17"/>
      <c r="H4" s="17"/>
      <c r="I4" s="17"/>
      <c r="J4" s="17"/>
      <c r="K4" s="17"/>
      <c r="L4" s="17"/>
      <c r="M4" s="28" t="str">
        <f t="shared" ref="M4:M43" si="0">IF(OR(COUNT(F4:L4)&lt;7,MIN(F4:L4)&lt;0),"",SUM(F4:L4))</f>
        <v/>
      </c>
      <c r="N4" s="35" t="str">
        <f t="shared" ref="N4:N43" si="1">IF(OR(NOT(ISNUMBER(E4)),NOT(ISNUMBER(M4))),"",E4-M4)</f>
        <v/>
      </c>
      <c r="O4" s="28" t="str">
        <f t="shared" ref="O4:O43" si="2">IF(OR(NOT(ISNUMBER(N4)),NOT(ISNUMBER(E4)),E4&lt;=0),"",N4/E4)</f>
        <v/>
      </c>
      <c r="P4" s="6"/>
      <c r="Q4" s="6"/>
      <c r="R4" s="28" t="str">
        <f t="shared" ref="R4:R43" si="3">IF(COUNT(P4:Q4)&lt;2,"",IF(OR(P4&lt;=0,Q4&lt;0),"",(P4-Q4)/P4))</f>
        <v/>
      </c>
      <c r="S4" s="18"/>
      <c r="T4" s="18"/>
      <c r="U4" s="18"/>
      <c r="V4" s="18"/>
      <c r="W4" s="18"/>
      <c r="X4" s="37" t="str">
        <f t="shared" ref="X4:X43" si="4">IF(COUNT(S4:W4)&lt;5,"",SUM(S4:W4))</f>
        <v/>
      </c>
      <c r="Y4" s="18"/>
      <c r="Z4" s="18"/>
      <c r="AA4" s="37" t="str">
        <f t="shared" ref="AA4:AA43" si="5">IF(OR(NOT(ISNUMBER(X4)),COUNT(Y4:Z4)&lt;2),"",SUM(Y4:Z4)-X4)</f>
        <v/>
      </c>
      <c r="AB4" s="6"/>
      <c r="AC4" s="6"/>
      <c r="AD4" s="6"/>
      <c r="AE4" s="6"/>
      <c r="AF4" s="6"/>
      <c r="AG4" s="28" t="str">
        <f t="shared" ref="AG4:AG43" si="6">IF(A4="","",IF(OR(AND(E4&lt;&gt;"",OR(NOT(ISNUMBER(E4)),IFERROR(E4&lt;0,TRUE))),AND(F4&lt;&gt;"",OR(NOT(ISNUMBER(F4)),IFERROR(F4&lt;0,TRUE))),AND(G4&lt;&gt;"",OR(NOT(ISNUMBER(G4)),IFERROR(G4&lt;0,TRUE))),AND(H4&lt;&gt;"",OR(NOT(ISNUMBER(H4)),IFERROR(H4&lt;0,TRUE))),AND(I4&lt;&gt;"",OR(NOT(ISNUMBER(I4)),IFERROR(I4&lt;0,TRUE))),AND(J4&lt;&gt;"",OR(NOT(ISNUMBER(J4)),IFERROR(J4&lt;0,TRUE))),AND(K4&lt;&gt;"",OR(NOT(ISNUMBER(K4)),IFERROR(K4&lt;0,TRUE))),AND(L4&lt;&gt;"",OR(NOT(ISNUMBER(L4)),IFERROR(L4&lt;0,TRUE))),AND(P4&lt;&gt;"",OR(NOT(ISNUMBER(P4)),IFERROR(P4&lt;0,TRUE))),AND(Q4&lt;&gt;"",OR(NOT(ISNUMBER(Q4)),IFERROR(Q4&lt;0,TRUE))),AND(S4&lt;&gt;"",OR(NOT(ISNUMBER(S4)),IFERROR(S4&lt;0,TRUE))),AND(T4&lt;&gt;"",OR(NOT(ISNUMBER(T4)),IFERROR(T4&lt;0,TRUE))),AND(U4&lt;&gt;"",OR(NOT(ISNUMBER(U4)),IFERROR(U4&lt;0,TRUE))),AND(V4&lt;&gt;"",OR(NOT(ISNUMBER(V4)),IFERROR(V4&lt;0,TRUE))),AND(W4&lt;&gt;"",OR(NOT(ISNUMBER(W4)),IFERROR(W4&lt;0,TRUE))),AND(Y4&lt;&gt;"",OR(NOT(ISNUMBER(Y4)),IFERROR(Y4&lt;0,TRUE))),AND(AB4&lt;&gt;"",OR(NOT(ISNUMBER(AB4)),IFERROR(AB4&lt;0,TRUE))),AND(AC4&lt;&gt;"",OR(NOT(ISNUMBER(AC4)),IFERROR(AC4&lt;0,TRUE)))),"入力値不正",IF(AND(ISNUMBER(AC4),MOD(AC4,1)&lt;&gt;0),"観測件数不正",IF(AND(ISNUMBER(P4),P4=0),"基準経過0・短縮率計算不可",IF(AND(ISNUMBER(AB4),ISNUMBER(N4),AB4&gt;MAX(0,N4)),"余力計上不整合",IF(OR(C4="",D4&lt;&gt;"同等確認済",NOT(ISNUMBER(M4)),NOT(ISNUMBER(E4)),AD4="",AE4=""),"比較証拠不足","記録あり・因果審査別"))))))</f>
        <v/>
      </c>
      <c r="AH4" s="29"/>
      <c r="AI4" s="29"/>
      <c r="AJ4" s="29"/>
      <c r="AK4" s="29"/>
      <c r="AL4" s="29"/>
      <c r="AM4" s="29"/>
      <c r="AN4" s="29"/>
      <c r="AO4" s="29"/>
      <c r="AP4" s="32"/>
      <c r="AQ4" s="28" t="str">
        <f t="shared" ref="AQ4:AQ43" si="7">IF(A4="","",IF(AF4&lt;&gt;"限定条件で反映","見積未採用",IF(OR(AG4&lt;&gt;"記録あり・因果審査別",AH4="推定",AH4=""),"推定・品質未確認は採用不可",IF(AND(AH4&lt;&gt;"実測対照",AH4&lt;&gt;"過去実測"),"基準区分不正",IF(OR(OR(AI4="",AJ4="",AK4="",AL4="",AM4="",AN4="",AO4=""),NOT(ISNUMBER(AP4)),NOT(ISNUMBER(AC4)),AC4&lt;1),"採用条件・比較証拠不足",IF(OR(AND(AP4&lt;&gt;"",OR(NOT(ISNUMBER(AP4)),IFERROR(AP4&lt;1,TRUE),IFERROR(INT(AP4)&gt;INT(AsOfDate),TRUE)))),"採用日不正","限定採用判断記録・一般化不可"))))))</f>
        <v/>
      </c>
    </row>
    <row r="5" spans="1:43" ht="38" customHeight="1" x14ac:dyDescent="0.2">
      <c r="A5" s="6"/>
      <c r="B5" s="6"/>
      <c r="C5" s="6"/>
      <c r="D5" s="6"/>
      <c r="E5" s="17"/>
      <c r="F5" s="17"/>
      <c r="G5" s="17"/>
      <c r="H5" s="17"/>
      <c r="I5" s="17"/>
      <c r="J5" s="17"/>
      <c r="K5" s="17"/>
      <c r="L5" s="17"/>
      <c r="M5" s="28" t="str">
        <f t="shared" si="0"/>
        <v/>
      </c>
      <c r="N5" s="36" t="str">
        <f t="shared" si="1"/>
        <v/>
      </c>
      <c r="O5" s="28" t="str">
        <f t="shared" si="2"/>
        <v/>
      </c>
      <c r="P5" s="6"/>
      <c r="Q5" s="6"/>
      <c r="R5" s="28" t="str">
        <f t="shared" si="3"/>
        <v/>
      </c>
      <c r="S5" s="18"/>
      <c r="T5" s="18"/>
      <c r="U5" s="18"/>
      <c r="V5" s="18"/>
      <c r="W5" s="18"/>
      <c r="X5" s="38" t="str">
        <f t="shared" si="4"/>
        <v/>
      </c>
      <c r="Y5" s="18"/>
      <c r="Z5" s="18"/>
      <c r="AA5" s="38" t="str">
        <f t="shared" si="5"/>
        <v/>
      </c>
      <c r="AB5" s="6"/>
      <c r="AC5" s="6"/>
      <c r="AD5" s="6"/>
      <c r="AE5" s="6"/>
      <c r="AF5" s="6"/>
      <c r="AG5" s="28" t="str">
        <f t="shared" si="6"/>
        <v/>
      </c>
      <c r="AH5" s="29"/>
      <c r="AI5" s="29"/>
      <c r="AJ5" s="29"/>
      <c r="AK5" s="29"/>
      <c r="AL5" s="29"/>
      <c r="AM5" s="29"/>
      <c r="AN5" s="29"/>
      <c r="AO5" s="29"/>
      <c r="AP5" s="32"/>
      <c r="AQ5" s="28" t="str">
        <f t="shared" si="7"/>
        <v/>
      </c>
    </row>
    <row r="6" spans="1:43" ht="38" customHeight="1" x14ac:dyDescent="0.2">
      <c r="A6" s="6"/>
      <c r="B6" s="6"/>
      <c r="C6" s="6"/>
      <c r="D6" s="6"/>
      <c r="E6" s="17"/>
      <c r="F6" s="17"/>
      <c r="G6" s="17"/>
      <c r="H6" s="17"/>
      <c r="I6" s="17"/>
      <c r="J6" s="17"/>
      <c r="K6" s="17"/>
      <c r="L6" s="17"/>
      <c r="M6" s="28" t="str">
        <f t="shared" si="0"/>
        <v/>
      </c>
      <c r="N6" s="35" t="str">
        <f t="shared" si="1"/>
        <v/>
      </c>
      <c r="O6" s="28" t="str">
        <f t="shared" si="2"/>
        <v/>
      </c>
      <c r="P6" s="6"/>
      <c r="Q6" s="6"/>
      <c r="R6" s="28" t="str">
        <f t="shared" si="3"/>
        <v/>
      </c>
      <c r="S6" s="18"/>
      <c r="T6" s="18"/>
      <c r="U6" s="18"/>
      <c r="V6" s="18"/>
      <c r="W6" s="18"/>
      <c r="X6" s="37" t="str">
        <f t="shared" si="4"/>
        <v/>
      </c>
      <c r="Y6" s="18"/>
      <c r="Z6" s="18"/>
      <c r="AA6" s="37" t="str">
        <f t="shared" si="5"/>
        <v/>
      </c>
      <c r="AB6" s="6"/>
      <c r="AC6" s="6"/>
      <c r="AD6" s="6"/>
      <c r="AE6" s="6"/>
      <c r="AF6" s="6"/>
      <c r="AG6" s="28" t="str">
        <f t="shared" si="6"/>
        <v/>
      </c>
      <c r="AH6" s="29"/>
      <c r="AI6" s="29"/>
      <c r="AJ6" s="29"/>
      <c r="AK6" s="29"/>
      <c r="AL6" s="29"/>
      <c r="AM6" s="29"/>
      <c r="AN6" s="29"/>
      <c r="AO6" s="29"/>
      <c r="AP6" s="32"/>
      <c r="AQ6" s="28" t="str">
        <f t="shared" si="7"/>
        <v/>
      </c>
    </row>
    <row r="7" spans="1:43" ht="38" customHeight="1" x14ac:dyDescent="0.2">
      <c r="A7" s="6"/>
      <c r="B7" s="6"/>
      <c r="C7" s="6"/>
      <c r="D7" s="6"/>
      <c r="E7" s="17"/>
      <c r="F7" s="17"/>
      <c r="G7" s="17"/>
      <c r="H7" s="17"/>
      <c r="I7" s="17"/>
      <c r="J7" s="17"/>
      <c r="K7" s="17"/>
      <c r="L7" s="17"/>
      <c r="M7" s="28" t="str">
        <f t="shared" si="0"/>
        <v/>
      </c>
      <c r="N7" s="36" t="str">
        <f t="shared" si="1"/>
        <v/>
      </c>
      <c r="O7" s="28" t="str">
        <f t="shared" si="2"/>
        <v/>
      </c>
      <c r="P7" s="6"/>
      <c r="Q7" s="6"/>
      <c r="R7" s="28" t="str">
        <f t="shared" si="3"/>
        <v/>
      </c>
      <c r="S7" s="18"/>
      <c r="T7" s="18"/>
      <c r="U7" s="18"/>
      <c r="V7" s="18"/>
      <c r="W7" s="18"/>
      <c r="X7" s="38" t="str">
        <f t="shared" si="4"/>
        <v/>
      </c>
      <c r="Y7" s="18"/>
      <c r="Z7" s="18"/>
      <c r="AA7" s="38" t="str">
        <f t="shared" si="5"/>
        <v/>
      </c>
      <c r="AB7" s="6"/>
      <c r="AC7" s="6"/>
      <c r="AD7" s="6"/>
      <c r="AE7" s="6"/>
      <c r="AF7" s="6"/>
      <c r="AG7" s="28" t="str">
        <f t="shared" si="6"/>
        <v/>
      </c>
      <c r="AH7" s="29"/>
      <c r="AI7" s="29"/>
      <c r="AJ7" s="29"/>
      <c r="AK7" s="29"/>
      <c r="AL7" s="29"/>
      <c r="AM7" s="29"/>
      <c r="AN7" s="29"/>
      <c r="AO7" s="29"/>
      <c r="AP7" s="32"/>
      <c r="AQ7" s="28" t="str">
        <f t="shared" si="7"/>
        <v/>
      </c>
    </row>
    <row r="8" spans="1:43" ht="38" customHeight="1" x14ac:dyDescent="0.2">
      <c r="A8" s="6"/>
      <c r="B8" s="6"/>
      <c r="C8" s="6"/>
      <c r="D8" s="6"/>
      <c r="E8" s="17"/>
      <c r="F8" s="17"/>
      <c r="G8" s="17"/>
      <c r="H8" s="17"/>
      <c r="I8" s="17"/>
      <c r="J8" s="17"/>
      <c r="K8" s="17"/>
      <c r="L8" s="17"/>
      <c r="M8" s="28" t="str">
        <f t="shared" si="0"/>
        <v/>
      </c>
      <c r="N8" s="35" t="str">
        <f t="shared" si="1"/>
        <v/>
      </c>
      <c r="O8" s="28" t="str">
        <f t="shared" si="2"/>
        <v/>
      </c>
      <c r="P8" s="6"/>
      <c r="Q8" s="6"/>
      <c r="R8" s="28" t="str">
        <f t="shared" si="3"/>
        <v/>
      </c>
      <c r="S8" s="18"/>
      <c r="T8" s="18"/>
      <c r="U8" s="18"/>
      <c r="V8" s="18"/>
      <c r="W8" s="18"/>
      <c r="X8" s="37" t="str">
        <f t="shared" si="4"/>
        <v/>
      </c>
      <c r="Y8" s="18"/>
      <c r="Z8" s="18"/>
      <c r="AA8" s="37" t="str">
        <f t="shared" si="5"/>
        <v/>
      </c>
      <c r="AB8" s="6"/>
      <c r="AC8" s="6"/>
      <c r="AD8" s="6"/>
      <c r="AE8" s="6"/>
      <c r="AF8" s="6"/>
      <c r="AG8" s="28" t="str">
        <f t="shared" si="6"/>
        <v/>
      </c>
      <c r="AH8" s="29"/>
      <c r="AI8" s="29"/>
      <c r="AJ8" s="29"/>
      <c r="AK8" s="29"/>
      <c r="AL8" s="29"/>
      <c r="AM8" s="29"/>
      <c r="AN8" s="29"/>
      <c r="AO8" s="29"/>
      <c r="AP8" s="32"/>
      <c r="AQ8" s="28" t="str">
        <f t="shared" si="7"/>
        <v/>
      </c>
    </row>
    <row r="9" spans="1:43" ht="38" customHeight="1" x14ac:dyDescent="0.2">
      <c r="A9" s="6"/>
      <c r="B9" s="6"/>
      <c r="C9" s="6"/>
      <c r="D9" s="6"/>
      <c r="E9" s="17"/>
      <c r="F9" s="17"/>
      <c r="G9" s="17"/>
      <c r="H9" s="17"/>
      <c r="I9" s="17"/>
      <c r="J9" s="17"/>
      <c r="K9" s="17"/>
      <c r="L9" s="17"/>
      <c r="M9" s="28" t="str">
        <f t="shared" si="0"/>
        <v/>
      </c>
      <c r="N9" s="36" t="str">
        <f t="shared" si="1"/>
        <v/>
      </c>
      <c r="O9" s="28" t="str">
        <f t="shared" si="2"/>
        <v/>
      </c>
      <c r="P9" s="6"/>
      <c r="Q9" s="6"/>
      <c r="R9" s="28" t="str">
        <f t="shared" si="3"/>
        <v/>
      </c>
      <c r="S9" s="18"/>
      <c r="T9" s="18"/>
      <c r="U9" s="18"/>
      <c r="V9" s="18"/>
      <c r="W9" s="18"/>
      <c r="X9" s="38" t="str">
        <f t="shared" si="4"/>
        <v/>
      </c>
      <c r="Y9" s="18"/>
      <c r="Z9" s="18"/>
      <c r="AA9" s="38" t="str">
        <f t="shared" si="5"/>
        <v/>
      </c>
      <c r="AB9" s="6"/>
      <c r="AC9" s="6"/>
      <c r="AD9" s="6"/>
      <c r="AE9" s="6"/>
      <c r="AF9" s="6"/>
      <c r="AG9" s="28" t="str">
        <f t="shared" si="6"/>
        <v/>
      </c>
      <c r="AH9" s="29"/>
      <c r="AI9" s="29"/>
      <c r="AJ9" s="29"/>
      <c r="AK9" s="29"/>
      <c r="AL9" s="29"/>
      <c r="AM9" s="29"/>
      <c r="AN9" s="29"/>
      <c r="AO9" s="29"/>
      <c r="AP9" s="32"/>
      <c r="AQ9" s="28" t="str">
        <f t="shared" si="7"/>
        <v/>
      </c>
    </row>
    <row r="10" spans="1:43" ht="38" customHeight="1" x14ac:dyDescent="0.2">
      <c r="A10" s="6"/>
      <c r="B10" s="6"/>
      <c r="C10" s="6"/>
      <c r="D10" s="6"/>
      <c r="E10" s="17"/>
      <c r="F10" s="17"/>
      <c r="G10" s="17"/>
      <c r="H10" s="17"/>
      <c r="I10" s="17"/>
      <c r="J10" s="17"/>
      <c r="K10" s="17"/>
      <c r="L10" s="17"/>
      <c r="M10" s="28" t="str">
        <f t="shared" si="0"/>
        <v/>
      </c>
      <c r="N10" s="35" t="str">
        <f t="shared" si="1"/>
        <v/>
      </c>
      <c r="O10" s="28" t="str">
        <f t="shared" si="2"/>
        <v/>
      </c>
      <c r="P10" s="6"/>
      <c r="Q10" s="6"/>
      <c r="R10" s="28" t="str">
        <f t="shared" si="3"/>
        <v/>
      </c>
      <c r="S10" s="18"/>
      <c r="T10" s="18"/>
      <c r="U10" s="18"/>
      <c r="V10" s="18"/>
      <c r="W10" s="18"/>
      <c r="X10" s="37" t="str">
        <f t="shared" si="4"/>
        <v/>
      </c>
      <c r="Y10" s="18"/>
      <c r="Z10" s="18"/>
      <c r="AA10" s="37" t="str">
        <f t="shared" si="5"/>
        <v/>
      </c>
      <c r="AB10" s="6"/>
      <c r="AC10" s="6"/>
      <c r="AD10" s="6"/>
      <c r="AE10" s="6"/>
      <c r="AF10" s="6"/>
      <c r="AG10" s="28" t="str">
        <f t="shared" si="6"/>
        <v/>
      </c>
      <c r="AH10" s="29"/>
      <c r="AI10" s="29"/>
      <c r="AJ10" s="29"/>
      <c r="AK10" s="29"/>
      <c r="AL10" s="29"/>
      <c r="AM10" s="29"/>
      <c r="AN10" s="29"/>
      <c r="AO10" s="29"/>
      <c r="AP10" s="32"/>
      <c r="AQ10" s="28" t="str">
        <f t="shared" si="7"/>
        <v/>
      </c>
    </row>
    <row r="11" spans="1:43" ht="38" customHeight="1" x14ac:dyDescent="0.2">
      <c r="A11" s="6"/>
      <c r="B11" s="6"/>
      <c r="C11" s="6"/>
      <c r="D11" s="6"/>
      <c r="E11" s="17"/>
      <c r="F11" s="17"/>
      <c r="G11" s="17"/>
      <c r="H11" s="17"/>
      <c r="I11" s="17"/>
      <c r="J11" s="17"/>
      <c r="K11" s="17"/>
      <c r="L11" s="17"/>
      <c r="M11" s="28" t="str">
        <f t="shared" si="0"/>
        <v/>
      </c>
      <c r="N11" s="36" t="str">
        <f t="shared" si="1"/>
        <v/>
      </c>
      <c r="O11" s="28" t="str">
        <f t="shared" si="2"/>
        <v/>
      </c>
      <c r="P11" s="6"/>
      <c r="Q11" s="6"/>
      <c r="R11" s="28" t="str">
        <f t="shared" si="3"/>
        <v/>
      </c>
      <c r="S11" s="18"/>
      <c r="T11" s="18"/>
      <c r="U11" s="18"/>
      <c r="V11" s="18"/>
      <c r="W11" s="18"/>
      <c r="X11" s="38" t="str">
        <f t="shared" si="4"/>
        <v/>
      </c>
      <c r="Y11" s="18"/>
      <c r="Z11" s="18"/>
      <c r="AA11" s="38" t="str">
        <f t="shared" si="5"/>
        <v/>
      </c>
      <c r="AB11" s="6"/>
      <c r="AC11" s="6"/>
      <c r="AD11" s="6"/>
      <c r="AE11" s="6"/>
      <c r="AF11" s="6"/>
      <c r="AG11" s="28" t="str">
        <f t="shared" si="6"/>
        <v/>
      </c>
      <c r="AH11" s="29"/>
      <c r="AI11" s="29"/>
      <c r="AJ11" s="29"/>
      <c r="AK11" s="29"/>
      <c r="AL11" s="29"/>
      <c r="AM11" s="29"/>
      <c r="AN11" s="29"/>
      <c r="AO11" s="29"/>
      <c r="AP11" s="32"/>
      <c r="AQ11" s="28" t="str">
        <f t="shared" si="7"/>
        <v/>
      </c>
    </row>
    <row r="12" spans="1:43" ht="38" customHeight="1" x14ac:dyDescent="0.2">
      <c r="A12" s="6"/>
      <c r="B12" s="6"/>
      <c r="C12" s="6"/>
      <c r="D12" s="6"/>
      <c r="E12" s="17"/>
      <c r="F12" s="17"/>
      <c r="G12" s="17"/>
      <c r="H12" s="17"/>
      <c r="I12" s="17"/>
      <c r="J12" s="17"/>
      <c r="K12" s="17"/>
      <c r="L12" s="17"/>
      <c r="M12" s="28" t="str">
        <f t="shared" si="0"/>
        <v/>
      </c>
      <c r="N12" s="35" t="str">
        <f t="shared" si="1"/>
        <v/>
      </c>
      <c r="O12" s="28" t="str">
        <f t="shared" si="2"/>
        <v/>
      </c>
      <c r="P12" s="6"/>
      <c r="Q12" s="6"/>
      <c r="R12" s="28" t="str">
        <f t="shared" si="3"/>
        <v/>
      </c>
      <c r="S12" s="18"/>
      <c r="T12" s="18"/>
      <c r="U12" s="18"/>
      <c r="V12" s="18"/>
      <c r="W12" s="18"/>
      <c r="X12" s="37" t="str">
        <f t="shared" si="4"/>
        <v/>
      </c>
      <c r="Y12" s="18"/>
      <c r="Z12" s="18"/>
      <c r="AA12" s="37" t="str">
        <f t="shared" si="5"/>
        <v/>
      </c>
      <c r="AB12" s="6"/>
      <c r="AC12" s="6"/>
      <c r="AD12" s="6"/>
      <c r="AE12" s="6"/>
      <c r="AF12" s="6"/>
      <c r="AG12" s="28" t="str">
        <f t="shared" si="6"/>
        <v/>
      </c>
      <c r="AH12" s="29"/>
      <c r="AI12" s="29"/>
      <c r="AJ12" s="29"/>
      <c r="AK12" s="29"/>
      <c r="AL12" s="29"/>
      <c r="AM12" s="29"/>
      <c r="AN12" s="29"/>
      <c r="AO12" s="29"/>
      <c r="AP12" s="32"/>
      <c r="AQ12" s="28" t="str">
        <f t="shared" si="7"/>
        <v/>
      </c>
    </row>
    <row r="13" spans="1:43" ht="38" customHeight="1" x14ac:dyDescent="0.2">
      <c r="A13" s="6"/>
      <c r="B13" s="6"/>
      <c r="C13" s="6"/>
      <c r="D13" s="6"/>
      <c r="E13" s="17"/>
      <c r="F13" s="17"/>
      <c r="G13" s="17"/>
      <c r="H13" s="17"/>
      <c r="I13" s="17"/>
      <c r="J13" s="17"/>
      <c r="K13" s="17"/>
      <c r="L13" s="17"/>
      <c r="M13" s="28" t="str">
        <f t="shared" si="0"/>
        <v/>
      </c>
      <c r="N13" s="36" t="str">
        <f t="shared" si="1"/>
        <v/>
      </c>
      <c r="O13" s="28" t="str">
        <f t="shared" si="2"/>
        <v/>
      </c>
      <c r="P13" s="6"/>
      <c r="Q13" s="6"/>
      <c r="R13" s="28" t="str">
        <f t="shared" si="3"/>
        <v/>
      </c>
      <c r="S13" s="18"/>
      <c r="T13" s="18"/>
      <c r="U13" s="18"/>
      <c r="V13" s="18"/>
      <c r="W13" s="18"/>
      <c r="X13" s="38" t="str">
        <f t="shared" si="4"/>
        <v/>
      </c>
      <c r="Y13" s="18"/>
      <c r="Z13" s="18"/>
      <c r="AA13" s="38" t="str">
        <f t="shared" si="5"/>
        <v/>
      </c>
      <c r="AB13" s="6"/>
      <c r="AC13" s="6"/>
      <c r="AD13" s="6"/>
      <c r="AE13" s="6"/>
      <c r="AF13" s="6"/>
      <c r="AG13" s="28" t="str">
        <f t="shared" si="6"/>
        <v/>
      </c>
      <c r="AH13" s="29"/>
      <c r="AI13" s="29"/>
      <c r="AJ13" s="29"/>
      <c r="AK13" s="29"/>
      <c r="AL13" s="29"/>
      <c r="AM13" s="29"/>
      <c r="AN13" s="29"/>
      <c r="AO13" s="29"/>
      <c r="AP13" s="32"/>
      <c r="AQ13" s="28" t="str">
        <f t="shared" si="7"/>
        <v/>
      </c>
    </row>
    <row r="14" spans="1:43" ht="38" customHeight="1" x14ac:dyDescent="0.2">
      <c r="A14" s="6"/>
      <c r="B14" s="6"/>
      <c r="C14" s="6"/>
      <c r="D14" s="6"/>
      <c r="E14" s="17"/>
      <c r="F14" s="17"/>
      <c r="G14" s="17"/>
      <c r="H14" s="17"/>
      <c r="I14" s="17"/>
      <c r="J14" s="17"/>
      <c r="K14" s="17"/>
      <c r="L14" s="17"/>
      <c r="M14" s="28" t="str">
        <f t="shared" si="0"/>
        <v/>
      </c>
      <c r="N14" s="35" t="str">
        <f t="shared" si="1"/>
        <v/>
      </c>
      <c r="O14" s="28" t="str">
        <f t="shared" si="2"/>
        <v/>
      </c>
      <c r="P14" s="6"/>
      <c r="Q14" s="6"/>
      <c r="R14" s="28" t="str">
        <f t="shared" si="3"/>
        <v/>
      </c>
      <c r="S14" s="18"/>
      <c r="T14" s="18"/>
      <c r="U14" s="18"/>
      <c r="V14" s="18"/>
      <c r="W14" s="18"/>
      <c r="X14" s="37" t="str">
        <f t="shared" si="4"/>
        <v/>
      </c>
      <c r="Y14" s="18"/>
      <c r="Z14" s="18"/>
      <c r="AA14" s="37" t="str">
        <f t="shared" si="5"/>
        <v/>
      </c>
      <c r="AB14" s="6"/>
      <c r="AC14" s="6"/>
      <c r="AD14" s="6"/>
      <c r="AE14" s="6"/>
      <c r="AF14" s="6"/>
      <c r="AG14" s="28" t="str">
        <f t="shared" si="6"/>
        <v/>
      </c>
      <c r="AH14" s="29"/>
      <c r="AI14" s="29"/>
      <c r="AJ14" s="29"/>
      <c r="AK14" s="29"/>
      <c r="AL14" s="29"/>
      <c r="AM14" s="29"/>
      <c r="AN14" s="29"/>
      <c r="AO14" s="29"/>
      <c r="AP14" s="32"/>
      <c r="AQ14" s="28" t="str">
        <f t="shared" si="7"/>
        <v/>
      </c>
    </row>
    <row r="15" spans="1:43" ht="38" customHeight="1" x14ac:dyDescent="0.2">
      <c r="A15" s="6"/>
      <c r="B15" s="6"/>
      <c r="C15" s="6"/>
      <c r="D15" s="6"/>
      <c r="E15" s="17"/>
      <c r="F15" s="17"/>
      <c r="G15" s="17"/>
      <c r="H15" s="17"/>
      <c r="I15" s="17"/>
      <c r="J15" s="17"/>
      <c r="K15" s="17"/>
      <c r="L15" s="17"/>
      <c r="M15" s="28" t="str">
        <f t="shared" si="0"/>
        <v/>
      </c>
      <c r="N15" s="36" t="str">
        <f t="shared" si="1"/>
        <v/>
      </c>
      <c r="O15" s="28" t="str">
        <f t="shared" si="2"/>
        <v/>
      </c>
      <c r="P15" s="6"/>
      <c r="Q15" s="6"/>
      <c r="R15" s="28" t="str">
        <f t="shared" si="3"/>
        <v/>
      </c>
      <c r="S15" s="18"/>
      <c r="T15" s="18"/>
      <c r="U15" s="18"/>
      <c r="V15" s="18"/>
      <c r="W15" s="18"/>
      <c r="X15" s="38" t="str">
        <f t="shared" si="4"/>
        <v/>
      </c>
      <c r="Y15" s="18"/>
      <c r="Z15" s="18"/>
      <c r="AA15" s="38" t="str">
        <f t="shared" si="5"/>
        <v/>
      </c>
      <c r="AB15" s="6"/>
      <c r="AC15" s="6"/>
      <c r="AD15" s="6"/>
      <c r="AE15" s="6"/>
      <c r="AF15" s="6"/>
      <c r="AG15" s="28" t="str">
        <f t="shared" si="6"/>
        <v/>
      </c>
      <c r="AH15" s="29"/>
      <c r="AI15" s="29"/>
      <c r="AJ15" s="29"/>
      <c r="AK15" s="29"/>
      <c r="AL15" s="29"/>
      <c r="AM15" s="29"/>
      <c r="AN15" s="29"/>
      <c r="AO15" s="29"/>
      <c r="AP15" s="32"/>
      <c r="AQ15" s="28" t="str">
        <f t="shared" si="7"/>
        <v/>
      </c>
    </row>
    <row r="16" spans="1:43" ht="38" customHeight="1" x14ac:dyDescent="0.2">
      <c r="A16" s="6"/>
      <c r="B16" s="6"/>
      <c r="C16" s="6"/>
      <c r="D16" s="6"/>
      <c r="E16" s="17"/>
      <c r="F16" s="17"/>
      <c r="G16" s="17"/>
      <c r="H16" s="17"/>
      <c r="I16" s="17"/>
      <c r="J16" s="17"/>
      <c r="K16" s="17"/>
      <c r="L16" s="17"/>
      <c r="M16" s="28" t="str">
        <f t="shared" si="0"/>
        <v/>
      </c>
      <c r="N16" s="35" t="str">
        <f t="shared" si="1"/>
        <v/>
      </c>
      <c r="O16" s="28" t="str">
        <f t="shared" si="2"/>
        <v/>
      </c>
      <c r="P16" s="6"/>
      <c r="Q16" s="6"/>
      <c r="R16" s="28" t="str">
        <f t="shared" si="3"/>
        <v/>
      </c>
      <c r="S16" s="18"/>
      <c r="T16" s="18"/>
      <c r="U16" s="18"/>
      <c r="V16" s="18"/>
      <c r="W16" s="18"/>
      <c r="X16" s="37" t="str">
        <f t="shared" si="4"/>
        <v/>
      </c>
      <c r="Y16" s="18"/>
      <c r="Z16" s="18"/>
      <c r="AA16" s="37" t="str">
        <f t="shared" si="5"/>
        <v/>
      </c>
      <c r="AB16" s="6"/>
      <c r="AC16" s="6"/>
      <c r="AD16" s="6"/>
      <c r="AE16" s="6"/>
      <c r="AF16" s="6"/>
      <c r="AG16" s="28" t="str">
        <f t="shared" si="6"/>
        <v/>
      </c>
      <c r="AH16" s="29"/>
      <c r="AI16" s="29"/>
      <c r="AJ16" s="29"/>
      <c r="AK16" s="29"/>
      <c r="AL16" s="29"/>
      <c r="AM16" s="29"/>
      <c r="AN16" s="29"/>
      <c r="AO16" s="29"/>
      <c r="AP16" s="32"/>
      <c r="AQ16" s="28" t="str">
        <f t="shared" si="7"/>
        <v/>
      </c>
    </row>
    <row r="17" spans="1:43" ht="38" customHeight="1" x14ac:dyDescent="0.2">
      <c r="A17" s="6"/>
      <c r="B17" s="6"/>
      <c r="C17" s="6"/>
      <c r="D17" s="6"/>
      <c r="E17" s="17"/>
      <c r="F17" s="17"/>
      <c r="G17" s="17"/>
      <c r="H17" s="17"/>
      <c r="I17" s="17"/>
      <c r="J17" s="17"/>
      <c r="K17" s="17"/>
      <c r="L17" s="17"/>
      <c r="M17" s="28" t="str">
        <f t="shared" si="0"/>
        <v/>
      </c>
      <c r="N17" s="36" t="str">
        <f t="shared" si="1"/>
        <v/>
      </c>
      <c r="O17" s="28" t="str">
        <f t="shared" si="2"/>
        <v/>
      </c>
      <c r="P17" s="6"/>
      <c r="Q17" s="6"/>
      <c r="R17" s="28" t="str">
        <f t="shared" si="3"/>
        <v/>
      </c>
      <c r="S17" s="18"/>
      <c r="T17" s="18"/>
      <c r="U17" s="18"/>
      <c r="V17" s="18"/>
      <c r="W17" s="18"/>
      <c r="X17" s="38" t="str">
        <f t="shared" si="4"/>
        <v/>
      </c>
      <c r="Y17" s="18"/>
      <c r="Z17" s="18"/>
      <c r="AA17" s="38" t="str">
        <f t="shared" si="5"/>
        <v/>
      </c>
      <c r="AB17" s="6"/>
      <c r="AC17" s="6"/>
      <c r="AD17" s="6"/>
      <c r="AE17" s="6"/>
      <c r="AF17" s="6"/>
      <c r="AG17" s="28" t="str">
        <f t="shared" si="6"/>
        <v/>
      </c>
      <c r="AH17" s="29"/>
      <c r="AI17" s="29"/>
      <c r="AJ17" s="29"/>
      <c r="AK17" s="29"/>
      <c r="AL17" s="29"/>
      <c r="AM17" s="29"/>
      <c r="AN17" s="29"/>
      <c r="AO17" s="29"/>
      <c r="AP17" s="32"/>
      <c r="AQ17" s="28" t="str">
        <f t="shared" si="7"/>
        <v/>
      </c>
    </row>
    <row r="18" spans="1:43" ht="38" customHeight="1" x14ac:dyDescent="0.2">
      <c r="A18" s="6"/>
      <c r="B18" s="6"/>
      <c r="C18" s="6"/>
      <c r="D18" s="6"/>
      <c r="E18" s="17"/>
      <c r="F18" s="17"/>
      <c r="G18" s="17"/>
      <c r="H18" s="17"/>
      <c r="I18" s="17"/>
      <c r="J18" s="17"/>
      <c r="K18" s="17"/>
      <c r="L18" s="17"/>
      <c r="M18" s="28" t="str">
        <f t="shared" si="0"/>
        <v/>
      </c>
      <c r="N18" s="35" t="str">
        <f t="shared" si="1"/>
        <v/>
      </c>
      <c r="O18" s="28" t="str">
        <f t="shared" si="2"/>
        <v/>
      </c>
      <c r="P18" s="6"/>
      <c r="Q18" s="6"/>
      <c r="R18" s="28" t="str">
        <f t="shared" si="3"/>
        <v/>
      </c>
      <c r="S18" s="18"/>
      <c r="T18" s="18"/>
      <c r="U18" s="18"/>
      <c r="V18" s="18"/>
      <c r="W18" s="18"/>
      <c r="X18" s="37" t="str">
        <f t="shared" si="4"/>
        <v/>
      </c>
      <c r="Y18" s="18"/>
      <c r="Z18" s="18"/>
      <c r="AA18" s="37" t="str">
        <f t="shared" si="5"/>
        <v/>
      </c>
      <c r="AB18" s="6"/>
      <c r="AC18" s="6"/>
      <c r="AD18" s="6"/>
      <c r="AE18" s="6"/>
      <c r="AF18" s="6"/>
      <c r="AG18" s="28" t="str">
        <f t="shared" si="6"/>
        <v/>
      </c>
      <c r="AH18" s="29"/>
      <c r="AI18" s="29"/>
      <c r="AJ18" s="29"/>
      <c r="AK18" s="29"/>
      <c r="AL18" s="29"/>
      <c r="AM18" s="29"/>
      <c r="AN18" s="29"/>
      <c r="AO18" s="29"/>
      <c r="AP18" s="32"/>
      <c r="AQ18" s="28" t="str">
        <f t="shared" si="7"/>
        <v/>
      </c>
    </row>
    <row r="19" spans="1:43" ht="38" customHeight="1" x14ac:dyDescent="0.2">
      <c r="A19" s="6"/>
      <c r="B19" s="6"/>
      <c r="C19" s="6"/>
      <c r="D19" s="6"/>
      <c r="E19" s="17"/>
      <c r="F19" s="17"/>
      <c r="G19" s="17"/>
      <c r="H19" s="17"/>
      <c r="I19" s="17"/>
      <c r="J19" s="17"/>
      <c r="K19" s="17"/>
      <c r="L19" s="17"/>
      <c r="M19" s="28" t="str">
        <f t="shared" si="0"/>
        <v/>
      </c>
      <c r="N19" s="36" t="str">
        <f t="shared" si="1"/>
        <v/>
      </c>
      <c r="O19" s="28" t="str">
        <f t="shared" si="2"/>
        <v/>
      </c>
      <c r="P19" s="6"/>
      <c r="Q19" s="6"/>
      <c r="R19" s="28" t="str">
        <f t="shared" si="3"/>
        <v/>
      </c>
      <c r="S19" s="18"/>
      <c r="T19" s="18"/>
      <c r="U19" s="18"/>
      <c r="V19" s="18"/>
      <c r="W19" s="18"/>
      <c r="X19" s="38" t="str">
        <f t="shared" si="4"/>
        <v/>
      </c>
      <c r="Y19" s="18"/>
      <c r="Z19" s="18"/>
      <c r="AA19" s="38" t="str">
        <f t="shared" si="5"/>
        <v/>
      </c>
      <c r="AB19" s="6"/>
      <c r="AC19" s="6"/>
      <c r="AD19" s="6"/>
      <c r="AE19" s="6"/>
      <c r="AF19" s="6"/>
      <c r="AG19" s="28" t="str">
        <f t="shared" si="6"/>
        <v/>
      </c>
      <c r="AH19" s="29"/>
      <c r="AI19" s="29"/>
      <c r="AJ19" s="29"/>
      <c r="AK19" s="29"/>
      <c r="AL19" s="29"/>
      <c r="AM19" s="29"/>
      <c r="AN19" s="29"/>
      <c r="AO19" s="29"/>
      <c r="AP19" s="32"/>
      <c r="AQ19" s="28" t="str">
        <f t="shared" si="7"/>
        <v/>
      </c>
    </row>
    <row r="20" spans="1:43" ht="38" customHeight="1" x14ac:dyDescent="0.2">
      <c r="A20" s="6"/>
      <c r="B20" s="6"/>
      <c r="C20" s="6"/>
      <c r="D20" s="6"/>
      <c r="E20" s="17"/>
      <c r="F20" s="17"/>
      <c r="G20" s="17"/>
      <c r="H20" s="17"/>
      <c r="I20" s="17"/>
      <c r="J20" s="17"/>
      <c r="K20" s="17"/>
      <c r="L20" s="17"/>
      <c r="M20" s="28" t="str">
        <f t="shared" si="0"/>
        <v/>
      </c>
      <c r="N20" s="35" t="str">
        <f t="shared" si="1"/>
        <v/>
      </c>
      <c r="O20" s="28" t="str">
        <f t="shared" si="2"/>
        <v/>
      </c>
      <c r="P20" s="6"/>
      <c r="Q20" s="6"/>
      <c r="R20" s="28" t="str">
        <f t="shared" si="3"/>
        <v/>
      </c>
      <c r="S20" s="18"/>
      <c r="T20" s="18"/>
      <c r="U20" s="18"/>
      <c r="V20" s="18"/>
      <c r="W20" s="18"/>
      <c r="X20" s="37" t="str">
        <f t="shared" si="4"/>
        <v/>
      </c>
      <c r="Y20" s="18"/>
      <c r="Z20" s="18"/>
      <c r="AA20" s="37" t="str">
        <f t="shared" si="5"/>
        <v/>
      </c>
      <c r="AB20" s="6"/>
      <c r="AC20" s="6"/>
      <c r="AD20" s="6"/>
      <c r="AE20" s="6"/>
      <c r="AF20" s="6"/>
      <c r="AG20" s="28" t="str">
        <f t="shared" si="6"/>
        <v/>
      </c>
      <c r="AH20" s="29"/>
      <c r="AI20" s="29"/>
      <c r="AJ20" s="29"/>
      <c r="AK20" s="29"/>
      <c r="AL20" s="29"/>
      <c r="AM20" s="29"/>
      <c r="AN20" s="29"/>
      <c r="AO20" s="29"/>
      <c r="AP20" s="32"/>
      <c r="AQ20" s="28" t="str">
        <f t="shared" si="7"/>
        <v/>
      </c>
    </row>
    <row r="21" spans="1:43" ht="38" customHeight="1" x14ac:dyDescent="0.2">
      <c r="A21" s="6"/>
      <c r="B21" s="6"/>
      <c r="C21" s="6"/>
      <c r="D21" s="6"/>
      <c r="E21" s="17"/>
      <c r="F21" s="17"/>
      <c r="G21" s="17"/>
      <c r="H21" s="17"/>
      <c r="I21" s="17"/>
      <c r="J21" s="17"/>
      <c r="K21" s="17"/>
      <c r="L21" s="17"/>
      <c r="M21" s="28" t="str">
        <f t="shared" si="0"/>
        <v/>
      </c>
      <c r="N21" s="36" t="str">
        <f t="shared" si="1"/>
        <v/>
      </c>
      <c r="O21" s="28" t="str">
        <f t="shared" si="2"/>
        <v/>
      </c>
      <c r="P21" s="6"/>
      <c r="Q21" s="6"/>
      <c r="R21" s="28" t="str">
        <f t="shared" si="3"/>
        <v/>
      </c>
      <c r="S21" s="18"/>
      <c r="T21" s="18"/>
      <c r="U21" s="18"/>
      <c r="V21" s="18"/>
      <c r="W21" s="18"/>
      <c r="X21" s="38" t="str">
        <f t="shared" si="4"/>
        <v/>
      </c>
      <c r="Y21" s="18"/>
      <c r="Z21" s="18"/>
      <c r="AA21" s="38" t="str">
        <f t="shared" si="5"/>
        <v/>
      </c>
      <c r="AB21" s="6"/>
      <c r="AC21" s="6"/>
      <c r="AD21" s="6"/>
      <c r="AE21" s="6"/>
      <c r="AF21" s="6"/>
      <c r="AG21" s="28" t="str">
        <f t="shared" si="6"/>
        <v/>
      </c>
      <c r="AH21" s="29"/>
      <c r="AI21" s="29"/>
      <c r="AJ21" s="29"/>
      <c r="AK21" s="29"/>
      <c r="AL21" s="29"/>
      <c r="AM21" s="29"/>
      <c r="AN21" s="29"/>
      <c r="AO21" s="29"/>
      <c r="AP21" s="32"/>
      <c r="AQ21" s="28" t="str">
        <f t="shared" si="7"/>
        <v/>
      </c>
    </row>
    <row r="22" spans="1:43" ht="38" customHeight="1" x14ac:dyDescent="0.2">
      <c r="A22" s="6"/>
      <c r="B22" s="6"/>
      <c r="C22" s="6"/>
      <c r="D22" s="6"/>
      <c r="E22" s="17"/>
      <c r="F22" s="17"/>
      <c r="G22" s="17"/>
      <c r="H22" s="17"/>
      <c r="I22" s="17"/>
      <c r="J22" s="17"/>
      <c r="K22" s="17"/>
      <c r="L22" s="17"/>
      <c r="M22" s="28" t="str">
        <f t="shared" si="0"/>
        <v/>
      </c>
      <c r="N22" s="35" t="str">
        <f t="shared" si="1"/>
        <v/>
      </c>
      <c r="O22" s="28" t="str">
        <f t="shared" si="2"/>
        <v/>
      </c>
      <c r="P22" s="6"/>
      <c r="Q22" s="6"/>
      <c r="R22" s="28" t="str">
        <f t="shared" si="3"/>
        <v/>
      </c>
      <c r="S22" s="18"/>
      <c r="T22" s="18"/>
      <c r="U22" s="18"/>
      <c r="V22" s="18"/>
      <c r="W22" s="18"/>
      <c r="X22" s="37" t="str">
        <f t="shared" si="4"/>
        <v/>
      </c>
      <c r="Y22" s="18"/>
      <c r="Z22" s="18"/>
      <c r="AA22" s="37" t="str">
        <f t="shared" si="5"/>
        <v/>
      </c>
      <c r="AB22" s="6"/>
      <c r="AC22" s="6"/>
      <c r="AD22" s="6"/>
      <c r="AE22" s="6"/>
      <c r="AF22" s="6"/>
      <c r="AG22" s="28" t="str">
        <f t="shared" si="6"/>
        <v/>
      </c>
      <c r="AH22" s="29"/>
      <c r="AI22" s="29"/>
      <c r="AJ22" s="29"/>
      <c r="AK22" s="29"/>
      <c r="AL22" s="29"/>
      <c r="AM22" s="29"/>
      <c r="AN22" s="29"/>
      <c r="AO22" s="29"/>
      <c r="AP22" s="32"/>
      <c r="AQ22" s="28" t="str">
        <f t="shared" si="7"/>
        <v/>
      </c>
    </row>
    <row r="23" spans="1:43" ht="38" customHeight="1" x14ac:dyDescent="0.2">
      <c r="A23" s="6"/>
      <c r="B23" s="6"/>
      <c r="C23" s="6"/>
      <c r="D23" s="6"/>
      <c r="E23" s="17"/>
      <c r="F23" s="17"/>
      <c r="G23" s="17"/>
      <c r="H23" s="17"/>
      <c r="I23" s="17"/>
      <c r="J23" s="17"/>
      <c r="K23" s="17"/>
      <c r="L23" s="17"/>
      <c r="M23" s="28" t="str">
        <f t="shared" si="0"/>
        <v/>
      </c>
      <c r="N23" s="36" t="str">
        <f t="shared" si="1"/>
        <v/>
      </c>
      <c r="O23" s="28" t="str">
        <f t="shared" si="2"/>
        <v/>
      </c>
      <c r="P23" s="6"/>
      <c r="Q23" s="6"/>
      <c r="R23" s="28" t="str">
        <f t="shared" si="3"/>
        <v/>
      </c>
      <c r="S23" s="18"/>
      <c r="T23" s="18"/>
      <c r="U23" s="18"/>
      <c r="V23" s="18"/>
      <c r="W23" s="18"/>
      <c r="X23" s="38" t="str">
        <f t="shared" si="4"/>
        <v/>
      </c>
      <c r="Y23" s="18"/>
      <c r="Z23" s="18"/>
      <c r="AA23" s="38" t="str">
        <f t="shared" si="5"/>
        <v/>
      </c>
      <c r="AB23" s="6"/>
      <c r="AC23" s="6"/>
      <c r="AD23" s="6"/>
      <c r="AE23" s="6"/>
      <c r="AF23" s="6"/>
      <c r="AG23" s="28" t="str">
        <f t="shared" si="6"/>
        <v/>
      </c>
      <c r="AH23" s="29"/>
      <c r="AI23" s="29"/>
      <c r="AJ23" s="29"/>
      <c r="AK23" s="29"/>
      <c r="AL23" s="29"/>
      <c r="AM23" s="29"/>
      <c r="AN23" s="29"/>
      <c r="AO23" s="29"/>
      <c r="AP23" s="32"/>
      <c r="AQ23" s="28" t="str">
        <f t="shared" si="7"/>
        <v/>
      </c>
    </row>
    <row r="24" spans="1:43" ht="38" customHeight="1" x14ac:dyDescent="0.2">
      <c r="A24" s="6"/>
      <c r="B24" s="6"/>
      <c r="C24" s="6"/>
      <c r="D24" s="6"/>
      <c r="E24" s="17"/>
      <c r="F24" s="17"/>
      <c r="G24" s="17"/>
      <c r="H24" s="17"/>
      <c r="I24" s="17"/>
      <c r="J24" s="17"/>
      <c r="K24" s="17"/>
      <c r="L24" s="17"/>
      <c r="M24" s="28" t="str">
        <f t="shared" si="0"/>
        <v/>
      </c>
      <c r="N24" s="35" t="str">
        <f t="shared" si="1"/>
        <v/>
      </c>
      <c r="O24" s="28" t="str">
        <f t="shared" si="2"/>
        <v/>
      </c>
      <c r="P24" s="6"/>
      <c r="Q24" s="6"/>
      <c r="R24" s="28" t="str">
        <f t="shared" si="3"/>
        <v/>
      </c>
      <c r="S24" s="18"/>
      <c r="T24" s="18"/>
      <c r="U24" s="18"/>
      <c r="V24" s="18"/>
      <c r="W24" s="18"/>
      <c r="X24" s="37" t="str">
        <f t="shared" si="4"/>
        <v/>
      </c>
      <c r="Y24" s="18"/>
      <c r="Z24" s="18"/>
      <c r="AA24" s="37" t="str">
        <f t="shared" si="5"/>
        <v/>
      </c>
      <c r="AB24" s="6"/>
      <c r="AC24" s="6"/>
      <c r="AD24" s="6"/>
      <c r="AE24" s="6"/>
      <c r="AF24" s="6"/>
      <c r="AG24" s="28" t="str">
        <f t="shared" si="6"/>
        <v/>
      </c>
      <c r="AH24" s="29"/>
      <c r="AI24" s="29"/>
      <c r="AJ24" s="29"/>
      <c r="AK24" s="29"/>
      <c r="AL24" s="29"/>
      <c r="AM24" s="29"/>
      <c r="AN24" s="29"/>
      <c r="AO24" s="29"/>
      <c r="AP24" s="32"/>
      <c r="AQ24" s="28" t="str">
        <f t="shared" si="7"/>
        <v/>
      </c>
    </row>
    <row r="25" spans="1:43" ht="38" customHeight="1" x14ac:dyDescent="0.2">
      <c r="A25" s="6"/>
      <c r="B25" s="6"/>
      <c r="C25" s="6"/>
      <c r="D25" s="6"/>
      <c r="E25" s="17"/>
      <c r="F25" s="17"/>
      <c r="G25" s="17"/>
      <c r="H25" s="17"/>
      <c r="I25" s="17"/>
      <c r="J25" s="17"/>
      <c r="K25" s="17"/>
      <c r="L25" s="17"/>
      <c r="M25" s="28" t="str">
        <f t="shared" si="0"/>
        <v/>
      </c>
      <c r="N25" s="36" t="str">
        <f t="shared" si="1"/>
        <v/>
      </c>
      <c r="O25" s="28" t="str">
        <f t="shared" si="2"/>
        <v/>
      </c>
      <c r="P25" s="6"/>
      <c r="Q25" s="6"/>
      <c r="R25" s="28" t="str">
        <f t="shared" si="3"/>
        <v/>
      </c>
      <c r="S25" s="18"/>
      <c r="T25" s="18"/>
      <c r="U25" s="18"/>
      <c r="V25" s="18"/>
      <c r="W25" s="18"/>
      <c r="X25" s="38" t="str">
        <f t="shared" si="4"/>
        <v/>
      </c>
      <c r="Y25" s="18"/>
      <c r="Z25" s="18"/>
      <c r="AA25" s="38" t="str">
        <f t="shared" si="5"/>
        <v/>
      </c>
      <c r="AB25" s="6"/>
      <c r="AC25" s="6"/>
      <c r="AD25" s="6"/>
      <c r="AE25" s="6"/>
      <c r="AF25" s="6"/>
      <c r="AG25" s="28" t="str">
        <f t="shared" si="6"/>
        <v/>
      </c>
      <c r="AH25" s="29"/>
      <c r="AI25" s="29"/>
      <c r="AJ25" s="29"/>
      <c r="AK25" s="29"/>
      <c r="AL25" s="29"/>
      <c r="AM25" s="29"/>
      <c r="AN25" s="29"/>
      <c r="AO25" s="29"/>
      <c r="AP25" s="32"/>
      <c r="AQ25" s="28" t="str">
        <f t="shared" si="7"/>
        <v/>
      </c>
    </row>
    <row r="26" spans="1:43" ht="38" customHeight="1" x14ac:dyDescent="0.2">
      <c r="A26" s="6"/>
      <c r="B26" s="6"/>
      <c r="C26" s="6"/>
      <c r="D26" s="6"/>
      <c r="E26" s="17"/>
      <c r="F26" s="17"/>
      <c r="G26" s="17"/>
      <c r="H26" s="17"/>
      <c r="I26" s="17"/>
      <c r="J26" s="17"/>
      <c r="K26" s="17"/>
      <c r="L26" s="17"/>
      <c r="M26" s="28" t="str">
        <f t="shared" si="0"/>
        <v/>
      </c>
      <c r="N26" s="35" t="str">
        <f t="shared" si="1"/>
        <v/>
      </c>
      <c r="O26" s="28" t="str">
        <f t="shared" si="2"/>
        <v/>
      </c>
      <c r="P26" s="6"/>
      <c r="Q26" s="6"/>
      <c r="R26" s="28" t="str">
        <f t="shared" si="3"/>
        <v/>
      </c>
      <c r="S26" s="18"/>
      <c r="T26" s="18"/>
      <c r="U26" s="18"/>
      <c r="V26" s="18"/>
      <c r="W26" s="18"/>
      <c r="X26" s="37" t="str">
        <f t="shared" si="4"/>
        <v/>
      </c>
      <c r="Y26" s="18"/>
      <c r="Z26" s="18"/>
      <c r="AA26" s="37" t="str">
        <f t="shared" si="5"/>
        <v/>
      </c>
      <c r="AB26" s="6"/>
      <c r="AC26" s="6"/>
      <c r="AD26" s="6"/>
      <c r="AE26" s="6"/>
      <c r="AF26" s="6"/>
      <c r="AG26" s="28" t="str">
        <f t="shared" si="6"/>
        <v/>
      </c>
      <c r="AH26" s="29"/>
      <c r="AI26" s="29"/>
      <c r="AJ26" s="29"/>
      <c r="AK26" s="29"/>
      <c r="AL26" s="29"/>
      <c r="AM26" s="29"/>
      <c r="AN26" s="29"/>
      <c r="AO26" s="29"/>
      <c r="AP26" s="32"/>
      <c r="AQ26" s="28" t="str">
        <f t="shared" si="7"/>
        <v/>
      </c>
    </row>
    <row r="27" spans="1:43" ht="38" customHeight="1" x14ac:dyDescent="0.2">
      <c r="A27" s="6"/>
      <c r="B27" s="6"/>
      <c r="C27" s="6"/>
      <c r="D27" s="6"/>
      <c r="E27" s="17"/>
      <c r="F27" s="17"/>
      <c r="G27" s="17"/>
      <c r="H27" s="17"/>
      <c r="I27" s="17"/>
      <c r="J27" s="17"/>
      <c r="K27" s="17"/>
      <c r="L27" s="17"/>
      <c r="M27" s="28" t="str">
        <f t="shared" si="0"/>
        <v/>
      </c>
      <c r="N27" s="36" t="str">
        <f t="shared" si="1"/>
        <v/>
      </c>
      <c r="O27" s="28" t="str">
        <f t="shared" si="2"/>
        <v/>
      </c>
      <c r="P27" s="6"/>
      <c r="Q27" s="6"/>
      <c r="R27" s="28" t="str">
        <f t="shared" si="3"/>
        <v/>
      </c>
      <c r="S27" s="18"/>
      <c r="T27" s="18"/>
      <c r="U27" s="18"/>
      <c r="V27" s="18"/>
      <c r="W27" s="18"/>
      <c r="X27" s="38" t="str">
        <f t="shared" si="4"/>
        <v/>
      </c>
      <c r="Y27" s="18"/>
      <c r="Z27" s="18"/>
      <c r="AA27" s="38" t="str">
        <f t="shared" si="5"/>
        <v/>
      </c>
      <c r="AB27" s="6"/>
      <c r="AC27" s="6"/>
      <c r="AD27" s="6"/>
      <c r="AE27" s="6"/>
      <c r="AF27" s="6"/>
      <c r="AG27" s="28" t="str">
        <f t="shared" si="6"/>
        <v/>
      </c>
      <c r="AH27" s="29"/>
      <c r="AI27" s="29"/>
      <c r="AJ27" s="29"/>
      <c r="AK27" s="29"/>
      <c r="AL27" s="29"/>
      <c r="AM27" s="29"/>
      <c r="AN27" s="29"/>
      <c r="AO27" s="29"/>
      <c r="AP27" s="32"/>
      <c r="AQ27" s="28" t="str">
        <f t="shared" si="7"/>
        <v/>
      </c>
    </row>
    <row r="28" spans="1:43" ht="38" customHeight="1" x14ac:dyDescent="0.2">
      <c r="A28" s="6"/>
      <c r="B28" s="6"/>
      <c r="C28" s="6"/>
      <c r="D28" s="6"/>
      <c r="E28" s="17"/>
      <c r="F28" s="17"/>
      <c r="G28" s="17"/>
      <c r="H28" s="17"/>
      <c r="I28" s="17"/>
      <c r="J28" s="17"/>
      <c r="K28" s="17"/>
      <c r="L28" s="17"/>
      <c r="M28" s="28" t="str">
        <f t="shared" si="0"/>
        <v/>
      </c>
      <c r="N28" s="35" t="str">
        <f t="shared" si="1"/>
        <v/>
      </c>
      <c r="O28" s="28" t="str">
        <f t="shared" si="2"/>
        <v/>
      </c>
      <c r="P28" s="6"/>
      <c r="Q28" s="6"/>
      <c r="R28" s="28" t="str">
        <f t="shared" si="3"/>
        <v/>
      </c>
      <c r="S28" s="18"/>
      <c r="T28" s="18"/>
      <c r="U28" s="18"/>
      <c r="V28" s="18"/>
      <c r="W28" s="18"/>
      <c r="X28" s="37" t="str">
        <f t="shared" si="4"/>
        <v/>
      </c>
      <c r="Y28" s="18"/>
      <c r="Z28" s="18"/>
      <c r="AA28" s="37" t="str">
        <f t="shared" si="5"/>
        <v/>
      </c>
      <c r="AB28" s="6"/>
      <c r="AC28" s="6"/>
      <c r="AD28" s="6"/>
      <c r="AE28" s="6"/>
      <c r="AF28" s="6"/>
      <c r="AG28" s="28" t="str">
        <f t="shared" si="6"/>
        <v/>
      </c>
      <c r="AH28" s="29"/>
      <c r="AI28" s="29"/>
      <c r="AJ28" s="29"/>
      <c r="AK28" s="29"/>
      <c r="AL28" s="29"/>
      <c r="AM28" s="29"/>
      <c r="AN28" s="29"/>
      <c r="AO28" s="29"/>
      <c r="AP28" s="32"/>
      <c r="AQ28" s="28" t="str">
        <f t="shared" si="7"/>
        <v/>
      </c>
    </row>
    <row r="29" spans="1:43" ht="38" customHeight="1" x14ac:dyDescent="0.2">
      <c r="A29" s="6"/>
      <c r="B29" s="6"/>
      <c r="C29" s="6"/>
      <c r="D29" s="6"/>
      <c r="E29" s="17"/>
      <c r="F29" s="17"/>
      <c r="G29" s="17"/>
      <c r="H29" s="17"/>
      <c r="I29" s="17"/>
      <c r="J29" s="17"/>
      <c r="K29" s="17"/>
      <c r="L29" s="17"/>
      <c r="M29" s="28" t="str">
        <f t="shared" si="0"/>
        <v/>
      </c>
      <c r="N29" s="36" t="str">
        <f t="shared" si="1"/>
        <v/>
      </c>
      <c r="O29" s="28" t="str">
        <f t="shared" si="2"/>
        <v/>
      </c>
      <c r="P29" s="6"/>
      <c r="Q29" s="6"/>
      <c r="R29" s="28" t="str">
        <f t="shared" si="3"/>
        <v/>
      </c>
      <c r="S29" s="18"/>
      <c r="T29" s="18"/>
      <c r="U29" s="18"/>
      <c r="V29" s="18"/>
      <c r="W29" s="18"/>
      <c r="X29" s="38" t="str">
        <f t="shared" si="4"/>
        <v/>
      </c>
      <c r="Y29" s="18"/>
      <c r="Z29" s="18"/>
      <c r="AA29" s="38" t="str">
        <f t="shared" si="5"/>
        <v/>
      </c>
      <c r="AB29" s="6"/>
      <c r="AC29" s="6"/>
      <c r="AD29" s="6"/>
      <c r="AE29" s="6"/>
      <c r="AF29" s="6"/>
      <c r="AG29" s="28" t="str">
        <f t="shared" si="6"/>
        <v/>
      </c>
      <c r="AH29" s="29"/>
      <c r="AI29" s="29"/>
      <c r="AJ29" s="29"/>
      <c r="AK29" s="29"/>
      <c r="AL29" s="29"/>
      <c r="AM29" s="29"/>
      <c r="AN29" s="29"/>
      <c r="AO29" s="29"/>
      <c r="AP29" s="32"/>
      <c r="AQ29" s="28" t="str">
        <f t="shared" si="7"/>
        <v/>
      </c>
    </row>
    <row r="30" spans="1:43" ht="38" customHeight="1" x14ac:dyDescent="0.2">
      <c r="A30" s="6"/>
      <c r="B30" s="6"/>
      <c r="C30" s="6"/>
      <c r="D30" s="6"/>
      <c r="E30" s="17"/>
      <c r="F30" s="17"/>
      <c r="G30" s="17"/>
      <c r="H30" s="17"/>
      <c r="I30" s="17"/>
      <c r="J30" s="17"/>
      <c r="K30" s="17"/>
      <c r="L30" s="17"/>
      <c r="M30" s="28" t="str">
        <f t="shared" si="0"/>
        <v/>
      </c>
      <c r="N30" s="35" t="str">
        <f t="shared" si="1"/>
        <v/>
      </c>
      <c r="O30" s="28" t="str">
        <f t="shared" si="2"/>
        <v/>
      </c>
      <c r="P30" s="6"/>
      <c r="Q30" s="6"/>
      <c r="R30" s="28" t="str">
        <f t="shared" si="3"/>
        <v/>
      </c>
      <c r="S30" s="18"/>
      <c r="T30" s="18"/>
      <c r="U30" s="18"/>
      <c r="V30" s="18"/>
      <c r="W30" s="18"/>
      <c r="X30" s="37" t="str">
        <f t="shared" si="4"/>
        <v/>
      </c>
      <c r="Y30" s="18"/>
      <c r="Z30" s="18"/>
      <c r="AA30" s="37" t="str">
        <f t="shared" si="5"/>
        <v/>
      </c>
      <c r="AB30" s="6"/>
      <c r="AC30" s="6"/>
      <c r="AD30" s="6"/>
      <c r="AE30" s="6"/>
      <c r="AF30" s="6"/>
      <c r="AG30" s="28" t="str">
        <f t="shared" si="6"/>
        <v/>
      </c>
      <c r="AH30" s="29"/>
      <c r="AI30" s="29"/>
      <c r="AJ30" s="29"/>
      <c r="AK30" s="29"/>
      <c r="AL30" s="29"/>
      <c r="AM30" s="29"/>
      <c r="AN30" s="29"/>
      <c r="AO30" s="29"/>
      <c r="AP30" s="32"/>
      <c r="AQ30" s="28" t="str">
        <f t="shared" si="7"/>
        <v/>
      </c>
    </row>
    <row r="31" spans="1:43" ht="38" customHeight="1" x14ac:dyDescent="0.2">
      <c r="A31" s="6"/>
      <c r="B31" s="6"/>
      <c r="C31" s="6"/>
      <c r="D31" s="6"/>
      <c r="E31" s="17"/>
      <c r="F31" s="17"/>
      <c r="G31" s="17"/>
      <c r="H31" s="17"/>
      <c r="I31" s="17"/>
      <c r="J31" s="17"/>
      <c r="K31" s="17"/>
      <c r="L31" s="17"/>
      <c r="M31" s="28" t="str">
        <f t="shared" si="0"/>
        <v/>
      </c>
      <c r="N31" s="36" t="str">
        <f t="shared" si="1"/>
        <v/>
      </c>
      <c r="O31" s="28" t="str">
        <f t="shared" si="2"/>
        <v/>
      </c>
      <c r="P31" s="6"/>
      <c r="Q31" s="6"/>
      <c r="R31" s="28" t="str">
        <f t="shared" si="3"/>
        <v/>
      </c>
      <c r="S31" s="18"/>
      <c r="T31" s="18"/>
      <c r="U31" s="18"/>
      <c r="V31" s="18"/>
      <c r="W31" s="18"/>
      <c r="X31" s="38" t="str">
        <f t="shared" si="4"/>
        <v/>
      </c>
      <c r="Y31" s="18"/>
      <c r="Z31" s="18"/>
      <c r="AA31" s="38" t="str">
        <f t="shared" si="5"/>
        <v/>
      </c>
      <c r="AB31" s="6"/>
      <c r="AC31" s="6"/>
      <c r="AD31" s="6"/>
      <c r="AE31" s="6"/>
      <c r="AF31" s="6"/>
      <c r="AG31" s="28" t="str">
        <f t="shared" si="6"/>
        <v/>
      </c>
      <c r="AH31" s="29"/>
      <c r="AI31" s="29"/>
      <c r="AJ31" s="29"/>
      <c r="AK31" s="29"/>
      <c r="AL31" s="29"/>
      <c r="AM31" s="29"/>
      <c r="AN31" s="29"/>
      <c r="AO31" s="29"/>
      <c r="AP31" s="32"/>
      <c r="AQ31" s="28" t="str">
        <f t="shared" si="7"/>
        <v/>
      </c>
    </row>
    <row r="32" spans="1:43" ht="38" customHeight="1" x14ac:dyDescent="0.2">
      <c r="A32" s="6"/>
      <c r="B32" s="6"/>
      <c r="C32" s="6"/>
      <c r="D32" s="6"/>
      <c r="E32" s="17"/>
      <c r="F32" s="17"/>
      <c r="G32" s="17"/>
      <c r="H32" s="17"/>
      <c r="I32" s="17"/>
      <c r="J32" s="17"/>
      <c r="K32" s="17"/>
      <c r="L32" s="17"/>
      <c r="M32" s="28" t="str">
        <f t="shared" si="0"/>
        <v/>
      </c>
      <c r="N32" s="35" t="str">
        <f t="shared" si="1"/>
        <v/>
      </c>
      <c r="O32" s="28" t="str">
        <f t="shared" si="2"/>
        <v/>
      </c>
      <c r="P32" s="6"/>
      <c r="Q32" s="6"/>
      <c r="R32" s="28" t="str">
        <f t="shared" si="3"/>
        <v/>
      </c>
      <c r="S32" s="18"/>
      <c r="T32" s="18"/>
      <c r="U32" s="18"/>
      <c r="V32" s="18"/>
      <c r="W32" s="18"/>
      <c r="X32" s="37" t="str">
        <f t="shared" si="4"/>
        <v/>
      </c>
      <c r="Y32" s="18"/>
      <c r="Z32" s="18"/>
      <c r="AA32" s="37" t="str">
        <f t="shared" si="5"/>
        <v/>
      </c>
      <c r="AB32" s="6"/>
      <c r="AC32" s="6"/>
      <c r="AD32" s="6"/>
      <c r="AE32" s="6"/>
      <c r="AF32" s="6"/>
      <c r="AG32" s="28" t="str">
        <f t="shared" si="6"/>
        <v/>
      </c>
      <c r="AH32" s="29"/>
      <c r="AI32" s="29"/>
      <c r="AJ32" s="29"/>
      <c r="AK32" s="29"/>
      <c r="AL32" s="29"/>
      <c r="AM32" s="29"/>
      <c r="AN32" s="29"/>
      <c r="AO32" s="29"/>
      <c r="AP32" s="32"/>
      <c r="AQ32" s="28" t="str">
        <f t="shared" si="7"/>
        <v/>
      </c>
    </row>
    <row r="33" spans="1:43" ht="38" customHeight="1" x14ac:dyDescent="0.2">
      <c r="A33" s="6"/>
      <c r="B33" s="6"/>
      <c r="C33" s="6"/>
      <c r="D33" s="6"/>
      <c r="E33" s="17"/>
      <c r="F33" s="17"/>
      <c r="G33" s="17"/>
      <c r="H33" s="17"/>
      <c r="I33" s="17"/>
      <c r="J33" s="17"/>
      <c r="K33" s="17"/>
      <c r="L33" s="17"/>
      <c r="M33" s="28" t="str">
        <f t="shared" si="0"/>
        <v/>
      </c>
      <c r="N33" s="36" t="str">
        <f t="shared" si="1"/>
        <v/>
      </c>
      <c r="O33" s="28" t="str">
        <f t="shared" si="2"/>
        <v/>
      </c>
      <c r="P33" s="6"/>
      <c r="Q33" s="6"/>
      <c r="R33" s="28" t="str">
        <f t="shared" si="3"/>
        <v/>
      </c>
      <c r="S33" s="18"/>
      <c r="T33" s="18"/>
      <c r="U33" s="18"/>
      <c r="V33" s="18"/>
      <c r="W33" s="18"/>
      <c r="X33" s="38" t="str">
        <f t="shared" si="4"/>
        <v/>
      </c>
      <c r="Y33" s="18"/>
      <c r="Z33" s="18"/>
      <c r="AA33" s="38" t="str">
        <f t="shared" si="5"/>
        <v/>
      </c>
      <c r="AB33" s="6"/>
      <c r="AC33" s="6"/>
      <c r="AD33" s="6"/>
      <c r="AE33" s="6"/>
      <c r="AF33" s="6"/>
      <c r="AG33" s="28" t="str">
        <f t="shared" si="6"/>
        <v/>
      </c>
      <c r="AH33" s="29"/>
      <c r="AI33" s="29"/>
      <c r="AJ33" s="29"/>
      <c r="AK33" s="29"/>
      <c r="AL33" s="29"/>
      <c r="AM33" s="29"/>
      <c r="AN33" s="29"/>
      <c r="AO33" s="29"/>
      <c r="AP33" s="32"/>
      <c r="AQ33" s="28" t="str">
        <f t="shared" si="7"/>
        <v/>
      </c>
    </row>
    <row r="34" spans="1:43" ht="38" customHeight="1" x14ac:dyDescent="0.2">
      <c r="A34" s="6"/>
      <c r="B34" s="6"/>
      <c r="C34" s="6"/>
      <c r="D34" s="6"/>
      <c r="E34" s="17"/>
      <c r="F34" s="17"/>
      <c r="G34" s="17"/>
      <c r="H34" s="17"/>
      <c r="I34" s="17"/>
      <c r="J34" s="17"/>
      <c r="K34" s="17"/>
      <c r="L34" s="17"/>
      <c r="M34" s="28" t="str">
        <f t="shared" si="0"/>
        <v/>
      </c>
      <c r="N34" s="35" t="str">
        <f t="shared" si="1"/>
        <v/>
      </c>
      <c r="O34" s="28" t="str">
        <f t="shared" si="2"/>
        <v/>
      </c>
      <c r="P34" s="6"/>
      <c r="Q34" s="6"/>
      <c r="R34" s="28" t="str">
        <f t="shared" si="3"/>
        <v/>
      </c>
      <c r="S34" s="18"/>
      <c r="T34" s="18"/>
      <c r="U34" s="18"/>
      <c r="V34" s="18"/>
      <c r="W34" s="18"/>
      <c r="X34" s="37" t="str">
        <f t="shared" si="4"/>
        <v/>
      </c>
      <c r="Y34" s="18"/>
      <c r="Z34" s="18"/>
      <c r="AA34" s="37" t="str">
        <f t="shared" si="5"/>
        <v/>
      </c>
      <c r="AB34" s="6"/>
      <c r="AC34" s="6"/>
      <c r="AD34" s="6"/>
      <c r="AE34" s="6"/>
      <c r="AF34" s="6"/>
      <c r="AG34" s="28" t="str">
        <f t="shared" si="6"/>
        <v/>
      </c>
      <c r="AH34" s="29"/>
      <c r="AI34" s="29"/>
      <c r="AJ34" s="29"/>
      <c r="AK34" s="29"/>
      <c r="AL34" s="29"/>
      <c r="AM34" s="29"/>
      <c r="AN34" s="29"/>
      <c r="AO34" s="29"/>
      <c r="AP34" s="32"/>
      <c r="AQ34" s="28" t="str">
        <f t="shared" si="7"/>
        <v/>
      </c>
    </row>
    <row r="35" spans="1:43" ht="38" customHeight="1" x14ac:dyDescent="0.2">
      <c r="A35" s="6"/>
      <c r="B35" s="6"/>
      <c r="C35" s="6"/>
      <c r="D35" s="6"/>
      <c r="E35" s="17"/>
      <c r="F35" s="17"/>
      <c r="G35" s="17"/>
      <c r="H35" s="17"/>
      <c r="I35" s="17"/>
      <c r="J35" s="17"/>
      <c r="K35" s="17"/>
      <c r="L35" s="17"/>
      <c r="M35" s="28" t="str">
        <f t="shared" si="0"/>
        <v/>
      </c>
      <c r="N35" s="36" t="str">
        <f t="shared" si="1"/>
        <v/>
      </c>
      <c r="O35" s="28" t="str">
        <f t="shared" si="2"/>
        <v/>
      </c>
      <c r="P35" s="6"/>
      <c r="Q35" s="6"/>
      <c r="R35" s="28" t="str">
        <f t="shared" si="3"/>
        <v/>
      </c>
      <c r="S35" s="18"/>
      <c r="T35" s="18"/>
      <c r="U35" s="18"/>
      <c r="V35" s="18"/>
      <c r="W35" s="18"/>
      <c r="X35" s="38" t="str">
        <f t="shared" si="4"/>
        <v/>
      </c>
      <c r="Y35" s="18"/>
      <c r="Z35" s="18"/>
      <c r="AA35" s="38" t="str">
        <f t="shared" si="5"/>
        <v/>
      </c>
      <c r="AB35" s="6"/>
      <c r="AC35" s="6"/>
      <c r="AD35" s="6"/>
      <c r="AE35" s="6"/>
      <c r="AF35" s="6"/>
      <c r="AG35" s="28" t="str">
        <f t="shared" si="6"/>
        <v/>
      </c>
      <c r="AH35" s="29"/>
      <c r="AI35" s="29"/>
      <c r="AJ35" s="29"/>
      <c r="AK35" s="29"/>
      <c r="AL35" s="29"/>
      <c r="AM35" s="29"/>
      <c r="AN35" s="29"/>
      <c r="AO35" s="29"/>
      <c r="AP35" s="32"/>
      <c r="AQ35" s="28" t="str">
        <f t="shared" si="7"/>
        <v/>
      </c>
    </row>
    <row r="36" spans="1:43" ht="38" customHeight="1" x14ac:dyDescent="0.2">
      <c r="A36" s="6"/>
      <c r="B36" s="6"/>
      <c r="C36" s="6"/>
      <c r="D36" s="6"/>
      <c r="E36" s="17"/>
      <c r="F36" s="17"/>
      <c r="G36" s="17"/>
      <c r="H36" s="17"/>
      <c r="I36" s="17"/>
      <c r="J36" s="17"/>
      <c r="K36" s="17"/>
      <c r="L36" s="17"/>
      <c r="M36" s="28" t="str">
        <f t="shared" si="0"/>
        <v/>
      </c>
      <c r="N36" s="35" t="str">
        <f t="shared" si="1"/>
        <v/>
      </c>
      <c r="O36" s="28" t="str">
        <f t="shared" si="2"/>
        <v/>
      </c>
      <c r="P36" s="6"/>
      <c r="Q36" s="6"/>
      <c r="R36" s="28" t="str">
        <f t="shared" si="3"/>
        <v/>
      </c>
      <c r="S36" s="18"/>
      <c r="T36" s="18"/>
      <c r="U36" s="18"/>
      <c r="V36" s="18"/>
      <c r="W36" s="18"/>
      <c r="X36" s="37" t="str">
        <f t="shared" si="4"/>
        <v/>
      </c>
      <c r="Y36" s="18"/>
      <c r="Z36" s="18"/>
      <c r="AA36" s="37" t="str">
        <f t="shared" si="5"/>
        <v/>
      </c>
      <c r="AB36" s="6"/>
      <c r="AC36" s="6"/>
      <c r="AD36" s="6"/>
      <c r="AE36" s="6"/>
      <c r="AF36" s="6"/>
      <c r="AG36" s="28" t="str">
        <f t="shared" si="6"/>
        <v/>
      </c>
      <c r="AH36" s="29"/>
      <c r="AI36" s="29"/>
      <c r="AJ36" s="29"/>
      <c r="AK36" s="29"/>
      <c r="AL36" s="29"/>
      <c r="AM36" s="29"/>
      <c r="AN36" s="29"/>
      <c r="AO36" s="29"/>
      <c r="AP36" s="32"/>
      <c r="AQ36" s="28" t="str">
        <f t="shared" si="7"/>
        <v/>
      </c>
    </row>
    <row r="37" spans="1:43" ht="38" customHeight="1" x14ac:dyDescent="0.2">
      <c r="A37" s="6"/>
      <c r="B37" s="6"/>
      <c r="C37" s="6"/>
      <c r="D37" s="6"/>
      <c r="E37" s="17"/>
      <c r="F37" s="17"/>
      <c r="G37" s="17"/>
      <c r="H37" s="17"/>
      <c r="I37" s="17"/>
      <c r="J37" s="17"/>
      <c r="K37" s="17"/>
      <c r="L37" s="17"/>
      <c r="M37" s="28" t="str">
        <f t="shared" si="0"/>
        <v/>
      </c>
      <c r="N37" s="36" t="str">
        <f t="shared" si="1"/>
        <v/>
      </c>
      <c r="O37" s="28" t="str">
        <f t="shared" si="2"/>
        <v/>
      </c>
      <c r="P37" s="6"/>
      <c r="Q37" s="6"/>
      <c r="R37" s="28" t="str">
        <f t="shared" si="3"/>
        <v/>
      </c>
      <c r="S37" s="18"/>
      <c r="T37" s="18"/>
      <c r="U37" s="18"/>
      <c r="V37" s="18"/>
      <c r="W37" s="18"/>
      <c r="X37" s="38" t="str">
        <f t="shared" si="4"/>
        <v/>
      </c>
      <c r="Y37" s="18"/>
      <c r="Z37" s="18"/>
      <c r="AA37" s="38" t="str">
        <f t="shared" si="5"/>
        <v/>
      </c>
      <c r="AB37" s="6"/>
      <c r="AC37" s="6"/>
      <c r="AD37" s="6"/>
      <c r="AE37" s="6"/>
      <c r="AF37" s="6"/>
      <c r="AG37" s="28" t="str">
        <f t="shared" si="6"/>
        <v/>
      </c>
      <c r="AH37" s="29"/>
      <c r="AI37" s="29"/>
      <c r="AJ37" s="29"/>
      <c r="AK37" s="29"/>
      <c r="AL37" s="29"/>
      <c r="AM37" s="29"/>
      <c r="AN37" s="29"/>
      <c r="AO37" s="29"/>
      <c r="AP37" s="32"/>
      <c r="AQ37" s="28" t="str">
        <f t="shared" si="7"/>
        <v/>
      </c>
    </row>
    <row r="38" spans="1:43" ht="38" customHeight="1" x14ac:dyDescent="0.2">
      <c r="A38" s="6"/>
      <c r="B38" s="6"/>
      <c r="C38" s="6"/>
      <c r="D38" s="6"/>
      <c r="E38" s="17"/>
      <c r="F38" s="17"/>
      <c r="G38" s="17"/>
      <c r="H38" s="17"/>
      <c r="I38" s="17"/>
      <c r="J38" s="17"/>
      <c r="K38" s="17"/>
      <c r="L38" s="17"/>
      <c r="M38" s="28" t="str">
        <f t="shared" si="0"/>
        <v/>
      </c>
      <c r="N38" s="35" t="str">
        <f t="shared" si="1"/>
        <v/>
      </c>
      <c r="O38" s="28" t="str">
        <f t="shared" si="2"/>
        <v/>
      </c>
      <c r="P38" s="6"/>
      <c r="Q38" s="6"/>
      <c r="R38" s="28" t="str">
        <f t="shared" si="3"/>
        <v/>
      </c>
      <c r="S38" s="18"/>
      <c r="T38" s="18"/>
      <c r="U38" s="18"/>
      <c r="V38" s="18"/>
      <c r="W38" s="18"/>
      <c r="X38" s="37" t="str">
        <f t="shared" si="4"/>
        <v/>
      </c>
      <c r="Y38" s="18"/>
      <c r="Z38" s="18"/>
      <c r="AA38" s="37" t="str">
        <f t="shared" si="5"/>
        <v/>
      </c>
      <c r="AB38" s="6"/>
      <c r="AC38" s="6"/>
      <c r="AD38" s="6"/>
      <c r="AE38" s="6"/>
      <c r="AF38" s="6"/>
      <c r="AG38" s="28" t="str">
        <f t="shared" si="6"/>
        <v/>
      </c>
      <c r="AH38" s="29"/>
      <c r="AI38" s="29"/>
      <c r="AJ38" s="29"/>
      <c r="AK38" s="29"/>
      <c r="AL38" s="29"/>
      <c r="AM38" s="29"/>
      <c r="AN38" s="29"/>
      <c r="AO38" s="29"/>
      <c r="AP38" s="32"/>
      <c r="AQ38" s="28" t="str">
        <f t="shared" si="7"/>
        <v/>
      </c>
    </row>
    <row r="39" spans="1:43" ht="38" customHeight="1" x14ac:dyDescent="0.2">
      <c r="A39" s="6"/>
      <c r="B39" s="6"/>
      <c r="C39" s="6"/>
      <c r="D39" s="6"/>
      <c r="E39" s="17"/>
      <c r="F39" s="17"/>
      <c r="G39" s="17"/>
      <c r="H39" s="17"/>
      <c r="I39" s="17"/>
      <c r="J39" s="17"/>
      <c r="K39" s="17"/>
      <c r="L39" s="17"/>
      <c r="M39" s="28" t="str">
        <f t="shared" si="0"/>
        <v/>
      </c>
      <c r="N39" s="36" t="str">
        <f t="shared" si="1"/>
        <v/>
      </c>
      <c r="O39" s="28" t="str">
        <f t="shared" si="2"/>
        <v/>
      </c>
      <c r="P39" s="6"/>
      <c r="Q39" s="6"/>
      <c r="R39" s="28" t="str">
        <f t="shared" si="3"/>
        <v/>
      </c>
      <c r="S39" s="18"/>
      <c r="T39" s="18"/>
      <c r="U39" s="18"/>
      <c r="V39" s="18"/>
      <c r="W39" s="18"/>
      <c r="X39" s="38" t="str">
        <f t="shared" si="4"/>
        <v/>
      </c>
      <c r="Y39" s="18"/>
      <c r="Z39" s="18"/>
      <c r="AA39" s="38" t="str">
        <f t="shared" si="5"/>
        <v/>
      </c>
      <c r="AB39" s="6"/>
      <c r="AC39" s="6"/>
      <c r="AD39" s="6"/>
      <c r="AE39" s="6"/>
      <c r="AF39" s="6"/>
      <c r="AG39" s="28" t="str">
        <f t="shared" si="6"/>
        <v/>
      </c>
      <c r="AH39" s="29"/>
      <c r="AI39" s="29"/>
      <c r="AJ39" s="29"/>
      <c r="AK39" s="29"/>
      <c r="AL39" s="29"/>
      <c r="AM39" s="29"/>
      <c r="AN39" s="29"/>
      <c r="AO39" s="29"/>
      <c r="AP39" s="32"/>
      <c r="AQ39" s="28" t="str">
        <f t="shared" si="7"/>
        <v/>
      </c>
    </row>
    <row r="40" spans="1:43" ht="38" customHeight="1" x14ac:dyDescent="0.2">
      <c r="A40" s="6"/>
      <c r="B40" s="6"/>
      <c r="C40" s="6"/>
      <c r="D40" s="6"/>
      <c r="E40" s="17"/>
      <c r="F40" s="17"/>
      <c r="G40" s="17"/>
      <c r="H40" s="17"/>
      <c r="I40" s="17"/>
      <c r="J40" s="17"/>
      <c r="K40" s="17"/>
      <c r="L40" s="17"/>
      <c r="M40" s="28" t="str">
        <f t="shared" si="0"/>
        <v/>
      </c>
      <c r="N40" s="35" t="str">
        <f t="shared" si="1"/>
        <v/>
      </c>
      <c r="O40" s="28" t="str">
        <f t="shared" si="2"/>
        <v/>
      </c>
      <c r="P40" s="6"/>
      <c r="Q40" s="6"/>
      <c r="R40" s="28" t="str">
        <f t="shared" si="3"/>
        <v/>
      </c>
      <c r="S40" s="18"/>
      <c r="T40" s="18"/>
      <c r="U40" s="18"/>
      <c r="V40" s="18"/>
      <c r="W40" s="18"/>
      <c r="X40" s="37" t="str">
        <f t="shared" si="4"/>
        <v/>
      </c>
      <c r="Y40" s="18"/>
      <c r="Z40" s="18"/>
      <c r="AA40" s="37" t="str">
        <f t="shared" si="5"/>
        <v/>
      </c>
      <c r="AB40" s="6"/>
      <c r="AC40" s="6"/>
      <c r="AD40" s="6"/>
      <c r="AE40" s="6"/>
      <c r="AF40" s="6"/>
      <c r="AG40" s="28" t="str">
        <f t="shared" si="6"/>
        <v/>
      </c>
      <c r="AH40" s="29"/>
      <c r="AI40" s="29"/>
      <c r="AJ40" s="29"/>
      <c r="AK40" s="29"/>
      <c r="AL40" s="29"/>
      <c r="AM40" s="29"/>
      <c r="AN40" s="29"/>
      <c r="AO40" s="29"/>
      <c r="AP40" s="32"/>
      <c r="AQ40" s="28" t="str">
        <f t="shared" si="7"/>
        <v/>
      </c>
    </row>
    <row r="41" spans="1:43" ht="38" customHeight="1" x14ac:dyDescent="0.2">
      <c r="A41" s="6"/>
      <c r="B41" s="6"/>
      <c r="C41" s="6"/>
      <c r="D41" s="6"/>
      <c r="E41" s="17"/>
      <c r="F41" s="17"/>
      <c r="G41" s="17"/>
      <c r="H41" s="17"/>
      <c r="I41" s="17"/>
      <c r="J41" s="17"/>
      <c r="K41" s="17"/>
      <c r="L41" s="17"/>
      <c r="M41" s="28" t="str">
        <f t="shared" si="0"/>
        <v/>
      </c>
      <c r="N41" s="36" t="str">
        <f t="shared" si="1"/>
        <v/>
      </c>
      <c r="O41" s="28" t="str">
        <f t="shared" si="2"/>
        <v/>
      </c>
      <c r="P41" s="6"/>
      <c r="Q41" s="6"/>
      <c r="R41" s="28" t="str">
        <f t="shared" si="3"/>
        <v/>
      </c>
      <c r="S41" s="18"/>
      <c r="T41" s="18"/>
      <c r="U41" s="18"/>
      <c r="V41" s="18"/>
      <c r="W41" s="18"/>
      <c r="X41" s="38" t="str">
        <f t="shared" si="4"/>
        <v/>
      </c>
      <c r="Y41" s="18"/>
      <c r="Z41" s="18"/>
      <c r="AA41" s="38" t="str">
        <f t="shared" si="5"/>
        <v/>
      </c>
      <c r="AB41" s="6"/>
      <c r="AC41" s="6"/>
      <c r="AD41" s="6"/>
      <c r="AE41" s="6"/>
      <c r="AF41" s="6"/>
      <c r="AG41" s="28" t="str">
        <f t="shared" si="6"/>
        <v/>
      </c>
      <c r="AH41" s="29"/>
      <c r="AI41" s="29"/>
      <c r="AJ41" s="29"/>
      <c r="AK41" s="29"/>
      <c r="AL41" s="29"/>
      <c r="AM41" s="29"/>
      <c r="AN41" s="29"/>
      <c r="AO41" s="29"/>
      <c r="AP41" s="32"/>
      <c r="AQ41" s="28" t="str">
        <f t="shared" si="7"/>
        <v/>
      </c>
    </row>
    <row r="42" spans="1:43" ht="38" customHeight="1" x14ac:dyDescent="0.2">
      <c r="A42" s="6"/>
      <c r="B42" s="6"/>
      <c r="C42" s="6"/>
      <c r="D42" s="6"/>
      <c r="E42" s="17"/>
      <c r="F42" s="17"/>
      <c r="G42" s="17"/>
      <c r="H42" s="17"/>
      <c r="I42" s="17"/>
      <c r="J42" s="17"/>
      <c r="K42" s="17"/>
      <c r="L42" s="17"/>
      <c r="M42" s="28" t="str">
        <f t="shared" si="0"/>
        <v/>
      </c>
      <c r="N42" s="35" t="str">
        <f t="shared" si="1"/>
        <v/>
      </c>
      <c r="O42" s="28" t="str">
        <f t="shared" si="2"/>
        <v/>
      </c>
      <c r="P42" s="6"/>
      <c r="Q42" s="6"/>
      <c r="R42" s="28" t="str">
        <f t="shared" si="3"/>
        <v/>
      </c>
      <c r="S42" s="18"/>
      <c r="T42" s="18"/>
      <c r="U42" s="18"/>
      <c r="V42" s="18"/>
      <c r="W42" s="18"/>
      <c r="X42" s="37" t="str">
        <f t="shared" si="4"/>
        <v/>
      </c>
      <c r="Y42" s="18"/>
      <c r="Z42" s="18"/>
      <c r="AA42" s="37" t="str">
        <f t="shared" si="5"/>
        <v/>
      </c>
      <c r="AB42" s="6"/>
      <c r="AC42" s="6"/>
      <c r="AD42" s="6"/>
      <c r="AE42" s="6"/>
      <c r="AF42" s="6"/>
      <c r="AG42" s="28" t="str">
        <f t="shared" si="6"/>
        <v/>
      </c>
      <c r="AH42" s="29"/>
      <c r="AI42" s="29"/>
      <c r="AJ42" s="29"/>
      <c r="AK42" s="29"/>
      <c r="AL42" s="29"/>
      <c r="AM42" s="29"/>
      <c r="AN42" s="29"/>
      <c r="AO42" s="29"/>
      <c r="AP42" s="32"/>
      <c r="AQ42" s="28" t="str">
        <f t="shared" si="7"/>
        <v/>
      </c>
    </row>
    <row r="43" spans="1:43" ht="38" customHeight="1" x14ac:dyDescent="0.2">
      <c r="A43" s="6"/>
      <c r="B43" s="6"/>
      <c r="C43" s="6"/>
      <c r="D43" s="6"/>
      <c r="E43" s="17"/>
      <c r="F43" s="17"/>
      <c r="G43" s="17"/>
      <c r="H43" s="17"/>
      <c r="I43" s="17"/>
      <c r="J43" s="17"/>
      <c r="K43" s="17"/>
      <c r="L43" s="17"/>
      <c r="M43" s="28" t="str">
        <f t="shared" si="0"/>
        <v/>
      </c>
      <c r="N43" s="36" t="str">
        <f t="shared" si="1"/>
        <v/>
      </c>
      <c r="O43" s="28" t="str">
        <f t="shared" si="2"/>
        <v/>
      </c>
      <c r="P43" s="6"/>
      <c r="Q43" s="6"/>
      <c r="R43" s="28" t="str">
        <f t="shared" si="3"/>
        <v/>
      </c>
      <c r="S43" s="18"/>
      <c r="T43" s="18"/>
      <c r="U43" s="18"/>
      <c r="V43" s="18"/>
      <c r="W43" s="18"/>
      <c r="X43" s="38" t="str">
        <f t="shared" si="4"/>
        <v/>
      </c>
      <c r="Y43" s="18"/>
      <c r="Z43" s="18"/>
      <c r="AA43" s="38" t="str">
        <f t="shared" si="5"/>
        <v/>
      </c>
      <c r="AB43" s="6"/>
      <c r="AC43" s="6"/>
      <c r="AD43" s="6"/>
      <c r="AE43" s="6"/>
      <c r="AF43" s="6"/>
      <c r="AG43" s="28" t="str">
        <f t="shared" si="6"/>
        <v/>
      </c>
      <c r="AH43" s="29"/>
      <c r="AI43" s="29"/>
      <c r="AJ43" s="29"/>
      <c r="AK43" s="29"/>
      <c r="AL43" s="29"/>
      <c r="AM43" s="29"/>
      <c r="AN43" s="29"/>
      <c r="AO43" s="29"/>
      <c r="AP43" s="32"/>
      <c r="AQ43" s="28" t="str">
        <f t="shared" si="7"/>
        <v/>
      </c>
    </row>
    <row r="47" spans="1:43" ht="30" customHeight="1" x14ac:dyDescent="0.2">
      <c r="A47" s="46" t="s">
        <v>3675</v>
      </c>
      <c r="B47" s="45"/>
      <c r="C47" s="45"/>
    </row>
    <row r="48" spans="1:43" ht="32" customHeight="1" x14ac:dyDescent="0.2">
      <c r="A48" s="1" t="s">
        <v>215</v>
      </c>
      <c r="B48" s="1" t="s">
        <v>3676</v>
      </c>
      <c r="C48" s="1" t="s">
        <v>3677</v>
      </c>
    </row>
    <row r="49" spans="1:33" ht="38" customHeight="1" x14ac:dyDescent="0.2">
      <c r="A49" s="2" t="s">
        <v>3678</v>
      </c>
      <c r="B49" s="2" t="s">
        <v>3679</v>
      </c>
      <c r="C49" s="2" t="s">
        <v>3680</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spans="1:33" ht="49" customHeight="1" x14ac:dyDescent="0.2">
      <c r="A50" s="4" t="s">
        <v>3681</v>
      </c>
      <c r="B50" s="4" t="s">
        <v>3682</v>
      </c>
      <c r="C50" s="4" t="s">
        <v>3683</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spans="1:33" ht="49" customHeight="1" x14ac:dyDescent="0.2">
      <c r="A51" s="2" t="s">
        <v>3684</v>
      </c>
      <c r="B51" s="2" t="s">
        <v>3685</v>
      </c>
      <c r="C51" s="2" t="s">
        <v>169</v>
      </c>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spans="1:33" ht="49" customHeight="1" x14ac:dyDescent="0.2">
      <c r="A52" s="4" t="s">
        <v>3686</v>
      </c>
      <c r="B52" s="4" t="s">
        <v>3687</v>
      </c>
      <c r="C52" s="4" t="s">
        <v>373</v>
      </c>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row>
    <row r="53" spans="1:33" ht="38" customHeight="1" x14ac:dyDescent="0.2">
      <c r="A53" s="2" t="s">
        <v>3688</v>
      </c>
      <c r="B53" s="2" t="s">
        <v>3689</v>
      </c>
      <c r="C53" s="2" t="s">
        <v>2752</v>
      </c>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spans="1:33" ht="38" customHeight="1" x14ac:dyDescent="0.2">
      <c r="A54" s="4" t="s">
        <v>3690</v>
      </c>
      <c r="B54" s="4" t="s">
        <v>3691</v>
      </c>
      <c r="C54" s="4" t="s">
        <v>3692</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row>
  </sheetData>
  <autoFilter ref="A3:AQ43" xr:uid="{00000000-0009-0000-0000-000012000000}"/>
  <mergeCells count="3">
    <mergeCell ref="A2:I2"/>
    <mergeCell ref="A1:G1"/>
    <mergeCell ref="A47:C47"/>
  </mergeCells>
  <phoneticPr fontId="12"/>
  <conditionalFormatting sqref="AG4:AG43">
    <cfRule type="expression" dxfId="52" priority="1">
      <formula>ISNUMBER(SEARCH("不足",AG4))</formula>
    </cfRule>
    <cfRule type="expression" dxfId="51" priority="2">
      <formula>ISNUMBER(SEARCH("不正",AG4))</formula>
    </cfRule>
    <cfRule type="expression" dxfId="50" priority="3">
      <formula>ISNUMBER(SEARCH("未判定",AG4))</formula>
    </cfRule>
    <cfRule type="expression" dxfId="49" priority="4">
      <formula>ISNUMBER(SEARCH("未承認",AG4))</formula>
    </cfRule>
    <cfRule type="expression" dxfId="48" priority="5">
      <formula>ISNUMBER(SEARCH("超過",AG4))</formula>
    </cfRule>
    <cfRule type="expression" dxfId="47" priority="6">
      <formula>ISNUMBER(SEARCH("要確認",AG4))</formula>
    </cfRule>
  </conditionalFormatting>
  <dataValidations count="4">
    <dataValidation type="decimal" operator="greaterThanOrEqual" allowBlank="1" showErrorMessage="1" error="0以上の数値を入力してください。未測定は空欄です。" sqref="E4:E43 F4:F43 G4:G43 H4:H43 I4:I43 J4:J43 K4:K43 L4:L43 P4:P43 Q4:Q43 S4:S43 T4:T43 U4:U43 V4:V43 W4:W43 X4:X43 Y4:Y43 AB4:AB43 AC4:AC43" xr:uid="{00000000-0002-0000-1200-000000000000}">
      <formula1>0</formula1>
    </dataValidation>
    <dataValidation type="list" allowBlank="1" showErrorMessage="1" errorTitle="入力値を確認" error="選択肢から入力してください。" sqref="D4:D43" xr:uid="{00000000-0002-0000-1200-000001000000}">
      <formula1>"未判定,同等確認済,非同等/参考"</formula1>
    </dataValidation>
    <dataValidation type="list" allowBlank="1" showErrorMessage="1" errorTitle="入力値を確認" error="選択肢から入力してください。" sqref="AF4:AF43" xr:uid="{00000000-0002-0000-1200-000002000000}">
      <formula1>"未判定,反映しない,限定条件で反映,再測定"</formula1>
    </dataValidation>
    <dataValidation type="list" allowBlank="1" showErrorMessage="1" errorTitle="入力値を確認" error="候補・値域を確認してください。貼付や外部取込後も点検が必要です。" sqref="AH4:AH43" xr:uid="{00000000-0002-0000-1200-000003000000}">
      <formula1>"実測対照,過去実測,推定"</formula1>
    </dataValidation>
  </dataValidations>
  <pageMargins left="0.25" right="0.25" top="0.4" bottom="0.4" header="0.5" footer="0.5"/>
  <pageSetup paperSize="8" fitToHeight="0" orientation="landscape"/>
  <headerFooter>
    <oddFooter>&amp;CAI自社事業PJ v1.0 | &amp;A&amp;R&amp;P /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05494"/>
    <outlinePr summaryRight="0"/>
    <pageSetUpPr fitToPage="1"/>
  </sheetPr>
  <dimension ref="A1:T52"/>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5" customWidth="1"/>
    <col min="2" max="2" width="21" customWidth="1"/>
    <col min="3" max="3" width="62" customWidth="1"/>
    <col min="4" max="4" width="86" customWidth="1"/>
    <col min="5" max="5" width="17" customWidth="1"/>
    <col min="6" max="6" width="32" customWidth="1"/>
    <col min="7" max="8" width="24" customWidth="1"/>
    <col min="9" max="9" width="61" customWidth="1"/>
    <col min="10" max="10" width="65" customWidth="1"/>
    <col min="11" max="13" width="61" customWidth="1"/>
    <col min="14" max="14" width="25" customWidth="1"/>
    <col min="15" max="16" width="20" customWidth="1"/>
    <col min="17" max="17" width="24" customWidth="1"/>
    <col min="18" max="18" width="64" customWidth="1"/>
    <col min="19" max="20" width="21" customWidth="1"/>
  </cols>
  <sheetData>
    <row r="1" spans="1:20" ht="34" customHeight="1" x14ac:dyDescent="0.55000000000000004">
      <c r="A1" s="44" t="s">
        <v>3693</v>
      </c>
      <c r="B1" s="45"/>
      <c r="C1" s="45"/>
      <c r="D1" s="45"/>
      <c r="E1" s="45"/>
      <c r="F1" s="45"/>
      <c r="G1" s="45"/>
    </row>
    <row r="2" spans="1:20" ht="43" customHeight="1" x14ac:dyDescent="0.2">
      <c r="A2" s="47" t="s">
        <v>3694</v>
      </c>
      <c r="B2" s="45"/>
      <c r="C2" s="45"/>
      <c r="D2" s="45"/>
      <c r="E2" s="45"/>
      <c r="F2" s="45"/>
      <c r="G2" s="45"/>
      <c r="H2" s="45"/>
      <c r="I2" s="45"/>
    </row>
    <row r="3" spans="1:20" ht="36" customHeight="1" x14ac:dyDescent="0.2">
      <c r="A3" s="1" t="s">
        <v>3695</v>
      </c>
      <c r="B3" s="1" t="s">
        <v>1915</v>
      </c>
      <c r="C3" s="1" t="s">
        <v>3696</v>
      </c>
      <c r="D3" s="1" t="s">
        <v>3697</v>
      </c>
      <c r="E3" s="1" t="s">
        <v>3698</v>
      </c>
      <c r="F3" s="1" t="s">
        <v>3278</v>
      </c>
      <c r="G3" s="1" t="s">
        <v>3699</v>
      </c>
      <c r="H3" s="1" t="s">
        <v>3700</v>
      </c>
      <c r="I3" s="1" t="s">
        <v>3701</v>
      </c>
      <c r="J3" s="1" t="s">
        <v>3702</v>
      </c>
      <c r="K3" s="1" t="s">
        <v>1612</v>
      </c>
      <c r="L3" s="1" t="s">
        <v>3703</v>
      </c>
      <c r="M3" s="1" t="s">
        <v>3704</v>
      </c>
      <c r="N3" s="1" t="s">
        <v>3705</v>
      </c>
      <c r="O3" s="1" t="s">
        <v>3072</v>
      </c>
      <c r="P3" s="1" t="s">
        <v>3706</v>
      </c>
      <c r="Q3" s="1" t="s">
        <v>3111</v>
      </c>
      <c r="R3" s="1" t="s">
        <v>3707</v>
      </c>
      <c r="S3" s="1" t="s">
        <v>3708</v>
      </c>
      <c r="T3" s="1" t="s">
        <v>3709</v>
      </c>
    </row>
    <row r="4" spans="1:20" ht="38" customHeight="1" x14ac:dyDescent="0.2">
      <c r="A4" s="2" t="s">
        <v>3710</v>
      </c>
      <c r="B4" s="2" t="s">
        <v>3711</v>
      </c>
      <c r="C4" s="2" t="s">
        <v>3712</v>
      </c>
      <c r="D4" s="2" t="s">
        <v>3713</v>
      </c>
      <c r="E4" s="2" t="s">
        <v>166</v>
      </c>
      <c r="F4" s="2" t="s">
        <v>3714</v>
      </c>
      <c r="G4" s="6" t="s">
        <v>1598</v>
      </c>
      <c r="H4" s="6"/>
      <c r="I4" s="6"/>
      <c r="J4" s="6"/>
      <c r="K4" s="6"/>
      <c r="L4" s="6"/>
      <c r="M4" s="6"/>
      <c r="N4" s="6"/>
      <c r="O4" s="5"/>
      <c r="P4" s="5"/>
      <c r="Q4" s="6" t="s">
        <v>3715</v>
      </c>
      <c r="R4" s="6"/>
      <c r="S4" s="29"/>
      <c r="T4" s="29"/>
    </row>
    <row r="5" spans="1:20" ht="38" customHeight="1" x14ac:dyDescent="0.2">
      <c r="A5" s="4" t="s">
        <v>3716</v>
      </c>
      <c r="B5" s="4" t="s">
        <v>912</v>
      </c>
      <c r="C5" s="4" t="s">
        <v>3717</v>
      </c>
      <c r="D5" s="4" t="s">
        <v>3718</v>
      </c>
      <c r="E5" s="4" t="s">
        <v>487</v>
      </c>
      <c r="F5" s="4" t="s">
        <v>481</v>
      </c>
      <c r="G5" s="6" t="s">
        <v>1598</v>
      </c>
      <c r="H5" s="6"/>
      <c r="I5" s="6"/>
      <c r="J5" s="6"/>
      <c r="K5" s="6"/>
      <c r="L5" s="6"/>
      <c r="M5" s="6"/>
      <c r="N5" s="6"/>
      <c r="O5" s="5"/>
      <c r="P5" s="5"/>
      <c r="Q5" s="6" t="s">
        <v>3715</v>
      </c>
      <c r="R5" s="6"/>
      <c r="S5" s="29"/>
      <c r="T5" s="29"/>
    </row>
    <row r="6" spans="1:20" ht="38" customHeight="1" x14ac:dyDescent="0.2">
      <c r="A6" s="2" t="s">
        <v>3719</v>
      </c>
      <c r="B6" s="2" t="s">
        <v>3720</v>
      </c>
      <c r="C6" s="2" t="s">
        <v>3721</v>
      </c>
      <c r="D6" s="2" t="s">
        <v>3722</v>
      </c>
      <c r="E6" s="2" t="s">
        <v>516</v>
      </c>
      <c r="F6" s="2" t="s">
        <v>3723</v>
      </c>
      <c r="G6" s="6" t="s">
        <v>1598</v>
      </c>
      <c r="H6" s="6"/>
      <c r="I6" s="6"/>
      <c r="J6" s="6"/>
      <c r="K6" s="6"/>
      <c r="L6" s="6"/>
      <c r="M6" s="6"/>
      <c r="N6" s="6"/>
      <c r="O6" s="5"/>
      <c r="P6" s="5"/>
      <c r="Q6" s="6" t="s">
        <v>3715</v>
      </c>
      <c r="R6" s="6"/>
      <c r="S6" s="29"/>
      <c r="T6" s="29"/>
    </row>
    <row r="7" spans="1:20" ht="38" customHeight="1" x14ac:dyDescent="0.2">
      <c r="A7" s="4" t="s">
        <v>3724</v>
      </c>
      <c r="B7" s="4" t="s">
        <v>962</v>
      </c>
      <c r="C7" s="4" t="s">
        <v>3725</v>
      </c>
      <c r="D7" s="4" t="s">
        <v>3726</v>
      </c>
      <c r="E7" s="4" t="s">
        <v>714</v>
      </c>
      <c r="F7" s="4" t="s">
        <v>3474</v>
      </c>
      <c r="G7" s="6" t="s">
        <v>1598</v>
      </c>
      <c r="H7" s="6"/>
      <c r="I7" s="6"/>
      <c r="J7" s="6"/>
      <c r="K7" s="6"/>
      <c r="L7" s="6"/>
      <c r="M7" s="6"/>
      <c r="N7" s="6"/>
      <c r="O7" s="5"/>
      <c r="P7" s="5"/>
      <c r="Q7" s="6" t="s">
        <v>3715</v>
      </c>
      <c r="R7" s="6"/>
      <c r="S7" s="29"/>
      <c r="T7" s="29"/>
    </row>
    <row r="8" spans="1:20" ht="38" customHeight="1" x14ac:dyDescent="0.2">
      <c r="A8" s="2" t="s">
        <v>3727</v>
      </c>
      <c r="B8" s="2" t="s">
        <v>3728</v>
      </c>
      <c r="C8" s="2" t="s">
        <v>3729</v>
      </c>
      <c r="D8" s="2" t="s">
        <v>3730</v>
      </c>
      <c r="E8" s="2" t="s">
        <v>714</v>
      </c>
      <c r="F8" s="2" t="s">
        <v>3731</v>
      </c>
      <c r="G8" s="6" t="s">
        <v>1598</v>
      </c>
      <c r="H8" s="6"/>
      <c r="I8" s="6"/>
      <c r="J8" s="6"/>
      <c r="K8" s="6"/>
      <c r="L8" s="6"/>
      <c r="M8" s="6"/>
      <c r="N8" s="6"/>
      <c r="O8" s="5"/>
      <c r="P8" s="5"/>
      <c r="Q8" s="6" t="s">
        <v>3715</v>
      </c>
      <c r="R8" s="6"/>
      <c r="S8" s="29"/>
      <c r="T8" s="29"/>
    </row>
    <row r="9" spans="1:20" ht="38" customHeight="1" x14ac:dyDescent="0.2">
      <c r="A9" s="4" t="s">
        <v>3732</v>
      </c>
      <c r="B9" s="4" t="s">
        <v>3733</v>
      </c>
      <c r="C9" s="4" t="s">
        <v>3734</v>
      </c>
      <c r="D9" s="4" t="s">
        <v>3735</v>
      </c>
      <c r="E9" s="4" t="s">
        <v>189</v>
      </c>
      <c r="F9" s="4" t="s">
        <v>3321</v>
      </c>
      <c r="G9" s="6" t="s">
        <v>1598</v>
      </c>
      <c r="H9" s="6"/>
      <c r="I9" s="6"/>
      <c r="J9" s="6"/>
      <c r="K9" s="6"/>
      <c r="L9" s="6"/>
      <c r="M9" s="6"/>
      <c r="N9" s="6"/>
      <c r="O9" s="5"/>
      <c r="P9" s="5"/>
      <c r="Q9" s="6" t="s">
        <v>3715</v>
      </c>
      <c r="R9" s="6"/>
      <c r="S9" s="29"/>
      <c r="T9" s="29"/>
    </row>
    <row r="10" spans="1:20" ht="38" customHeight="1" x14ac:dyDescent="0.2">
      <c r="A10" s="2" t="s">
        <v>3736</v>
      </c>
      <c r="B10" s="2" t="s">
        <v>193</v>
      </c>
      <c r="C10" s="2" t="s">
        <v>3737</v>
      </c>
      <c r="D10" s="2" t="s">
        <v>3738</v>
      </c>
      <c r="E10" s="2" t="s">
        <v>516</v>
      </c>
      <c r="F10" s="2" t="s">
        <v>3739</v>
      </c>
      <c r="G10" s="6" t="s">
        <v>1598</v>
      </c>
      <c r="H10" s="6"/>
      <c r="I10" s="6"/>
      <c r="J10" s="6"/>
      <c r="K10" s="6"/>
      <c r="L10" s="6"/>
      <c r="M10" s="6"/>
      <c r="N10" s="6"/>
      <c r="O10" s="5"/>
      <c r="P10" s="5"/>
      <c r="Q10" s="6" t="s">
        <v>3715</v>
      </c>
      <c r="R10" s="6"/>
      <c r="S10" s="29"/>
      <c r="T10" s="29"/>
    </row>
    <row r="11" spans="1:20" ht="38" customHeight="1" x14ac:dyDescent="0.2">
      <c r="A11" s="4" t="s">
        <v>3740</v>
      </c>
      <c r="B11" s="4" t="s">
        <v>1175</v>
      </c>
      <c r="C11" s="4" t="s">
        <v>3741</v>
      </c>
      <c r="D11" s="4" t="s">
        <v>3742</v>
      </c>
      <c r="E11" s="4" t="s">
        <v>1867</v>
      </c>
      <c r="F11" s="4" t="s">
        <v>3743</v>
      </c>
      <c r="G11" s="6" t="s">
        <v>1598</v>
      </c>
      <c r="H11" s="6"/>
      <c r="I11" s="6"/>
      <c r="J11" s="6"/>
      <c r="K11" s="6"/>
      <c r="L11" s="6"/>
      <c r="M11" s="6"/>
      <c r="N11" s="6"/>
      <c r="O11" s="5"/>
      <c r="P11" s="5"/>
      <c r="Q11" s="6" t="s">
        <v>3715</v>
      </c>
      <c r="R11" s="6"/>
      <c r="S11" s="29"/>
      <c r="T11" s="29"/>
    </row>
    <row r="12" spans="1:20" ht="38" customHeight="1" x14ac:dyDescent="0.2">
      <c r="A12" s="2" t="s">
        <v>3744</v>
      </c>
      <c r="B12" s="2" t="s">
        <v>201</v>
      </c>
      <c r="C12" s="2" t="s">
        <v>3745</v>
      </c>
      <c r="D12" s="2" t="s">
        <v>3746</v>
      </c>
      <c r="E12" s="2" t="s">
        <v>197</v>
      </c>
      <c r="F12" s="2" t="s">
        <v>3747</v>
      </c>
      <c r="G12" s="6" t="s">
        <v>1598</v>
      </c>
      <c r="H12" s="6"/>
      <c r="I12" s="6"/>
      <c r="J12" s="6"/>
      <c r="K12" s="6"/>
      <c r="L12" s="6"/>
      <c r="M12" s="6"/>
      <c r="N12" s="6"/>
      <c r="O12" s="5"/>
      <c r="P12" s="5"/>
      <c r="Q12" s="6" t="s">
        <v>3715</v>
      </c>
      <c r="R12" s="6"/>
      <c r="S12" s="29"/>
      <c r="T12" s="29"/>
    </row>
    <row r="13" spans="1:20" ht="38" customHeight="1" x14ac:dyDescent="0.2">
      <c r="A13" s="4" t="s">
        <v>3748</v>
      </c>
      <c r="B13" s="4" t="s">
        <v>3749</v>
      </c>
      <c r="C13" s="4" t="s">
        <v>3750</v>
      </c>
      <c r="D13" s="4" t="s">
        <v>3751</v>
      </c>
      <c r="E13" s="4" t="s">
        <v>1879</v>
      </c>
      <c r="F13" s="4" t="s">
        <v>3752</v>
      </c>
      <c r="G13" s="6" t="s">
        <v>1598</v>
      </c>
      <c r="H13" s="6"/>
      <c r="I13" s="6"/>
      <c r="J13" s="6"/>
      <c r="K13" s="6"/>
      <c r="L13" s="6"/>
      <c r="M13" s="6"/>
      <c r="N13" s="6"/>
      <c r="O13" s="5"/>
      <c r="P13" s="5"/>
      <c r="Q13" s="6" t="s">
        <v>3715</v>
      </c>
      <c r="R13" s="6"/>
      <c r="S13" s="29"/>
      <c r="T13" s="29"/>
    </row>
    <row r="14" spans="1:20" ht="38" customHeight="1" x14ac:dyDescent="0.2">
      <c r="A14" s="2" t="s">
        <v>3753</v>
      </c>
      <c r="B14" s="2" t="s">
        <v>3754</v>
      </c>
      <c r="C14" s="2" t="s">
        <v>3755</v>
      </c>
      <c r="D14" s="2" t="s">
        <v>3756</v>
      </c>
      <c r="E14" s="2" t="s">
        <v>1802</v>
      </c>
      <c r="F14" s="2" t="s">
        <v>3757</v>
      </c>
      <c r="G14" s="6" t="s">
        <v>1598</v>
      </c>
      <c r="H14" s="6"/>
      <c r="I14" s="6"/>
      <c r="J14" s="6"/>
      <c r="K14" s="6"/>
      <c r="L14" s="6"/>
      <c r="M14" s="6"/>
      <c r="N14" s="6"/>
      <c r="O14" s="5"/>
      <c r="P14" s="5"/>
      <c r="Q14" s="6" t="s">
        <v>3715</v>
      </c>
      <c r="R14" s="6"/>
      <c r="S14" s="29"/>
      <c r="T14" s="29"/>
    </row>
    <row r="15" spans="1:20" ht="38" customHeight="1" x14ac:dyDescent="0.2">
      <c r="A15" s="4" t="s">
        <v>3758</v>
      </c>
      <c r="B15" s="4" t="s">
        <v>2855</v>
      </c>
      <c r="C15" s="4" t="s">
        <v>3759</v>
      </c>
      <c r="D15" s="4" t="s">
        <v>3760</v>
      </c>
      <c r="E15" s="4" t="s">
        <v>197</v>
      </c>
      <c r="F15" s="4" t="s">
        <v>3761</v>
      </c>
      <c r="G15" s="6" t="s">
        <v>1598</v>
      </c>
      <c r="H15" s="6"/>
      <c r="I15" s="6"/>
      <c r="J15" s="6"/>
      <c r="K15" s="6"/>
      <c r="L15" s="6"/>
      <c r="M15" s="6"/>
      <c r="N15" s="6"/>
      <c r="O15" s="5"/>
      <c r="P15" s="5"/>
      <c r="Q15" s="6" t="s">
        <v>3715</v>
      </c>
      <c r="R15" s="6"/>
      <c r="S15" s="29"/>
      <c r="T15" s="29"/>
    </row>
    <row r="16" spans="1:20" ht="38" customHeight="1" x14ac:dyDescent="0.2">
      <c r="A16" s="2"/>
      <c r="B16" s="2"/>
      <c r="C16" s="2"/>
      <c r="D16" s="2"/>
      <c r="E16" s="2"/>
      <c r="F16" s="2"/>
      <c r="G16" s="6"/>
      <c r="H16" s="6"/>
      <c r="I16" s="6"/>
      <c r="J16" s="6"/>
      <c r="K16" s="6"/>
      <c r="L16" s="6"/>
      <c r="M16" s="6"/>
      <c r="N16" s="6"/>
      <c r="O16" s="5"/>
      <c r="P16" s="5"/>
      <c r="Q16" s="6"/>
      <c r="R16" s="6"/>
      <c r="S16" s="29"/>
      <c r="T16" s="29"/>
    </row>
    <row r="17" spans="1:20" ht="38" customHeight="1" x14ac:dyDescent="0.2">
      <c r="A17" s="4"/>
      <c r="B17" s="4"/>
      <c r="C17" s="4"/>
      <c r="D17" s="4"/>
      <c r="E17" s="4"/>
      <c r="F17" s="4"/>
      <c r="G17" s="6"/>
      <c r="H17" s="6"/>
      <c r="I17" s="6"/>
      <c r="J17" s="6"/>
      <c r="K17" s="6"/>
      <c r="L17" s="6"/>
      <c r="M17" s="6"/>
      <c r="N17" s="6"/>
      <c r="O17" s="5"/>
      <c r="P17" s="5"/>
      <c r="Q17" s="6"/>
      <c r="R17" s="6"/>
      <c r="S17" s="29"/>
      <c r="T17" s="29"/>
    </row>
    <row r="18" spans="1:20" ht="38" customHeight="1" x14ac:dyDescent="0.2">
      <c r="A18" s="2"/>
      <c r="B18" s="2"/>
      <c r="C18" s="2"/>
      <c r="D18" s="2"/>
      <c r="E18" s="2"/>
      <c r="F18" s="2"/>
      <c r="G18" s="6"/>
      <c r="H18" s="6"/>
      <c r="I18" s="6"/>
      <c r="J18" s="6"/>
      <c r="K18" s="6"/>
      <c r="L18" s="6"/>
      <c r="M18" s="6"/>
      <c r="N18" s="6"/>
      <c r="O18" s="5"/>
      <c r="P18" s="5"/>
      <c r="Q18" s="6"/>
      <c r="R18" s="6"/>
      <c r="S18" s="29"/>
      <c r="T18" s="29"/>
    </row>
    <row r="19" spans="1:20" ht="38" customHeight="1" x14ac:dyDescent="0.2">
      <c r="A19" s="4"/>
      <c r="B19" s="4"/>
      <c r="C19" s="4"/>
      <c r="D19" s="4"/>
      <c r="E19" s="4"/>
      <c r="F19" s="4"/>
      <c r="G19" s="6"/>
      <c r="H19" s="6"/>
      <c r="I19" s="6"/>
      <c r="J19" s="6"/>
      <c r="K19" s="6"/>
      <c r="L19" s="6"/>
      <c r="M19" s="6"/>
      <c r="N19" s="6"/>
      <c r="O19" s="5"/>
      <c r="P19" s="5"/>
      <c r="Q19" s="6"/>
      <c r="R19" s="6"/>
      <c r="S19" s="29"/>
      <c r="T19" s="29"/>
    </row>
    <row r="20" spans="1:20" ht="38" customHeight="1" x14ac:dyDescent="0.2">
      <c r="A20" s="2"/>
      <c r="B20" s="2"/>
      <c r="C20" s="2"/>
      <c r="D20" s="2"/>
      <c r="E20" s="2"/>
      <c r="F20" s="2"/>
      <c r="G20" s="6"/>
      <c r="H20" s="6"/>
      <c r="I20" s="6"/>
      <c r="J20" s="6"/>
      <c r="K20" s="6"/>
      <c r="L20" s="6"/>
      <c r="M20" s="6"/>
      <c r="N20" s="6"/>
      <c r="O20" s="5"/>
      <c r="P20" s="5"/>
      <c r="Q20" s="6"/>
      <c r="R20" s="6"/>
      <c r="S20" s="29"/>
      <c r="T20" s="29"/>
    </row>
    <row r="21" spans="1:20" ht="38" customHeight="1" x14ac:dyDescent="0.2">
      <c r="A21" s="4"/>
      <c r="B21" s="4"/>
      <c r="C21" s="4"/>
      <c r="D21" s="4"/>
      <c r="E21" s="4"/>
      <c r="F21" s="4"/>
      <c r="G21" s="6"/>
      <c r="H21" s="6"/>
      <c r="I21" s="6"/>
      <c r="J21" s="6"/>
      <c r="K21" s="6"/>
      <c r="L21" s="6"/>
      <c r="M21" s="6"/>
      <c r="N21" s="6"/>
      <c r="O21" s="5"/>
      <c r="P21" s="5"/>
      <c r="Q21" s="6"/>
      <c r="R21" s="6"/>
      <c r="S21" s="29"/>
      <c r="T21" s="29"/>
    </row>
    <row r="22" spans="1:20" ht="38" customHeight="1" x14ac:dyDescent="0.2">
      <c r="A22" s="2"/>
      <c r="B22" s="2"/>
      <c r="C22" s="2"/>
      <c r="D22" s="2"/>
      <c r="E22" s="2"/>
      <c r="F22" s="2"/>
      <c r="G22" s="6"/>
      <c r="H22" s="6"/>
      <c r="I22" s="6"/>
      <c r="J22" s="6"/>
      <c r="K22" s="6"/>
      <c r="L22" s="6"/>
      <c r="M22" s="6"/>
      <c r="N22" s="6"/>
      <c r="O22" s="5"/>
      <c r="P22" s="5"/>
      <c r="Q22" s="6"/>
      <c r="R22" s="6"/>
      <c r="S22" s="29"/>
      <c r="T22" s="29"/>
    </row>
    <row r="23" spans="1:20" ht="38" customHeight="1" x14ac:dyDescent="0.2">
      <c r="A23" s="4"/>
      <c r="B23" s="4"/>
      <c r="C23" s="4"/>
      <c r="D23" s="4"/>
      <c r="E23" s="4"/>
      <c r="F23" s="4"/>
      <c r="G23" s="6"/>
      <c r="H23" s="6"/>
      <c r="I23" s="6"/>
      <c r="J23" s="6"/>
      <c r="K23" s="6"/>
      <c r="L23" s="6"/>
      <c r="M23" s="6"/>
      <c r="N23" s="6"/>
      <c r="O23" s="5"/>
      <c r="P23" s="5"/>
      <c r="Q23" s="6"/>
      <c r="R23" s="6"/>
      <c r="S23" s="29"/>
      <c r="T23" s="29"/>
    </row>
    <row r="24" spans="1:20" ht="38" customHeight="1" x14ac:dyDescent="0.2">
      <c r="A24" s="2"/>
      <c r="B24" s="2"/>
      <c r="C24" s="2"/>
      <c r="D24" s="2"/>
      <c r="E24" s="2"/>
      <c r="F24" s="2"/>
      <c r="G24" s="6"/>
      <c r="H24" s="6"/>
      <c r="I24" s="6"/>
      <c r="J24" s="6"/>
      <c r="K24" s="6"/>
      <c r="L24" s="6"/>
      <c r="M24" s="6"/>
      <c r="N24" s="6"/>
      <c r="O24" s="5"/>
      <c r="P24" s="5"/>
      <c r="Q24" s="6"/>
      <c r="R24" s="6"/>
      <c r="S24" s="29"/>
      <c r="T24" s="29"/>
    </row>
    <row r="25" spans="1:20" ht="38" customHeight="1" x14ac:dyDescent="0.2">
      <c r="A25" s="4"/>
      <c r="B25" s="4"/>
      <c r="C25" s="4"/>
      <c r="D25" s="4"/>
      <c r="E25" s="4"/>
      <c r="F25" s="4"/>
      <c r="G25" s="6"/>
      <c r="H25" s="6"/>
      <c r="I25" s="6"/>
      <c r="J25" s="6"/>
      <c r="K25" s="6"/>
      <c r="L25" s="6"/>
      <c r="M25" s="6"/>
      <c r="N25" s="6"/>
      <c r="O25" s="5"/>
      <c r="P25" s="5"/>
      <c r="Q25" s="6"/>
      <c r="R25" s="6"/>
      <c r="S25" s="29"/>
      <c r="T25" s="29"/>
    </row>
    <row r="26" spans="1:20" ht="38" customHeight="1" x14ac:dyDescent="0.2">
      <c r="A26" s="2"/>
      <c r="B26" s="2"/>
      <c r="C26" s="2"/>
      <c r="D26" s="2"/>
      <c r="E26" s="2"/>
      <c r="F26" s="2"/>
      <c r="G26" s="6"/>
      <c r="H26" s="6"/>
      <c r="I26" s="6"/>
      <c r="J26" s="6"/>
      <c r="K26" s="6"/>
      <c r="L26" s="6"/>
      <c r="M26" s="6"/>
      <c r="N26" s="6"/>
      <c r="O26" s="5"/>
      <c r="P26" s="5"/>
      <c r="Q26" s="6"/>
      <c r="R26" s="6"/>
      <c r="S26" s="29"/>
      <c r="T26" s="29"/>
    </row>
    <row r="27" spans="1:20" ht="38" customHeight="1" x14ac:dyDescent="0.2">
      <c r="A27" s="4"/>
      <c r="B27" s="4"/>
      <c r="C27" s="4"/>
      <c r="D27" s="4"/>
      <c r="E27" s="4"/>
      <c r="F27" s="4"/>
      <c r="G27" s="6"/>
      <c r="H27" s="6"/>
      <c r="I27" s="6"/>
      <c r="J27" s="6"/>
      <c r="K27" s="6"/>
      <c r="L27" s="6"/>
      <c r="M27" s="6"/>
      <c r="N27" s="6"/>
      <c r="O27" s="5"/>
      <c r="P27" s="5"/>
      <c r="Q27" s="6"/>
      <c r="R27" s="6"/>
      <c r="S27" s="29"/>
      <c r="T27" s="29"/>
    </row>
    <row r="28" spans="1:20" ht="38" customHeight="1" x14ac:dyDescent="0.2">
      <c r="A28" s="2"/>
      <c r="B28" s="2"/>
      <c r="C28" s="2"/>
      <c r="D28" s="2"/>
      <c r="E28" s="2"/>
      <c r="F28" s="2"/>
      <c r="G28" s="6"/>
      <c r="H28" s="6"/>
      <c r="I28" s="6"/>
      <c r="J28" s="6"/>
      <c r="K28" s="6"/>
      <c r="L28" s="6"/>
      <c r="M28" s="6"/>
      <c r="N28" s="6"/>
      <c r="O28" s="5"/>
      <c r="P28" s="5"/>
      <c r="Q28" s="6"/>
      <c r="R28" s="6"/>
      <c r="S28" s="29"/>
      <c r="T28" s="29"/>
    </row>
    <row r="29" spans="1:20" ht="38" customHeight="1" x14ac:dyDescent="0.2">
      <c r="A29" s="4"/>
      <c r="B29" s="4"/>
      <c r="C29" s="4"/>
      <c r="D29" s="4"/>
      <c r="E29" s="4"/>
      <c r="F29" s="4"/>
      <c r="G29" s="6"/>
      <c r="H29" s="6"/>
      <c r="I29" s="6"/>
      <c r="J29" s="6"/>
      <c r="K29" s="6"/>
      <c r="L29" s="6"/>
      <c r="M29" s="6"/>
      <c r="N29" s="6"/>
      <c r="O29" s="5"/>
      <c r="P29" s="5"/>
      <c r="Q29" s="6"/>
      <c r="R29" s="6"/>
      <c r="S29" s="29"/>
      <c r="T29" s="29"/>
    </row>
    <row r="30" spans="1:20" ht="38" customHeight="1" x14ac:dyDescent="0.2">
      <c r="A30" s="2"/>
      <c r="B30" s="2"/>
      <c r="C30" s="2"/>
      <c r="D30" s="2"/>
      <c r="E30" s="2"/>
      <c r="F30" s="2"/>
      <c r="G30" s="6"/>
      <c r="H30" s="6"/>
      <c r="I30" s="6"/>
      <c r="J30" s="6"/>
      <c r="K30" s="6"/>
      <c r="L30" s="6"/>
      <c r="M30" s="6"/>
      <c r="N30" s="6"/>
      <c r="O30" s="5"/>
      <c r="P30" s="5"/>
      <c r="Q30" s="6"/>
      <c r="R30" s="6"/>
      <c r="S30" s="29"/>
      <c r="T30" s="29"/>
    </row>
    <row r="31" spans="1:20" ht="38" customHeight="1" x14ac:dyDescent="0.2">
      <c r="A31" s="4"/>
      <c r="B31" s="4"/>
      <c r="C31" s="4"/>
      <c r="D31" s="4"/>
      <c r="E31" s="4"/>
      <c r="F31" s="4"/>
      <c r="G31" s="6"/>
      <c r="H31" s="6"/>
      <c r="I31" s="6"/>
      <c r="J31" s="6"/>
      <c r="K31" s="6"/>
      <c r="L31" s="6"/>
      <c r="M31" s="6"/>
      <c r="N31" s="6"/>
      <c r="O31" s="5"/>
      <c r="P31" s="5"/>
      <c r="Q31" s="6"/>
      <c r="R31" s="6"/>
      <c r="S31" s="29"/>
      <c r="T31" s="29"/>
    </row>
    <row r="32" spans="1:20" ht="38" customHeight="1" x14ac:dyDescent="0.2">
      <c r="A32" s="2"/>
      <c r="B32" s="2"/>
      <c r="C32" s="2"/>
      <c r="D32" s="2"/>
      <c r="E32" s="2"/>
      <c r="F32" s="2"/>
      <c r="G32" s="6"/>
      <c r="H32" s="6"/>
      <c r="I32" s="6"/>
      <c r="J32" s="6"/>
      <c r="K32" s="6"/>
      <c r="L32" s="6"/>
      <c r="M32" s="6"/>
      <c r="N32" s="6"/>
      <c r="O32" s="5"/>
      <c r="P32" s="5"/>
      <c r="Q32" s="6"/>
      <c r="R32" s="6"/>
      <c r="S32" s="29"/>
      <c r="T32" s="29"/>
    </row>
    <row r="33" spans="1:20" ht="38" customHeight="1" x14ac:dyDescent="0.2">
      <c r="A33" s="4"/>
      <c r="B33" s="4"/>
      <c r="C33" s="4"/>
      <c r="D33" s="4"/>
      <c r="E33" s="4"/>
      <c r="F33" s="4"/>
      <c r="G33" s="6"/>
      <c r="H33" s="6"/>
      <c r="I33" s="6"/>
      <c r="J33" s="6"/>
      <c r="K33" s="6"/>
      <c r="L33" s="6"/>
      <c r="M33" s="6"/>
      <c r="N33" s="6"/>
      <c r="O33" s="5"/>
      <c r="P33" s="5"/>
      <c r="Q33" s="6"/>
      <c r="R33" s="6"/>
      <c r="S33" s="29"/>
      <c r="T33" s="29"/>
    </row>
    <row r="34" spans="1:20" ht="38" customHeight="1" x14ac:dyDescent="0.2">
      <c r="A34" s="2"/>
      <c r="B34" s="2"/>
      <c r="C34" s="2"/>
      <c r="D34" s="2"/>
      <c r="E34" s="2"/>
      <c r="F34" s="2"/>
      <c r="G34" s="6"/>
      <c r="H34" s="6"/>
      <c r="I34" s="6"/>
      <c r="J34" s="6"/>
      <c r="K34" s="6"/>
      <c r="L34" s="6"/>
      <c r="M34" s="6"/>
      <c r="N34" s="6"/>
      <c r="O34" s="5"/>
      <c r="P34" s="5"/>
      <c r="Q34" s="6"/>
      <c r="R34" s="6"/>
      <c r="S34" s="29"/>
      <c r="T34" s="29"/>
    </row>
    <row r="35" spans="1:20" ht="38" customHeight="1" x14ac:dyDescent="0.2">
      <c r="A35" s="4"/>
      <c r="B35" s="4"/>
      <c r="C35" s="4"/>
      <c r="D35" s="4"/>
      <c r="E35" s="4"/>
      <c r="F35" s="4"/>
      <c r="G35" s="6"/>
      <c r="H35" s="6"/>
      <c r="I35" s="6"/>
      <c r="J35" s="6"/>
      <c r="K35" s="6"/>
      <c r="L35" s="6"/>
      <c r="M35" s="6"/>
      <c r="N35" s="6"/>
      <c r="O35" s="5"/>
      <c r="P35" s="5"/>
      <c r="Q35" s="6"/>
      <c r="R35" s="6"/>
      <c r="S35" s="29"/>
      <c r="T35" s="29"/>
    </row>
    <row r="36" spans="1:20" ht="38" customHeight="1" x14ac:dyDescent="0.2">
      <c r="A36" s="2"/>
      <c r="B36" s="2"/>
      <c r="C36" s="2"/>
      <c r="D36" s="2"/>
      <c r="E36" s="2"/>
      <c r="F36" s="2"/>
      <c r="G36" s="6"/>
      <c r="H36" s="6"/>
      <c r="I36" s="6"/>
      <c r="J36" s="6"/>
      <c r="K36" s="6"/>
      <c r="L36" s="6"/>
      <c r="M36" s="6"/>
      <c r="N36" s="6"/>
      <c r="O36" s="5"/>
      <c r="P36" s="5"/>
      <c r="Q36" s="6"/>
      <c r="R36" s="6"/>
      <c r="S36" s="29"/>
      <c r="T36" s="29"/>
    </row>
    <row r="37" spans="1:20" ht="38" customHeight="1" x14ac:dyDescent="0.2">
      <c r="A37" s="4"/>
      <c r="B37" s="4"/>
      <c r="C37" s="4"/>
      <c r="D37" s="4"/>
      <c r="E37" s="4"/>
      <c r="F37" s="4"/>
      <c r="G37" s="6"/>
      <c r="H37" s="6"/>
      <c r="I37" s="6"/>
      <c r="J37" s="6"/>
      <c r="K37" s="6"/>
      <c r="L37" s="6"/>
      <c r="M37" s="6"/>
      <c r="N37" s="6"/>
      <c r="O37" s="5"/>
      <c r="P37" s="5"/>
      <c r="Q37" s="6"/>
      <c r="R37" s="6"/>
      <c r="S37" s="29"/>
      <c r="T37" s="29"/>
    </row>
    <row r="38" spans="1:20" ht="38" customHeight="1" x14ac:dyDescent="0.2">
      <c r="A38" s="2"/>
      <c r="B38" s="2"/>
      <c r="C38" s="2"/>
      <c r="D38" s="2"/>
      <c r="E38" s="2"/>
      <c r="F38" s="2"/>
      <c r="G38" s="6"/>
      <c r="H38" s="6"/>
      <c r="I38" s="6"/>
      <c r="J38" s="6"/>
      <c r="K38" s="6"/>
      <c r="L38" s="6"/>
      <c r="M38" s="6"/>
      <c r="N38" s="6"/>
      <c r="O38" s="5"/>
      <c r="P38" s="5"/>
      <c r="Q38" s="6"/>
      <c r="R38" s="6"/>
      <c r="S38" s="29"/>
      <c r="T38" s="29"/>
    </row>
    <row r="39" spans="1:20" ht="38" customHeight="1" x14ac:dyDescent="0.2">
      <c r="A39" s="4"/>
      <c r="B39" s="4"/>
      <c r="C39" s="4"/>
      <c r="D39" s="4"/>
      <c r="E39" s="4"/>
      <c r="F39" s="4"/>
      <c r="G39" s="6"/>
      <c r="H39" s="6"/>
      <c r="I39" s="6"/>
      <c r="J39" s="6"/>
      <c r="K39" s="6"/>
      <c r="L39" s="6"/>
      <c r="M39" s="6"/>
      <c r="N39" s="6"/>
      <c r="O39" s="5"/>
      <c r="P39" s="5"/>
      <c r="Q39" s="6"/>
      <c r="R39" s="6"/>
      <c r="S39" s="29"/>
      <c r="T39" s="29"/>
    </row>
    <row r="40" spans="1:20" ht="38" customHeight="1" x14ac:dyDescent="0.2">
      <c r="A40" s="2"/>
      <c r="B40" s="2"/>
      <c r="C40" s="2"/>
      <c r="D40" s="2"/>
      <c r="E40" s="2"/>
      <c r="F40" s="2"/>
      <c r="G40" s="6"/>
      <c r="H40" s="6"/>
      <c r="I40" s="6"/>
      <c r="J40" s="6"/>
      <c r="K40" s="6"/>
      <c r="L40" s="6"/>
      <c r="M40" s="6"/>
      <c r="N40" s="6"/>
      <c r="O40" s="5"/>
      <c r="P40" s="5"/>
      <c r="Q40" s="6"/>
      <c r="R40" s="6"/>
      <c r="S40" s="29"/>
      <c r="T40" s="29"/>
    </row>
    <row r="41" spans="1:20" ht="38" customHeight="1" x14ac:dyDescent="0.2">
      <c r="A41" s="4"/>
      <c r="B41" s="4"/>
      <c r="C41" s="4"/>
      <c r="D41" s="4"/>
      <c r="E41" s="4"/>
      <c r="F41" s="4"/>
      <c r="G41" s="6"/>
      <c r="H41" s="6"/>
      <c r="I41" s="6"/>
      <c r="J41" s="6"/>
      <c r="K41" s="6"/>
      <c r="L41" s="6"/>
      <c r="M41" s="6"/>
      <c r="N41" s="6"/>
      <c r="O41" s="5"/>
      <c r="P41" s="5"/>
      <c r="Q41" s="6"/>
      <c r="R41" s="6"/>
      <c r="S41" s="29"/>
      <c r="T41" s="29"/>
    </row>
    <row r="42" spans="1:20" ht="38" customHeight="1" x14ac:dyDescent="0.2">
      <c r="A42" s="2"/>
      <c r="B42" s="2"/>
      <c r="C42" s="2"/>
      <c r="D42" s="2"/>
      <c r="E42" s="2"/>
      <c r="F42" s="2"/>
      <c r="G42" s="6"/>
      <c r="H42" s="6"/>
      <c r="I42" s="6"/>
      <c r="J42" s="6"/>
      <c r="K42" s="6"/>
      <c r="L42" s="6"/>
      <c r="M42" s="6"/>
      <c r="N42" s="6"/>
      <c r="O42" s="5"/>
      <c r="P42" s="5"/>
      <c r="Q42" s="6"/>
      <c r="R42" s="6"/>
      <c r="S42" s="29"/>
      <c r="T42" s="29"/>
    </row>
    <row r="43" spans="1:20" ht="38" customHeight="1" x14ac:dyDescent="0.2">
      <c r="A43" s="4"/>
      <c r="B43" s="4"/>
      <c r="C43" s="4"/>
      <c r="D43" s="4"/>
      <c r="E43" s="4"/>
      <c r="F43" s="4"/>
      <c r="G43" s="6"/>
      <c r="H43" s="6"/>
      <c r="I43" s="6"/>
      <c r="J43" s="6"/>
      <c r="K43" s="6"/>
      <c r="L43" s="6"/>
      <c r="M43" s="6"/>
      <c r="N43" s="6"/>
      <c r="O43" s="5"/>
      <c r="P43" s="5"/>
      <c r="Q43" s="6"/>
      <c r="R43" s="6"/>
      <c r="S43" s="29"/>
      <c r="T43" s="29"/>
    </row>
    <row r="47" spans="1:20" ht="30" customHeight="1" x14ac:dyDescent="0.2">
      <c r="A47" s="46" t="s">
        <v>3762</v>
      </c>
      <c r="B47" s="45"/>
      <c r="C47" s="45"/>
    </row>
    <row r="48" spans="1:20" ht="32" customHeight="1" x14ac:dyDescent="0.2">
      <c r="A48" s="1" t="s">
        <v>1915</v>
      </c>
      <c r="B48" s="1" t="s">
        <v>3763</v>
      </c>
      <c r="C48" s="1" t="s">
        <v>3764</v>
      </c>
    </row>
    <row r="49" spans="1:18" ht="61" customHeight="1" x14ac:dyDescent="0.2">
      <c r="A49" s="2" t="s">
        <v>3765</v>
      </c>
      <c r="B49" s="2" t="s">
        <v>3766</v>
      </c>
      <c r="C49" s="2" t="s">
        <v>3767</v>
      </c>
      <c r="D49" s="2"/>
      <c r="E49" s="2"/>
      <c r="F49" s="2"/>
      <c r="G49" s="2"/>
      <c r="H49" s="2"/>
      <c r="I49" s="2"/>
      <c r="J49" s="2"/>
      <c r="K49" s="2"/>
      <c r="L49" s="2"/>
      <c r="M49" s="2"/>
      <c r="N49" s="2"/>
      <c r="O49" s="2"/>
      <c r="P49" s="2"/>
      <c r="Q49" s="2"/>
      <c r="R49" s="2"/>
    </row>
    <row r="50" spans="1:18" ht="49" customHeight="1" x14ac:dyDescent="0.2">
      <c r="A50" s="4" t="s">
        <v>3768</v>
      </c>
      <c r="B50" s="4" t="s">
        <v>3769</v>
      </c>
      <c r="C50" s="4" t="s">
        <v>3770</v>
      </c>
      <c r="D50" s="4"/>
      <c r="E50" s="4"/>
      <c r="F50" s="4"/>
      <c r="G50" s="4"/>
      <c r="H50" s="4"/>
      <c r="I50" s="4"/>
      <c r="J50" s="4"/>
      <c r="K50" s="4"/>
      <c r="L50" s="4"/>
      <c r="M50" s="4"/>
      <c r="N50" s="4"/>
      <c r="O50" s="4"/>
      <c r="P50" s="4"/>
      <c r="Q50" s="4"/>
      <c r="R50" s="4"/>
    </row>
    <row r="51" spans="1:18" ht="49" customHeight="1" x14ac:dyDescent="0.2">
      <c r="A51" s="2" t="s">
        <v>3771</v>
      </c>
      <c r="B51" s="2" t="s">
        <v>3772</v>
      </c>
      <c r="C51" s="2" t="s">
        <v>3773</v>
      </c>
      <c r="D51" s="2"/>
      <c r="E51" s="2"/>
      <c r="F51" s="2"/>
      <c r="G51" s="2"/>
      <c r="H51" s="2"/>
      <c r="I51" s="2"/>
      <c r="J51" s="2"/>
      <c r="K51" s="2"/>
      <c r="L51" s="2"/>
      <c r="M51" s="2"/>
      <c r="N51" s="2"/>
      <c r="O51" s="2"/>
      <c r="P51" s="2"/>
      <c r="Q51" s="2"/>
      <c r="R51" s="2"/>
    </row>
    <row r="52" spans="1:18" ht="49" customHeight="1" x14ac:dyDescent="0.2">
      <c r="A52" s="4" t="s">
        <v>3774</v>
      </c>
      <c r="B52" s="4" t="s">
        <v>3775</v>
      </c>
      <c r="C52" s="4" t="s">
        <v>3776</v>
      </c>
      <c r="D52" s="4"/>
      <c r="E52" s="4"/>
      <c r="F52" s="4"/>
      <c r="G52" s="4"/>
      <c r="H52" s="4"/>
      <c r="I52" s="4"/>
      <c r="J52" s="4"/>
      <c r="K52" s="4"/>
      <c r="L52" s="4"/>
      <c r="M52" s="4"/>
      <c r="N52" s="4"/>
      <c r="O52" s="4"/>
      <c r="P52" s="4"/>
      <c r="Q52" s="4"/>
      <c r="R52" s="4"/>
    </row>
  </sheetData>
  <autoFilter ref="A3:R43" xr:uid="{00000000-0009-0000-0000-000013000000}"/>
  <mergeCells count="3">
    <mergeCell ref="A2:I2"/>
    <mergeCell ref="A1:G1"/>
    <mergeCell ref="A47:C47"/>
  </mergeCells>
  <phoneticPr fontId="12"/>
  <dataValidations count="3">
    <dataValidation type="list" allowBlank="1" showErrorMessage="1" errorTitle="入力値を確認" error="選択肢から入力してください。" sqref="G4:G43" xr:uid="{00000000-0002-0000-1300-000000000000}">
      <formula1>"未判定,該当,対象外"</formula1>
    </dataValidation>
    <dataValidation type="list" allowBlank="1" showErrorMessage="1" errorTitle="入力値を確認" error="選択肢から入力してください。" sqref="Q4:Q43" xr:uid="{00000000-0002-0000-1300-000001000000}">
      <formula1>"未評価,対策中,監視中,期限付例外,解消,停止"</formula1>
    </dataValidation>
    <dataValidation type="date" allowBlank="1" showErrorMessage="1" error="日付形式で入力してください。" sqref="O4:O43 P4:P43" xr:uid="{00000000-0002-0000-1300-000002000000}">
      <formula1>DATE(2000,1,1)</formula1>
      <formula2>DATE(2100,12,31)</formula2>
    </dataValidation>
  </dataValidations>
  <pageMargins left="0.25" right="0.25" top="0.4" bottom="0.4" header="0.5" footer="0.5"/>
  <pageSetup paperSize="8" fitToHeight="0" orientation="landscape"/>
  <headerFooter>
    <oddFooter>&amp;CAI自社事業PJ v1.0 | &amp;A&amp;R&amp;P /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05494"/>
    <outlinePr summaryRight="0"/>
    <pageSetUpPr fitToPage="1"/>
  </sheetPr>
  <dimension ref="A1:AI51"/>
  <sheetViews>
    <sheetView showGridLines="0" zoomScale="80" workbookViewId="0">
      <pane xSplit="3" ySplit="3" topLeftCell="D4" activePane="bottomRight" state="frozen"/>
      <selection pane="topRight"/>
      <selection pane="bottomLeft"/>
      <selection pane="bottomRight"/>
    </sheetView>
  </sheetViews>
  <sheetFormatPr defaultRowHeight="13" x14ac:dyDescent="0.2"/>
  <cols>
    <col min="1" max="1" width="22" customWidth="1"/>
    <col min="2" max="2" width="56" customWidth="1"/>
    <col min="3" max="3" width="22" customWidth="1"/>
    <col min="4" max="4" width="59" customWidth="1"/>
    <col min="5" max="5" width="68" customWidth="1"/>
    <col min="6" max="6" width="70" customWidth="1"/>
    <col min="7" max="7" width="43" customWidth="1"/>
    <col min="8" max="9" width="65" customWidth="1"/>
    <col min="10" max="10" width="59" customWidth="1"/>
    <col min="11" max="11" width="61" customWidth="1"/>
    <col min="12" max="12" width="63" customWidth="1"/>
    <col min="13" max="13" width="26" customWidth="1"/>
    <col min="14" max="14" width="65" customWidth="1"/>
    <col min="15" max="15" width="63" customWidth="1"/>
    <col min="16" max="16" width="26" customWidth="1"/>
    <col min="17" max="17" width="20" customWidth="1"/>
    <col min="18" max="18" width="23" customWidth="1"/>
    <col min="19" max="19" width="24" customWidth="1"/>
    <col min="20" max="20" width="66" customWidth="1"/>
    <col min="21" max="21" width="30" customWidth="1"/>
    <col min="22" max="25" width="21" customWidth="1"/>
    <col min="26" max="26" width="26" customWidth="1"/>
    <col min="27" max="29" width="21" customWidth="1"/>
    <col min="30" max="30" width="26" customWidth="1"/>
    <col min="31" max="35" width="27" customWidth="1"/>
  </cols>
  <sheetData>
    <row r="1" spans="1:35" ht="34" customHeight="1" x14ac:dyDescent="0.55000000000000004">
      <c r="A1" s="44" t="s">
        <v>3777</v>
      </c>
      <c r="B1" s="45"/>
      <c r="C1" s="45"/>
      <c r="D1" s="45"/>
      <c r="E1" s="45"/>
      <c r="F1" s="45"/>
      <c r="G1" s="45"/>
    </row>
    <row r="2" spans="1:35" ht="43" customHeight="1" x14ac:dyDescent="0.2">
      <c r="A2" s="47" t="s">
        <v>3778</v>
      </c>
      <c r="B2" s="45"/>
      <c r="C2" s="45"/>
      <c r="D2" s="45"/>
      <c r="E2" s="45"/>
      <c r="F2" s="45"/>
      <c r="G2" s="45"/>
      <c r="H2" s="45"/>
      <c r="I2" s="45"/>
    </row>
    <row r="3" spans="1:35" ht="34" customHeight="1" x14ac:dyDescent="0.2">
      <c r="A3" s="1" t="s">
        <v>3779</v>
      </c>
      <c r="B3" s="1" t="s">
        <v>3780</v>
      </c>
      <c r="C3" s="1" t="s">
        <v>3781</v>
      </c>
      <c r="D3" s="1" t="s">
        <v>3782</v>
      </c>
      <c r="E3" s="1" t="s">
        <v>3783</v>
      </c>
      <c r="F3" s="1" t="s">
        <v>3784</v>
      </c>
      <c r="G3" s="1" t="s">
        <v>3785</v>
      </c>
      <c r="H3" s="1" t="s">
        <v>3786</v>
      </c>
      <c r="I3" s="1" t="s">
        <v>3787</v>
      </c>
      <c r="J3" s="1" t="s">
        <v>3788</v>
      </c>
      <c r="K3" s="1" t="s">
        <v>3789</v>
      </c>
      <c r="L3" s="1" t="s">
        <v>3790</v>
      </c>
      <c r="M3" s="1" t="s">
        <v>3791</v>
      </c>
      <c r="N3" s="1" t="s">
        <v>3792</v>
      </c>
      <c r="O3" s="1" t="s">
        <v>3793</v>
      </c>
      <c r="P3" s="1" t="s">
        <v>3794</v>
      </c>
      <c r="Q3" s="1" t="s">
        <v>3072</v>
      </c>
      <c r="R3" s="1" t="s">
        <v>3795</v>
      </c>
      <c r="S3" s="1" t="s">
        <v>3111</v>
      </c>
      <c r="T3" s="1" t="s">
        <v>3796</v>
      </c>
      <c r="U3" s="1" t="s">
        <v>3075</v>
      </c>
      <c r="V3" s="1" t="s">
        <v>3797</v>
      </c>
      <c r="W3" s="1" t="s">
        <v>3798</v>
      </c>
      <c r="X3" s="1" t="s">
        <v>3799</v>
      </c>
      <c r="Y3" s="1" t="s">
        <v>3800</v>
      </c>
      <c r="Z3" s="1" t="s">
        <v>3801</v>
      </c>
      <c r="AA3" s="1" t="s">
        <v>3802</v>
      </c>
      <c r="AB3" s="1" t="s">
        <v>3803</v>
      </c>
      <c r="AC3" s="1" t="s">
        <v>3804</v>
      </c>
      <c r="AD3" s="1" t="s">
        <v>3805</v>
      </c>
      <c r="AE3" s="1" t="s">
        <v>3806</v>
      </c>
      <c r="AF3" s="1" t="s">
        <v>3807</v>
      </c>
      <c r="AG3" s="1" t="s">
        <v>3808</v>
      </c>
      <c r="AH3" s="1" t="s">
        <v>3809</v>
      </c>
      <c r="AI3" s="1" t="s">
        <v>3810</v>
      </c>
    </row>
    <row r="4" spans="1:35" ht="38" customHeight="1" x14ac:dyDescent="0.2">
      <c r="A4" s="6"/>
      <c r="B4" s="6"/>
      <c r="C4" s="6"/>
      <c r="D4" s="6"/>
      <c r="E4" s="6"/>
      <c r="F4" s="6"/>
      <c r="G4" s="6"/>
      <c r="H4" s="6"/>
      <c r="I4" s="6"/>
      <c r="J4" s="6"/>
      <c r="K4" s="6"/>
      <c r="L4" s="6"/>
      <c r="M4" s="6"/>
      <c r="N4" s="6"/>
      <c r="O4" s="6"/>
      <c r="P4" s="6"/>
      <c r="Q4" s="19"/>
      <c r="R4" s="19"/>
      <c r="S4" s="6"/>
      <c r="T4" s="6"/>
      <c r="U4" s="28" t="str">
        <f t="shared" ref="U4:U43" si="0">IF(A4="","",IF(COUNTIF($A$4:$A$43,A4)&lt;&gt;1,"Release ID重複",IF(OR(C4="",C4="未判定"),"変更区分未分類",IF(AND(C4="Major",D4=""),"変更理由不足",IF(OR(S4="",S4="草案",S4="審査中"),"草案・未審査",IF(OR(OR(E4="",F4="",H4="",I4="",K4="",L4="",M4="",N4="",P4=""),NOT(ISNUMBER(Q4))),"公開根拠不足",IF(OR(X4="",X4="未判定"),"運用CS適用未判定",IF(AND(X4="必要",O4=""),"運用CS準備不足",IF(AND(X4="対象外",OR(Y4="",Z4="")),"運用対象外承認不足",IF(AND(X4&lt;&gt;"必要",X4&lt;&gt;"対象外"),"運用適用値不正",IF(AND(AG4&lt;&gt;"日時整合",AG4&lt;&gt;"緊急経路・正本審査要"),AG4,"記録あり・公開判断別")))))))))))</f>
        <v/>
      </c>
      <c r="V4" s="29"/>
      <c r="W4" s="29"/>
      <c r="X4" s="29"/>
      <c r="Y4" s="29"/>
      <c r="Z4" s="29"/>
      <c r="AA4" s="29"/>
      <c r="AB4" s="29"/>
      <c r="AC4" s="34"/>
      <c r="AD4" s="29"/>
      <c r="AE4" s="28" t="str">
        <f>IF(V4="","",COUNTIF('31_条件・有効性'!$B$4:$B$83,V4))</f>
        <v/>
      </c>
      <c r="AF4" s="28" t="str">
        <f>IF(A4="","",IF(OR(V4="",COUNTIF('29_ゲート承認記録'!$F$4:$F$83,V4)&lt;&gt;1),"GateRun不足・不正",IF(OR(A4&lt;&gt;IF(COUNTIF('29_ゲート承認記録'!$F$4:$F$83,V4)&lt;&gt;1,"参照ID不正",IF(INDEX('29_ゲート承認記録'!$T$4:$T$83,MATCH(V4,'29_ゲート承認記録'!$F$4:$F$83,0))="","",INDEX('29_ゲート承認記録'!$T$4:$T$83,MATCH(V4,'29_ゲート承認記録'!$F$4:$F$83,0)))),W4="",W4&lt;&gt;IF(COUNTIF('29_ゲート承認記録'!$F$4:$F$83,V4)&lt;&gt;1,"参照ID不正",IF(INDEX('29_ゲート承認記録'!$U$4:$U$83,MATCH(V4,'29_ゲート承認記録'!$F$4:$F$83,0))="","",INDEX('29_ゲート承認記録'!$U$4:$U$83,MATCH(V4,'29_ゲート承認記録'!$F$4:$F$83,0))))),"決裁対象・版不一致",IF(IF(COUNTIF('29_ゲート承認記録'!$F$4:$F$83,V4)&lt;&gt;1,"参照ID不正",IF(INDEX('29_ゲート承認記録'!$A$4:$A$83,MATCH(V4,'29_ゲート承認記録'!$F$4:$F$83,0))="","",INDEX('29_ゲート承認記録'!$A$4:$A$83,MATCH(V4,'29_ゲート承認記録'!$F$4:$F$83,0))))&lt;&gt;"G3","公開Gate不適合",IF(IF(COUNTIF('29_ゲート承認記録'!$F$4:$F$83,V4)&lt;&gt;1,"参照ID不正",IF(INDEX('29_ゲート承認記録'!$AD$4:$AD$83,MATCH(V4,'29_ゲート承認記録'!$F$4:$F$83,0))="","",INDEX('29_ゲート承認記録'!$AD$4:$AD$83,MATCH(V4,'29_ゲート承認記録'!$F$4:$F$83,0))))&lt;&gt;"整合済・正本決裁要確認","決裁整合未充足","決裁・構成一致")))))</f>
        <v/>
      </c>
      <c r="AG4" s="28" t="str">
        <f>IF(A4="","",IF(OR(AND(Q4&lt;&gt;"",OR(NOT(ISNUMBER(Q4)),IFERROR(Q4&lt;1,TRUE),IFERROR(INT(Q4)&gt;INT(AsOfDate),TRUE))),AND(R4&lt;&gt;"",OR(NOT(ISNUMBER(R4)),IFERROR(R4&lt;1,TRUE),IFERROR(INT(R4)&gt;INT(AsOfDate),TRUE))),AND(AI4&lt;&gt;"",OR(NOT(ISNUMBER(AI4)),IFERROR(AI4&lt;1,TRUE),IFERROR(INT(AI4)&gt;INT(AsOfDate),TRUE)))),"実績日時不正",IF(AND(OR(S4="展開中",S4="安定確認"),NOT(ISNUMBER(R4))),"公開日時不足",IF(C4="Emergency",IF(OR(AA4="",AB4="",COUNT(AC4,AI4)&lt;2),"緊急根拠不足",IF(AND(ISNUMBER(R4),OR(AI4&gt;R4,AC4&lt;R4)),"緊急時刻不正",IF(AND(AC4&lt;AsOfDate,AD4=""),"事後審査期限超過","緊急経路・正本審査要"))),IF(AND(COUNT(Q4:R4)=2,Q4&gt;R4),"承認前の通常公開",IF(AND(V4&lt;&gt;"",ISNUMBER(Q4),IFERROR(Q4&lt;IF(COUNTIF('29_ゲート承認記録'!$F$4:$F$83,V4)&lt;&gt;1,"参照ID不正",IF(INDEX('29_ゲート承認記録'!$P$4:$P$83,MATCH(V4,'29_ゲート承認記録'!$F$4:$F$83,0))="","",INDEX('29_ゲート承認記録'!$P$4:$P$83,MATCH(V4,'29_ゲート承認記録'!$F$4:$F$83,0)))),FALSE)),"Gate判断前の承認","日時整合"))))))</f>
        <v/>
      </c>
      <c r="AH4" s="28" t="str">
        <f t="shared" ref="AH4:AH43" si="1">IF(A4="","",IF(U4&lt;&gt;"記録あり・公開判断別",U4,IF(OR(S4="停止",S4="ロールバック",S4="終了"),"公開継続しない状態",IF(C4="Emergency","緊急措置・通常公開許可ではない",IF(AF4&lt;&gt;"決裁・構成一致",AF4,"準備記録整合・実行許可は正本")))))</f>
        <v/>
      </c>
      <c r="AI4" s="34"/>
    </row>
    <row r="5" spans="1:35" ht="38" customHeight="1" x14ac:dyDescent="0.2">
      <c r="A5" s="6"/>
      <c r="B5" s="6"/>
      <c r="C5" s="6"/>
      <c r="D5" s="6"/>
      <c r="E5" s="6"/>
      <c r="F5" s="6"/>
      <c r="G5" s="6"/>
      <c r="H5" s="6"/>
      <c r="I5" s="6"/>
      <c r="J5" s="6"/>
      <c r="K5" s="6"/>
      <c r="L5" s="6"/>
      <c r="M5" s="6"/>
      <c r="N5" s="6"/>
      <c r="O5" s="6"/>
      <c r="P5" s="6"/>
      <c r="Q5" s="19"/>
      <c r="R5" s="19"/>
      <c r="S5" s="6"/>
      <c r="T5" s="6"/>
      <c r="U5" s="28" t="str">
        <f t="shared" si="0"/>
        <v/>
      </c>
      <c r="V5" s="29"/>
      <c r="W5" s="29"/>
      <c r="X5" s="29"/>
      <c r="Y5" s="29"/>
      <c r="Z5" s="29"/>
      <c r="AA5" s="29"/>
      <c r="AB5" s="29"/>
      <c r="AC5" s="34"/>
      <c r="AD5" s="29"/>
      <c r="AE5" s="28" t="str">
        <f>IF(V5="","",COUNTIF('31_条件・有効性'!$B$4:$B$83,V5))</f>
        <v/>
      </c>
      <c r="AF5" s="28" t="str">
        <f>IF(A5="","",IF(OR(V5="",COUNTIF('29_ゲート承認記録'!$F$4:$F$83,V5)&lt;&gt;1),"GateRun不足・不正",IF(OR(A5&lt;&gt;IF(COUNTIF('29_ゲート承認記録'!$F$4:$F$83,V5)&lt;&gt;1,"参照ID不正",IF(INDEX('29_ゲート承認記録'!$T$4:$T$83,MATCH(V5,'29_ゲート承認記録'!$F$4:$F$83,0))="","",INDEX('29_ゲート承認記録'!$T$4:$T$83,MATCH(V5,'29_ゲート承認記録'!$F$4:$F$83,0)))),W5="",W5&lt;&gt;IF(COUNTIF('29_ゲート承認記録'!$F$4:$F$83,V5)&lt;&gt;1,"参照ID不正",IF(INDEX('29_ゲート承認記録'!$U$4:$U$83,MATCH(V5,'29_ゲート承認記録'!$F$4:$F$83,0))="","",INDEX('29_ゲート承認記録'!$U$4:$U$83,MATCH(V5,'29_ゲート承認記録'!$F$4:$F$83,0))))),"決裁対象・版不一致",IF(IF(COUNTIF('29_ゲート承認記録'!$F$4:$F$83,V5)&lt;&gt;1,"参照ID不正",IF(INDEX('29_ゲート承認記録'!$A$4:$A$83,MATCH(V5,'29_ゲート承認記録'!$F$4:$F$83,0))="","",INDEX('29_ゲート承認記録'!$A$4:$A$83,MATCH(V5,'29_ゲート承認記録'!$F$4:$F$83,0))))&lt;&gt;"G3","公開Gate不適合",IF(IF(COUNTIF('29_ゲート承認記録'!$F$4:$F$83,V5)&lt;&gt;1,"参照ID不正",IF(INDEX('29_ゲート承認記録'!$AD$4:$AD$83,MATCH(V5,'29_ゲート承認記録'!$F$4:$F$83,0))="","",INDEX('29_ゲート承認記録'!$AD$4:$AD$83,MATCH(V5,'29_ゲート承認記録'!$F$4:$F$83,0))))&lt;&gt;"整合済・正本決裁要確認","決裁整合未充足","決裁・構成一致")))))</f>
        <v/>
      </c>
      <c r="AG5" s="28" t="str">
        <f>IF(A5="","",IF(OR(AND(Q5&lt;&gt;"",OR(NOT(ISNUMBER(Q5)),IFERROR(Q5&lt;1,TRUE),IFERROR(INT(Q5)&gt;INT(AsOfDate),TRUE))),AND(R5&lt;&gt;"",OR(NOT(ISNUMBER(R5)),IFERROR(R5&lt;1,TRUE),IFERROR(INT(R5)&gt;INT(AsOfDate),TRUE))),AND(AI5&lt;&gt;"",OR(NOT(ISNUMBER(AI5)),IFERROR(AI5&lt;1,TRUE),IFERROR(INT(AI5)&gt;INT(AsOfDate),TRUE)))),"実績日時不正",IF(AND(OR(S5="展開中",S5="安定確認"),NOT(ISNUMBER(R5))),"公開日時不足",IF(C5="Emergency",IF(OR(AA5="",AB5="",COUNT(AC5,AI5)&lt;2),"緊急根拠不足",IF(AND(ISNUMBER(R5),OR(AI5&gt;R5,AC5&lt;R5)),"緊急時刻不正",IF(AND(AC5&lt;AsOfDate,AD5=""),"事後審査期限超過","緊急経路・正本審査要"))),IF(AND(COUNT(Q5:R5)=2,Q5&gt;R5),"承認前の通常公開",IF(AND(V5&lt;&gt;"",ISNUMBER(Q5),IFERROR(Q5&lt;IF(COUNTIF('29_ゲート承認記録'!$F$4:$F$83,V5)&lt;&gt;1,"参照ID不正",IF(INDEX('29_ゲート承認記録'!$P$4:$P$83,MATCH(V5,'29_ゲート承認記録'!$F$4:$F$83,0))="","",INDEX('29_ゲート承認記録'!$P$4:$P$83,MATCH(V5,'29_ゲート承認記録'!$F$4:$F$83,0)))),FALSE)),"Gate判断前の承認","日時整合"))))))</f>
        <v/>
      </c>
      <c r="AH5" s="28" t="str">
        <f t="shared" si="1"/>
        <v/>
      </c>
      <c r="AI5" s="34"/>
    </row>
    <row r="6" spans="1:35" ht="38" customHeight="1" x14ac:dyDescent="0.2">
      <c r="A6" s="6"/>
      <c r="B6" s="6"/>
      <c r="C6" s="6"/>
      <c r="D6" s="6"/>
      <c r="E6" s="6"/>
      <c r="F6" s="6"/>
      <c r="G6" s="6"/>
      <c r="H6" s="6"/>
      <c r="I6" s="6"/>
      <c r="J6" s="6"/>
      <c r="K6" s="6"/>
      <c r="L6" s="6"/>
      <c r="M6" s="6"/>
      <c r="N6" s="6"/>
      <c r="O6" s="6"/>
      <c r="P6" s="6"/>
      <c r="Q6" s="19"/>
      <c r="R6" s="19"/>
      <c r="S6" s="6"/>
      <c r="T6" s="6"/>
      <c r="U6" s="28" t="str">
        <f t="shared" si="0"/>
        <v/>
      </c>
      <c r="V6" s="29"/>
      <c r="W6" s="29"/>
      <c r="X6" s="29"/>
      <c r="Y6" s="29"/>
      <c r="Z6" s="29"/>
      <c r="AA6" s="29"/>
      <c r="AB6" s="29"/>
      <c r="AC6" s="34"/>
      <c r="AD6" s="29"/>
      <c r="AE6" s="28" t="str">
        <f>IF(V6="","",COUNTIF('31_条件・有効性'!$B$4:$B$83,V6))</f>
        <v/>
      </c>
      <c r="AF6" s="28" t="str">
        <f>IF(A6="","",IF(OR(V6="",COUNTIF('29_ゲート承認記録'!$F$4:$F$83,V6)&lt;&gt;1),"GateRun不足・不正",IF(OR(A6&lt;&gt;IF(COUNTIF('29_ゲート承認記録'!$F$4:$F$83,V6)&lt;&gt;1,"参照ID不正",IF(INDEX('29_ゲート承認記録'!$T$4:$T$83,MATCH(V6,'29_ゲート承認記録'!$F$4:$F$83,0))="","",INDEX('29_ゲート承認記録'!$T$4:$T$83,MATCH(V6,'29_ゲート承認記録'!$F$4:$F$83,0)))),W6="",W6&lt;&gt;IF(COUNTIF('29_ゲート承認記録'!$F$4:$F$83,V6)&lt;&gt;1,"参照ID不正",IF(INDEX('29_ゲート承認記録'!$U$4:$U$83,MATCH(V6,'29_ゲート承認記録'!$F$4:$F$83,0))="","",INDEX('29_ゲート承認記録'!$U$4:$U$83,MATCH(V6,'29_ゲート承認記録'!$F$4:$F$83,0))))),"決裁対象・版不一致",IF(IF(COUNTIF('29_ゲート承認記録'!$F$4:$F$83,V6)&lt;&gt;1,"参照ID不正",IF(INDEX('29_ゲート承認記録'!$A$4:$A$83,MATCH(V6,'29_ゲート承認記録'!$F$4:$F$83,0))="","",INDEX('29_ゲート承認記録'!$A$4:$A$83,MATCH(V6,'29_ゲート承認記録'!$F$4:$F$83,0))))&lt;&gt;"G3","公開Gate不適合",IF(IF(COUNTIF('29_ゲート承認記録'!$F$4:$F$83,V6)&lt;&gt;1,"参照ID不正",IF(INDEX('29_ゲート承認記録'!$AD$4:$AD$83,MATCH(V6,'29_ゲート承認記録'!$F$4:$F$83,0))="","",INDEX('29_ゲート承認記録'!$AD$4:$AD$83,MATCH(V6,'29_ゲート承認記録'!$F$4:$F$83,0))))&lt;&gt;"整合済・正本決裁要確認","決裁整合未充足","決裁・構成一致")))))</f>
        <v/>
      </c>
      <c r="AG6" s="28" t="str">
        <f>IF(A6="","",IF(OR(AND(Q6&lt;&gt;"",OR(NOT(ISNUMBER(Q6)),IFERROR(Q6&lt;1,TRUE),IFERROR(INT(Q6)&gt;INT(AsOfDate),TRUE))),AND(R6&lt;&gt;"",OR(NOT(ISNUMBER(R6)),IFERROR(R6&lt;1,TRUE),IFERROR(INT(R6)&gt;INT(AsOfDate),TRUE))),AND(AI6&lt;&gt;"",OR(NOT(ISNUMBER(AI6)),IFERROR(AI6&lt;1,TRUE),IFERROR(INT(AI6)&gt;INT(AsOfDate),TRUE)))),"実績日時不正",IF(AND(OR(S6="展開中",S6="安定確認"),NOT(ISNUMBER(R6))),"公開日時不足",IF(C6="Emergency",IF(OR(AA6="",AB6="",COUNT(AC6,AI6)&lt;2),"緊急根拠不足",IF(AND(ISNUMBER(R6),OR(AI6&gt;R6,AC6&lt;R6)),"緊急時刻不正",IF(AND(AC6&lt;AsOfDate,AD6=""),"事後審査期限超過","緊急経路・正本審査要"))),IF(AND(COUNT(Q6:R6)=2,Q6&gt;R6),"承認前の通常公開",IF(AND(V6&lt;&gt;"",ISNUMBER(Q6),IFERROR(Q6&lt;IF(COUNTIF('29_ゲート承認記録'!$F$4:$F$83,V6)&lt;&gt;1,"参照ID不正",IF(INDEX('29_ゲート承認記録'!$P$4:$P$83,MATCH(V6,'29_ゲート承認記録'!$F$4:$F$83,0))="","",INDEX('29_ゲート承認記録'!$P$4:$P$83,MATCH(V6,'29_ゲート承認記録'!$F$4:$F$83,0)))),FALSE)),"Gate判断前の承認","日時整合"))))))</f>
        <v/>
      </c>
      <c r="AH6" s="28" t="str">
        <f t="shared" si="1"/>
        <v/>
      </c>
      <c r="AI6" s="34"/>
    </row>
    <row r="7" spans="1:35" ht="38" customHeight="1" x14ac:dyDescent="0.2">
      <c r="A7" s="6"/>
      <c r="B7" s="6"/>
      <c r="C7" s="6"/>
      <c r="D7" s="6"/>
      <c r="E7" s="6"/>
      <c r="F7" s="6"/>
      <c r="G7" s="6"/>
      <c r="H7" s="6"/>
      <c r="I7" s="6"/>
      <c r="J7" s="6"/>
      <c r="K7" s="6"/>
      <c r="L7" s="6"/>
      <c r="M7" s="6"/>
      <c r="N7" s="6"/>
      <c r="O7" s="6"/>
      <c r="P7" s="6"/>
      <c r="Q7" s="19"/>
      <c r="R7" s="19"/>
      <c r="S7" s="6"/>
      <c r="T7" s="6"/>
      <c r="U7" s="28" t="str">
        <f t="shared" si="0"/>
        <v/>
      </c>
      <c r="V7" s="29"/>
      <c r="W7" s="29"/>
      <c r="X7" s="29"/>
      <c r="Y7" s="29"/>
      <c r="Z7" s="29"/>
      <c r="AA7" s="29"/>
      <c r="AB7" s="29"/>
      <c r="AC7" s="34"/>
      <c r="AD7" s="29"/>
      <c r="AE7" s="28" t="str">
        <f>IF(V7="","",COUNTIF('31_条件・有効性'!$B$4:$B$83,V7))</f>
        <v/>
      </c>
      <c r="AF7" s="28" t="str">
        <f>IF(A7="","",IF(OR(V7="",COUNTIF('29_ゲート承認記録'!$F$4:$F$83,V7)&lt;&gt;1),"GateRun不足・不正",IF(OR(A7&lt;&gt;IF(COUNTIF('29_ゲート承認記録'!$F$4:$F$83,V7)&lt;&gt;1,"参照ID不正",IF(INDEX('29_ゲート承認記録'!$T$4:$T$83,MATCH(V7,'29_ゲート承認記録'!$F$4:$F$83,0))="","",INDEX('29_ゲート承認記録'!$T$4:$T$83,MATCH(V7,'29_ゲート承認記録'!$F$4:$F$83,0)))),W7="",W7&lt;&gt;IF(COUNTIF('29_ゲート承認記録'!$F$4:$F$83,V7)&lt;&gt;1,"参照ID不正",IF(INDEX('29_ゲート承認記録'!$U$4:$U$83,MATCH(V7,'29_ゲート承認記録'!$F$4:$F$83,0))="","",INDEX('29_ゲート承認記録'!$U$4:$U$83,MATCH(V7,'29_ゲート承認記録'!$F$4:$F$83,0))))),"決裁対象・版不一致",IF(IF(COUNTIF('29_ゲート承認記録'!$F$4:$F$83,V7)&lt;&gt;1,"参照ID不正",IF(INDEX('29_ゲート承認記録'!$A$4:$A$83,MATCH(V7,'29_ゲート承認記録'!$F$4:$F$83,0))="","",INDEX('29_ゲート承認記録'!$A$4:$A$83,MATCH(V7,'29_ゲート承認記録'!$F$4:$F$83,0))))&lt;&gt;"G3","公開Gate不適合",IF(IF(COUNTIF('29_ゲート承認記録'!$F$4:$F$83,V7)&lt;&gt;1,"参照ID不正",IF(INDEX('29_ゲート承認記録'!$AD$4:$AD$83,MATCH(V7,'29_ゲート承認記録'!$F$4:$F$83,0))="","",INDEX('29_ゲート承認記録'!$AD$4:$AD$83,MATCH(V7,'29_ゲート承認記録'!$F$4:$F$83,0))))&lt;&gt;"整合済・正本決裁要確認","決裁整合未充足","決裁・構成一致")))))</f>
        <v/>
      </c>
      <c r="AG7" s="28" t="str">
        <f>IF(A7="","",IF(OR(AND(Q7&lt;&gt;"",OR(NOT(ISNUMBER(Q7)),IFERROR(Q7&lt;1,TRUE),IFERROR(INT(Q7)&gt;INT(AsOfDate),TRUE))),AND(R7&lt;&gt;"",OR(NOT(ISNUMBER(R7)),IFERROR(R7&lt;1,TRUE),IFERROR(INT(R7)&gt;INT(AsOfDate),TRUE))),AND(AI7&lt;&gt;"",OR(NOT(ISNUMBER(AI7)),IFERROR(AI7&lt;1,TRUE),IFERROR(INT(AI7)&gt;INT(AsOfDate),TRUE)))),"実績日時不正",IF(AND(OR(S7="展開中",S7="安定確認"),NOT(ISNUMBER(R7))),"公開日時不足",IF(C7="Emergency",IF(OR(AA7="",AB7="",COUNT(AC7,AI7)&lt;2),"緊急根拠不足",IF(AND(ISNUMBER(R7),OR(AI7&gt;R7,AC7&lt;R7)),"緊急時刻不正",IF(AND(AC7&lt;AsOfDate,AD7=""),"事後審査期限超過","緊急経路・正本審査要"))),IF(AND(COUNT(Q7:R7)=2,Q7&gt;R7),"承認前の通常公開",IF(AND(V7&lt;&gt;"",ISNUMBER(Q7),IFERROR(Q7&lt;IF(COUNTIF('29_ゲート承認記録'!$F$4:$F$83,V7)&lt;&gt;1,"参照ID不正",IF(INDEX('29_ゲート承認記録'!$P$4:$P$83,MATCH(V7,'29_ゲート承認記録'!$F$4:$F$83,0))="","",INDEX('29_ゲート承認記録'!$P$4:$P$83,MATCH(V7,'29_ゲート承認記録'!$F$4:$F$83,0)))),FALSE)),"Gate判断前の承認","日時整合"))))))</f>
        <v/>
      </c>
      <c r="AH7" s="28" t="str">
        <f t="shared" si="1"/>
        <v/>
      </c>
      <c r="AI7" s="34"/>
    </row>
    <row r="8" spans="1:35" ht="38" customHeight="1" x14ac:dyDescent="0.2">
      <c r="A8" s="6"/>
      <c r="B8" s="6"/>
      <c r="C8" s="6"/>
      <c r="D8" s="6"/>
      <c r="E8" s="6"/>
      <c r="F8" s="6"/>
      <c r="G8" s="6"/>
      <c r="H8" s="6"/>
      <c r="I8" s="6"/>
      <c r="J8" s="6"/>
      <c r="K8" s="6"/>
      <c r="L8" s="6"/>
      <c r="M8" s="6"/>
      <c r="N8" s="6"/>
      <c r="O8" s="6"/>
      <c r="P8" s="6"/>
      <c r="Q8" s="19"/>
      <c r="R8" s="19"/>
      <c r="S8" s="6"/>
      <c r="T8" s="6"/>
      <c r="U8" s="28" t="str">
        <f t="shared" si="0"/>
        <v/>
      </c>
      <c r="V8" s="29"/>
      <c r="W8" s="29"/>
      <c r="X8" s="29"/>
      <c r="Y8" s="29"/>
      <c r="Z8" s="29"/>
      <c r="AA8" s="29"/>
      <c r="AB8" s="29"/>
      <c r="AC8" s="34"/>
      <c r="AD8" s="29"/>
      <c r="AE8" s="28" t="str">
        <f>IF(V8="","",COUNTIF('31_条件・有効性'!$B$4:$B$83,V8))</f>
        <v/>
      </c>
      <c r="AF8" s="28" t="str">
        <f>IF(A8="","",IF(OR(V8="",COUNTIF('29_ゲート承認記録'!$F$4:$F$83,V8)&lt;&gt;1),"GateRun不足・不正",IF(OR(A8&lt;&gt;IF(COUNTIF('29_ゲート承認記録'!$F$4:$F$83,V8)&lt;&gt;1,"参照ID不正",IF(INDEX('29_ゲート承認記録'!$T$4:$T$83,MATCH(V8,'29_ゲート承認記録'!$F$4:$F$83,0))="","",INDEX('29_ゲート承認記録'!$T$4:$T$83,MATCH(V8,'29_ゲート承認記録'!$F$4:$F$83,0)))),W8="",W8&lt;&gt;IF(COUNTIF('29_ゲート承認記録'!$F$4:$F$83,V8)&lt;&gt;1,"参照ID不正",IF(INDEX('29_ゲート承認記録'!$U$4:$U$83,MATCH(V8,'29_ゲート承認記録'!$F$4:$F$83,0))="","",INDEX('29_ゲート承認記録'!$U$4:$U$83,MATCH(V8,'29_ゲート承認記録'!$F$4:$F$83,0))))),"決裁対象・版不一致",IF(IF(COUNTIF('29_ゲート承認記録'!$F$4:$F$83,V8)&lt;&gt;1,"参照ID不正",IF(INDEX('29_ゲート承認記録'!$A$4:$A$83,MATCH(V8,'29_ゲート承認記録'!$F$4:$F$83,0))="","",INDEX('29_ゲート承認記録'!$A$4:$A$83,MATCH(V8,'29_ゲート承認記録'!$F$4:$F$83,0))))&lt;&gt;"G3","公開Gate不適合",IF(IF(COUNTIF('29_ゲート承認記録'!$F$4:$F$83,V8)&lt;&gt;1,"参照ID不正",IF(INDEX('29_ゲート承認記録'!$AD$4:$AD$83,MATCH(V8,'29_ゲート承認記録'!$F$4:$F$83,0))="","",INDEX('29_ゲート承認記録'!$AD$4:$AD$83,MATCH(V8,'29_ゲート承認記録'!$F$4:$F$83,0))))&lt;&gt;"整合済・正本決裁要確認","決裁整合未充足","決裁・構成一致")))))</f>
        <v/>
      </c>
      <c r="AG8" s="28" t="str">
        <f>IF(A8="","",IF(OR(AND(Q8&lt;&gt;"",OR(NOT(ISNUMBER(Q8)),IFERROR(Q8&lt;1,TRUE),IFERROR(INT(Q8)&gt;INT(AsOfDate),TRUE))),AND(R8&lt;&gt;"",OR(NOT(ISNUMBER(R8)),IFERROR(R8&lt;1,TRUE),IFERROR(INT(R8)&gt;INT(AsOfDate),TRUE))),AND(AI8&lt;&gt;"",OR(NOT(ISNUMBER(AI8)),IFERROR(AI8&lt;1,TRUE),IFERROR(INT(AI8)&gt;INT(AsOfDate),TRUE)))),"実績日時不正",IF(AND(OR(S8="展開中",S8="安定確認"),NOT(ISNUMBER(R8))),"公開日時不足",IF(C8="Emergency",IF(OR(AA8="",AB8="",COUNT(AC8,AI8)&lt;2),"緊急根拠不足",IF(AND(ISNUMBER(R8),OR(AI8&gt;R8,AC8&lt;R8)),"緊急時刻不正",IF(AND(AC8&lt;AsOfDate,AD8=""),"事後審査期限超過","緊急経路・正本審査要"))),IF(AND(COUNT(Q8:R8)=2,Q8&gt;R8),"承認前の通常公開",IF(AND(V8&lt;&gt;"",ISNUMBER(Q8),IFERROR(Q8&lt;IF(COUNTIF('29_ゲート承認記録'!$F$4:$F$83,V8)&lt;&gt;1,"参照ID不正",IF(INDEX('29_ゲート承認記録'!$P$4:$P$83,MATCH(V8,'29_ゲート承認記録'!$F$4:$F$83,0))="","",INDEX('29_ゲート承認記録'!$P$4:$P$83,MATCH(V8,'29_ゲート承認記録'!$F$4:$F$83,0)))),FALSE)),"Gate判断前の承認","日時整合"))))))</f>
        <v/>
      </c>
      <c r="AH8" s="28" t="str">
        <f t="shared" si="1"/>
        <v/>
      </c>
      <c r="AI8" s="34"/>
    </row>
    <row r="9" spans="1:35" ht="38" customHeight="1" x14ac:dyDescent="0.2">
      <c r="A9" s="6"/>
      <c r="B9" s="6"/>
      <c r="C9" s="6"/>
      <c r="D9" s="6"/>
      <c r="E9" s="6"/>
      <c r="F9" s="6"/>
      <c r="G9" s="6"/>
      <c r="H9" s="6"/>
      <c r="I9" s="6"/>
      <c r="J9" s="6"/>
      <c r="K9" s="6"/>
      <c r="L9" s="6"/>
      <c r="M9" s="6"/>
      <c r="N9" s="6"/>
      <c r="O9" s="6"/>
      <c r="P9" s="6"/>
      <c r="Q9" s="19"/>
      <c r="R9" s="19"/>
      <c r="S9" s="6"/>
      <c r="T9" s="6"/>
      <c r="U9" s="28" t="str">
        <f t="shared" si="0"/>
        <v/>
      </c>
      <c r="V9" s="29"/>
      <c r="W9" s="29"/>
      <c r="X9" s="29"/>
      <c r="Y9" s="29"/>
      <c r="Z9" s="29"/>
      <c r="AA9" s="29"/>
      <c r="AB9" s="29"/>
      <c r="AC9" s="34"/>
      <c r="AD9" s="29"/>
      <c r="AE9" s="28" t="str">
        <f>IF(V9="","",COUNTIF('31_条件・有効性'!$B$4:$B$83,V9))</f>
        <v/>
      </c>
      <c r="AF9" s="28" t="str">
        <f>IF(A9="","",IF(OR(V9="",COUNTIF('29_ゲート承認記録'!$F$4:$F$83,V9)&lt;&gt;1),"GateRun不足・不正",IF(OR(A9&lt;&gt;IF(COUNTIF('29_ゲート承認記録'!$F$4:$F$83,V9)&lt;&gt;1,"参照ID不正",IF(INDEX('29_ゲート承認記録'!$T$4:$T$83,MATCH(V9,'29_ゲート承認記録'!$F$4:$F$83,0))="","",INDEX('29_ゲート承認記録'!$T$4:$T$83,MATCH(V9,'29_ゲート承認記録'!$F$4:$F$83,0)))),W9="",W9&lt;&gt;IF(COUNTIF('29_ゲート承認記録'!$F$4:$F$83,V9)&lt;&gt;1,"参照ID不正",IF(INDEX('29_ゲート承認記録'!$U$4:$U$83,MATCH(V9,'29_ゲート承認記録'!$F$4:$F$83,0))="","",INDEX('29_ゲート承認記録'!$U$4:$U$83,MATCH(V9,'29_ゲート承認記録'!$F$4:$F$83,0))))),"決裁対象・版不一致",IF(IF(COUNTIF('29_ゲート承認記録'!$F$4:$F$83,V9)&lt;&gt;1,"参照ID不正",IF(INDEX('29_ゲート承認記録'!$A$4:$A$83,MATCH(V9,'29_ゲート承認記録'!$F$4:$F$83,0))="","",INDEX('29_ゲート承認記録'!$A$4:$A$83,MATCH(V9,'29_ゲート承認記録'!$F$4:$F$83,0))))&lt;&gt;"G3","公開Gate不適合",IF(IF(COUNTIF('29_ゲート承認記録'!$F$4:$F$83,V9)&lt;&gt;1,"参照ID不正",IF(INDEX('29_ゲート承認記録'!$AD$4:$AD$83,MATCH(V9,'29_ゲート承認記録'!$F$4:$F$83,0))="","",INDEX('29_ゲート承認記録'!$AD$4:$AD$83,MATCH(V9,'29_ゲート承認記録'!$F$4:$F$83,0))))&lt;&gt;"整合済・正本決裁要確認","決裁整合未充足","決裁・構成一致")))))</f>
        <v/>
      </c>
      <c r="AG9" s="28" t="str">
        <f>IF(A9="","",IF(OR(AND(Q9&lt;&gt;"",OR(NOT(ISNUMBER(Q9)),IFERROR(Q9&lt;1,TRUE),IFERROR(INT(Q9)&gt;INT(AsOfDate),TRUE))),AND(R9&lt;&gt;"",OR(NOT(ISNUMBER(R9)),IFERROR(R9&lt;1,TRUE),IFERROR(INT(R9)&gt;INT(AsOfDate),TRUE))),AND(AI9&lt;&gt;"",OR(NOT(ISNUMBER(AI9)),IFERROR(AI9&lt;1,TRUE),IFERROR(INT(AI9)&gt;INT(AsOfDate),TRUE)))),"実績日時不正",IF(AND(OR(S9="展開中",S9="安定確認"),NOT(ISNUMBER(R9))),"公開日時不足",IF(C9="Emergency",IF(OR(AA9="",AB9="",COUNT(AC9,AI9)&lt;2),"緊急根拠不足",IF(AND(ISNUMBER(R9),OR(AI9&gt;R9,AC9&lt;R9)),"緊急時刻不正",IF(AND(AC9&lt;AsOfDate,AD9=""),"事後審査期限超過","緊急経路・正本審査要"))),IF(AND(COUNT(Q9:R9)=2,Q9&gt;R9),"承認前の通常公開",IF(AND(V9&lt;&gt;"",ISNUMBER(Q9),IFERROR(Q9&lt;IF(COUNTIF('29_ゲート承認記録'!$F$4:$F$83,V9)&lt;&gt;1,"参照ID不正",IF(INDEX('29_ゲート承認記録'!$P$4:$P$83,MATCH(V9,'29_ゲート承認記録'!$F$4:$F$83,0))="","",INDEX('29_ゲート承認記録'!$P$4:$P$83,MATCH(V9,'29_ゲート承認記録'!$F$4:$F$83,0)))),FALSE)),"Gate判断前の承認","日時整合"))))))</f>
        <v/>
      </c>
      <c r="AH9" s="28" t="str">
        <f t="shared" si="1"/>
        <v/>
      </c>
      <c r="AI9" s="34"/>
    </row>
    <row r="10" spans="1:35" ht="38" customHeight="1" x14ac:dyDescent="0.2">
      <c r="A10" s="6"/>
      <c r="B10" s="6"/>
      <c r="C10" s="6"/>
      <c r="D10" s="6"/>
      <c r="E10" s="6"/>
      <c r="F10" s="6"/>
      <c r="G10" s="6"/>
      <c r="H10" s="6"/>
      <c r="I10" s="6"/>
      <c r="J10" s="6"/>
      <c r="K10" s="6"/>
      <c r="L10" s="6"/>
      <c r="M10" s="6"/>
      <c r="N10" s="6"/>
      <c r="O10" s="6"/>
      <c r="P10" s="6"/>
      <c r="Q10" s="19"/>
      <c r="R10" s="19"/>
      <c r="S10" s="6"/>
      <c r="T10" s="6"/>
      <c r="U10" s="28" t="str">
        <f t="shared" si="0"/>
        <v/>
      </c>
      <c r="V10" s="29"/>
      <c r="W10" s="29"/>
      <c r="X10" s="29"/>
      <c r="Y10" s="29"/>
      <c r="Z10" s="29"/>
      <c r="AA10" s="29"/>
      <c r="AB10" s="29"/>
      <c r="AC10" s="34"/>
      <c r="AD10" s="29"/>
      <c r="AE10" s="28" t="str">
        <f>IF(V10="","",COUNTIF('31_条件・有効性'!$B$4:$B$83,V10))</f>
        <v/>
      </c>
      <c r="AF10" s="28" t="str">
        <f>IF(A10="","",IF(OR(V10="",COUNTIF('29_ゲート承認記録'!$F$4:$F$83,V10)&lt;&gt;1),"GateRun不足・不正",IF(OR(A10&lt;&gt;IF(COUNTIF('29_ゲート承認記録'!$F$4:$F$83,V10)&lt;&gt;1,"参照ID不正",IF(INDEX('29_ゲート承認記録'!$T$4:$T$83,MATCH(V10,'29_ゲート承認記録'!$F$4:$F$83,0))="","",INDEX('29_ゲート承認記録'!$T$4:$T$83,MATCH(V10,'29_ゲート承認記録'!$F$4:$F$83,0)))),W10="",W10&lt;&gt;IF(COUNTIF('29_ゲート承認記録'!$F$4:$F$83,V10)&lt;&gt;1,"参照ID不正",IF(INDEX('29_ゲート承認記録'!$U$4:$U$83,MATCH(V10,'29_ゲート承認記録'!$F$4:$F$83,0))="","",INDEX('29_ゲート承認記録'!$U$4:$U$83,MATCH(V10,'29_ゲート承認記録'!$F$4:$F$83,0))))),"決裁対象・版不一致",IF(IF(COUNTIF('29_ゲート承認記録'!$F$4:$F$83,V10)&lt;&gt;1,"参照ID不正",IF(INDEX('29_ゲート承認記録'!$A$4:$A$83,MATCH(V10,'29_ゲート承認記録'!$F$4:$F$83,0))="","",INDEX('29_ゲート承認記録'!$A$4:$A$83,MATCH(V10,'29_ゲート承認記録'!$F$4:$F$83,0))))&lt;&gt;"G3","公開Gate不適合",IF(IF(COUNTIF('29_ゲート承認記録'!$F$4:$F$83,V10)&lt;&gt;1,"参照ID不正",IF(INDEX('29_ゲート承認記録'!$AD$4:$AD$83,MATCH(V10,'29_ゲート承認記録'!$F$4:$F$83,0))="","",INDEX('29_ゲート承認記録'!$AD$4:$AD$83,MATCH(V10,'29_ゲート承認記録'!$F$4:$F$83,0))))&lt;&gt;"整合済・正本決裁要確認","決裁整合未充足","決裁・構成一致")))))</f>
        <v/>
      </c>
      <c r="AG10" s="28" t="str">
        <f>IF(A10="","",IF(OR(AND(Q10&lt;&gt;"",OR(NOT(ISNUMBER(Q10)),IFERROR(Q10&lt;1,TRUE),IFERROR(INT(Q10)&gt;INT(AsOfDate),TRUE))),AND(R10&lt;&gt;"",OR(NOT(ISNUMBER(R10)),IFERROR(R10&lt;1,TRUE),IFERROR(INT(R10)&gt;INT(AsOfDate),TRUE))),AND(AI10&lt;&gt;"",OR(NOT(ISNUMBER(AI10)),IFERROR(AI10&lt;1,TRUE),IFERROR(INT(AI10)&gt;INT(AsOfDate),TRUE)))),"実績日時不正",IF(AND(OR(S10="展開中",S10="安定確認"),NOT(ISNUMBER(R10))),"公開日時不足",IF(C10="Emergency",IF(OR(AA10="",AB10="",COUNT(AC10,AI10)&lt;2),"緊急根拠不足",IF(AND(ISNUMBER(R10),OR(AI10&gt;R10,AC10&lt;R10)),"緊急時刻不正",IF(AND(AC10&lt;AsOfDate,AD10=""),"事後審査期限超過","緊急経路・正本審査要"))),IF(AND(COUNT(Q10:R10)=2,Q10&gt;R10),"承認前の通常公開",IF(AND(V10&lt;&gt;"",ISNUMBER(Q10),IFERROR(Q10&lt;IF(COUNTIF('29_ゲート承認記録'!$F$4:$F$83,V10)&lt;&gt;1,"参照ID不正",IF(INDEX('29_ゲート承認記録'!$P$4:$P$83,MATCH(V10,'29_ゲート承認記録'!$F$4:$F$83,0))="","",INDEX('29_ゲート承認記録'!$P$4:$P$83,MATCH(V10,'29_ゲート承認記録'!$F$4:$F$83,0)))),FALSE)),"Gate判断前の承認","日時整合"))))))</f>
        <v/>
      </c>
      <c r="AH10" s="28" t="str">
        <f t="shared" si="1"/>
        <v/>
      </c>
      <c r="AI10" s="34"/>
    </row>
    <row r="11" spans="1:35" ht="38" customHeight="1" x14ac:dyDescent="0.2">
      <c r="A11" s="6"/>
      <c r="B11" s="6"/>
      <c r="C11" s="6"/>
      <c r="D11" s="6"/>
      <c r="E11" s="6"/>
      <c r="F11" s="6"/>
      <c r="G11" s="6"/>
      <c r="H11" s="6"/>
      <c r="I11" s="6"/>
      <c r="J11" s="6"/>
      <c r="K11" s="6"/>
      <c r="L11" s="6"/>
      <c r="M11" s="6"/>
      <c r="N11" s="6"/>
      <c r="O11" s="6"/>
      <c r="P11" s="6"/>
      <c r="Q11" s="19"/>
      <c r="R11" s="19"/>
      <c r="S11" s="6"/>
      <c r="T11" s="6"/>
      <c r="U11" s="28" t="str">
        <f t="shared" si="0"/>
        <v/>
      </c>
      <c r="V11" s="29"/>
      <c r="W11" s="29"/>
      <c r="X11" s="29"/>
      <c r="Y11" s="29"/>
      <c r="Z11" s="29"/>
      <c r="AA11" s="29"/>
      <c r="AB11" s="29"/>
      <c r="AC11" s="34"/>
      <c r="AD11" s="29"/>
      <c r="AE11" s="28" t="str">
        <f>IF(V11="","",COUNTIF('31_条件・有効性'!$B$4:$B$83,V11))</f>
        <v/>
      </c>
      <c r="AF11" s="28" t="str">
        <f>IF(A11="","",IF(OR(V11="",COUNTIF('29_ゲート承認記録'!$F$4:$F$83,V11)&lt;&gt;1),"GateRun不足・不正",IF(OR(A11&lt;&gt;IF(COUNTIF('29_ゲート承認記録'!$F$4:$F$83,V11)&lt;&gt;1,"参照ID不正",IF(INDEX('29_ゲート承認記録'!$T$4:$T$83,MATCH(V11,'29_ゲート承認記録'!$F$4:$F$83,0))="","",INDEX('29_ゲート承認記録'!$T$4:$T$83,MATCH(V11,'29_ゲート承認記録'!$F$4:$F$83,0)))),W11="",W11&lt;&gt;IF(COUNTIF('29_ゲート承認記録'!$F$4:$F$83,V11)&lt;&gt;1,"参照ID不正",IF(INDEX('29_ゲート承認記録'!$U$4:$U$83,MATCH(V11,'29_ゲート承認記録'!$F$4:$F$83,0))="","",INDEX('29_ゲート承認記録'!$U$4:$U$83,MATCH(V11,'29_ゲート承認記録'!$F$4:$F$83,0))))),"決裁対象・版不一致",IF(IF(COUNTIF('29_ゲート承認記録'!$F$4:$F$83,V11)&lt;&gt;1,"参照ID不正",IF(INDEX('29_ゲート承認記録'!$A$4:$A$83,MATCH(V11,'29_ゲート承認記録'!$F$4:$F$83,0))="","",INDEX('29_ゲート承認記録'!$A$4:$A$83,MATCH(V11,'29_ゲート承認記録'!$F$4:$F$83,0))))&lt;&gt;"G3","公開Gate不適合",IF(IF(COUNTIF('29_ゲート承認記録'!$F$4:$F$83,V11)&lt;&gt;1,"参照ID不正",IF(INDEX('29_ゲート承認記録'!$AD$4:$AD$83,MATCH(V11,'29_ゲート承認記録'!$F$4:$F$83,0))="","",INDEX('29_ゲート承認記録'!$AD$4:$AD$83,MATCH(V11,'29_ゲート承認記録'!$F$4:$F$83,0))))&lt;&gt;"整合済・正本決裁要確認","決裁整合未充足","決裁・構成一致")))))</f>
        <v/>
      </c>
      <c r="AG11" s="28" t="str">
        <f>IF(A11="","",IF(OR(AND(Q11&lt;&gt;"",OR(NOT(ISNUMBER(Q11)),IFERROR(Q11&lt;1,TRUE),IFERROR(INT(Q11)&gt;INT(AsOfDate),TRUE))),AND(R11&lt;&gt;"",OR(NOT(ISNUMBER(R11)),IFERROR(R11&lt;1,TRUE),IFERROR(INT(R11)&gt;INT(AsOfDate),TRUE))),AND(AI11&lt;&gt;"",OR(NOT(ISNUMBER(AI11)),IFERROR(AI11&lt;1,TRUE),IFERROR(INT(AI11)&gt;INT(AsOfDate),TRUE)))),"実績日時不正",IF(AND(OR(S11="展開中",S11="安定確認"),NOT(ISNUMBER(R11))),"公開日時不足",IF(C11="Emergency",IF(OR(AA11="",AB11="",COUNT(AC11,AI11)&lt;2),"緊急根拠不足",IF(AND(ISNUMBER(R11),OR(AI11&gt;R11,AC11&lt;R11)),"緊急時刻不正",IF(AND(AC11&lt;AsOfDate,AD11=""),"事後審査期限超過","緊急経路・正本審査要"))),IF(AND(COUNT(Q11:R11)=2,Q11&gt;R11),"承認前の通常公開",IF(AND(V11&lt;&gt;"",ISNUMBER(Q11),IFERROR(Q11&lt;IF(COUNTIF('29_ゲート承認記録'!$F$4:$F$83,V11)&lt;&gt;1,"参照ID不正",IF(INDEX('29_ゲート承認記録'!$P$4:$P$83,MATCH(V11,'29_ゲート承認記録'!$F$4:$F$83,0))="","",INDEX('29_ゲート承認記録'!$P$4:$P$83,MATCH(V11,'29_ゲート承認記録'!$F$4:$F$83,0)))),FALSE)),"Gate判断前の承認","日時整合"))))))</f>
        <v/>
      </c>
      <c r="AH11" s="28" t="str">
        <f t="shared" si="1"/>
        <v/>
      </c>
      <c r="AI11" s="34"/>
    </row>
    <row r="12" spans="1:35" ht="38" customHeight="1" x14ac:dyDescent="0.2">
      <c r="A12" s="6"/>
      <c r="B12" s="6"/>
      <c r="C12" s="6"/>
      <c r="D12" s="6"/>
      <c r="E12" s="6"/>
      <c r="F12" s="6"/>
      <c r="G12" s="6"/>
      <c r="H12" s="6"/>
      <c r="I12" s="6"/>
      <c r="J12" s="6"/>
      <c r="K12" s="6"/>
      <c r="L12" s="6"/>
      <c r="M12" s="6"/>
      <c r="N12" s="6"/>
      <c r="O12" s="6"/>
      <c r="P12" s="6"/>
      <c r="Q12" s="19"/>
      <c r="R12" s="19"/>
      <c r="S12" s="6"/>
      <c r="T12" s="6"/>
      <c r="U12" s="28" t="str">
        <f t="shared" si="0"/>
        <v/>
      </c>
      <c r="V12" s="29"/>
      <c r="W12" s="29"/>
      <c r="X12" s="29"/>
      <c r="Y12" s="29"/>
      <c r="Z12" s="29"/>
      <c r="AA12" s="29"/>
      <c r="AB12" s="29"/>
      <c r="AC12" s="34"/>
      <c r="AD12" s="29"/>
      <c r="AE12" s="28" t="str">
        <f>IF(V12="","",COUNTIF('31_条件・有効性'!$B$4:$B$83,V12))</f>
        <v/>
      </c>
      <c r="AF12" s="28" t="str">
        <f>IF(A12="","",IF(OR(V12="",COUNTIF('29_ゲート承認記録'!$F$4:$F$83,V12)&lt;&gt;1),"GateRun不足・不正",IF(OR(A12&lt;&gt;IF(COUNTIF('29_ゲート承認記録'!$F$4:$F$83,V12)&lt;&gt;1,"参照ID不正",IF(INDEX('29_ゲート承認記録'!$T$4:$T$83,MATCH(V12,'29_ゲート承認記録'!$F$4:$F$83,0))="","",INDEX('29_ゲート承認記録'!$T$4:$T$83,MATCH(V12,'29_ゲート承認記録'!$F$4:$F$83,0)))),W12="",W12&lt;&gt;IF(COUNTIF('29_ゲート承認記録'!$F$4:$F$83,V12)&lt;&gt;1,"参照ID不正",IF(INDEX('29_ゲート承認記録'!$U$4:$U$83,MATCH(V12,'29_ゲート承認記録'!$F$4:$F$83,0))="","",INDEX('29_ゲート承認記録'!$U$4:$U$83,MATCH(V12,'29_ゲート承認記録'!$F$4:$F$83,0))))),"決裁対象・版不一致",IF(IF(COUNTIF('29_ゲート承認記録'!$F$4:$F$83,V12)&lt;&gt;1,"参照ID不正",IF(INDEX('29_ゲート承認記録'!$A$4:$A$83,MATCH(V12,'29_ゲート承認記録'!$F$4:$F$83,0))="","",INDEX('29_ゲート承認記録'!$A$4:$A$83,MATCH(V12,'29_ゲート承認記録'!$F$4:$F$83,0))))&lt;&gt;"G3","公開Gate不適合",IF(IF(COUNTIF('29_ゲート承認記録'!$F$4:$F$83,V12)&lt;&gt;1,"参照ID不正",IF(INDEX('29_ゲート承認記録'!$AD$4:$AD$83,MATCH(V12,'29_ゲート承認記録'!$F$4:$F$83,0))="","",INDEX('29_ゲート承認記録'!$AD$4:$AD$83,MATCH(V12,'29_ゲート承認記録'!$F$4:$F$83,0))))&lt;&gt;"整合済・正本決裁要確認","決裁整合未充足","決裁・構成一致")))))</f>
        <v/>
      </c>
      <c r="AG12" s="28" t="str">
        <f>IF(A12="","",IF(OR(AND(Q12&lt;&gt;"",OR(NOT(ISNUMBER(Q12)),IFERROR(Q12&lt;1,TRUE),IFERROR(INT(Q12)&gt;INT(AsOfDate),TRUE))),AND(R12&lt;&gt;"",OR(NOT(ISNUMBER(R12)),IFERROR(R12&lt;1,TRUE),IFERROR(INT(R12)&gt;INT(AsOfDate),TRUE))),AND(AI12&lt;&gt;"",OR(NOT(ISNUMBER(AI12)),IFERROR(AI12&lt;1,TRUE),IFERROR(INT(AI12)&gt;INT(AsOfDate),TRUE)))),"実績日時不正",IF(AND(OR(S12="展開中",S12="安定確認"),NOT(ISNUMBER(R12))),"公開日時不足",IF(C12="Emergency",IF(OR(AA12="",AB12="",COUNT(AC12,AI12)&lt;2),"緊急根拠不足",IF(AND(ISNUMBER(R12),OR(AI12&gt;R12,AC12&lt;R12)),"緊急時刻不正",IF(AND(AC12&lt;AsOfDate,AD12=""),"事後審査期限超過","緊急経路・正本審査要"))),IF(AND(COUNT(Q12:R12)=2,Q12&gt;R12),"承認前の通常公開",IF(AND(V12&lt;&gt;"",ISNUMBER(Q12),IFERROR(Q12&lt;IF(COUNTIF('29_ゲート承認記録'!$F$4:$F$83,V12)&lt;&gt;1,"参照ID不正",IF(INDEX('29_ゲート承認記録'!$P$4:$P$83,MATCH(V12,'29_ゲート承認記録'!$F$4:$F$83,0))="","",INDEX('29_ゲート承認記録'!$P$4:$P$83,MATCH(V12,'29_ゲート承認記録'!$F$4:$F$83,0)))),FALSE)),"Gate判断前の承認","日時整合"))))))</f>
        <v/>
      </c>
      <c r="AH12" s="28" t="str">
        <f t="shared" si="1"/>
        <v/>
      </c>
      <c r="AI12" s="34"/>
    </row>
    <row r="13" spans="1:35" ht="38" customHeight="1" x14ac:dyDescent="0.2">
      <c r="A13" s="6"/>
      <c r="B13" s="6"/>
      <c r="C13" s="6"/>
      <c r="D13" s="6"/>
      <c r="E13" s="6"/>
      <c r="F13" s="6"/>
      <c r="G13" s="6"/>
      <c r="H13" s="6"/>
      <c r="I13" s="6"/>
      <c r="J13" s="6"/>
      <c r="K13" s="6"/>
      <c r="L13" s="6"/>
      <c r="M13" s="6"/>
      <c r="N13" s="6"/>
      <c r="O13" s="6"/>
      <c r="P13" s="6"/>
      <c r="Q13" s="19"/>
      <c r="R13" s="19"/>
      <c r="S13" s="6"/>
      <c r="T13" s="6"/>
      <c r="U13" s="28" t="str">
        <f t="shared" si="0"/>
        <v/>
      </c>
      <c r="V13" s="29"/>
      <c r="W13" s="29"/>
      <c r="X13" s="29"/>
      <c r="Y13" s="29"/>
      <c r="Z13" s="29"/>
      <c r="AA13" s="29"/>
      <c r="AB13" s="29"/>
      <c r="AC13" s="34"/>
      <c r="AD13" s="29"/>
      <c r="AE13" s="28" t="str">
        <f>IF(V13="","",COUNTIF('31_条件・有効性'!$B$4:$B$83,V13))</f>
        <v/>
      </c>
      <c r="AF13" s="28" t="str">
        <f>IF(A13="","",IF(OR(V13="",COUNTIF('29_ゲート承認記録'!$F$4:$F$83,V13)&lt;&gt;1),"GateRun不足・不正",IF(OR(A13&lt;&gt;IF(COUNTIF('29_ゲート承認記録'!$F$4:$F$83,V13)&lt;&gt;1,"参照ID不正",IF(INDEX('29_ゲート承認記録'!$T$4:$T$83,MATCH(V13,'29_ゲート承認記録'!$F$4:$F$83,0))="","",INDEX('29_ゲート承認記録'!$T$4:$T$83,MATCH(V13,'29_ゲート承認記録'!$F$4:$F$83,0)))),W13="",W13&lt;&gt;IF(COUNTIF('29_ゲート承認記録'!$F$4:$F$83,V13)&lt;&gt;1,"参照ID不正",IF(INDEX('29_ゲート承認記録'!$U$4:$U$83,MATCH(V13,'29_ゲート承認記録'!$F$4:$F$83,0))="","",INDEX('29_ゲート承認記録'!$U$4:$U$83,MATCH(V13,'29_ゲート承認記録'!$F$4:$F$83,0))))),"決裁対象・版不一致",IF(IF(COUNTIF('29_ゲート承認記録'!$F$4:$F$83,V13)&lt;&gt;1,"参照ID不正",IF(INDEX('29_ゲート承認記録'!$A$4:$A$83,MATCH(V13,'29_ゲート承認記録'!$F$4:$F$83,0))="","",INDEX('29_ゲート承認記録'!$A$4:$A$83,MATCH(V13,'29_ゲート承認記録'!$F$4:$F$83,0))))&lt;&gt;"G3","公開Gate不適合",IF(IF(COUNTIF('29_ゲート承認記録'!$F$4:$F$83,V13)&lt;&gt;1,"参照ID不正",IF(INDEX('29_ゲート承認記録'!$AD$4:$AD$83,MATCH(V13,'29_ゲート承認記録'!$F$4:$F$83,0))="","",INDEX('29_ゲート承認記録'!$AD$4:$AD$83,MATCH(V13,'29_ゲート承認記録'!$F$4:$F$83,0))))&lt;&gt;"整合済・正本決裁要確認","決裁整合未充足","決裁・構成一致")))))</f>
        <v/>
      </c>
      <c r="AG13" s="28" t="str">
        <f>IF(A13="","",IF(OR(AND(Q13&lt;&gt;"",OR(NOT(ISNUMBER(Q13)),IFERROR(Q13&lt;1,TRUE),IFERROR(INT(Q13)&gt;INT(AsOfDate),TRUE))),AND(R13&lt;&gt;"",OR(NOT(ISNUMBER(R13)),IFERROR(R13&lt;1,TRUE),IFERROR(INT(R13)&gt;INT(AsOfDate),TRUE))),AND(AI13&lt;&gt;"",OR(NOT(ISNUMBER(AI13)),IFERROR(AI13&lt;1,TRUE),IFERROR(INT(AI13)&gt;INT(AsOfDate),TRUE)))),"実績日時不正",IF(AND(OR(S13="展開中",S13="安定確認"),NOT(ISNUMBER(R13))),"公開日時不足",IF(C13="Emergency",IF(OR(AA13="",AB13="",COUNT(AC13,AI13)&lt;2),"緊急根拠不足",IF(AND(ISNUMBER(R13),OR(AI13&gt;R13,AC13&lt;R13)),"緊急時刻不正",IF(AND(AC13&lt;AsOfDate,AD13=""),"事後審査期限超過","緊急経路・正本審査要"))),IF(AND(COUNT(Q13:R13)=2,Q13&gt;R13),"承認前の通常公開",IF(AND(V13&lt;&gt;"",ISNUMBER(Q13),IFERROR(Q13&lt;IF(COUNTIF('29_ゲート承認記録'!$F$4:$F$83,V13)&lt;&gt;1,"参照ID不正",IF(INDEX('29_ゲート承認記録'!$P$4:$P$83,MATCH(V13,'29_ゲート承認記録'!$F$4:$F$83,0))="","",INDEX('29_ゲート承認記録'!$P$4:$P$83,MATCH(V13,'29_ゲート承認記録'!$F$4:$F$83,0)))),FALSE)),"Gate判断前の承認","日時整合"))))))</f>
        <v/>
      </c>
      <c r="AH13" s="28" t="str">
        <f t="shared" si="1"/>
        <v/>
      </c>
      <c r="AI13" s="34"/>
    </row>
    <row r="14" spans="1:35" ht="38" customHeight="1" x14ac:dyDescent="0.2">
      <c r="A14" s="6"/>
      <c r="B14" s="6"/>
      <c r="C14" s="6"/>
      <c r="D14" s="6"/>
      <c r="E14" s="6"/>
      <c r="F14" s="6"/>
      <c r="G14" s="6"/>
      <c r="H14" s="6"/>
      <c r="I14" s="6"/>
      <c r="J14" s="6"/>
      <c r="K14" s="6"/>
      <c r="L14" s="6"/>
      <c r="M14" s="6"/>
      <c r="N14" s="6"/>
      <c r="O14" s="6"/>
      <c r="P14" s="6"/>
      <c r="Q14" s="19"/>
      <c r="R14" s="19"/>
      <c r="S14" s="6"/>
      <c r="T14" s="6"/>
      <c r="U14" s="28" t="str">
        <f t="shared" si="0"/>
        <v/>
      </c>
      <c r="V14" s="29"/>
      <c r="W14" s="29"/>
      <c r="X14" s="29"/>
      <c r="Y14" s="29"/>
      <c r="Z14" s="29"/>
      <c r="AA14" s="29"/>
      <c r="AB14" s="29"/>
      <c r="AC14" s="34"/>
      <c r="AD14" s="29"/>
      <c r="AE14" s="28" t="str">
        <f>IF(V14="","",COUNTIF('31_条件・有効性'!$B$4:$B$83,V14))</f>
        <v/>
      </c>
      <c r="AF14" s="28" t="str">
        <f>IF(A14="","",IF(OR(V14="",COUNTIF('29_ゲート承認記録'!$F$4:$F$83,V14)&lt;&gt;1),"GateRun不足・不正",IF(OR(A14&lt;&gt;IF(COUNTIF('29_ゲート承認記録'!$F$4:$F$83,V14)&lt;&gt;1,"参照ID不正",IF(INDEX('29_ゲート承認記録'!$T$4:$T$83,MATCH(V14,'29_ゲート承認記録'!$F$4:$F$83,0))="","",INDEX('29_ゲート承認記録'!$T$4:$T$83,MATCH(V14,'29_ゲート承認記録'!$F$4:$F$83,0)))),W14="",W14&lt;&gt;IF(COUNTIF('29_ゲート承認記録'!$F$4:$F$83,V14)&lt;&gt;1,"参照ID不正",IF(INDEX('29_ゲート承認記録'!$U$4:$U$83,MATCH(V14,'29_ゲート承認記録'!$F$4:$F$83,0))="","",INDEX('29_ゲート承認記録'!$U$4:$U$83,MATCH(V14,'29_ゲート承認記録'!$F$4:$F$83,0))))),"決裁対象・版不一致",IF(IF(COUNTIF('29_ゲート承認記録'!$F$4:$F$83,V14)&lt;&gt;1,"参照ID不正",IF(INDEX('29_ゲート承認記録'!$A$4:$A$83,MATCH(V14,'29_ゲート承認記録'!$F$4:$F$83,0))="","",INDEX('29_ゲート承認記録'!$A$4:$A$83,MATCH(V14,'29_ゲート承認記録'!$F$4:$F$83,0))))&lt;&gt;"G3","公開Gate不適合",IF(IF(COUNTIF('29_ゲート承認記録'!$F$4:$F$83,V14)&lt;&gt;1,"参照ID不正",IF(INDEX('29_ゲート承認記録'!$AD$4:$AD$83,MATCH(V14,'29_ゲート承認記録'!$F$4:$F$83,0))="","",INDEX('29_ゲート承認記録'!$AD$4:$AD$83,MATCH(V14,'29_ゲート承認記録'!$F$4:$F$83,0))))&lt;&gt;"整合済・正本決裁要確認","決裁整合未充足","決裁・構成一致")))))</f>
        <v/>
      </c>
      <c r="AG14" s="28" t="str">
        <f>IF(A14="","",IF(OR(AND(Q14&lt;&gt;"",OR(NOT(ISNUMBER(Q14)),IFERROR(Q14&lt;1,TRUE),IFERROR(INT(Q14)&gt;INT(AsOfDate),TRUE))),AND(R14&lt;&gt;"",OR(NOT(ISNUMBER(R14)),IFERROR(R14&lt;1,TRUE),IFERROR(INT(R14)&gt;INT(AsOfDate),TRUE))),AND(AI14&lt;&gt;"",OR(NOT(ISNUMBER(AI14)),IFERROR(AI14&lt;1,TRUE),IFERROR(INT(AI14)&gt;INT(AsOfDate),TRUE)))),"実績日時不正",IF(AND(OR(S14="展開中",S14="安定確認"),NOT(ISNUMBER(R14))),"公開日時不足",IF(C14="Emergency",IF(OR(AA14="",AB14="",COUNT(AC14,AI14)&lt;2),"緊急根拠不足",IF(AND(ISNUMBER(R14),OR(AI14&gt;R14,AC14&lt;R14)),"緊急時刻不正",IF(AND(AC14&lt;AsOfDate,AD14=""),"事後審査期限超過","緊急経路・正本審査要"))),IF(AND(COUNT(Q14:R14)=2,Q14&gt;R14),"承認前の通常公開",IF(AND(V14&lt;&gt;"",ISNUMBER(Q14),IFERROR(Q14&lt;IF(COUNTIF('29_ゲート承認記録'!$F$4:$F$83,V14)&lt;&gt;1,"参照ID不正",IF(INDEX('29_ゲート承認記録'!$P$4:$P$83,MATCH(V14,'29_ゲート承認記録'!$F$4:$F$83,0))="","",INDEX('29_ゲート承認記録'!$P$4:$P$83,MATCH(V14,'29_ゲート承認記録'!$F$4:$F$83,0)))),FALSE)),"Gate判断前の承認","日時整合"))))))</f>
        <v/>
      </c>
      <c r="AH14" s="28" t="str">
        <f t="shared" si="1"/>
        <v/>
      </c>
      <c r="AI14" s="34"/>
    </row>
    <row r="15" spans="1:35" ht="38" customHeight="1" x14ac:dyDescent="0.2">
      <c r="A15" s="6"/>
      <c r="B15" s="6"/>
      <c r="C15" s="6"/>
      <c r="D15" s="6"/>
      <c r="E15" s="6"/>
      <c r="F15" s="6"/>
      <c r="G15" s="6"/>
      <c r="H15" s="6"/>
      <c r="I15" s="6"/>
      <c r="J15" s="6"/>
      <c r="K15" s="6"/>
      <c r="L15" s="6"/>
      <c r="M15" s="6"/>
      <c r="N15" s="6"/>
      <c r="O15" s="6"/>
      <c r="P15" s="6"/>
      <c r="Q15" s="19"/>
      <c r="R15" s="19"/>
      <c r="S15" s="6"/>
      <c r="T15" s="6"/>
      <c r="U15" s="28" t="str">
        <f t="shared" si="0"/>
        <v/>
      </c>
      <c r="V15" s="29"/>
      <c r="W15" s="29"/>
      <c r="X15" s="29"/>
      <c r="Y15" s="29"/>
      <c r="Z15" s="29"/>
      <c r="AA15" s="29"/>
      <c r="AB15" s="29"/>
      <c r="AC15" s="34"/>
      <c r="AD15" s="29"/>
      <c r="AE15" s="28" t="str">
        <f>IF(V15="","",COUNTIF('31_条件・有効性'!$B$4:$B$83,V15))</f>
        <v/>
      </c>
      <c r="AF15" s="28" t="str">
        <f>IF(A15="","",IF(OR(V15="",COUNTIF('29_ゲート承認記録'!$F$4:$F$83,V15)&lt;&gt;1),"GateRun不足・不正",IF(OR(A15&lt;&gt;IF(COUNTIF('29_ゲート承認記録'!$F$4:$F$83,V15)&lt;&gt;1,"参照ID不正",IF(INDEX('29_ゲート承認記録'!$T$4:$T$83,MATCH(V15,'29_ゲート承認記録'!$F$4:$F$83,0))="","",INDEX('29_ゲート承認記録'!$T$4:$T$83,MATCH(V15,'29_ゲート承認記録'!$F$4:$F$83,0)))),W15="",W15&lt;&gt;IF(COUNTIF('29_ゲート承認記録'!$F$4:$F$83,V15)&lt;&gt;1,"参照ID不正",IF(INDEX('29_ゲート承認記録'!$U$4:$U$83,MATCH(V15,'29_ゲート承認記録'!$F$4:$F$83,0))="","",INDEX('29_ゲート承認記録'!$U$4:$U$83,MATCH(V15,'29_ゲート承認記録'!$F$4:$F$83,0))))),"決裁対象・版不一致",IF(IF(COUNTIF('29_ゲート承認記録'!$F$4:$F$83,V15)&lt;&gt;1,"参照ID不正",IF(INDEX('29_ゲート承認記録'!$A$4:$A$83,MATCH(V15,'29_ゲート承認記録'!$F$4:$F$83,0))="","",INDEX('29_ゲート承認記録'!$A$4:$A$83,MATCH(V15,'29_ゲート承認記録'!$F$4:$F$83,0))))&lt;&gt;"G3","公開Gate不適合",IF(IF(COUNTIF('29_ゲート承認記録'!$F$4:$F$83,V15)&lt;&gt;1,"参照ID不正",IF(INDEX('29_ゲート承認記録'!$AD$4:$AD$83,MATCH(V15,'29_ゲート承認記録'!$F$4:$F$83,0))="","",INDEX('29_ゲート承認記録'!$AD$4:$AD$83,MATCH(V15,'29_ゲート承認記録'!$F$4:$F$83,0))))&lt;&gt;"整合済・正本決裁要確認","決裁整合未充足","決裁・構成一致")))))</f>
        <v/>
      </c>
      <c r="AG15" s="28" t="str">
        <f>IF(A15="","",IF(OR(AND(Q15&lt;&gt;"",OR(NOT(ISNUMBER(Q15)),IFERROR(Q15&lt;1,TRUE),IFERROR(INT(Q15)&gt;INT(AsOfDate),TRUE))),AND(R15&lt;&gt;"",OR(NOT(ISNUMBER(R15)),IFERROR(R15&lt;1,TRUE),IFERROR(INT(R15)&gt;INT(AsOfDate),TRUE))),AND(AI15&lt;&gt;"",OR(NOT(ISNUMBER(AI15)),IFERROR(AI15&lt;1,TRUE),IFERROR(INT(AI15)&gt;INT(AsOfDate),TRUE)))),"実績日時不正",IF(AND(OR(S15="展開中",S15="安定確認"),NOT(ISNUMBER(R15))),"公開日時不足",IF(C15="Emergency",IF(OR(AA15="",AB15="",COUNT(AC15,AI15)&lt;2),"緊急根拠不足",IF(AND(ISNUMBER(R15),OR(AI15&gt;R15,AC15&lt;R15)),"緊急時刻不正",IF(AND(AC15&lt;AsOfDate,AD15=""),"事後審査期限超過","緊急経路・正本審査要"))),IF(AND(COUNT(Q15:R15)=2,Q15&gt;R15),"承認前の通常公開",IF(AND(V15&lt;&gt;"",ISNUMBER(Q15),IFERROR(Q15&lt;IF(COUNTIF('29_ゲート承認記録'!$F$4:$F$83,V15)&lt;&gt;1,"参照ID不正",IF(INDEX('29_ゲート承認記録'!$P$4:$P$83,MATCH(V15,'29_ゲート承認記録'!$F$4:$F$83,0))="","",INDEX('29_ゲート承認記録'!$P$4:$P$83,MATCH(V15,'29_ゲート承認記録'!$F$4:$F$83,0)))),FALSE)),"Gate判断前の承認","日時整合"))))))</f>
        <v/>
      </c>
      <c r="AH15" s="28" t="str">
        <f t="shared" si="1"/>
        <v/>
      </c>
      <c r="AI15" s="34"/>
    </row>
    <row r="16" spans="1:35" ht="38" customHeight="1" x14ac:dyDescent="0.2">
      <c r="A16" s="6"/>
      <c r="B16" s="6"/>
      <c r="C16" s="6"/>
      <c r="D16" s="6"/>
      <c r="E16" s="6"/>
      <c r="F16" s="6"/>
      <c r="G16" s="6"/>
      <c r="H16" s="6"/>
      <c r="I16" s="6"/>
      <c r="J16" s="6"/>
      <c r="K16" s="6"/>
      <c r="L16" s="6"/>
      <c r="M16" s="6"/>
      <c r="N16" s="6"/>
      <c r="O16" s="6"/>
      <c r="P16" s="6"/>
      <c r="Q16" s="19"/>
      <c r="R16" s="19"/>
      <c r="S16" s="6"/>
      <c r="T16" s="6"/>
      <c r="U16" s="28" t="str">
        <f t="shared" si="0"/>
        <v/>
      </c>
      <c r="V16" s="29"/>
      <c r="W16" s="29"/>
      <c r="X16" s="29"/>
      <c r="Y16" s="29"/>
      <c r="Z16" s="29"/>
      <c r="AA16" s="29"/>
      <c r="AB16" s="29"/>
      <c r="AC16" s="34"/>
      <c r="AD16" s="29"/>
      <c r="AE16" s="28" t="str">
        <f>IF(V16="","",COUNTIF('31_条件・有効性'!$B$4:$B$83,V16))</f>
        <v/>
      </c>
      <c r="AF16" s="28" t="str">
        <f>IF(A16="","",IF(OR(V16="",COUNTIF('29_ゲート承認記録'!$F$4:$F$83,V16)&lt;&gt;1),"GateRun不足・不正",IF(OR(A16&lt;&gt;IF(COUNTIF('29_ゲート承認記録'!$F$4:$F$83,V16)&lt;&gt;1,"参照ID不正",IF(INDEX('29_ゲート承認記録'!$T$4:$T$83,MATCH(V16,'29_ゲート承認記録'!$F$4:$F$83,0))="","",INDEX('29_ゲート承認記録'!$T$4:$T$83,MATCH(V16,'29_ゲート承認記録'!$F$4:$F$83,0)))),W16="",W16&lt;&gt;IF(COUNTIF('29_ゲート承認記録'!$F$4:$F$83,V16)&lt;&gt;1,"参照ID不正",IF(INDEX('29_ゲート承認記録'!$U$4:$U$83,MATCH(V16,'29_ゲート承認記録'!$F$4:$F$83,0))="","",INDEX('29_ゲート承認記録'!$U$4:$U$83,MATCH(V16,'29_ゲート承認記録'!$F$4:$F$83,0))))),"決裁対象・版不一致",IF(IF(COUNTIF('29_ゲート承認記録'!$F$4:$F$83,V16)&lt;&gt;1,"参照ID不正",IF(INDEX('29_ゲート承認記録'!$A$4:$A$83,MATCH(V16,'29_ゲート承認記録'!$F$4:$F$83,0))="","",INDEX('29_ゲート承認記録'!$A$4:$A$83,MATCH(V16,'29_ゲート承認記録'!$F$4:$F$83,0))))&lt;&gt;"G3","公開Gate不適合",IF(IF(COUNTIF('29_ゲート承認記録'!$F$4:$F$83,V16)&lt;&gt;1,"参照ID不正",IF(INDEX('29_ゲート承認記録'!$AD$4:$AD$83,MATCH(V16,'29_ゲート承認記録'!$F$4:$F$83,0))="","",INDEX('29_ゲート承認記録'!$AD$4:$AD$83,MATCH(V16,'29_ゲート承認記録'!$F$4:$F$83,0))))&lt;&gt;"整合済・正本決裁要確認","決裁整合未充足","決裁・構成一致")))))</f>
        <v/>
      </c>
      <c r="AG16" s="28" t="str">
        <f>IF(A16="","",IF(OR(AND(Q16&lt;&gt;"",OR(NOT(ISNUMBER(Q16)),IFERROR(Q16&lt;1,TRUE),IFERROR(INT(Q16)&gt;INT(AsOfDate),TRUE))),AND(R16&lt;&gt;"",OR(NOT(ISNUMBER(R16)),IFERROR(R16&lt;1,TRUE),IFERROR(INT(R16)&gt;INT(AsOfDate),TRUE))),AND(AI16&lt;&gt;"",OR(NOT(ISNUMBER(AI16)),IFERROR(AI16&lt;1,TRUE),IFERROR(INT(AI16)&gt;INT(AsOfDate),TRUE)))),"実績日時不正",IF(AND(OR(S16="展開中",S16="安定確認"),NOT(ISNUMBER(R16))),"公開日時不足",IF(C16="Emergency",IF(OR(AA16="",AB16="",COUNT(AC16,AI16)&lt;2),"緊急根拠不足",IF(AND(ISNUMBER(R16),OR(AI16&gt;R16,AC16&lt;R16)),"緊急時刻不正",IF(AND(AC16&lt;AsOfDate,AD16=""),"事後審査期限超過","緊急経路・正本審査要"))),IF(AND(COUNT(Q16:R16)=2,Q16&gt;R16),"承認前の通常公開",IF(AND(V16&lt;&gt;"",ISNUMBER(Q16),IFERROR(Q16&lt;IF(COUNTIF('29_ゲート承認記録'!$F$4:$F$83,V16)&lt;&gt;1,"参照ID不正",IF(INDEX('29_ゲート承認記録'!$P$4:$P$83,MATCH(V16,'29_ゲート承認記録'!$F$4:$F$83,0))="","",INDEX('29_ゲート承認記録'!$P$4:$P$83,MATCH(V16,'29_ゲート承認記録'!$F$4:$F$83,0)))),FALSE)),"Gate判断前の承認","日時整合"))))))</f>
        <v/>
      </c>
      <c r="AH16" s="28" t="str">
        <f t="shared" si="1"/>
        <v/>
      </c>
      <c r="AI16" s="34"/>
    </row>
    <row r="17" spans="1:35" ht="38" customHeight="1" x14ac:dyDescent="0.2">
      <c r="A17" s="6"/>
      <c r="B17" s="6"/>
      <c r="C17" s="6"/>
      <c r="D17" s="6"/>
      <c r="E17" s="6"/>
      <c r="F17" s="6"/>
      <c r="G17" s="6"/>
      <c r="H17" s="6"/>
      <c r="I17" s="6"/>
      <c r="J17" s="6"/>
      <c r="K17" s="6"/>
      <c r="L17" s="6"/>
      <c r="M17" s="6"/>
      <c r="N17" s="6"/>
      <c r="O17" s="6"/>
      <c r="P17" s="6"/>
      <c r="Q17" s="19"/>
      <c r="R17" s="19"/>
      <c r="S17" s="6"/>
      <c r="T17" s="6"/>
      <c r="U17" s="28" t="str">
        <f t="shared" si="0"/>
        <v/>
      </c>
      <c r="V17" s="29"/>
      <c r="W17" s="29"/>
      <c r="X17" s="29"/>
      <c r="Y17" s="29"/>
      <c r="Z17" s="29"/>
      <c r="AA17" s="29"/>
      <c r="AB17" s="29"/>
      <c r="AC17" s="34"/>
      <c r="AD17" s="29"/>
      <c r="AE17" s="28" t="str">
        <f>IF(V17="","",COUNTIF('31_条件・有効性'!$B$4:$B$83,V17))</f>
        <v/>
      </c>
      <c r="AF17" s="28" t="str">
        <f>IF(A17="","",IF(OR(V17="",COUNTIF('29_ゲート承認記録'!$F$4:$F$83,V17)&lt;&gt;1),"GateRun不足・不正",IF(OR(A17&lt;&gt;IF(COUNTIF('29_ゲート承認記録'!$F$4:$F$83,V17)&lt;&gt;1,"参照ID不正",IF(INDEX('29_ゲート承認記録'!$T$4:$T$83,MATCH(V17,'29_ゲート承認記録'!$F$4:$F$83,0))="","",INDEX('29_ゲート承認記録'!$T$4:$T$83,MATCH(V17,'29_ゲート承認記録'!$F$4:$F$83,0)))),W17="",W17&lt;&gt;IF(COUNTIF('29_ゲート承認記録'!$F$4:$F$83,V17)&lt;&gt;1,"参照ID不正",IF(INDEX('29_ゲート承認記録'!$U$4:$U$83,MATCH(V17,'29_ゲート承認記録'!$F$4:$F$83,0))="","",INDEX('29_ゲート承認記録'!$U$4:$U$83,MATCH(V17,'29_ゲート承認記録'!$F$4:$F$83,0))))),"決裁対象・版不一致",IF(IF(COUNTIF('29_ゲート承認記録'!$F$4:$F$83,V17)&lt;&gt;1,"参照ID不正",IF(INDEX('29_ゲート承認記録'!$A$4:$A$83,MATCH(V17,'29_ゲート承認記録'!$F$4:$F$83,0))="","",INDEX('29_ゲート承認記録'!$A$4:$A$83,MATCH(V17,'29_ゲート承認記録'!$F$4:$F$83,0))))&lt;&gt;"G3","公開Gate不適合",IF(IF(COUNTIF('29_ゲート承認記録'!$F$4:$F$83,V17)&lt;&gt;1,"参照ID不正",IF(INDEX('29_ゲート承認記録'!$AD$4:$AD$83,MATCH(V17,'29_ゲート承認記録'!$F$4:$F$83,0))="","",INDEX('29_ゲート承認記録'!$AD$4:$AD$83,MATCH(V17,'29_ゲート承認記録'!$F$4:$F$83,0))))&lt;&gt;"整合済・正本決裁要確認","決裁整合未充足","決裁・構成一致")))))</f>
        <v/>
      </c>
      <c r="AG17" s="28" t="str">
        <f>IF(A17="","",IF(OR(AND(Q17&lt;&gt;"",OR(NOT(ISNUMBER(Q17)),IFERROR(Q17&lt;1,TRUE),IFERROR(INT(Q17)&gt;INT(AsOfDate),TRUE))),AND(R17&lt;&gt;"",OR(NOT(ISNUMBER(R17)),IFERROR(R17&lt;1,TRUE),IFERROR(INT(R17)&gt;INT(AsOfDate),TRUE))),AND(AI17&lt;&gt;"",OR(NOT(ISNUMBER(AI17)),IFERROR(AI17&lt;1,TRUE),IFERROR(INT(AI17)&gt;INT(AsOfDate),TRUE)))),"実績日時不正",IF(AND(OR(S17="展開中",S17="安定確認"),NOT(ISNUMBER(R17))),"公開日時不足",IF(C17="Emergency",IF(OR(AA17="",AB17="",COUNT(AC17,AI17)&lt;2),"緊急根拠不足",IF(AND(ISNUMBER(R17),OR(AI17&gt;R17,AC17&lt;R17)),"緊急時刻不正",IF(AND(AC17&lt;AsOfDate,AD17=""),"事後審査期限超過","緊急経路・正本審査要"))),IF(AND(COUNT(Q17:R17)=2,Q17&gt;R17),"承認前の通常公開",IF(AND(V17&lt;&gt;"",ISNUMBER(Q17),IFERROR(Q17&lt;IF(COUNTIF('29_ゲート承認記録'!$F$4:$F$83,V17)&lt;&gt;1,"参照ID不正",IF(INDEX('29_ゲート承認記録'!$P$4:$P$83,MATCH(V17,'29_ゲート承認記録'!$F$4:$F$83,0))="","",INDEX('29_ゲート承認記録'!$P$4:$P$83,MATCH(V17,'29_ゲート承認記録'!$F$4:$F$83,0)))),FALSE)),"Gate判断前の承認","日時整合"))))))</f>
        <v/>
      </c>
      <c r="AH17" s="28" t="str">
        <f t="shared" si="1"/>
        <v/>
      </c>
      <c r="AI17" s="34"/>
    </row>
    <row r="18" spans="1:35" ht="38" customHeight="1" x14ac:dyDescent="0.2">
      <c r="A18" s="6"/>
      <c r="B18" s="6"/>
      <c r="C18" s="6"/>
      <c r="D18" s="6"/>
      <c r="E18" s="6"/>
      <c r="F18" s="6"/>
      <c r="G18" s="6"/>
      <c r="H18" s="6"/>
      <c r="I18" s="6"/>
      <c r="J18" s="6"/>
      <c r="K18" s="6"/>
      <c r="L18" s="6"/>
      <c r="M18" s="6"/>
      <c r="N18" s="6"/>
      <c r="O18" s="6"/>
      <c r="P18" s="6"/>
      <c r="Q18" s="19"/>
      <c r="R18" s="19"/>
      <c r="S18" s="6"/>
      <c r="T18" s="6"/>
      <c r="U18" s="28" t="str">
        <f t="shared" si="0"/>
        <v/>
      </c>
      <c r="V18" s="29"/>
      <c r="W18" s="29"/>
      <c r="X18" s="29"/>
      <c r="Y18" s="29"/>
      <c r="Z18" s="29"/>
      <c r="AA18" s="29"/>
      <c r="AB18" s="29"/>
      <c r="AC18" s="34"/>
      <c r="AD18" s="29"/>
      <c r="AE18" s="28" t="str">
        <f>IF(V18="","",COUNTIF('31_条件・有効性'!$B$4:$B$83,V18))</f>
        <v/>
      </c>
      <c r="AF18" s="28" t="str">
        <f>IF(A18="","",IF(OR(V18="",COUNTIF('29_ゲート承認記録'!$F$4:$F$83,V18)&lt;&gt;1),"GateRun不足・不正",IF(OR(A18&lt;&gt;IF(COUNTIF('29_ゲート承認記録'!$F$4:$F$83,V18)&lt;&gt;1,"参照ID不正",IF(INDEX('29_ゲート承認記録'!$T$4:$T$83,MATCH(V18,'29_ゲート承認記録'!$F$4:$F$83,0))="","",INDEX('29_ゲート承認記録'!$T$4:$T$83,MATCH(V18,'29_ゲート承認記録'!$F$4:$F$83,0)))),W18="",W18&lt;&gt;IF(COUNTIF('29_ゲート承認記録'!$F$4:$F$83,V18)&lt;&gt;1,"参照ID不正",IF(INDEX('29_ゲート承認記録'!$U$4:$U$83,MATCH(V18,'29_ゲート承認記録'!$F$4:$F$83,0))="","",INDEX('29_ゲート承認記録'!$U$4:$U$83,MATCH(V18,'29_ゲート承認記録'!$F$4:$F$83,0))))),"決裁対象・版不一致",IF(IF(COUNTIF('29_ゲート承認記録'!$F$4:$F$83,V18)&lt;&gt;1,"参照ID不正",IF(INDEX('29_ゲート承認記録'!$A$4:$A$83,MATCH(V18,'29_ゲート承認記録'!$F$4:$F$83,0))="","",INDEX('29_ゲート承認記録'!$A$4:$A$83,MATCH(V18,'29_ゲート承認記録'!$F$4:$F$83,0))))&lt;&gt;"G3","公開Gate不適合",IF(IF(COUNTIF('29_ゲート承認記録'!$F$4:$F$83,V18)&lt;&gt;1,"参照ID不正",IF(INDEX('29_ゲート承認記録'!$AD$4:$AD$83,MATCH(V18,'29_ゲート承認記録'!$F$4:$F$83,0))="","",INDEX('29_ゲート承認記録'!$AD$4:$AD$83,MATCH(V18,'29_ゲート承認記録'!$F$4:$F$83,0))))&lt;&gt;"整合済・正本決裁要確認","決裁整合未充足","決裁・構成一致")))))</f>
        <v/>
      </c>
      <c r="AG18" s="28" t="str">
        <f>IF(A18="","",IF(OR(AND(Q18&lt;&gt;"",OR(NOT(ISNUMBER(Q18)),IFERROR(Q18&lt;1,TRUE),IFERROR(INT(Q18)&gt;INT(AsOfDate),TRUE))),AND(R18&lt;&gt;"",OR(NOT(ISNUMBER(R18)),IFERROR(R18&lt;1,TRUE),IFERROR(INT(R18)&gt;INT(AsOfDate),TRUE))),AND(AI18&lt;&gt;"",OR(NOT(ISNUMBER(AI18)),IFERROR(AI18&lt;1,TRUE),IFERROR(INT(AI18)&gt;INT(AsOfDate),TRUE)))),"実績日時不正",IF(AND(OR(S18="展開中",S18="安定確認"),NOT(ISNUMBER(R18))),"公開日時不足",IF(C18="Emergency",IF(OR(AA18="",AB18="",COUNT(AC18,AI18)&lt;2),"緊急根拠不足",IF(AND(ISNUMBER(R18),OR(AI18&gt;R18,AC18&lt;R18)),"緊急時刻不正",IF(AND(AC18&lt;AsOfDate,AD18=""),"事後審査期限超過","緊急経路・正本審査要"))),IF(AND(COUNT(Q18:R18)=2,Q18&gt;R18),"承認前の通常公開",IF(AND(V18&lt;&gt;"",ISNUMBER(Q18),IFERROR(Q18&lt;IF(COUNTIF('29_ゲート承認記録'!$F$4:$F$83,V18)&lt;&gt;1,"参照ID不正",IF(INDEX('29_ゲート承認記録'!$P$4:$P$83,MATCH(V18,'29_ゲート承認記録'!$F$4:$F$83,0))="","",INDEX('29_ゲート承認記録'!$P$4:$P$83,MATCH(V18,'29_ゲート承認記録'!$F$4:$F$83,0)))),FALSE)),"Gate判断前の承認","日時整合"))))))</f>
        <v/>
      </c>
      <c r="AH18" s="28" t="str">
        <f t="shared" si="1"/>
        <v/>
      </c>
      <c r="AI18" s="34"/>
    </row>
    <row r="19" spans="1:35" ht="38" customHeight="1" x14ac:dyDescent="0.2">
      <c r="A19" s="6"/>
      <c r="B19" s="6"/>
      <c r="C19" s="6"/>
      <c r="D19" s="6"/>
      <c r="E19" s="6"/>
      <c r="F19" s="6"/>
      <c r="G19" s="6"/>
      <c r="H19" s="6"/>
      <c r="I19" s="6"/>
      <c r="J19" s="6"/>
      <c r="K19" s="6"/>
      <c r="L19" s="6"/>
      <c r="M19" s="6"/>
      <c r="N19" s="6"/>
      <c r="O19" s="6"/>
      <c r="P19" s="6"/>
      <c r="Q19" s="19"/>
      <c r="R19" s="19"/>
      <c r="S19" s="6"/>
      <c r="T19" s="6"/>
      <c r="U19" s="28" t="str">
        <f t="shared" si="0"/>
        <v/>
      </c>
      <c r="V19" s="29"/>
      <c r="W19" s="29"/>
      <c r="X19" s="29"/>
      <c r="Y19" s="29"/>
      <c r="Z19" s="29"/>
      <c r="AA19" s="29"/>
      <c r="AB19" s="29"/>
      <c r="AC19" s="34"/>
      <c r="AD19" s="29"/>
      <c r="AE19" s="28" t="str">
        <f>IF(V19="","",COUNTIF('31_条件・有効性'!$B$4:$B$83,V19))</f>
        <v/>
      </c>
      <c r="AF19" s="28" t="str">
        <f>IF(A19="","",IF(OR(V19="",COUNTIF('29_ゲート承認記録'!$F$4:$F$83,V19)&lt;&gt;1),"GateRun不足・不正",IF(OR(A19&lt;&gt;IF(COUNTIF('29_ゲート承認記録'!$F$4:$F$83,V19)&lt;&gt;1,"参照ID不正",IF(INDEX('29_ゲート承認記録'!$T$4:$T$83,MATCH(V19,'29_ゲート承認記録'!$F$4:$F$83,0))="","",INDEX('29_ゲート承認記録'!$T$4:$T$83,MATCH(V19,'29_ゲート承認記録'!$F$4:$F$83,0)))),W19="",W19&lt;&gt;IF(COUNTIF('29_ゲート承認記録'!$F$4:$F$83,V19)&lt;&gt;1,"参照ID不正",IF(INDEX('29_ゲート承認記録'!$U$4:$U$83,MATCH(V19,'29_ゲート承認記録'!$F$4:$F$83,0))="","",INDEX('29_ゲート承認記録'!$U$4:$U$83,MATCH(V19,'29_ゲート承認記録'!$F$4:$F$83,0))))),"決裁対象・版不一致",IF(IF(COUNTIF('29_ゲート承認記録'!$F$4:$F$83,V19)&lt;&gt;1,"参照ID不正",IF(INDEX('29_ゲート承認記録'!$A$4:$A$83,MATCH(V19,'29_ゲート承認記録'!$F$4:$F$83,0))="","",INDEX('29_ゲート承認記録'!$A$4:$A$83,MATCH(V19,'29_ゲート承認記録'!$F$4:$F$83,0))))&lt;&gt;"G3","公開Gate不適合",IF(IF(COUNTIF('29_ゲート承認記録'!$F$4:$F$83,V19)&lt;&gt;1,"参照ID不正",IF(INDEX('29_ゲート承認記録'!$AD$4:$AD$83,MATCH(V19,'29_ゲート承認記録'!$F$4:$F$83,0))="","",INDEX('29_ゲート承認記録'!$AD$4:$AD$83,MATCH(V19,'29_ゲート承認記録'!$F$4:$F$83,0))))&lt;&gt;"整合済・正本決裁要確認","決裁整合未充足","決裁・構成一致")))))</f>
        <v/>
      </c>
      <c r="AG19" s="28" t="str">
        <f>IF(A19="","",IF(OR(AND(Q19&lt;&gt;"",OR(NOT(ISNUMBER(Q19)),IFERROR(Q19&lt;1,TRUE),IFERROR(INT(Q19)&gt;INT(AsOfDate),TRUE))),AND(R19&lt;&gt;"",OR(NOT(ISNUMBER(R19)),IFERROR(R19&lt;1,TRUE),IFERROR(INT(R19)&gt;INT(AsOfDate),TRUE))),AND(AI19&lt;&gt;"",OR(NOT(ISNUMBER(AI19)),IFERROR(AI19&lt;1,TRUE),IFERROR(INT(AI19)&gt;INT(AsOfDate),TRUE)))),"実績日時不正",IF(AND(OR(S19="展開中",S19="安定確認"),NOT(ISNUMBER(R19))),"公開日時不足",IF(C19="Emergency",IF(OR(AA19="",AB19="",COUNT(AC19,AI19)&lt;2),"緊急根拠不足",IF(AND(ISNUMBER(R19),OR(AI19&gt;R19,AC19&lt;R19)),"緊急時刻不正",IF(AND(AC19&lt;AsOfDate,AD19=""),"事後審査期限超過","緊急経路・正本審査要"))),IF(AND(COUNT(Q19:R19)=2,Q19&gt;R19),"承認前の通常公開",IF(AND(V19&lt;&gt;"",ISNUMBER(Q19),IFERROR(Q19&lt;IF(COUNTIF('29_ゲート承認記録'!$F$4:$F$83,V19)&lt;&gt;1,"参照ID不正",IF(INDEX('29_ゲート承認記録'!$P$4:$P$83,MATCH(V19,'29_ゲート承認記録'!$F$4:$F$83,0))="","",INDEX('29_ゲート承認記録'!$P$4:$P$83,MATCH(V19,'29_ゲート承認記録'!$F$4:$F$83,0)))),FALSE)),"Gate判断前の承認","日時整合"))))))</f>
        <v/>
      </c>
      <c r="AH19" s="28" t="str">
        <f t="shared" si="1"/>
        <v/>
      </c>
      <c r="AI19" s="34"/>
    </row>
    <row r="20" spans="1:35" ht="38" customHeight="1" x14ac:dyDescent="0.2">
      <c r="A20" s="6"/>
      <c r="B20" s="6"/>
      <c r="C20" s="6"/>
      <c r="D20" s="6"/>
      <c r="E20" s="6"/>
      <c r="F20" s="6"/>
      <c r="G20" s="6"/>
      <c r="H20" s="6"/>
      <c r="I20" s="6"/>
      <c r="J20" s="6"/>
      <c r="K20" s="6"/>
      <c r="L20" s="6"/>
      <c r="M20" s="6"/>
      <c r="N20" s="6"/>
      <c r="O20" s="6"/>
      <c r="P20" s="6"/>
      <c r="Q20" s="19"/>
      <c r="R20" s="19"/>
      <c r="S20" s="6"/>
      <c r="T20" s="6"/>
      <c r="U20" s="28" t="str">
        <f t="shared" si="0"/>
        <v/>
      </c>
      <c r="V20" s="29"/>
      <c r="W20" s="29"/>
      <c r="X20" s="29"/>
      <c r="Y20" s="29"/>
      <c r="Z20" s="29"/>
      <c r="AA20" s="29"/>
      <c r="AB20" s="29"/>
      <c r="AC20" s="34"/>
      <c r="AD20" s="29"/>
      <c r="AE20" s="28" t="str">
        <f>IF(V20="","",COUNTIF('31_条件・有効性'!$B$4:$B$83,V20))</f>
        <v/>
      </c>
      <c r="AF20" s="28" t="str">
        <f>IF(A20="","",IF(OR(V20="",COUNTIF('29_ゲート承認記録'!$F$4:$F$83,V20)&lt;&gt;1),"GateRun不足・不正",IF(OR(A20&lt;&gt;IF(COUNTIF('29_ゲート承認記録'!$F$4:$F$83,V20)&lt;&gt;1,"参照ID不正",IF(INDEX('29_ゲート承認記録'!$T$4:$T$83,MATCH(V20,'29_ゲート承認記録'!$F$4:$F$83,0))="","",INDEX('29_ゲート承認記録'!$T$4:$T$83,MATCH(V20,'29_ゲート承認記録'!$F$4:$F$83,0)))),W20="",W20&lt;&gt;IF(COUNTIF('29_ゲート承認記録'!$F$4:$F$83,V20)&lt;&gt;1,"参照ID不正",IF(INDEX('29_ゲート承認記録'!$U$4:$U$83,MATCH(V20,'29_ゲート承認記録'!$F$4:$F$83,0))="","",INDEX('29_ゲート承認記録'!$U$4:$U$83,MATCH(V20,'29_ゲート承認記録'!$F$4:$F$83,0))))),"決裁対象・版不一致",IF(IF(COUNTIF('29_ゲート承認記録'!$F$4:$F$83,V20)&lt;&gt;1,"参照ID不正",IF(INDEX('29_ゲート承認記録'!$A$4:$A$83,MATCH(V20,'29_ゲート承認記録'!$F$4:$F$83,0))="","",INDEX('29_ゲート承認記録'!$A$4:$A$83,MATCH(V20,'29_ゲート承認記録'!$F$4:$F$83,0))))&lt;&gt;"G3","公開Gate不適合",IF(IF(COUNTIF('29_ゲート承認記録'!$F$4:$F$83,V20)&lt;&gt;1,"参照ID不正",IF(INDEX('29_ゲート承認記録'!$AD$4:$AD$83,MATCH(V20,'29_ゲート承認記録'!$F$4:$F$83,0))="","",INDEX('29_ゲート承認記録'!$AD$4:$AD$83,MATCH(V20,'29_ゲート承認記録'!$F$4:$F$83,0))))&lt;&gt;"整合済・正本決裁要確認","決裁整合未充足","決裁・構成一致")))))</f>
        <v/>
      </c>
      <c r="AG20" s="28" t="str">
        <f>IF(A20="","",IF(OR(AND(Q20&lt;&gt;"",OR(NOT(ISNUMBER(Q20)),IFERROR(Q20&lt;1,TRUE),IFERROR(INT(Q20)&gt;INT(AsOfDate),TRUE))),AND(R20&lt;&gt;"",OR(NOT(ISNUMBER(R20)),IFERROR(R20&lt;1,TRUE),IFERROR(INT(R20)&gt;INT(AsOfDate),TRUE))),AND(AI20&lt;&gt;"",OR(NOT(ISNUMBER(AI20)),IFERROR(AI20&lt;1,TRUE),IFERROR(INT(AI20)&gt;INT(AsOfDate),TRUE)))),"実績日時不正",IF(AND(OR(S20="展開中",S20="安定確認"),NOT(ISNUMBER(R20))),"公開日時不足",IF(C20="Emergency",IF(OR(AA20="",AB20="",COUNT(AC20,AI20)&lt;2),"緊急根拠不足",IF(AND(ISNUMBER(R20),OR(AI20&gt;R20,AC20&lt;R20)),"緊急時刻不正",IF(AND(AC20&lt;AsOfDate,AD20=""),"事後審査期限超過","緊急経路・正本審査要"))),IF(AND(COUNT(Q20:R20)=2,Q20&gt;R20),"承認前の通常公開",IF(AND(V20&lt;&gt;"",ISNUMBER(Q20),IFERROR(Q20&lt;IF(COUNTIF('29_ゲート承認記録'!$F$4:$F$83,V20)&lt;&gt;1,"参照ID不正",IF(INDEX('29_ゲート承認記録'!$P$4:$P$83,MATCH(V20,'29_ゲート承認記録'!$F$4:$F$83,0))="","",INDEX('29_ゲート承認記録'!$P$4:$P$83,MATCH(V20,'29_ゲート承認記録'!$F$4:$F$83,0)))),FALSE)),"Gate判断前の承認","日時整合"))))))</f>
        <v/>
      </c>
      <c r="AH20" s="28" t="str">
        <f t="shared" si="1"/>
        <v/>
      </c>
      <c r="AI20" s="34"/>
    </row>
    <row r="21" spans="1:35" ht="38" customHeight="1" x14ac:dyDescent="0.2">
      <c r="A21" s="6"/>
      <c r="B21" s="6"/>
      <c r="C21" s="6"/>
      <c r="D21" s="6"/>
      <c r="E21" s="6"/>
      <c r="F21" s="6"/>
      <c r="G21" s="6"/>
      <c r="H21" s="6"/>
      <c r="I21" s="6"/>
      <c r="J21" s="6"/>
      <c r="K21" s="6"/>
      <c r="L21" s="6"/>
      <c r="M21" s="6"/>
      <c r="N21" s="6"/>
      <c r="O21" s="6"/>
      <c r="P21" s="6"/>
      <c r="Q21" s="19"/>
      <c r="R21" s="19"/>
      <c r="S21" s="6"/>
      <c r="T21" s="6"/>
      <c r="U21" s="28" t="str">
        <f t="shared" si="0"/>
        <v/>
      </c>
      <c r="V21" s="29"/>
      <c r="W21" s="29"/>
      <c r="X21" s="29"/>
      <c r="Y21" s="29"/>
      <c r="Z21" s="29"/>
      <c r="AA21" s="29"/>
      <c r="AB21" s="29"/>
      <c r="AC21" s="34"/>
      <c r="AD21" s="29"/>
      <c r="AE21" s="28" t="str">
        <f>IF(V21="","",COUNTIF('31_条件・有効性'!$B$4:$B$83,V21))</f>
        <v/>
      </c>
      <c r="AF21" s="28" t="str">
        <f>IF(A21="","",IF(OR(V21="",COUNTIF('29_ゲート承認記録'!$F$4:$F$83,V21)&lt;&gt;1),"GateRun不足・不正",IF(OR(A21&lt;&gt;IF(COUNTIF('29_ゲート承認記録'!$F$4:$F$83,V21)&lt;&gt;1,"参照ID不正",IF(INDEX('29_ゲート承認記録'!$T$4:$T$83,MATCH(V21,'29_ゲート承認記録'!$F$4:$F$83,0))="","",INDEX('29_ゲート承認記録'!$T$4:$T$83,MATCH(V21,'29_ゲート承認記録'!$F$4:$F$83,0)))),W21="",W21&lt;&gt;IF(COUNTIF('29_ゲート承認記録'!$F$4:$F$83,V21)&lt;&gt;1,"参照ID不正",IF(INDEX('29_ゲート承認記録'!$U$4:$U$83,MATCH(V21,'29_ゲート承認記録'!$F$4:$F$83,0))="","",INDEX('29_ゲート承認記録'!$U$4:$U$83,MATCH(V21,'29_ゲート承認記録'!$F$4:$F$83,0))))),"決裁対象・版不一致",IF(IF(COUNTIF('29_ゲート承認記録'!$F$4:$F$83,V21)&lt;&gt;1,"参照ID不正",IF(INDEX('29_ゲート承認記録'!$A$4:$A$83,MATCH(V21,'29_ゲート承認記録'!$F$4:$F$83,0))="","",INDEX('29_ゲート承認記録'!$A$4:$A$83,MATCH(V21,'29_ゲート承認記録'!$F$4:$F$83,0))))&lt;&gt;"G3","公開Gate不適合",IF(IF(COUNTIF('29_ゲート承認記録'!$F$4:$F$83,V21)&lt;&gt;1,"参照ID不正",IF(INDEX('29_ゲート承認記録'!$AD$4:$AD$83,MATCH(V21,'29_ゲート承認記録'!$F$4:$F$83,0))="","",INDEX('29_ゲート承認記録'!$AD$4:$AD$83,MATCH(V21,'29_ゲート承認記録'!$F$4:$F$83,0))))&lt;&gt;"整合済・正本決裁要確認","決裁整合未充足","決裁・構成一致")))))</f>
        <v/>
      </c>
      <c r="AG21" s="28" t="str">
        <f>IF(A21="","",IF(OR(AND(Q21&lt;&gt;"",OR(NOT(ISNUMBER(Q21)),IFERROR(Q21&lt;1,TRUE),IFERROR(INT(Q21)&gt;INT(AsOfDate),TRUE))),AND(R21&lt;&gt;"",OR(NOT(ISNUMBER(R21)),IFERROR(R21&lt;1,TRUE),IFERROR(INT(R21)&gt;INT(AsOfDate),TRUE))),AND(AI21&lt;&gt;"",OR(NOT(ISNUMBER(AI21)),IFERROR(AI21&lt;1,TRUE),IFERROR(INT(AI21)&gt;INT(AsOfDate),TRUE)))),"実績日時不正",IF(AND(OR(S21="展開中",S21="安定確認"),NOT(ISNUMBER(R21))),"公開日時不足",IF(C21="Emergency",IF(OR(AA21="",AB21="",COUNT(AC21,AI21)&lt;2),"緊急根拠不足",IF(AND(ISNUMBER(R21),OR(AI21&gt;R21,AC21&lt;R21)),"緊急時刻不正",IF(AND(AC21&lt;AsOfDate,AD21=""),"事後審査期限超過","緊急経路・正本審査要"))),IF(AND(COUNT(Q21:R21)=2,Q21&gt;R21),"承認前の通常公開",IF(AND(V21&lt;&gt;"",ISNUMBER(Q21),IFERROR(Q21&lt;IF(COUNTIF('29_ゲート承認記録'!$F$4:$F$83,V21)&lt;&gt;1,"参照ID不正",IF(INDEX('29_ゲート承認記録'!$P$4:$P$83,MATCH(V21,'29_ゲート承認記録'!$F$4:$F$83,0))="","",INDEX('29_ゲート承認記録'!$P$4:$P$83,MATCH(V21,'29_ゲート承認記録'!$F$4:$F$83,0)))),FALSE)),"Gate判断前の承認","日時整合"))))))</f>
        <v/>
      </c>
      <c r="AH21" s="28" t="str">
        <f t="shared" si="1"/>
        <v/>
      </c>
      <c r="AI21" s="34"/>
    </row>
    <row r="22" spans="1:35" ht="38" customHeight="1" x14ac:dyDescent="0.2">
      <c r="A22" s="6"/>
      <c r="B22" s="6"/>
      <c r="C22" s="6"/>
      <c r="D22" s="6"/>
      <c r="E22" s="6"/>
      <c r="F22" s="6"/>
      <c r="G22" s="6"/>
      <c r="H22" s="6"/>
      <c r="I22" s="6"/>
      <c r="J22" s="6"/>
      <c r="K22" s="6"/>
      <c r="L22" s="6"/>
      <c r="M22" s="6"/>
      <c r="N22" s="6"/>
      <c r="O22" s="6"/>
      <c r="P22" s="6"/>
      <c r="Q22" s="19"/>
      <c r="R22" s="19"/>
      <c r="S22" s="6"/>
      <c r="T22" s="6"/>
      <c r="U22" s="28" t="str">
        <f t="shared" si="0"/>
        <v/>
      </c>
      <c r="V22" s="29"/>
      <c r="W22" s="29"/>
      <c r="X22" s="29"/>
      <c r="Y22" s="29"/>
      <c r="Z22" s="29"/>
      <c r="AA22" s="29"/>
      <c r="AB22" s="29"/>
      <c r="AC22" s="34"/>
      <c r="AD22" s="29"/>
      <c r="AE22" s="28" t="str">
        <f>IF(V22="","",COUNTIF('31_条件・有効性'!$B$4:$B$83,V22))</f>
        <v/>
      </c>
      <c r="AF22" s="28" t="str">
        <f>IF(A22="","",IF(OR(V22="",COUNTIF('29_ゲート承認記録'!$F$4:$F$83,V22)&lt;&gt;1),"GateRun不足・不正",IF(OR(A22&lt;&gt;IF(COUNTIF('29_ゲート承認記録'!$F$4:$F$83,V22)&lt;&gt;1,"参照ID不正",IF(INDEX('29_ゲート承認記録'!$T$4:$T$83,MATCH(V22,'29_ゲート承認記録'!$F$4:$F$83,0))="","",INDEX('29_ゲート承認記録'!$T$4:$T$83,MATCH(V22,'29_ゲート承認記録'!$F$4:$F$83,0)))),W22="",W22&lt;&gt;IF(COUNTIF('29_ゲート承認記録'!$F$4:$F$83,V22)&lt;&gt;1,"参照ID不正",IF(INDEX('29_ゲート承認記録'!$U$4:$U$83,MATCH(V22,'29_ゲート承認記録'!$F$4:$F$83,0))="","",INDEX('29_ゲート承認記録'!$U$4:$U$83,MATCH(V22,'29_ゲート承認記録'!$F$4:$F$83,0))))),"決裁対象・版不一致",IF(IF(COUNTIF('29_ゲート承認記録'!$F$4:$F$83,V22)&lt;&gt;1,"参照ID不正",IF(INDEX('29_ゲート承認記録'!$A$4:$A$83,MATCH(V22,'29_ゲート承認記録'!$F$4:$F$83,0))="","",INDEX('29_ゲート承認記録'!$A$4:$A$83,MATCH(V22,'29_ゲート承認記録'!$F$4:$F$83,0))))&lt;&gt;"G3","公開Gate不適合",IF(IF(COUNTIF('29_ゲート承認記録'!$F$4:$F$83,V22)&lt;&gt;1,"参照ID不正",IF(INDEX('29_ゲート承認記録'!$AD$4:$AD$83,MATCH(V22,'29_ゲート承認記録'!$F$4:$F$83,0))="","",INDEX('29_ゲート承認記録'!$AD$4:$AD$83,MATCH(V22,'29_ゲート承認記録'!$F$4:$F$83,0))))&lt;&gt;"整合済・正本決裁要確認","決裁整合未充足","決裁・構成一致")))))</f>
        <v/>
      </c>
      <c r="AG22" s="28" t="str">
        <f>IF(A22="","",IF(OR(AND(Q22&lt;&gt;"",OR(NOT(ISNUMBER(Q22)),IFERROR(Q22&lt;1,TRUE),IFERROR(INT(Q22)&gt;INT(AsOfDate),TRUE))),AND(R22&lt;&gt;"",OR(NOT(ISNUMBER(R22)),IFERROR(R22&lt;1,TRUE),IFERROR(INT(R22)&gt;INT(AsOfDate),TRUE))),AND(AI22&lt;&gt;"",OR(NOT(ISNUMBER(AI22)),IFERROR(AI22&lt;1,TRUE),IFERROR(INT(AI22)&gt;INT(AsOfDate),TRUE)))),"実績日時不正",IF(AND(OR(S22="展開中",S22="安定確認"),NOT(ISNUMBER(R22))),"公開日時不足",IF(C22="Emergency",IF(OR(AA22="",AB22="",COUNT(AC22,AI22)&lt;2),"緊急根拠不足",IF(AND(ISNUMBER(R22),OR(AI22&gt;R22,AC22&lt;R22)),"緊急時刻不正",IF(AND(AC22&lt;AsOfDate,AD22=""),"事後審査期限超過","緊急経路・正本審査要"))),IF(AND(COUNT(Q22:R22)=2,Q22&gt;R22),"承認前の通常公開",IF(AND(V22&lt;&gt;"",ISNUMBER(Q22),IFERROR(Q22&lt;IF(COUNTIF('29_ゲート承認記録'!$F$4:$F$83,V22)&lt;&gt;1,"参照ID不正",IF(INDEX('29_ゲート承認記録'!$P$4:$P$83,MATCH(V22,'29_ゲート承認記録'!$F$4:$F$83,0))="","",INDEX('29_ゲート承認記録'!$P$4:$P$83,MATCH(V22,'29_ゲート承認記録'!$F$4:$F$83,0)))),FALSE)),"Gate判断前の承認","日時整合"))))))</f>
        <v/>
      </c>
      <c r="AH22" s="28" t="str">
        <f t="shared" si="1"/>
        <v/>
      </c>
      <c r="AI22" s="34"/>
    </row>
    <row r="23" spans="1:35" ht="38" customHeight="1" x14ac:dyDescent="0.2">
      <c r="A23" s="6"/>
      <c r="B23" s="6"/>
      <c r="C23" s="6"/>
      <c r="D23" s="6"/>
      <c r="E23" s="6"/>
      <c r="F23" s="6"/>
      <c r="G23" s="6"/>
      <c r="H23" s="6"/>
      <c r="I23" s="6"/>
      <c r="J23" s="6"/>
      <c r="K23" s="6"/>
      <c r="L23" s="6"/>
      <c r="M23" s="6"/>
      <c r="N23" s="6"/>
      <c r="O23" s="6"/>
      <c r="P23" s="6"/>
      <c r="Q23" s="19"/>
      <c r="R23" s="19"/>
      <c r="S23" s="6"/>
      <c r="T23" s="6"/>
      <c r="U23" s="28" t="str">
        <f t="shared" si="0"/>
        <v/>
      </c>
      <c r="V23" s="29"/>
      <c r="W23" s="29"/>
      <c r="X23" s="29"/>
      <c r="Y23" s="29"/>
      <c r="Z23" s="29"/>
      <c r="AA23" s="29"/>
      <c r="AB23" s="29"/>
      <c r="AC23" s="34"/>
      <c r="AD23" s="29"/>
      <c r="AE23" s="28" t="str">
        <f>IF(V23="","",COUNTIF('31_条件・有効性'!$B$4:$B$83,V23))</f>
        <v/>
      </c>
      <c r="AF23" s="28" t="str">
        <f>IF(A23="","",IF(OR(V23="",COUNTIF('29_ゲート承認記録'!$F$4:$F$83,V23)&lt;&gt;1),"GateRun不足・不正",IF(OR(A23&lt;&gt;IF(COUNTIF('29_ゲート承認記録'!$F$4:$F$83,V23)&lt;&gt;1,"参照ID不正",IF(INDEX('29_ゲート承認記録'!$T$4:$T$83,MATCH(V23,'29_ゲート承認記録'!$F$4:$F$83,0))="","",INDEX('29_ゲート承認記録'!$T$4:$T$83,MATCH(V23,'29_ゲート承認記録'!$F$4:$F$83,0)))),W23="",W23&lt;&gt;IF(COUNTIF('29_ゲート承認記録'!$F$4:$F$83,V23)&lt;&gt;1,"参照ID不正",IF(INDEX('29_ゲート承認記録'!$U$4:$U$83,MATCH(V23,'29_ゲート承認記録'!$F$4:$F$83,0))="","",INDEX('29_ゲート承認記録'!$U$4:$U$83,MATCH(V23,'29_ゲート承認記録'!$F$4:$F$83,0))))),"決裁対象・版不一致",IF(IF(COUNTIF('29_ゲート承認記録'!$F$4:$F$83,V23)&lt;&gt;1,"参照ID不正",IF(INDEX('29_ゲート承認記録'!$A$4:$A$83,MATCH(V23,'29_ゲート承認記録'!$F$4:$F$83,0))="","",INDEX('29_ゲート承認記録'!$A$4:$A$83,MATCH(V23,'29_ゲート承認記録'!$F$4:$F$83,0))))&lt;&gt;"G3","公開Gate不適合",IF(IF(COUNTIF('29_ゲート承認記録'!$F$4:$F$83,V23)&lt;&gt;1,"参照ID不正",IF(INDEX('29_ゲート承認記録'!$AD$4:$AD$83,MATCH(V23,'29_ゲート承認記録'!$F$4:$F$83,0))="","",INDEX('29_ゲート承認記録'!$AD$4:$AD$83,MATCH(V23,'29_ゲート承認記録'!$F$4:$F$83,0))))&lt;&gt;"整合済・正本決裁要確認","決裁整合未充足","決裁・構成一致")))))</f>
        <v/>
      </c>
      <c r="AG23" s="28" t="str">
        <f>IF(A23="","",IF(OR(AND(Q23&lt;&gt;"",OR(NOT(ISNUMBER(Q23)),IFERROR(Q23&lt;1,TRUE),IFERROR(INT(Q23)&gt;INT(AsOfDate),TRUE))),AND(R23&lt;&gt;"",OR(NOT(ISNUMBER(R23)),IFERROR(R23&lt;1,TRUE),IFERROR(INT(R23)&gt;INT(AsOfDate),TRUE))),AND(AI23&lt;&gt;"",OR(NOT(ISNUMBER(AI23)),IFERROR(AI23&lt;1,TRUE),IFERROR(INT(AI23)&gt;INT(AsOfDate),TRUE)))),"実績日時不正",IF(AND(OR(S23="展開中",S23="安定確認"),NOT(ISNUMBER(R23))),"公開日時不足",IF(C23="Emergency",IF(OR(AA23="",AB23="",COUNT(AC23,AI23)&lt;2),"緊急根拠不足",IF(AND(ISNUMBER(R23),OR(AI23&gt;R23,AC23&lt;R23)),"緊急時刻不正",IF(AND(AC23&lt;AsOfDate,AD23=""),"事後審査期限超過","緊急経路・正本審査要"))),IF(AND(COUNT(Q23:R23)=2,Q23&gt;R23),"承認前の通常公開",IF(AND(V23&lt;&gt;"",ISNUMBER(Q23),IFERROR(Q23&lt;IF(COUNTIF('29_ゲート承認記録'!$F$4:$F$83,V23)&lt;&gt;1,"参照ID不正",IF(INDEX('29_ゲート承認記録'!$P$4:$P$83,MATCH(V23,'29_ゲート承認記録'!$F$4:$F$83,0))="","",INDEX('29_ゲート承認記録'!$P$4:$P$83,MATCH(V23,'29_ゲート承認記録'!$F$4:$F$83,0)))),FALSE)),"Gate判断前の承認","日時整合"))))))</f>
        <v/>
      </c>
      <c r="AH23" s="28" t="str">
        <f t="shared" si="1"/>
        <v/>
      </c>
      <c r="AI23" s="34"/>
    </row>
    <row r="24" spans="1:35" ht="38" customHeight="1" x14ac:dyDescent="0.2">
      <c r="A24" s="6"/>
      <c r="B24" s="6"/>
      <c r="C24" s="6"/>
      <c r="D24" s="6"/>
      <c r="E24" s="6"/>
      <c r="F24" s="6"/>
      <c r="G24" s="6"/>
      <c r="H24" s="6"/>
      <c r="I24" s="6"/>
      <c r="J24" s="6"/>
      <c r="K24" s="6"/>
      <c r="L24" s="6"/>
      <c r="M24" s="6"/>
      <c r="N24" s="6"/>
      <c r="O24" s="6"/>
      <c r="P24" s="6"/>
      <c r="Q24" s="19"/>
      <c r="R24" s="19"/>
      <c r="S24" s="6"/>
      <c r="T24" s="6"/>
      <c r="U24" s="28" t="str">
        <f t="shared" si="0"/>
        <v/>
      </c>
      <c r="V24" s="29"/>
      <c r="W24" s="29"/>
      <c r="X24" s="29"/>
      <c r="Y24" s="29"/>
      <c r="Z24" s="29"/>
      <c r="AA24" s="29"/>
      <c r="AB24" s="29"/>
      <c r="AC24" s="34"/>
      <c r="AD24" s="29"/>
      <c r="AE24" s="28" t="str">
        <f>IF(V24="","",COUNTIF('31_条件・有効性'!$B$4:$B$83,V24))</f>
        <v/>
      </c>
      <c r="AF24" s="28" t="str">
        <f>IF(A24="","",IF(OR(V24="",COUNTIF('29_ゲート承認記録'!$F$4:$F$83,V24)&lt;&gt;1),"GateRun不足・不正",IF(OR(A24&lt;&gt;IF(COUNTIF('29_ゲート承認記録'!$F$4:$F$83,V24)&lt;&gt;1,"参照ID不正",IF(INDEX('29_ゲート承認記録'!$T$4:$T$83,MATCH(V24,'29_ゲート承認記録'!$F$4:$F$83,0))="","",INDEX('29_ゲート承認記録'!$T$4:$T$83,MATCH(V24,'29_ゲート承認記録'!$F$4:$F$83,0)))),W24="",W24&lt;&gt;IF(COUNTIF('29_ゲート承認記録'!$F$4:$F$83,V24)&lt;&gt;1,"参照ID不正",IF(INDEX('29_ゲート承認記録'!$U$4:$U$83,MATCH(V24,'29_ゲート承認記録'!$F$4:$F$83,0))="","",INDEX('29_ゲート承認記録'!$U$4:$U$83,MATCH(V24,'29_ゲート承認記録'!$F$4:$F$83,0))))),"決裁対象・版不一致",IF(IF(COUNTIF('29_ゲート承認記録'!$F$4:$F$83,V24)&lt;&gt;1,"参照ID不正",IF(INDEX('29_ゲート承認記録'!$A$4:$A$83,MATCH(V24,'29_ゲート承認記録'!$F$4:$F$83,0))="","",INDEX('29_ゲート承認記録'!$A$4:$A$83,MATCH(V24,'29_ゲート承認記録'!$F$4:$F$83,0))))&lt;&gt;"G3","公開Gate不適合",IF(IF(COUNTIF('29_ゲート承認記録'!$F$4:$F$83,V24)&lt;&gt;1,"参照ID不正",IF(INDEX('29_ゲート承認記録'!$AD$4:$AD$83,MATCH(V24,'29_ゲート承認記録'!$F$4:$F$83,0))="","",INDEX('29_ゲート承認記録'!$AD$4:$AD$83,MATCH(V24,'29_ゲート承認記録'!$F$4:$F$83,0))))&lt;&gt;"整合済・正本決裁要確認","決裁整合未充足","決裁・構成一致")))))</f>
        <v/>
      </c>
      <c r="AG24" s="28" t="str">
        <f>IF(A24="","",IF(OR(AND(Q24&lt;&gt;"",OR(NOT(ISNUMBER(Q24)),IFERROR(Q24&lt;1,TRUE),IFERROR(INT(Q24)&gt;INT(AsOfDate),TRUE))),AND(R24&lt;&gt;"",OR(NOT(ISNUMBER(R24)),IFERROR(R24&lt;1,TRUE),IFERROR(INT(R24)&gt;INT(AsOfDate),TRUE))),AND(AI24&lt;&gt;"",OR(NOT(ISNUMBER(AI24)),IFERROR(AI24&lt;1,TRUE),IFERROR(INT(AI24)&gt;INT(AsOfDate),TRUE)))),"実績日時不正",IF(AND(OR(S24="展開中",S24="安定確認"),NOT(ISNUMBER(R24))),"公開日時不足",IF(C24="Emergency",IF(OR(AA24="",AB24="",COUNT(AC24,AI24)&lt;2),"緊急根拠不足",IF(AND(ISNUMBER(R24),OR(AI24&gt;R24,AC24&lt;R24)),"緊急時刻不正",IF(AND(AC24&lt;AsOfDate,AD24=""),"事後審査期限超過","緊急経路・正本審査要"))),IF(AND(COUNT(Q24:R24)=2,Q24&gt;R24),"承認前の通常公開",IF(AND(V24&lt;&gt;"",ISNUMBER(Q24),IFERROR(Q24&lt;IF(COUNTIF('29_ゲート承認記録'!$F$4:$F$83,V24)&lt;&gt;1,"参照ID不正",IF(INDEX('29_ゲート承認記録'!$P$4:$P$83,MATCH(V24,'29_ゲート承認記録'!$F$4:$F$83,0))="","",INDEX('29_ゲート承認記録'!$P$4:$P$83,MATCH(V24,'29_ゲート承認記録'!$F$4:$F$83,0)))),FALSE)),"Gate判断前の承認","日時整合"))))))</f>
        <v/>
      </c>
      <c r="AH24" s="28" t="str">
        <f t="shared" si="1"/>
        <v/>
      </c>
      <c r="AI24" s="34"/>
    </row>
    <row r="25" spans="1:35" ht="38" customHeight="1" x14ac:dyDescent="0.2">
      <c r="A25" s="6"/>
      <c r="B25" s="6"/>
      <c r="C25" s="6"/>
      <c r="D25" s="6"/>
      <c r="E25" s="6"/>
      <c r="F25" s="6"/>
      <c r="G25" s="6"/>
      <c r="H25" s="6"/>
      <c r="I25" s="6"/>
      <c r="J25" s="6"/>
      <c r="K25" s="6"/>
      <c r="L25" s="6"/>
      <c r="M25" s="6"/>
      <c r="N25" s="6"/>
      <c r="O25" s="6"/>
      <c r="P25" s="6"/>
      <c r="Q25" s="19"/>
      <c r="R25" s="19"/>
      <c r="S25" s="6"/>
      <c r="T25" s="6"/>
      <c r="U25" s="28" t="str">
        <f t="shared" si="0"/>
        <v/>
      </c>
      <c r="V25" s="29"/>
      <c r="W25" s="29"/>
      <c r="X25" s="29"/>
      <c r="Y25" s="29"/>
      <c r="Z25" s="29"/>
      <c r="AA25" s="29"/>
      <c r="AB25" s="29"/>
      <c r="AC25" s="34"/>
      <c r="AD25" s="29"/>
      <c r="AE25" s="28" t="str">
        <f>IF(V25="","",COUNTIF('31_条件・有効性'!$B$4:$B$83,V25))</f>
        <v/>
      </c>
      <c r="AF25" s="28" t="str">
        <f>IF(A25="","",IF(OR(V25="",COUNTIF('29_ゲート承認記録'!$F$4:$F$83,V25)&lt;&gt;1),"GateRun不足・不正",IF(OR(A25&lt;&gt;IF(COUNTIF('29_ゲート承認記録'!$F$4:$F$83,V25)&lt;&gt;1,"参照ID不正",IF(INDEX('29_ゲート承認記録'!$T$4:$T$83,MATCH(V25,'29_ゲート承認記録'!$F$4:$F$83,0))="","",INDEX('29_ゲート承認記録'!$T$4:$T$83,MATCH(V25,'29_ゲート承認記録'!$F$4:$F$83,0)))),W25="",W25&lt;&gt;IF(COUNTIF('29_ゲート承認記録'!$F$4:$F$83,V25)&lt;&gt;1,"参照ID不正",IF(INDEX('29_ゲート承認記録'!$U$4:$U$83,MATCH(V25,'29_ゲート承認記録'!$F$4:$F$83,0))="","",INDEX('29_ゲート承認記録'!$U$4:$U$83,MATCH(V25,'29_ゲート承認記録'!$F$4:$F$83,0))))),"決裁対象・版不一致",IF(IF(COUNTIF('29_ゲート承認記録'!$F$4:$F$83,V25)&lt;&gt;1,"参照ID不正",IF(INDEX('29_ゲート承認記録'!$A$4:$A$83,MATCH(V25,'29_ゲート承認記録'!$F$4:$F$83,0))="","",INDEX('29_ゲート承認記録'!$A$4:$A$83,MATCH(V25,'29_ゲート承認記録'!$F$4:$F$83,0))))&lt;&gt;"G3","公開Gate不適合",IF(IF(COUNTIF('29_ゲート承認記録'!$F$4:$F$83,V25)&lt;&gt;1,"参照ID不正",IF(INDEX('29_ゲート承認記録'!$AD$4:$AD$83,MATCH(V25,'29_ゲート承認記録'!$F$4:$F$83,0))="","",INDEX('29_ゲート承認記録'!$AD$4:$AD$83,MATCH(V25,'29_ゲート承認記録'!$F$4:$F$83,0))))&lt;&gt;"整合済・正本決裁要確認","決裁整合未充足","決裁・構成一致")))))</f>
        <v/>
      </c>
      <c r="AG25" s="28" t="str">
        <f>IF(A25="","",IF(OR(AND(Q25&lt;&gt;"",OR(NOT(ISNUMBER(Q25)),IFERROR(Q25&lt;1,TRUE),IFERROR(INT(Q25)&gt;INT(AsOfDate),TRUE))),AND(R25&lt;&gt;"",OR(NOT(ISNUMBER(R25)),IFERROR(R25&lt;1,TRUE),IFERROR(INT(R25)&gt;INT(AsOfDate),TRUE))),AND(AI25&lt;&gt;"",OR(NOT(ISNUMBER(AI25)),IFERROR(AI25&lt;1,TRUE),IFERROR(INT(AI25)&gt;INT(AsOfDate),TRUE)))),"実績日時不正",IF(AND(OR(S25="展開中",S25="安定確認"),NOT(ISNUMBER(R25))),"公開日時不足",IF(C25="Emergency",IF(OR(AA25="",AB25="",COUNT(AC25,AI25)&lt;2),"緊急根拠不足",IF(AND(ISNUMBER(R25),OR(AI25&gt;R25,AC25&lt;R25)),"緊急時刻不正",IF(AND(AC25&lt;AsOfDate,AD25=""),"事後審査期限超過","緊急経路・正本審査要"))),IF(AND(COUNT(Q25:R25)=2,Q25&gt;R25),"承認前の通常公開",IF(AND(V25&lt;&gt;"",ISNUMBER(Q25),IFERROR(Q25&lt;IF(COUNTIF('29_ゲート承認記録'!$F$4:$F$83,V25)&lt;&gt;1,"参照ID不正",IF(INDEX('29_ゲート承認記録'!$P$4:$P$83,MATCH(V25,'29_ゲート承認記録'!$F$4:$F$83,0))="","",INDEX('29_ゲート承認記録'!$P$4:$P$83,MATCH(V25,'29_ゲート承認記録'!$F$4:$F$83,0)))),FALSE)),"Gate判断前の承認","日時整合"))))))</f>
        <v/>
      </c>
      <c r="AH25" s="28" t="str">
        <f t="shared" si="1"/>
        <v/>
      </c>
      <c r="AI25" s="34"/>
    </row>
    <row r="26" spans="1:35" ht="38" customHeight="1" x14ac:dyDescent="0.2">
      <c r="A26" s="6"/>
      <c r="B26" s="6"/>
      <c r="C26" s="6"/>
      <c r="D26" s="6"/>
      <c r="E26" s="6"/>
      <c r="F26" s="6"/>
      <c r="G26" s="6"/>
      <c r="H26" s="6"/>
      <c r="I26" s="6"/>
      <c r="J26" s="6"/>
      <c r="K26" s="6"/>
      <c r="L26" s="6"/>
      <c r="M26" s="6"/>
      <c r="N26" s="6"/>
      <c r="O26" s="6"/>
      <c r="P26" s="6"/>
      <c r="Q26" s="19"/>
      <c r="R26" s="19"/>
      <c r="S26" s="6"/>
      <c r="T26" s="6"/>
      <c r="U26" s="28" t="str">
        <f t="shared" si="0"/>
        <v/>
      </c>
      <c r="V26" s="29"/>
      <c r="W26" s="29"/>
      <c r="X26" s="29"/>
      <c r="Y26" s="29"/>
      <c r="Z26" s="29"/>
      <c r="AA26" s="29"/>
      <c r="AB26" s="29"/>
      <c r="AC26" s="34"/>
      <c r="AD26" s="29"/>
      <c r="AE26" s="28" t="str">
        <f>IF(V26="","",COUNTIF('31_条件・有効性'!$B$4:$B$83,V26))</f>
        <v/>
      </c>
      <c r="AF26" s="28" t="str">
        <f>IF(A26="","",IF(OR(V26="",COUNTIF('29_ゲート承認記録'!$F$4:$F$83,V26)&lt;&gt;1),"GateRun不足・不正",IF(OR(A26&lt;&gt;IF(COUNTIF('29_ゲート承認記録'!$F$4:$F$83,V26)&lt;&gt;1,"参照ID不正",IF(INDEX('29_ゲート承認記録'!$T$4:$T$83,MATCH(V26,'29_ゲート承認記録'!$F$4:$F$83,0))="","",INDEX('29_ゲート承認記録'!$T$4:$T$83,MATCH(V26,'29_ゲート承認記録'!$F$4:$F$83,0)))),W26="",W26&lt;&gt;IF(COUNTIF('29_ゲート承認記録'!$F$4:$F$83,V26)&lt;&gt;1,"参照ID不正",IF(INDEX('29_ゲート承認記録'!$U$4:$U$83,MATCH(V26,'29_ゲート承認記録'!$F$4:$F$83,0))="","",INDEX('29_ゲート承認記録'!$U$4:$U$83,MATCH(V26,'29_ゲート承認記録'!$F$4:$F$83,0))))),"決裁対象・版不一致",IF(IF(COUNTIF('29_ゲート承認記録'!$F$4:$F$83,V26)&lt;&gt;1,"参照ID不正",IF(INDEX('29_ゲート承認記録'!$A$4:$A$83,MATCH(V26,'29_ゲート承認記録'!$F$4:$F$83,0))="","",INDEX('29_ゲート承認記録'!$A$4:$A$83,MATCH(V26,'29_ゲート承認記録'!$F$4:$F$83,0))))&lt;&gt;"G3","公開Gate不適合",IF(IF(COUNTIF('29_ゲート承認記録'!$F$4:$F$83,V26)&lt;&gt;1,"参照ID不正",IF(INDEX('29_ゲート承認記録'!$AD$4:$AD$83,MATCH(V26,'29_ゲート承認記録'!$F$4:$F$83,0))="","",INDEX('29_ゲート承認記録'!$AD$4:$AD$83,MATCH(V26,'29_ゲート承認記録'!$F$4:$F$83,0))))&lt;&gt;"整合済・正本決裁要確認","決裁整合未充足","決裁・構成一致")))))</f>
        <v/>
      </c>
      <c r="AG26" s="28" t="str">
        <f>IF(A26="","",IF(OR(AND(Q26&lt;&gt;"",OR(NOT(ISNUMBER(Q26)),IFERROR(Q26&lt;1,TRUE),IFERROR(INT(Q26)&gt;INT(AsOfDate),TRUE))),AND(R26&lt;&gt;"",OR(NOT(ISNUMBER(R26)),IFERROR(R26&lt;1,TRUE),IFERROR(INT(R26)&gt;INT(AsOfDate),TRUE))),AND(AI26&lt;&gt;"",OR(NOT(ISNUMBER(AI26)),IFERROR(AI26&lt;1,TRUE),IFERROR(INT(AI26)&gt;INT(AsOfDate),TRUE)))),"実績日時不正",IF(AND(OR(S26="展開中",S26="安定確認"),NOT(ISNUMBER(R26))),"公開日時不足",IF(C26="Emergency",IF(OR(AA26="",AB26="",COUNT(AC26,AI26)&lt;2),"緊急根拠不足",IF(AND(ISNUMBER(R26),OR(AI26&gt;R26,AC26&lt;R26)),"緊急時刻不正",IF(AND(AC26&lt;AsOfDate,AD26=""),"事後審査期限超過","緊急経路・正本審査要"))),IF(AND(COUNT(Q26:R26)=2,Q26&gt;R26),"承認前の通常公開",IF(AND(V26&lt;&gt;"",ISNUMBER(Q26),IFERROR(Q26&lt;IF(COUNTIF('29_ゲート承認記録'!$F$4:$F$83,V26)&lt;&gt;1,"参照ID不正",IF(INDEX('29_ゲート承認記録'!$P$4:$P$83,MATCH(V26,'29_ゲート承認記録'!$F$4:$F$83,0))="","",INDEX('29_ゲート承認記録'!$P$4:$P$83,MATCH(V26,'29_ゲート承認記録'!$F$4:$F$83,0)))),FALSE)),"Gate判断前の承認","日時整合"))))))</f>
        <v/>
      </c>
      <c r="AH26" s="28" t="str">
        <f t="shared" si="1"/>
        <v/>
      </c>
      <c r="AI26" s="34"/>
    </row>
    <row r="27" spans="1:35" ht="38" customHeight="1" x14ac:dyDescent="0.2">
      <c r="A27" s="6"/>
      <c r="B27" s="6"/>
      <c r="C27" s="6"/>
      <c r="D27" s="6"/>
      <c r="E27" s="6"/>
      <c r="F27" s="6"/>
      <c r="G27" s="6"/>
      <c r="H27" s="6"/>
      <c r="I27" s="6"/>
      <c r="J27" s="6"/>
      <c r="K27" s="6"/>
      <c r="L27" s="6"/>
      <c r="M27" s="6"/>
      <c r="N27" s="6"/>
      <c r="O27" s="6"/>
      <c r="P27" s="6"/>
      <c r="Q27" s="19"/>
      <c r="R27" s="19"/>
      <c r="S27" s="6"/>
      <c r="T27" s="6"/>
      <c r="U27" s="28" t="str">
        <f t="shared" si="0"/>
        <v/>
      </c>
      <c r="V27" s="29"/>
      <c r="W27" s="29"/>
      <c r="X27" s="29"/>
      <c r="Y27" s="29"/>
      <c r="Z27" s="29"/>
      <c r="AA27" s="29"/>
      <c r="AB27" s="29"/>
      <c r="AC27" s="34"/>
      <c r="AD27" s="29"/>
      <c r="AE27" s="28" t="str">
        <f>IF(V27="","",COUNTIF('31_条件・有効性'!$B$4:$B$83,V27))</f>
        <v/>
      </c>
      <c r="AF27" s="28" t="str">
        <f>IF(A27="","",IF(OR(V27="",COUNTIF('29_ゲート承認記録'!$F$4:$F$83,V27)&lt;&gt;1),"GateRun不足・不正",IF(OR(A27&lt;&gt;IF(COUNTIF('29_ゲート承認記録'!$F$4:$F$83,V27)&lt;&gt;1,"参照ID不正",IF(INDEX('29_ゲート承認記録'!$T$4:$T$83,MATCH(V27,'29_ゲート承認記録'!$F$4:$F$83,0))="","",INDEX('29_ゲート承認記録'!$T$4:$T$83,MATCH(V27,'29_ゲート承認記録'!$F$4:$F$83,0)))),W27="",W27&lt;&gt;IF(COUNTIF('29_ゲート承認記録'!$F$4:$F$83,V27)&lt;&gt;1,"参照ID不正",IF(INDEX('29_ゲート承認記録'!$U$4:$U$83,MATCH(V27,'29_ゲート承認記録'!$F$4:$F$83,0))="","",INDEX('29_ゲート承認記録'!$U$4:$U$83,MATCH(V27,'29_ゲート承認記録'!$F$4:$F$83,0))))),"決裁対象・版不一致",IF(IF(COUNTIF('29_ゲート承認記録'!$F$4:$F$83,V27)&lt;&gt;1,"参照ID不正",IF(INDEX('29_ゲート承認記録'!$A$4:$A$83,MATCH(V27,'29_ゲート承認記録'!$F$4:$F$83,0))="","",INDEX('29_ゲート承認記録'!$A$4:$A$83,MATCH(V27,'29_ゲート承認記録'!$F$4:$F$83,0))))&lt;&gt;"G3","公開Gate不適合",IF(IF(COUNTIF('29_ゲート承認記録'!$F$4:$F$83,V27)&lt;&gt;1,"参照ID不正",IF(INDEX('29_ゲート承認記録'!$AD$4:$AD$83,MATCH(V27,'29_ゲート承認記録'!$F$4:$F$83,0))="","",INDEX('29_ゲート承認記録'!$AD$4:$AD$83,MATCH(V27,'29_ゲート承認記録'!$F$4:$F$83,0))))&lt;&gt;"整合済・正本決裁要確認","決裁整合未充足","決裁・構成一致")))))</f>
        <v/>
      </c>
      <c r="AG27" s="28" t="str">
        <f>IF(A27="","",IF(OR(AND(Q27&lt;&gt;"",OR(NOT(ISNUMBER(Q27)),IFERROR(Q27&lt;1,TRUE),IFERROR(INT(Q27)&gt;INT(AsOfDate),TRUE))),AND(R27&lt;&gt;"",OR(NOT(ISNUMBER(R27)),IFERROR(R27&lt;1,TRUE),IFERROR(INT(R27)&gt;INT(AsOfDate),TRUE))),AND(AI27&lt;&gt;"",OR(NOT(ISNUMBER(AI27)),IFERROR(AI27&lt;1,TRUE),IFERROR(INT(AI27)&gt;INT(AsOfDate),TRUE)))),"実績日時不正",IF(AND(OR(S27="展開中",S27="安定確認"),NOT(ISNUMBER(R27))),"公開日時不足",IF(C27="Emergency",IF(OR(AA27="",AB27="",COUNT(AC27,AI27)&lt;2),"緊急根拠不足",IF(AND(ISNUMBER(R27),OR(AI27&gt;R27,AC27&lt;R27)),"緊急時刻不正",IF(AND(AC27&lt;AsOfDate,AD27=""),"事後審査期限超過","緊急経路・正本審査要"))),IF(AND(COUNT(Q27:R27)=2,Q27&gt;R27),"承認前の通常公開",IF(AND(V27&lt;&gt;"",ISNUMBER(Q27),IFERROR(Q27&lt;IF(COUNTIF('29_ゲート承認記録'!$F$4:$F$83,V27)&lt;&gt;1,"参照ID不正",IF(INDEX('29_ゲート承認記録'!$P$4:$P$83,MATCH(V27,'29_ゲート承認記録'!$F$4:$F$83,0))="","",INDEX('29_ゲート承認記録'!$P$4:$P$83,MATCH(V27,'29_ゲート承認記録'!$F$4:$F$83,0)))),FALSE)),"Gate判断前の承認","日時整合"))))))</f>
        <v/>
      </c>
      <c r="AH27" s="28" t="str">
        <f t="shared" si="1"/>
        <v/>
      </c>
      <c r="AI27" s="34"/>
    </row>
    <row r="28" spans="1:35" ht="38" customHeight="1" x14ac:dyDescent="0.2">
      <c r="A28" s="6"/>
      <c r="B28" s="6"/>
      <c r="C28" s="6"/>
      <c r="D28" s="6"/>
      <c r="E28" s="6"/>
      <c r="F28" s="6"/>
      <c r="G28" s="6"/>
      <c r="H28" s="6"/>
      <c r="I28" s="6"/>
      <c r="J28" s="6"/>
      <c r="K28" s="6"/>
      <c r="L28" s="6"/>
      <c r="M28" s="6"/>
      <c r="N28" s="6"/>
      <c r="O28" s="6"/>
      <c r="P28" s="6"/>
      <c r="Q28" s="19"/>
      <c r="R28" s="19"/>
      <c r="S28" s="6"/>
      <c r="T28" s="6"/>
      <c r="U28" s="28" t="str">
        <f t="shared" si="0"/>
        <v/>
      </c>
      <c r="V28" s="29"/>
      <c r="W28" s="29"/>
      <c r="X28" s="29"/>
      <c r="Y28" s="29"/>
      <c r="Z28" s="29"/>
      <c r="AA28" s="29"/>
      <c r="AB28" s="29"/>
      <c r="AC28" s="34"/>
      <c r="AD28" s="29"/>
      <c r="AE28" s="28" t="str">
        <f>IF(V28="","",COUNTIF('31_条件・有効性'!$B$4:$B$83,V28))</f>
        <v/>
      </c>
      <c r="AF28" s="28" t="str">
        <f>IF(A28="","",IF(OR(V28="",COUNTIF('29_ゲート承認記録'!$F$4:$F$83,V28)&lt;&gt;1),"GateRun不足・不正",IF(OR(A28&lt;&gt;IF(COUNTIF('29_ゲート承認記録'!$F$4:$F$83,V28)&lt;&gt;1,"参照ID不正",IF(INDEX('29_ゲート承認記録'!$T$4:$T$83,MATCH(V28,'29_ゲート承認記録'!$F$4:$F$83,0))="","",INDEX('29_ゲート承認記録'!$T$4:$T$83,MATCH(V28,'29_ゲート承認記録'!$F$4:$F$83,0)))),W28="",W28&lt;&gt;IF(COUNTIF('29_ゲート承認記録'!$F$4:$F$83,V28)&lt;&gt;1,"参照ID不正",IF(INDEX('29_ゲート承認記録'!$U$4:$U$83,MATCH(V28,'29_ゲート承認記録'!$F$4:$F$83,0))="","",INDEX('29_ゲート承認記録'!$U$4:$U$83,MATCH(V28,'29_ゲート承認記録'!$F$4:$F$83,0))))),"決裁対象・版不一致",IF(IF(COUNTIF('29_ゲート承認記録'!$F$4:$F$83,V28)&lt;&gt;1,"参照ID不正",IF(INDEX('29_ゲート承認記録'!$A$4:$A$83,MATCH(V28,'29_ゲート承認記録'!$F$4:$F$83,0))="","",INDEX('29_ゲート承認記録'!$A$4:$A$83,MATCH(V28,'29_ゲート承認記録'!$F$4:$F$83,0))))&lt;&gt;"G3","公開Gate不適合",IF(IF(COUNTIF('29_ゲート承認記録'!$F$4:$F$83,V28)&lt;&gt;1,"参照ID不正",IF(INDEX('29_ゲート承認記録'!$AD$4:$AD$83,MATCH(V28,'29_ゲート承認記録'!$F$4:$F$83,0))="","",INDEX('29_ゲート承認記録'!$AD$4:$AD$83,MATCH(V28,'29_ゲート承認記録'!$F$4:$F$83,0))))&lt;&gt;"整合済・正本決裁要確認","決裁整合未充足","決裁・構成一致")))))</f>
        <v/>
      </c>
      <c r="AG28" s="28" t="str">
        <f>IF(A28="","",IF(OR(AND(Q28&lt;&gt;"",OR(NOT(ISNUMBER(Q28)),IFERROR(Q28&lt;1,TRUE),IFERROR(INT(Q28)&gt;INT(AsOfDate),TRUE))),AND(R28&lt;&gt;"",OR(NOT(ISNUMBER(R28)),IFERROR(R28&lt;1,TRUE),IFERROR(INT(R28)&gt;INT(AsOfDate),TRUE))),AND(AI28&lt;&gt;"",OR(NOT(ISNUMBER(AI28)),IFERROR(AI28&lt;1,TRUE),IFERROR(INT(AI28)&gt;INT(AsOfDate),TRUE)))),"実績日時不正",IF(AND(OR(S28="展開中",S28="安定確認"),NOT(ISNUMBER(R28))),"公開日時不足",IF(C28="Emergency",IF(OR(AA28="",AB28="",COUNT(AC28,AI28)&lt;2),"緊急根拠不足",IF(AND(ISNUMBER(R28),OR(AI28&gt;R28,AC28&lt;R28)),"緊急時刻不正",IF(AND(AC28&lt;AsOfDate,AD28=""),"事後審査期限超過","緊急経路・正本審査要"))),IF(AND(COUNT(Q28:R28)=2,Q28&gt;R28),"承認前の通常公開",IF(AND(V28&lt;&gt;"",ISNUMBER(Q28),IFERROR(Q28&lt;IF(COUNTIF('29_ゲート承認記録'!$F$4:$F$83,V28)&lt;&gt;1,"参照ID不正",IF(INDEX('29_ゲート承認記録'!$P$4:$P$83,MATCH(V28,'29_ゲート承認記録'!$F$4:$F$83,0))="","",INDEX('29_ゲート承認記録'!$P$4:$P$83,MATCH(V28,'29_ゲート承認記録'!$F$4:$F$83,0)))),FALSE)),"Gate判断前の承認","日時整合"))))))</f>
        <v/>
      </c>
      <c r="AH28" s="28" t="str">
        <f t="shared" si="1"/>
        <v/>
      </c>
      <c r="AI28" s="34"/>
    </row>
    <row r="29" spans="1:35" ht="38" customHeight="1" x14ac:dyDescent="0.2">
      <c r="A29" s="6"/>
      <c r="B29" s="6"/>
      <c r="C29" s="6"/>
      <c r="D29" s="6"/>
      <c r="E29" s="6"/>
      <c r="F29" s="6"/>
      <c r="G29" s="6"/>
      <c r="H29" s="6"/>
      <c r="I29" s="6"/>
      <c r="J29" s="6"/>
      <c r="K29" s="6"/>
      <c r="L29" s="6"/>
      <c r="M29" s="6"/>
      <c r="N29" s="6"/>
      <c r="O29" s="6"/>
      <c r="P29" s="6"/>
      <c r="Q29" s="19"/>
      <c r="R29" s="19"/>
      <c r="S29" s="6"/>
      <c r="T29" s="6"/>
      <c r="U29" s="28" t="str">
        <f t="shared" si="0"/>
        <v/>
      </c>
      <c r="V29" s="29"/>
      <c r="W29" s="29"/>
      <c r="X29" s="29"/>
      <c r="Y29" s="29"/>
      <c r="Z29" s="29"/>
      <c r="AA29" s="29"/>
      <c r="AB29" s="29"/>
      <c r="AC29" s="34"/>
      <c r="AD29" s="29"/>
      <c r="AE29" s="28" t="str">
        <f>IF(V29="","",COUNTIF('31_条件・有効性'!$B$4:$B$83,V29))</f>
        <v/>
      </c>
      <c r="AF29" s="28" t="str">
        <f>IF(A29="","",IF(OR(V29="",COUNTIF('29_ゲート承認記録'!$F$4:$F$83,V29)&lt;&gt;1),"GateRun不足・不正",IF(OR(A29&lt;&gt;IF(COUNTIF('29_ゲート承認記録'!$F$4:$F$83,V29)&lt;&gt;1,"参照ID不正",IF(INDEX('29_ゲート承認記録'!$T$4:$T$83,MATCH(V29,'29_ゲート承認記録'!$F$4:$F$83,0))="","",INDEX('29_ゲート承認記録'!$T$4:$T$83,MATCH(V29,'29_ゲート承認記録'!$F$4:$F$83,0)))),W29="",W29&lt;&gt;IF(COUNTIF('29_ゲート承認記録'!$F$4:$F$83,V29)&lt;&gt;1,"参照ID不正",IF(INDEX('29_ゲート承認記録'!$U$4:$U$83,MATCH(V29,'29_ゲート承認記録'!$F$4:$F$83,0))="","",INDEX('29_ゲート承認記録'!$U$4:$U$83,MATCH(V29,'29_ゲート承認記録'!$F$4:$F$83,0))))),"決裁対象・版不一致",IF(IF(COUNTIF('29_ゲート承認記録'!$F$4:$F$83,V29)&lt;&gt;1,"参照ID不正",IF(INDEX('29_ゲート承認記録'!$A$4:$A$83,MATCH(V29,'29_ゲート承認記録'!$F$4:$F$83,0))="","",INDEX('29_ゲート承認記録'!$A$4:$A$83,MATCH(V29,'29_ゲート承認記録'!$F$4:$F$83,0))))&lt;&gt;"G3","公開Gate不適合",IF(IF(COUNTIF('29_ゲート承認記録'!$F$4:$F$83,V29)&lt;&gt;1,"参照ID不正",IF(INDEX('29_ゲート承認記録'!$AD$4:$AD$83,MATCH(V29,'29_ゲート承認記録'!$F$4:$F$83,0))="","",INDEX('29_ゲート承認記録'!$AD$4:$AD$83,MATCH(V29,'29_ゲート承認記録'!$F$4:$F$83,0))))&lt;&gt;"整合済・正本決裁要確認","決裁整合未充足","決裁・構成一致")))))</f>
        <v/>
      </c>
      <c r="AG29" s="28" t="str">
        <f>IF(A29="","",IF(OR(AND(Q29&lt;&gt;"",OR(NOT(ISNUMBER(Q29)),IFERROR(Q29&lt;1,TRUE),IFERROR(INT(Q29)&gt;INT(AsOfDate),TRUE))),AND(R29&lt;&gt;"",OR(NOT(ISNUMBER(R29)),IFERROR(R29&lt;1,TRUE),IFERROR(INT(R29)&gt;INT(AsOfDate),TRUE))),AND(AI29&lt;&gt;"",OR(NOT(ISNUMBER(AI29)),IFERROR(AI29&lt;1,TRUE),IFERROR(INT(AI29)&gt;INT(AsOfDate),TRUE)))),"実績日時不正",IF(AND(OR(S29="展開中",S29="安定確認"),NOT(ISNUMBER(R29))),"公開日時不足",IF(C29="Emergency",IF(OR(AA29="",AB29="",COUNT(AC29,AI29)&lt;2),"緊急根拠不足",IF(AND(ISNUMBER(R29),OR(AI29&gt;R29,AC29&lt;R29)),"緊急時刻不正",IF(AND(AC29&lt;AsOfDate,AD29=""),"事後審査期限超過","緊急経路・正本審査要"))),IF(AND(COUNT(Q29:R29)=2,Q29&gt;R29),"承認前の通常公開",IF(AND(V29&lt;&gt;"",ISNUMBER(Q29),IFERROR(Q29&lt;IF(COUNTIF('29_ゲート承認記録'!$F$4:$F$83,V29)&lt;&gt;1,"参照ID不正",IF(INDEX('29_ゲート承認記録'!$P$4:$P$83,MATCH(V29,'29_ゲート承認記録'!$F$4:$F$83,0))="","",INDEX('29_ゲート承認記録'!$P$4:$P$83,MATCH(V29,'29_ゲート承認記録'!$F$4:$F$83,0)))),FALSE)),"Gate判断前の承認","日時整合"))))))</f>
        <v/>
      </c>
      <c r="AH29" s="28" t="str">
        <f t="shared" si="1"/>
        <v/>
      </c>
      <c r="AI29" s="34"/>
    </row>
    <row r="30" spans="1:35" ht="38" customHeight="1" x14ac:dyDescent="0.2">
      <c r="A30" s="6"/>
      <c r="B30" s="6"/>
      <c r="C30" s="6"/>
      <c r="D30" s="6"/>
      <c r="E30" s="6"/>
      <c r="F30" s="6"/>
      <c r="G30" s="6"/>
      <c r="H30" s="6"/>
      <c r="I30" s="6"/>
      <c r="J30" s="6"/>
      <c r="K30" s="6"/>
      <c r="L30" s="6"/>
      <c r="M30" s="6"/>
      <c r="N30" s="6"/>
      <c r="O30" s="6"/>
      <c r="P30" s="6"/>
      <c r="Q30" s="19"/>
      <c r="R30" s="19"/>
      <c r="S30" s="6"/>
      <c r="T30" s="6"/>
      <c r="U30" s="28" t="str">
        <f t="shared" si="0"/>
        <v/>
      </c>
      <c r="V30" s="29"/>
      <c r="W30" s="29"/>
      <c r="X30" s="29"/>
      <c r="Y30" s="29"/>
      <c r="Z30" s="29"/>
      <c r="AA30" s="29"/>
      <c r="AB30" s="29"/>
      <c r="AC30" s="34"/>
      <c r="AD30" s="29"/>
      <c r="AE30" s="28" t="str">
        <f>IF(V30="","",COUNTIF('31_条件・有効性'!$B$4:$B$83,V30))</f>
        <v/>
      </c>
      <c r="AF30" s="28" t="str">
        <f>IF(A30="","",IF(OR(V30="",COUNTIF('29_ゲート承認記録'!$F$4:$F$83,V30)&lt;&gt;1),"GateRun不足・不正",IF(OR(A30&lt;&gt;IF(COUNTIF('29_ゲート承認記録'!$F$4:$F$83,V30)&lt;&gt;1,"参照ID不正",IF(INDEX('29_ゲート承認記録'!$T$4:$T$83,MATCH(V30,'29_ゲート承認記録'!$F$4:$F$83,0))="","",INDEX('29_ゲート承認記録'!$T$4:$T$83,MATCH(V30,'29_ゲート承認記録'!$F$4:$F$83,0)))),W30="",W30&lt;&gt;IF(COUNTIF('29_ゲート承認記録'!$F$4:$F$83,V30)&lt;&gt;1,"参照ID不正",IF(INDEX('29_ゲート承認記録'!$U$4:$U$83,MATCH(V30,'29_ゲート承認記録'!$F$4:$F$83,0))="","",INDEX('29_ゲート承認記録'!$U$4:$U$83,MATCH(V30,'29_ゲート承認記録'!$F$4:$F$83,0))))),"決裁対象・版不一致",IF(IF(COUNTIF('29_ゲート承認記録'!$F$4:$F$83,V30)&lt;&gt;1,"参照ID不正",IF(INDEX('29_ゲート承認記録'!$A$4:$A$83,MATCH(V30,'29_ゲート承認記録'!$F$4:$F$83,0))="","",INDEX('29_ゲート承認記録'!$A$4:$A$83,MATCH(V30,'29_ゲート承認記録'!$F$4:$F$83,0))))&lt;&gt;"G3","公開Gate不適合",IF(IF(COUNTIF('29_ゲート承認記録'!$F$4:$F$83,V30)&lt;&gt;1,"参照ID不正",IF(INDEX('29_ゲート承認記録'!$AD$4:$AD$83,MATCH(V30,'29_ゲート承認記録'!$F$4:$F$83,0))="","",INDEX('29_ゲート承認記録'!$AD$4:$AD$83,MATCH(V30,'29_ゲート承認記録'!$F$4:$F$83,0))))&lt;&gt;"整合済・正本決裁要確認","決裁整合未充足","決裁・構成一致")))))</f>
        <v/>
      </c>
      <c r="AG30" s="28" t="str">
        <f>IF(A30="","",IF(OR(AND(Q30&lt;&gt;"",OR(NOT(ISNUMBER(Q30)),IFERROR(Q30&lt;1,TRUE),IFERROR(INT(Q30)&gt;INT(AsOfDate),TRUE))),AND(R30&lt;&gt;"",OR(NOT(ISNUMBER(R30)),IFERROR(R30&lt;1,TRUE),IFERROR(INT(R30)&gt;INT(AsOfDate),TRUE))),AND(AI30&lt;&gt;"",OR(NOT(ISNUMBER(AI30)),IFERROR(AI30&lt;1,TRUE),IFERROR(INT(AI30)&gt;INT(AsOfDate),TRUE)))),"実績日時不正",IF(AND(OR(S30="展開中",S30="安定確認"),NOT(ISNUMBER(R30))),"公開日時不足",IF(C30="Emergency",IF(OR(AA30="",AB30="",COUNT(AC30,AI30)&lt;2),"緊急根拠不足",IF(AND(ISNUMBER(R30),OR(AI30&gt;R30,AC30&lt;R30)),"緊急時刻不正",IF(AND(AC30&lt;AsOfDate,AD30=""),"事後審査期限超過","緊急経路・正本審査要"))),IF(AND(COUNT(Q30:R30)=2,Q30&gt;R30),"承認前の通常公開",IF(AND(V30&lt;&gt;"",ISNUMBER(Q30),IFERROR(Q30&lt;IF(COUNTIF('29_ゲート承認記録'!$F$4:$F$83,V30)&lt;&gt;1,"参照ID不正",IF(INDEX('29_ゲート承認記録'!$P$4:$P$83,MATCH(V30,'29_ゲート承認記録'!$F$4:$F$83,0))="","",INDEX('29_ゲート承認記録'!$P$4:$P$83,MATCH(V30,'29_ゲート承認記録'!$F$4:$F$83,0)))),FALSE)),"Gate判断前の承認","日時整合"))))))</f>
        <v/>
      </c>
      <c r="AH30" s="28" t="str">
        <f t="shared" si="1"/>
        <v/>
      </c>
      <c r="AI30" s="34"/>
    </row>
    <row r="31" spans="1:35" ht="38" customHeight="1" x14ac:dyDescent="0.2">
      <c r="A31" s="6"/>
      <c r="B31" s="6"/>
      <c r="C31" s="6"/>
      <c r="D31" s="6"/>
      <c r="E31" s="6"/>
      <c r="F31" s="6"/>
      <c r="G31" s="6"/>
      <c r="H31" s="6"/>
      <c r="I31" s="6"/>
      <c r="J31" s="6"/>
      <c r="K31" s="6"/>
      <c r="L31" s="6"/>
      <c r="M31" s="6"/>
      <c r="N31" s="6"/>
      <c r="O31" s="6"/>
      <c r="P31" s="6"/>
      <c r="Q31" s="19"/>
      <c r="R31" s="19"/>
      <c r="S31" s="6"/>
      <c r="T31" s="6"/>
      <c r="U31" s="28" t="str">
        <f t="shared" si="0"/>
        <v/>
      </c>
      <c r="V31" s="29"/>
      <c r="W31" s="29"/>
      <c r="X31" s="29"/>
      <c r="Y31" s="29"/>
      <c r="Z31" s="29"/>
      <c r="AA31" s="29"/>
      <c r="AB31" s="29"/>
      <c r="AC31" s="34"/>
      <c r="AD31" s="29"/>
      <c r="AE31" s="28" t="str">
        <f>IF(V31="","",COUNTIF('31_条件・有効性'!$B$4:$B$83,V31))</f>
        <v/>
      </c>
      <c r="AF31" s="28" t="str">
        <f>IF(A31="","",IF(OR(V31="",COUNTIF('29_ゲート承認記録'!$F$4:$F$83,V31)&lt;&gt;1),"GateRun不足・不正",IF(OR(A31&lt;&gt;IF(COUNTIF('29_ゲート承認記録'!$F$4:$F$83,V31)&lt;&gt;1,"参照ID不正",IF(INDEX('29_ゲート承認記録'!$T$4:$T$83,MATCH(V31,'29_ゲート承認記録'!$F$4:$F$83,0))="","",INDEX('29_ゲート承認記録'!$T$4:$T$83,MATCH(V31,'29_ゲート承認記録'!$F$4:$F$83,0)))),W31="",W31&lt;&gt;IF(COUNTIF('29_ゲート承認記録'!$F$4:$F$83,V31)&lt;&gt;1,"参照ID不正",IF(INDEX('29_ゲート承認記録'!$U$4:$U$83,MATCH(V31,'29_ゲート承認記録'!$F$4:$F$83,0))="","",INDEX('29_ゲート承認記録'!$U$4:$U$83,MATCH(V31,'29_ゲート承認記録'!$F$4:$F$83,0))))),"決裁対象・版不一致",IF(IF(COUNTIF('29_ゲート承認記録'!$F$4:$F$83,V31)&lt;&gt;1,"参照ID不正",IF(INDEX('29_ゲート承認記録'!$A$4:$A$83,MATCH(V31,'29_ゲート承認記録'!$F$4:$F$83,0))="","",INDEX('29_ゲート承認記録'!$A$4:$A$83,MATCH(V31,'29_ゲート承認記録'!$F$4:$F$83,0))))&lt;&gt;"G3","公開Gate不適合",IF(IF(COUNTIF('29_ゲート承認記録'!$F$4:$F$83,V31)&lt;&gt;1,"参照ID不正",IF(INDEX('29_ゲート承認記録'!$AD$4:$AD$83,MATCH(V31,'29_ゲート承認記録'!$F$4:$F$83,0))="","",INDEX('29_ゲート承認記録'!$AD$4:$AD$83,MATCH(V31,'29_ゲート承認記録'!$F$4:$F$83,0))))&lt;&gt;"整合済・正本決裁要確認","決裁整合未充足","決裁・構成一致")))))</f>
        <v/>
      </c>
      <c r="AG31" s="28" t="str">
        <f>IF(A31="","",IF(OR(AND(Q31&lt;&gt;"",OR(NOT(ISNUMBER(Q31)),IFERROR(Q31&lt;1,TRUE),IFERROR(INT(Q31)&gt;INT(AsOfDate),TRUE))),AND(R31&lt;&gt;"",OR(NOT(ISNUMBER(R31)),IFERROR(R31&lt;1,TRUE),IFERROR(INT(R31)&gt;INT(AsOfDate),TRUE))),AND(AI31&lt;&gt;"",OR(NOT(ISNUMBER(AI31)),IFERROR(AI31&lt;1,TRUE),IFERROR(INT(AI31)&gt;INT(AsOfDate),TRUE)))),"実績日時不正",IF(AND(OR(S31="展開中",S31="安定確認"),NOT(ISNUMBER(R31))),"公開日時不足",IF(C31="Emergency",IF(OR(AA31="",AB31="",COUNT(AC31,AI31)&lt;2),"緊急根拠不足",IF(AND(ISNUMBER(R31),OR(AI31&gt;R31,AC31&lt;R31)),"緊急時刻不正",IF(AND(AC31&lt;AsOfDate,AD31=""),"事後審査期限超過","緊急経路・正本審査要"))),IF(AND(COUNT(Q31:R31)=2,Q31&gt;R31),"承認前の通常公開",IF(AND(V31&lt;&gt;"",ISNUMBER(Q31),IFERROR(Q31&lt;IF(COUNTIF('29_ゲート承認記録'!$F$4:$F$83,V31)&lt;&gt;1,"参照ID不正",IF(INDEX('29_ゲート承認記録'!$P$4:$P$83,MATCH(V31,'29_ゲート承認記録'!$F$4:$F$83,0))="","",INDEX('29_ゲート承認記録'!$P$4:$P$83,MATCH(V31,'29_ゲート承認記録'!$F$4:$F$83,0)))),FALSE)),"Gate判断前の承認","日時整合"))))))</f>
        <v/>
      </c>
      <c r="AH31" s="28" t="str">
        <f t="shared" si="1"/>
        <v/>
      </c>
      <c r="AI31" s="34"/>
    </row>
    <row r="32" spans="1:35" ht="38" customHeight="1" x14ac:dyDescent="0.2">
      <c r="A32" s="6"/>
      <c r="B32" s="6"/>
      <c r="C32" s="6"/>
      <c r="D32" s="6"/>
      <c r="E32" s="6"/>
      <c r="F32" s="6"/>
      <c r="G32" s="6"/>
      <c r="H32" s="6"/>
      <c r="I32" s="6"/>
      <c r="J32" s="6"/>
      <c r="K32" s="6"/>
      <c r="L32" s="6"/>
      <c r="M32" s="6"/>
      <c r="N32" s="6"/>
      <c r="O32" s="6"/>
      <c r="P32" s="6"/>
      <c r="Q32" s="19"/>
      <c r="R32" s="19"/>
      <c r="S32" s="6"/>
      <c r="T32" s="6"/>
      <c r="U32" s="28" t="str">
        <f t="shared" si="0"/>
        <v/>
      </c>
      <c r="V32" s="29"/>
      <c r="W32" s="29"/>
      <c r="X32" s="29"/>
      <c r="Y32" s="29"/>
      <c r="Z32" s="29"/>
      <c r="AA32" s="29"/>
      <c r="AB32" s="29"/>
      <c r="AC32" s="34"/>
      <c r="AD32" s="29"/>
      <c r="AE32" s="28" t="str">
        <f>IF(V32="","",COUNTIF('31_条件・有効性'!$B$4:$B$83,V32))</f>
        <v/>
      </c>
      <c r="AF32" s="28" t="str">
        <f>IF(A32="","",IF(OR(V32="",COUNTIF('29_ゲート承認記録'!$F$4:$F$83,V32)&lt;&gt;1),"GateRun不足・不正",IF(OR(A32&lt;&gt;IF(COUNTIF('29_ゲート承認記録'!$F$4:$F$83,V32)&lt;&gt;1,"参照ID不正",IF(INDEX('29_ゲート承認記録'!$T$4:$T$83,MATCH(V32,'29_ゲート承認記録'!$F$4:$F$83,0))="","",INDEX('29_ゲート承認記録'!$T$4:$T$83,MATCH(V32,'29_ゲート承認記録'!$F$4:$F$83,0)))),W32="",W32&lt;&gt;IF(COUNTIF('29_ゲート承認記録'!$F$4:$F$83,V32)&lt;&gt;1,"参照ID不正",IF(INDEX('29_ゲート承認記録'!$U$4:$U$83,MATCH(V32,'29_ゲート承認記録'!$F$4:$F$83,0))="","",INDEX('29_ゲート承認記録'!$U$4:$U$83,MATCH(V32,'29_ゲート承認記録'!$F$4:$F$83,0))))),"決裁対象・版不一致",IF(IF(COUNTIF('29_ゲート承認記録'!$F$4:$F$83,V32)&lt;&gt;1,"参照ID不正",IF(INDEX('29_ゲート承認記録'!$A$4:$A$83,MATCH(V32,'29_ゲート承認記録'!$F$4:$F$83,0))="","",INDEX('29_ゲート承認記録'!$A$4:$A$83,MATCH(V32,'29_ゲート承認記録'!$F$4:$F$83,0))))&lt;&gt;"G3","公開Gate不適合",IF(IF(COUNTIF('29_ゲート承認記録'!$F$4:$F$83,V32)&lt;&gt;1,"参照ID不正",IF(INDEX('29_ゲート承認記録'!$AD$4:$AD$83,MATCH(V32,'29_ゲート承認記録'!$F$4:$F$83,0))="","",INDEX('29_ゲート承認記録'!$AD$4:$AD$83,MATCH(V32,'29_ゲート承認記録'!$F$4:$F$83,0))))&lt;&gt;"整合済・正本決裁要確認","決裁整合未充足","決裁・構成一致")))))</f>
        <v/>
      </c>
      <c r="AG32" s="28" t="str">
        <f>IF(A32="","",IF(OR(AND(Q32&lt;&gt;"",OR(NOT(ISNUMBER(Q32)),IFERROR(Q32&lt;1,TRUE),IFERROR(INT(Q32)&gt;INT(AsOfDate),TRUE))),AND(R32&lt;&gt;"",OR(NOT(ISNUMBER(R32)),IFERROR(R32&lt;1,TRUE),IFERROR(INT(R32)&gt;INT(AsOfDate),TRUE))),AND(AI32&lt;&gt;"",OR(NOT(ISNUMBER(AI32)),IFERROR(AI32&lt;1,TRUE),IFERROR(INT(AI32)&gt;INT(AsOfDate),TRUE)))),"実績日時不正",IF(AND(OR(S32="展開中",S32="安定確認"),NOT(ISNUMBER(R32))),"公開日時不足",IF(C32="Emergency",IF(OR(AA32="",AB32="",COUNT(AC32,AI32)&lt;2),"緊急根拠不足",IF(AND(ISNUMBER(R32),OR(AI32&gt;R32,AC32&lt;R32)),"緊急時刻不正",IF(AND(AC32&lt;AsOfDate,AD32=""),"事後審査期限超過","緊急経路・正本審査要"))),IF(AND(COUNT(Q32:R32)=2,Q32&gt;R32),"承認前の通常公開",IF(AND(V32&lt;&gt;"",ISNUMBER(Q32),IFERROR(Q32&lt;IF(COUNTIF('29_ゲート承認記録'!$F$4:$F$83,V32)&lt;&gt;1,"参照ID不正",IF(INDEX('29_ゲート承認記録'!$P$4:$P$83,MATCH(V32,'29_ゲート承認記録'!$F$4:$F$83,0))="","",INDEX('29_ゲート承認記録'!$P$4:$P$83,MATCH(V32,'29_ゲート承認記録'!$F$4:$F$83,0)))),FALSE)),"Gate判断前の承認","日時整合"))))))</f>
        <v/>
      </c>
      <c r="AH32" s="28" t="str">
        <f t="shared" si="1"/>
        <v/>
      </c>
      <c r="AI32" s="34"/>
    </row>
    <row r="33" spans="1:35" ht="38" customHeight="1" x14ac:dyDescent="0.2">
      <c r="A33" s="6"/>
      <c r="B33" s="6"/>
      <c r="C33" s="6"/>
      <c r="D33" s="6"/>
      <c r="E33" s="6"/>
      <c r="F33" s="6"/>
      <c r="G33" s="6"/>
      <c r="H33" s="6"/>
      <c r="I33" s="6"/>
      <c r="J33" s="6"/>
      <c r="K33" s="6"/>
      <c r="L33" s="6"/>
      <c r="M33" s="6"/>
      <c r="N33" s="6"/>
      <c r="O33" s="6"/>
      <c r="P33" s="6"/>
      <c r="Q33" s="19"/>
      <c r="R33" s="19"/>
      <c r="S33" s="6"/>
      <c r="T33" s="6"/>
      <c r="U33" s="28" t="str">
        <f t="shared" si="0"/>
        <v/>
      </c>
      <c r="V33" s="29"/>
      <c r="W33" s="29"/>
      <c r="X33" s="29"/>
      <c r="Y33" s="29"/>
      <c r="Z33" s="29"/>
      <c r="AA33" s="29"/>
      <c r="AB33" s="29"/>
      <c r="AC33" s="34"/>
      <c r="AD33" s="29"/>
      <c r="AE33" s="28" t="str">
        <f>IF(V33="","",COUNTIF('31_条件・有効性'!$B$4:$B$83,V33))</f>
        <v/>
      </c>
      <c r="AF33" s="28" t="str">
        <f>IF(A33="","",IF(OR(V33="",COUNTIF('29_ゲート承認記録'!$F$4:$F$83,V33)&lt;&gt;1),"GateRun不足・不正",IF(OR(A33&lt;&gt;IF(COUNTIF('29_ゲート承認記録'!$F$4:$F$83,V33)&lt;&gt;1,"参照ID不正",IF(INDEX('29_ゲート承認記録'!$T$4:$T$83,MATCH(V33,'29_ゲート承認記録'!$F$4:$F$83,0))="","",INDEX('29_ゲート承認記録'!$T$4:$T$83,MATCH(V33,'29_ゲート承認記録'!$F$4:$F$83,0)))),W33="",W33&lt;&gt;IF(COUNTIF('29_ゲート承認記録'!$F$4:$F$83,V33)&lt;&gt;1,"参照ID不正",IF(INDEX('29_ゲート承認記録'!$U$4:$U$83,MATCH(V33,'29_ゲート承認記録'!$F$4:$F$83,0))="","",INDEX('29_ゲート承認記録'!$U$4:$U$83,MATCH(V33,'29_ゲート承認記録'!$F$4:$F$83,0))))),"決裁対象・版不一致",IF(IF(COUNTIF('29_ゲート承認記録'!$F$4:$F$83,V33)&lt;&gt;1,"参照ID不正",IF(INDEX('29_ゲート承認記録'!$A$4:$A$83,MATCH(V33,'29_ゲート承認記録'!$F$4:$F$83,0))="","",INDEX('29_ゲート承認記録'!$A$4:$A$83,MATCH(V33,'29_ゲート承認記録'!$F$4:$F$83,0))))&lt;&gt;"G3","公開Gate不適合",IF(IF(COUNTIF('29_ゲート承認記録'!$F$4:$F$83,V33)&lt;&gt;1,"参照ID不正",IF(INDEX('29_ゲート承認記録'!$AD$4:$AD$83,MATCH(V33,'29_ゲート承認記録'!$F$4:$F$83,0))="","",INDEX('29_ゲート承認記録'!$AD$4:$AD$83,MATCH(V33,'29_ゲート承認記録'!$F$4:$F$83,0))))&lt;&gt;"整合済・正本決裁要確認","決裁整合未充足","決裁・構成一致")))))</f>
        <v/>
      </c>
      <c r="AG33" s="28" t="str">
        <f>IF(A33="","",IF(OR(AND(Q33&lt;&gt;"",OR(NOT(ISNUMBER(Q33)),IFERROR(Q33&lt;1,TRUE),IFERROR(INT(Q33)&gt;INT(AsOfDate),TRUE))),AND(R33&lt;&gt;"",OR(NOT(ISNUMBER(R33)),IFERROR(R33&lt;1,TRUE),IFERROR(INT(R33)&gt;INT(AsOfDate),TRUE))),AND(AI33&lt;&gt;"",OR(NOT(ISNUMBER(AI33)),IFERROR(AI33&lt;1,TRUE),IFERROR(INT(AI33)&gt;INT(AsOfDate),TRUE)))),"実績日時不正",IF(AND(OR(S33="展開中",S33="安定確認"),NOT(ISNUMBER(R33))),"公開日時不足",IF(C33="Emergency",IF(OR(AA33="",AB33="",COUNT(AC33,AI33)&lt;2),"緊急根拠不足",IF(AND(ISNUMBER(R33),OR(AI33&gt;R33,AC33&lt;R33)),"緊急時刻不正",IF(AND(AC33&lt;AsOfDate,AD33=""),"事後審査期限超過","緊急経路・正本審査要"))),IF(AND(COUNT(Q33:R33)=2,Q33&gt;R33),"承認前の通常公開",IF(AND(V33&lt;&gt;"",ISNUMBER(Q33),IFERROR(Q33&lt;IF(COUNTIF('29_ゲート承認記録'!$F$4:$F$83,V33)&lt;&gt;1,"参照ID不正",IF(INDEX('29_ゲート承認記録'!$P$4:$P$83,MATCH(V33,'29_ゲート承認記録'!$F$4:$F$83,0))="","",INDEX('29_ゲート承認記録'!$P$4:$P$83,MATCH(V33,'29_ゲート承認記録'!$F$4:$F$83,0)))),FALSE)),"Gate判断前の承認","日時整合"))))))</f>
        <v/>
      </c>
      <c r="AH33" s="28" t="str">
        <f t="shared" si="1"/>
        <v/>
      </c>
      <c r="AI33" s="34"/>
    </row>
    <row r="34" spans="1:35" ht="38" customHeight="1" x14ac:dyDescent="0.2">
      <c r="A34" s="6"/>
      <c r="B34" s="6"/>
      <c r="C34" s="6"/>
      <c r="D34" s="6"/>
      <c r="E34" s="6"/>
      <c r="F34" s="6"/>
      <c r="G34" s="6"/>
      <c r="H34" s="6"/>
      <c r="I34" s="6"/>
      <c r="J34" s="6"/>
      <c r="K34" s="6"/>
      <c r="L34" s="6"/>
      <c r="M34" s="6"/>
      <c r="N34" s="6"/>
      <c r="O34" s="6"/>
      <c r="P34" s="6"/>
      <c r="Q34" s="19"/>
      <c r="R34" s="19"/>
      <c r="S34" s="6"/>
      <c r="T34" s="6"/>
      <c r="U34" s="28" t="str">
        <f t="shared" si="0"/>
        <v/>
      </c>
      <c r="V34" s="29"/>
      <c r="W34" s="29"/>
      <c r="X34" s="29"/>
      <c r="Y34" s="29"/>
      <c r="Z34" s="29"/>
      <c r="AA34" s="29"/>
      <c r="AB34" s="29"/>
      <c r="AC34" s="34"/>
      <c r="AD34" s="29"/>
      <c r="AE34" s="28" t="str">
        <f>IF(V34="","",COUNTIF('31_条件・有効性'!$B$4:$B$83,V34))</f>
        <v/>
      </c>
      <c r="AF34" s="28" t="str">
        <f>IF(A34="","",IF(OR(V34="",COUNTIF('29_ゲート承認記録'!$F$4:$F$83,V34)&lt;&gt;1),"GateRun不足・不正",IF(OR(A34&lt;&gt;IF(COUNTIF('29_ゲート承認記録'!$F$4:$F$83,V34)&lt;&gt;1,"参照ID不正",IF(INDEX('29_ゲート承認記録'!$T$4:$T$83,MATCH(V34,'29_ゲート承認記録'!$F$4:$F$83,0))="","",INDEX('29_ゲート承認記録'!$T$4:$T$83,MATCH(V34,'29_ゲート承認記録'!$F$4:$F$83,0)))),W34="",W34&lt;&gt;IF(COUNTIF('29_ゲート承認記録'!$F$4:$F$83,V34)&lt;&gt;1,"参照ID不正",IF(INDEX('29_ゲート承認記録'!$U$4:$U$83,MATCH(V34,'29_ゲート承認記録'!$F$4:$F$83,0))="","",INDEX('29_ゲート承認記録'!$U$4:$U$83,MATCH(V34,'29_ゲート承認記録'!$F$4:$F$83,0))))),"決裁対象・版不一致",IF(IF(COUNTIF('29_ゲート承認記録'!$F$4:$F$83,V34)&lt;&gt;1,"参照ID不正",IF(INDEX('29_ゲート承認記録'!$A$4:$A$83,MATCH(V34,'29_ゲート承認記録'!$F$4:$F$83,0))="","",INDEX('29_ゲート承認記録'!$A$4:$A$83,MATCH(V34,'29_ゲート承認記録'!$F$4:$F$83,0))))&lt;&gt;"G3","公開Gate不適合",IF(IF(COUNTIF('29_ゲート承認記録'!$F$4:$F$83,V34)&lt;&gt;1,"参照ID不正",IF(INDEX('29_ゲート承認記録'!$AD$4:$AD$83,MATCH(V34,'29_ゲート承認記録'!$F$4:$F$83,0))="","",INDEX('29_ゲート承認記録'!$AD$4:$AD$83,MATCH(V34,'29_ゲート承認記録'!$F$4:$F$83,0))))&lt;&gt;"整合済・正本決裁要確認","決裁整合未充足","決裁・構成一致")))))</f>
        <v/>
      </c>
      <c r="AG34" s="28" t="str">
        <f>IF(A34="","",IF(OR(AND(Q34&lt;&gt;"",OR(NOT(ISNUMBER(Q34)),IFERROR(Q34&lt;1,TRUE),IFERROR(INT(Q34)&gt;INT(AsOfDate),TRUE))),AND(R34&lt;&gt;"",OR(NOT(ISNUMBER(R34)),IFERROR(R34&lt;1,TRUE),IFERROR(INT(R34)&gt;INT(AsOfDate),TRUE))),AND(AI34&lt;&gt;"",OR(NOT(ISNUMBER(AI34)),IFERROR(AI34&lt;1,TRUE),IFERROR(INT(AI34)&gt;INT(AsOfDate),TRUE)))),"実績日時不正",IF(AND(OR(S34="展開中",S34="安定確認"),NOT(ISNUMBER(R34))),"公開日時不足",IF(C34="Emergency",IF(OR(AA34="",AB34="",COUNT(AC34,AI34)&lt;2),"緊急根拠不足",IF(AND(ISNUMBER(R34),OR(AI34&gt;R34,AC34&lt;R34)),"緊急時刻不正",IF(AND(AC34&lt;AsOfDate,AD34=""),"事後審査期限超過","緊急経路・正本審査要"))),IF(AND(COUNT(Q34:R34)=2,Q34&gt;R34),"承認前の通常公開",IF(AND(V34&lt;&gt;"",ISNUMBER(Q34),IFERROR(Q34&lt;IF(COUNTIF('29_ゲート承認記録'!$F$4:$F$83,V34)&lt;&gt;1,"参照ID不正",IF(INDEX('29_ゲート承認記録'!$P$4:$P$83,MATCH(V34,'29_ゲート承認記録'!$F$4:$F$83,0))="","",INDEX('29_ゲート承認記録'!$P$4:$P$83,MATCH(V34,'29_ゲート承認記録'!$F$4:$F$83,0)))),FALSE)),"Gate判断前の承認","日時整合"))))))</f>
        <v/>
      </c>
      <c r="AH34" s="28" t="str">
        <f t="shared" si="1"/>
        <v/>
      </c>
      <c r="AI34" s="34"/>
    </row>
    <row r="35" spans="1:35" ht="38" customHeight="1" x14ac:dyDescent="0.2">
      <c r="A35" s="6"/>
      <c r="B35" s="6"/>
      <c r="C35" s="6"/>
      <c r="D35" s="6"/>
      <c r="E35" s="6"/>
      <c r="F35" s="6"/>
      <c r="G35" s="6"/>
      <c r="H35" s="6"/>
      <c r="I35" s="6"/>
      <c r="J35" s="6"/>
      <c r="K35" s="6"/>
      <c r="L35" s="6"/>
      <c r="M35" s="6"/>
      <c r="N35" s="6"/>
      <c r="O35" s="6"/>
      <c r="P35" s="6"/>
      <c r="Q35" s="19"/>
      <c r="R35" s="19"/>
      <c r="S35" s="6"/>
      <c r="T35" s="6"/>
      <c r="U35" s="28" t="str">
        <f t="shared" si="0"/>
        <v/>
      </c>
      <c r="V35" s="29"/>
      <c r="W35" s="29"/>
      <c r="X35" s="29"/>
      <c r="Y35" s="29"/>
      <c r="Z35" s="29"/>
      <c r="AA35" s="29"/>
      <c r="AB35" s="29"/>
      <c r="AC35" s="34"/>
      <c r="AD35" s="29"/>
      <c r="AE35" s="28" t="str">
        <f>IF(V35="","",COUNTIF('31_条件・有効性'!$B$4:$B$83,V35))</f>
        <v/>
      </c>
      <c r="AF35" s="28" t="str">
        <f>IF(A35="","",IF(OR(V35="",COUNTIF('29_ゲート承認記録'!$F$4:$F$83,V35)&lt;&gt;1),"GateRun不足・不正",IF(OR(A35&lt;&gt;IF(COUNTIF('29_ゲート承認記録'!$F$4:$F$83,V35)&lt;&gt;1,"参照ID不正",IF(INDEX('29_ゲート承認記録'!$T$4:$T$83,MATCH(V35,'29_ゲート承認記録'!$F$4:$F$83,0))="","",INDEX('29_ゲート承認記録'!$T$4:$T$83,MATCH(V35,'29_ゲート承認記録'!$F$4:$F$83,0)))),W35="",W35&lt;&gt;IF(COUNTIF('29_ゲート承認記録'!$F$4:$F$83,V35)&lt;&gt;1,"参照ID不正",IF(INDEX('29_ゲート承認記録'!$U$4:$U$83,MATCH(V35,'29_ゲート承認記録'!$F$4:$F$83,0))="","",INDEX('29_ゲート承認記録'!$U$4:$U$83,MATCH(V35,'29_ゲート承認記録'!$F$4:$F$83,0))))),"決裁対象・版不一致",IF(IF(COUNTIF('29_ゲート承認記録'!$F$4:$F$83,V35)&lt;&gt;1,"参照ID不正",IF(INDEX('29_ゲート承認記録'!$A$4:$A$83,MATCH(V35,'29_ゲート承認記録'!$F$4:$F$83,0))="","",INDEX('29_ゲート承認記録'!$A$4:$A$83,MATCH(V35,'29_ゲート承認記録'!$F$4:$F$83,0))))&lt;&gt;"G3","公開Gate不適合",IF(IF(COUNTIF('29_ゲート承認記録'!$F$4:$F$83,V35)&lt;&gt;1,"参照ID不正",IF(INDEX('29_ゲート承認記録'!$AD$4:$AD$83,MATCH(V35,'29_ゲート承認記録'!$F$4:$F$83,0))="","",INDEX('29_ゲート承認記録'!$AD$4:$AD$83,MATCH(V35,'29_ゲート承認記録'!$F$4:$F$83,0))))&lt;&gt;"整合済・正本決裁要確認","決裁整合未充足","決裁・構成一致")))))</f>
        <v/>
      </c>
      <c r="AG35" s="28" t="str">
        <f>IF(A35="","",IF(OR(AND(Q35&lt;&gt;"",OR(NOT(ISNUMBER(Q35)),IFERROR(Q35&lt;1,TRUE),IFERROR(INT(Q35)&gt;INT(AsOfDate),TRUE))),AND(R35&lt;&gt;"",OR(NOT(ISNUMBER(R35)),IFERROR(R35&lt;1,TRUE),IFERROR(INT(R35)&gt;INT(AsOfDate),TRUE))),AND(AI35&lt;&gt;"",OR(NOT(ISNUMBER(AI35)),IFERROR(AI35&lt;1,TRUE),IFERROR(INT(AI35)&gt;INT(AsOfDate),TRUE)))),"実績日時不正",IF(AND(OR(S35="展開中",S35="安定確認"),NOT(ISNUMBER(R35))),"公開日時不足",IF(C35="Emergency",IF(OR(AA35="",AB35="",COUNT(AC35,AI35)&lt;2),"緊急根拠不足",IF(AND(ISNUMBER(R35),OR(AI35&gt;R35,AC35&lt;R35)),"緊急時刻不正",IF(AND(AC35&lt;AsOfDate,AD35=""),"事後審査期限超過","緊急経路・正本審査要"))),IF(AND(COUNT(Q35:R35)=2,Q35&gt;R35),"承認前の通常公開",IF(AND(V35&lt;&gt;"",ISNUMBER(Q35),IFERROR(Q35&lt;IF(COUNTIF('29_ゲート承認記録'!$F$4:$F$83,V35)&lt;&gt;1,"参照ID不正",IF(INDEX('29_ゲート承認記録'!$P$4:$P$83,MATCH(V35,'29_ゲート承認記録'!$F$4:$F$83,0))="","",INDEX('29_ゲート承認記録'!$P$4:$P$83,MATCH(V35,'29_ゲート承認記録'!$F$4:$F$83,0)))),FALSE)),"Gate判断前の承認","日時整合"))))))</f>
        <v/>
      </c>
      <c r="AH35" s="28" t="str">
        <f t="shared" si="1"/>
        <v/>
      </c>
      <c r="AI35" s="34"/>
    </row>
    <row r="36" spans="1:35" ht="38" customHeight="1" x14ac:dyDescent="0.2">
      <c r="A36" s="6"/>
      <c r="B36" s="6"/>
      <c r="C36" s="6"/>
      <c r="D36" s="6"/>
      <c r="E36" s="6"/>
      <c r="F36" s="6"/>
      <c r="G36" s="6"/>
      <c r="H36" s="6"/>
      <c r="I36" s="6"/>
      <c r="J36" s="6"/>
      <c r="K36" s="6"/>
      <c r="L36" s="6"/>
      <c r="M36" s="6"/>
      <c r="N36" s="6"/>
      <c r="O36" s="6"/>
      <c r="P36" s="6"/>
      <c r="Q36" s="19"/>
      <c r="R36" s="19"/>
      <c r="S36" s="6"/>
      <c r="T36" s="6"/>
      <c r="U36" s="28" t="str">
        <f t="shared" si="0"/>
        <v/>
      </c>
      <c r="V36" s="29"/>
      <c r="W36" s="29"/>
      <c r="X36" s="29"/>
      <c r="Y36" s="29"/>
      <c r="Z36" s="29"/>
      <c r="AA36" s="29"/>
      <c r="AB36" s="29"/>
      <c r="AC36" s="34"/>
      <c r="AD36" s="29"/>
      <c r="AE36" s="28" t="str">
        <f>IF(V36="","",COUNTIF('31_条件・有効性'!$B$4:$B$83,V36))</f>
        <v/>
      </c>
      <c r="AF36" s="28" t="str">
        <f>IF(A36="","",IF(OR(V36="",COUNTIF('29_ゲート承認記録'!$F$4:$F$83,V36)&lt;&gt;1),"GateRun不足・不正",IF(OR(A36&lt;&gt;IF(COUNTIF('29_ゲート承認記録'!$F$4:$F$83,V36)&lt;&gt;1,"参照ID不正",IF(INDEX('29_ゲート承認記録'!$T$4:$T$83,MATCH(V36,'29_ゲート承認記録'!$F$4:$F$83,0))="","",INDEX('29_ゲート承認記録'!$T$4:$T$83,MATCH(V36,'29_ゲート承認記録'!$F$4:$F$83,0)))),W36="",W36&lt;&gt;IF(COUNTIF('29_ゲート承認記録'!$F$4:$F$83,V36)&lt;&gt;1,"参照ID不正",IF(INDEX('29_ゲート承認記録'!$U$4:$U$83,MATCH(V36,'29_ゲート承認記録'!$F$4:$F$83,0))="","",INDEX('29_ゲート承認記録'!$U$4:$U$83,MATCH(V36,'29_ゲート承認記録'!$F$4:$F$83,0))))),"決裁対象・版不一致",IF(IF(COUNTIF('29_ゲート承認記録'!$F$4:$F$83,V36)&lt;&gt;1,"参照ID不正",IF(INDEX('29_ゲート承認記録'!$A$4:$A$83,MATCH(V36,'29_ゲート承認記録'!$F$4:$F$83,0))="","",INDEX('29_ゲート承認記録'!$A$4:$A$83,MATCH(V36,'29_ゲート承認記録'!$F$4:$F$83,0))))&lt;&gt;"G3","公開Gate不適合",IF(IF(COUNTIF('29_ゲート承認記録'!$F$4:$F$83,V36)&lt;&gt;1,"参照ID不正",IF(INDEX('29_ゲート承認記録'!$AD$4:$AD$83,MATCH(V36,'29_ゲート承認記録'!$F$4:$F$83,0))="","",INDEX('29_ゲート承認記録'!$AD$4:$AD$83,MATCH(V36,'29_ゲート承認記録'!$F$4:$F$83,0))))&lt;&gt;"整合済・正本決裁要確認","決裁整合未充足","決裁・構成一致")))))</f>
        <v/>
      </c>
      <c r="AG36" s="28" t="str">
        <f>IF(A36="","",IF(OR(AND(Q36&lt;&gt;"",OR(NOT(ISNUMBER(Q36)),IFERROR(Q36&lt;1,TRUE),IFERROR(INT(Q36)&gt;INT(AsOfDate),TRUE))),AND(R36&lt;&gt;"",OR(NOT(ISNUMBER(R36)),IFERROR(R36&lt;1,TRUE),IFERROR(INT(R36)&gt;INT(AsOfDate),TRUE))),AND(AI36&lt;&gt;"",OR(NOT(ISNUMBER(AI36)),IFERROR(AI36&lt;1,TRUE),IFERROR(INT(AI36)&gt;INT(AsOfDate),TRUE)))),"実績日時不正",IF(AND(OR(S36="展開中",S36="安定確認"),NOT(ISNUMBER(R36))),"公開日時不足",IF(C36="Emergency",IF(OR(AA36="",AB36="",COUNT(AC36,AI36)&lt;2),"緊急根拠不足",IF(AND(ISNUMBER(R36),OR(AI36&gt;R36,AC36&lt;R36)),"緊急時刻不正",IF(AND(AC36&lt;AsOfDate,AD36=""),"事後審査期限超過","緊急経路・正本審査要"))),IF(AND(COUNT(Q36:R36)=2,Q36&gt;R36),"承認前の通常公開",IF(AND(V36&lt;&gt;"",ISNUMBER(Q36),IFERROR(Q36&lt;IF(COUNTIF('29_ゲート承認記録'!$F$4:$F$83,V36)&lt;&gt;1,"参照ID不正",IF(INDEX('29_ゲート承認記録'!$P$4:$P$83,MATCH(V36,'29_ゲート承認記録'!$F$4:$F$83,0))="","",INDEX('29_ゲート承認記録'!$P$4:$P$83,MATCH(V36,'29_ゲート承認記録'!$F$4:$F$83,0)))),FALSE)),"Gate判断前の承認","日時整合"))))))</f>
        <v/>
      </c>
      <c r="AH36" s="28" t="str">
        <f t="shared" si="1"/>
        <v/>
      </c>
      <c r="AI36" s="34"/>
    </row>
    <row r="37" spans="1:35" ht="38" customHeight="1" x14ac:dyDescent="0.2">
      <c r="A37" s="6"/>
      <c r="B37" s="6"/>
      <c r="C37" s="6"/>
      <c r="D37" s="6"/>
      <c r="E37" s="6"/>
      <c r="F37" s="6"/>
      <c r="G37" s="6"/>
      <c r="H37" s="6"/>
      <c r="I37" s="6"/>
      <c r="J37" s="6"/>
      <c r="K37" s="6"/>
      <c r="L37" s="6"/>
      <c r="M37" s="6"/>
      <c r="N37" s="6"/>
      <c r="O37" s="6"/>
      <c r="P37" s="6"/>
      <c r="Q37" s="19"/>
      <c r="R37" s="19"/>
      <c r="S37" s="6"/>
      <c r="T37" s="6"/>
      <c r="U37" s="28" t="str">
        <f t="shared" si="0"/>
        <v/>
      </c>
      <c r="V37" s="29"/>
      <c r="W37" s="29"/>
      <c r="X37" s="29"/>
      <c r="Y37" s="29"/>
      <c r="Z37" s="29"/>
      <c r="AA37" s="29"/>
      <c r="AB37" s="29"/>
      <c r="AC37" s="34"/>
      <c r="AD37" s="29"/>
      <c r="AE37" s="28" t="str">
        <f>IF(V37="","",COUNTIF('31_条件・有効性'!$B$4:$B$83,V37))</f>
        <v/>
      </c>
      <c r="AF37" s="28" t="str">
        <f>IF(A37="","",IF(OR(V37="",COUNTIF('29_ゲート承認記録'!$F$4:$F$83,V37)&lt;&gt;1),"GateRun不足・不正",IF(OR(A37&lt;&gt;IF(COUNTIF('29_ゲート承認記録'!$F$4:$F$83,V37)&lt;&gt;1,"参照ID不正",IF(INDEX('29_ゲート承認記録'!$T$4:$T$83,MATCH(V37,'29_ゲート承認記録'!$F$4:$F$83,0))="","",INDEX('29_ゲート承認記録'!$T$4:$T$83,MATCH(V37,'29_ゲート承認記録'!$F$4:$F$83,0)))),W37="",W37&lt;&gt;IF(COUNTIF('29_ゲート承認記録'!$F$4:$F$83,V37)&lt;&gt;1,"参照ID不正",IF(INDEX('29_ゲート承認記録'!$U$4:$U$83,MATCH(V37,'29_ゲート承認記録'!$F$4:$F$83,0))="","",INDEX('29_ゲート承認記録'!$U$4:$U$83,MATCH(V37,'29_ゲート承認記録'!$F$4:$F$83,0))))),"決裁対象・版不一致",IF(IF(COUNTIF('29_ゲート承認記録'!$F$4:$F$83,V37)&lt;&gt;1,"参照ID不正",IF(INDEX('29_ゲート承認記録'!$A$4:$A$83,MATCH(V37,'29_ゲート承認記録'!$F$4:$F$83,0))="","",INDEX('29_ゲート承認記録'!$A$4:$A$83,MATCH(V37,'29_ゲート承認記録'!$F$4:$F$83,0))))&lt;&gt;"G3","公開Gate不適合",IF(IF(COUNTIF('29_ゲート承認記録'!$F$4:$F$83,V37)&lt;&gt;1,"参照ID不正",IF(INDEX('29_ゲート承認記録'!$AD$4:$AD$83,MATCH(V37,'29_ゲート承認記録'!$F$4:$F$83,0))="","",INDEX('29_ゲート承認記録'!$AD$4:$AD$83,MATCH(V37,'29_ゲート承認記録'!$F$4:$F$83,0))))&lt;&gt;"整合済・正本決裁要確認","決裁整合未充足","決裁・構成一致")))))</f>
        <v/>
      </c>
      <c r="AG37" s="28" t="str">
        <f>IF(A37="","",IF(OR(AND(Q37&lt;&gt;"",OR(NOT(ISNUMBER(Q37)),IFERROR(Q37&lt;1,TRUE),IFERROR(INT(Q37)&gt;INT(AsOfDate),TRUE))),AND(R37&lt;&gt;"",OR(NOT(ISNUMBER(R37)),IFERROR(R37&lt;1,TRUE),IFERROR(INT(R37)&gt;INT(AsOfDate),TRUE))),AND(AI37&lt;&gt;"",OR(NOT(ISNUMBER(AI37)),IFERROR(AI37&lt;1,TRUE),IFERROR(INT(AI37)&gt;INT(AsOfDate),TRUE)))),"実績日時不正",IF(AND(OR(S37="展開中",S37="安定確認"),NOT(ISNUMBER(R37))),"公開日時不足",IF(C37="Emergency",IF(OR(AA37="",AB37="",COUNT(AC37,AI37)&lt;2),"緊急根拠不足",IF(AND(ISNUMBER(R37),OR(AI37&gt;R37,AC37&lt;R37)),"緊急時刻不正",IF(AND(AC37&lt;AsOfDate,AD37=""),"事後審査期限超過","緊急経路・正本審査要"))),IF(AND(COUNT(Q37:R37)=2,Q37&gt;R37),"承認前の通常公開",IF(AND(V37&lt;&gt;"",ISNUMBER(Q37),IFERROR(Q37&lt;IF(COUNTIF('29_ゲート承認記録'!$F$4:$F$83,V37)&lt;&gt;1,"参照ID不正",IF(INDEX('29_ゲート承認記録'!$P$4:$P$83,MATCH(V37,'29_ゲート承認記録'!$F$4:$F$83,0))="","",INDEX('29_ゲート承認記録'!$P$4:$P$83,MATCH(V37,'29_ゲート承認記録'!$F$4:$F$83,0)))),FALSE)),"Gate判断前の承認","日時整合"))))))</f>
        <v/>
      </c>
      <c r="AH37" s="28" t="str">
        <f t="shared" si="1"/>
        <v/>
      </c>
      <c r="AI37" s="34"/>
    </row>
    <row r="38" spans="1:35" ht="38" customHeight="1" x14ac:dyDescent="0.2">
      <c r="A38" s="6"/>
      <c r="B38" s="6"/>
      <c r="C38" s="6"/>
      <c r="D38" s="6"/>
      <c r="E38" s="6"/>
      <c r="F38" s="6"/>
      <c r="G38" s="6"/>
      <c r="H38" s="6"/>
      <c r="I38" s="6"/>
      <c r="J38" s="6"/>
      <c r="K38" s="6"/>
      <c r="L38" s="6"/>
      <c r="M38" s="6"/>
      <c r="N38" s="6"/>
      <c r="O38" s="6"/>
      <c r="P38" s="6"/>
      <c r="Q38" s="19"/>
      <c r="R38" s="19"/>
      <c r="S38" s="6"/>
      <c r="T38" s="6"/>
      <c r="U38" s="28" t="str">
        <f t="shared" si="0"/>
        <v/>
      </c>
      <c r="V38" s="29"/>
      <c r="W38" s="29"/>
      <c r="X38" s="29"/>
      <c r="Y38" s="29"/>
      <c r="Z38" s="29"/>
      <c r="AA38" s="29"/>
      <c r="AB38" s="29"/>
      <c r="AC38" s="34"/>
      <c r="AD38" s="29"/>
      <c r="AE38" s="28" t="str">
        <f>IF(V38="","",COUNTIF('31_条件・有効性'!$B$4:$B$83,V38))</f>
        <v/>
      </c>
      <c r="AF38" s="28" t="str">
        <f>IF(A38="","",IF(OR(V38="",COUNTIF('29_ゲート承認記録'!$F$4:$F$83,V38)&lt;&gt;1),"GateRun不足・不正",IF(OR(A38&lt;&gt;IF(COUNTIF('29_ゲート承認記録'!$F$4:$F$83,V38)&lt;&gt;1,"参照ID不正",IF(INDEX('29_ゲート承認記録'!$T$4:$T$83,MATCH(V38,'29_ゲート承認記録'!$F$4:$F$83,0))="","",INDEX('29_ゲート承認記録'!$T$4:$T$83,MATCH(V38,'29_ゲート承認記録'!$F$4:$F$83,0)))),W38="",W38&lt;&gt;IF(COUNTIF('29_ゲート承認記録'!$F$4:$F$83,V38)&lt;&gt;1,"参照ID不正",IF(INDEX('29_ゲート承認記録'!$U$4:$U$83,MATCH(V38,'29_ゲート承認記録'!$F$4:$F$83,0))="","",INDEX('29_ゲート承認記録'!$U$4:$U$83,MATCH(V38,'29_ゲート承認記録'!$F$4:$F$83,0))))),"決裁対象・版不一致",IF(IF(COUNTIF('29_ゲート承認記録'!$F$4:$F$83,V38)&lt;&gt;1,"参照ID不正",IF(INDEX('29_ゲート承認記録'!$A$4:$A$83,MATCH(V38,'29_ゲート承認記録'!$F$4:$F$83,0))="","",INDEX('29_ゲート承認記録'!$A$4:$A$83,MATCH(V38,'29_ゲート承認記録'!$F$4:$F$83,0))))&lt;&gt;"G3","公開Gate不適合",IF(IF(COUNTIF('29_ゲート承認記録'!$F$4:$F$83,V38)&lt;&gt;1,"参照ID不正",IF(INDEX('29_ゲート承認記録'!$AD$4:$AD$83,MATCH(V38,'29_ゲート承認記録'!$F$4:$F$83,0))="","",INDEX('29_ゲート承認記録'!$AD$4:$AD$83,MATCH(V38,'29_ゲート承認記録'!$F$4:$F$83,0))))&lt;&gt;"整合済・正本決裁要確認","決裁整合未充足","決裁・構成一致")))))</f>
        <v/>
      </c>
      <c r="AG38" s="28" t="str">
        <f>IF(A38="","",IF(OR(AND(Q38&lt;&gt;"",OR(NOT(ISNUMBER(Q38)),IFERROR(Q38&lt;1,TRUE),IFERROR(INT(Q38)&gt;INT(AsOfDate),TRUE))),AND(R38&lt;&gt;"",OR(NOT(ISNUMBER(R38)),IFERROR(R38&lt;1,TRUE),IFERROR(INT(R38)&gt;INT(AsOfDate),TRUE))),AND(AI38&lt;&gt;"",OR(NOT(ISNUMBER(AI38)),IFERROR(AI38&lt;1,TRUE),IFERROR(INT(AI38)&gt;INT(AsOfDate),TRUE)))),"実績日時不正",IF(AND(OR(S38="展開中",S38="安定確認"),NOT(ISNUMBER(R38))),"公開日時不足",IF(C38="Emergency",IF(OR(AA38="",AB38="",COUNT(AC38,AI38)&lt;2),"緊急根拠不足",IF(AND(ISNUMBER(R38),OR(AI38&gt;R38,AC38&lt;R38)),"緊急時刻不正",IF(AND(AC38&lt;AsOfDate,AD38=""),"事後審査期限超過","緊急経路・正本審査要"))),IF(AND(COUNT(Q38:R38)=2,Q38&gt;R38),"承認前の通常公開",IF(AND(V38&lt;&gt;"",ISNUMBER(Q38),IFERROR(Q38&lt;IF(COUNTIF('29_ゲート承認記録'!$F$4:$F$83,V38)&lt;&gt;1,"参照ID不正",IF(INDEX('29_ゲート承認記録'!$P$4:$P$83,MATCH(V38,'29_ゲート承認記録'!$F$4:$F$83,0))="","",INDEX('29_ゲート承認記録'!$P$4:$P$83,MATCH(V38,'29_ゲート承認記録'!$F$4:$F$83,0)))),FALSE)),"Gate判断前の承認","日時整合"))))))</f>
        <v/>
      </c>
      <c r="AH38" s="28" t="str">
        <f t="shared" si="1"/>
        <v/>
      </c>
      <c r="AI38" s="34"/>
    </row>
    <row r="39" spans="1:35" ht="38" customHeight="1" x14ac:dyDescent="0.2">
      <c r="A39" s="6"/>
      <c r="B39" s="6"/>
      <c r="C39" s="6"/>
      <c r="D39" s="6"/>
      <c r="E39" s="6"/>
      <c r="F39" s="6"/>
      <c r="G39" s="6"/>
      <c r="H39" s="6"/>
      <c r="I39" s="6"/>
      <c r="J39" s="6"/>
      <c r="K39" s="6"/>
      <c r="L39" s="6"/>
      <c r="M39" s="6"/>
      <c r="N39" s="6"/>
      <c r="O39" s="6"/>
      <c r="P39" s="6"/>
      <c r="Q39" s="19"/>
      <c r="R39" s="19"/>
      <c r="S39" s="6"/>
      <c r="T39" s="6"/>
      <c r="U39" s="28" t="str">
        <f t="shared" si="0"/>
        <v/>
      </c>
      <c r="V39" s="29"/>
      <c r="W39" s="29"/>
      <c r="X39" s="29"/>
      <c r="Y39" s="29"/>
      <c r="Z39" s="29"/>
      <c r="AA39" s="29"/>
      <c r="AB39" s="29"/>
      <c r="AC39" s="34"/>
      <c r="AD39" s="29"/>
      <c r="AE39" s="28" t="str">
        <f>IF(V39="","",COUNTIF('31_条件・有効性'!$B$4:$B$83,V39))</f>
        <v/>
      </c>
      <c r="AF39" s="28" t="str">
        <f>IF(A39="","",IF(OR(V39="",COUNTIF('29_ゲート承認記録'!$F$4:$F$83,V39)&lt;&gt;1),"GateRun不足・不正",IF(OR(A39&lt;&gt;IF(COUNTIF('29_ゲート承認記録'!$F$4:$F$83,V39)&lt;&gt;1,"参照ID不正",IF(INDEX('29_ゲート承認記録'!$T$4:$T$83,MATCH(V39,'29_ゲート承認記録'!$F$4:$F$83,0))="","",INDEX('29_ゲート承認記録'!$T$4:$T$83,MATCH(V39,'29_ゲート承認記録'!$F$4:$F$83,0)))),W39="",W39&lt;&gt;IF(COUNTIF('29_ゲート承認記録'!$F$4:$F$83,V39)&lt;&gt;1,"参照ID不正",IF(INDEX('29_ゲート承認記録'!$U$4:$U$83,MATCH(V39,'29_ゲート承認記録'!$F$4:$F$83,0))="","",INDEX('29_ゲート承認記録'!$U$4:$U$83,MATCH(V39,'29_ゲート承認記録'!$F$4:$F$83,0))))),"決裁対象・版不一致",IF(IF(COUNTIF('29_ゲート承認記録'!$F$4:$F$83,V39)&lt;&gt;1,"参照ID不正",IF(INDEX('29_ゲート承認記録'!$A$4:$A$83,MATCH(V39,'29_ゲート承認記録'!$F$4:$F$83,0))="","",INDEX('29_ゲート承認記録'!$A$4:$A$83,MATCH(V39,'29_ゲート承認記録'!$F$4:$F$83,0))))&lt;&gt;"G3","公開Gate不適合",IF(IF(COUNTIF('29_ゲート承認記録'!$F$4:$F$83,V39)&lt;&gt;1,"参照ID不正",IF(INDEX('29_ゲート承認記録'!$AD$4:$AD$83,MATCH(V39,'29_ゲート承認記録'!$F$4:$F$83,0))="","",INDEX('29_ゲート承認記録'!$AD$4:$AD$83,MATCH(V39,'29_ゲート承認記録'!$F$4:$F$83,0))))&lt;&gt;"整合済・正本決裁要確認","決裁整合未充足","決裁・構成一致")))))</f>
        <v/>
      </c>
      <c r="AG39" s="28" t="str">
        <f>IF(A39="","",IF(OR(AND(Q39&lt;&gt;"",OR(NOT(ISNUMBER(Q39)),IFERROR(Q39&lt;1,TRUE),IFERROR(INT(Q39)&gt;INT(AsOfDate),TRUE))),AND(R39&lt;&gt;"",OR(NOT(ISNUMBER(R39)),IFERROR(R39&lt;1,TRUE),IFERROR(INT(R39)&gt;INT(AsOfDate),TRUE))),AND(AI39&lt;&gt;"",OR(NOT(ISNUMBER(AI39)),IFERROR(AI39&lt;1,TRUE),IFERROR(INT(AI39)&gt;INT(AsOfDate),TRUE)))),"実績日時不正",IF(AND(OR(S39="展開中",S39="安定確認"),NOT(ISNUMBER(R39))),"公開日時不足",IF(C39="Emergency",IF(OR(AA39="",AB39="",COUNT(AC39,AI39)&lt;2),"緊急根拠不足",IF(AND(ISNUMBER(R39),OR(AI39&gt;R39,AC39&lt;R39)),"緊急時刻不正",IF(AND(AC39&lt;AsOfDate,AD39=""),"事後審査期限超過","緊急経路・正本審査要"))),IF(AND(COUNT(Q39:R39)=2,Q39&gt;R39),"承認前の通常公開",IF(AND(V39&lt;&gt;"",ISNUMBER(Q39),IFERROR(Q39&lt;IF(COUNTIF('29_ゲート承認記録'!$F$4:$F$83,V39)&lt;&gt;1,"参照ID不正",IF(INDEX('29_ゲート承認記録'!$P$4:$P$83,MATCH(V39,'29_ゲート承認記録'!$F$4:$F$83,0))="","",INDEX('29_ゲート承認記録'!$P$4:$P$83,MATCH(V39,'29_ゲート承認記録'!$F$4:$F$83,0)))),FALSE)),"Gate判断前の承認","日時整合"))))))</f>
        <v/>
      </c>
      <c r="AH39" s="28" t="str">
        <f t="shared" si="1"/>
        <v/>
      </c>
      <c r="AI39" s="34"/>
    </row>
    <row r="40" spans="1:35" ht="38" customHeight="1" x14ac:dyDescent="0.2">
      <c r="A40" s="6"/>
      <c r="B40" s="6"/>
      <c r="C40" s="6"/>
      <c r="D40" s="6"/>
      <c r="E40" s="6"/>
      <c r="F40" s="6"/>
      <c r="G40" s="6"/>
      <c r="H40" s="6"/>
      <c r="I40" s="6"/>
      <c r="J40" s="6"/>
      <c r="K40" s="6"/>
      <c r="L40" s="6"/>
      <c r="M40" s="6"/>
      <c r="N40" s="6"/>
      <c r="O40" s="6"/>
      <c r="P40" s="6"/>
      <c r="Q40" s="19"/>
      <c r="R40" s="19"/>
      <c r="S40" s="6"/>
      <c r="T40" s="6"/>
      <c r="U40" s="28" t="str">
        <f t="shared" si="0"/>
        <v/>
      </c>
      <c r="V40" s="29"/>
      <c r="W40" s="29"/>
      <c r="X40" s="29"/>
      <c r="Y40" s="29"/>
      <c r="Z40" s="29"/>
      <c r="AA40" s="29"/>
      <c r="AB40" s="29"/>
      <c r="AC40" s="34"/>
      <c r="AD40" s="29"/>
      <c r="AE40" s="28" t="str">
        <f>IF(V40="","",COUNTIF('31_条件・有効性'!$B$4:$B$83,V40))</f>
        <v/>
      </c>
      <c r="AF40" s="28" t="str">
        <f>IF(A40="","",IF(OR(V40="",COUNTIF('29_ゲート承認記録'!$F$4:$F$83,V40)&lt;&gt;1),"GateRun不足・不正",IF(OR(A40&lt;&gt;IF(COUNTIF('29_ゲート承認記録'!$F$4:$F$83,V40)&lt;&gt;1,"参照ID不正",IF(INDEX('29_ゲート承認記録'!$T$4:$T$83,MATCH(V40,'29_ゲート承認記録'!$F$4:$F$83,0))="","",INDEX('29_ゲート承認記録'!$T$4:$T$83,MATCH(V40,'29_ゲート承認記録'!$F$4:$F$83,0)))),W40="",W40&lt;&gt;IF(COUNTIF('29_ゲート承認記録'!$F$4:$F$83,V40)&lt;&gt;1,"参照ID不正",IF(INDEX('29_ゲート承認記録'!$U$4:$U$83,MATCH(V40,'29_ゲート承認記録'!$F$4:$F$83,0))="","",INDEX('29_ゲート承認記録'!$U$4:$U$83,MATCH(V40,'29_ゲート承認記録'!$F$4:$F$83,0))))),"決裁対象・版不一致",IF(IF(COUNTIF('29_ゲート承認記録'!$F$4:$F$83,V40)&lt;&gt;1,"参照ID不正",IF(INDEX('29_ゲート承認記録'!$A$4:$A$83,MATCH(V40,'29_ゲート承認記録'!$F$4:$F$83,0))="","",INDEX('29_ゲート承認記録'!$A$4:$A$83,MATCH(V40,'29_ゲート承認記録'!$F$4:$F$83,0))))&lt;&gt;"G3","公開Gate不適合",IF(IF(COUNTIF('29_ゲート承認記録'!$F$4:$F$83,V40)&lt;&gt;1,"参照ID不正",IF(INDEX('29_ゲート承認記録'!$AD$4:$AD$83,MATCH(V40,'29_ゲート承認記録'!$F$4:$F$83,0))="","",INDEX('29_ゲート承認記録'!$AD$4:$AD$83,MATCH(V40,'29_ゲート承認記録'!$F$4:$F$83,0))))&lt;&gt;"整合済・正本決裁要確認","決裁整合未充足","決裁・構成一致")))))</f>
        <v/>
      </c>
      <c r="AG40" s="28" t="str">
        <f>IF(A40="","",IF(OR(AND(Q40&lt;&gt;"",OR(NOT(ISNUMBER(Q40)),IFERROR(Q40&lt;1,TRUE),IFERROR(INT(Q40)&gt;INT(AsOfDate),TRUE))),AND(R40&lt;&gt;"",OR(NOT(ISNUMBER(R40)),IFERROR(R40&lt;1,TRUE),IFERROR(INT(R40)&gt;INT(AsOfDate),TRUE))),AND(AI40&lt;&gt;"",OR(NOT(ISNUMBER(AI40)),IFERROR(AI40&lt;1,TRUE),IFERROR(INT(AI40)&gt;INT(AsOfDate),TRUE)))),"実績日時不正",IF(AND(OR(S40="展開中",S40="安定確認"),NOT(ISNUMBER(R40))),"公開日時不足",IF(C40="Emergency",IF(OR(AA40="",AB40="",COUNT(AC40,AI40)&lt;2),"緊急根拠不足",IF(AND(ISNUMBER(R40),OR(AI40&gt;R40,AC40&lt;R40)),"緊急時刻不正",IF(AND(AC40&lt;AsOfDate,AD40=""),"事後審査期限超過","緊急経路・正本審査要"))),IF(AND(COUNT(Q40:R40)=2,Q40&gt;R40),"承認前の通常公開",IF(AND(V40&lt;&gt;"",ISNUMBER(Q40),IFERROR(Q40&lt;IF(COUNTIF('29_ゲート承認記録'!$F$4:$F$83,V40)&lt;&gt;1,"参照ID不正",IF(INDEX('29_ゲート承認記録'!$P$4:$P$83,MATCH(V40,'29_ゲート承認記録'!$F$4:$F$83,0))="","",INDEX('29_ゲート承認記録'!$P$4:$P$83,MATCH(V40,'29_ゲート承認記録'!$F$4:$F$83,0)))),FALSE)),"Gate判断前の承認","日時整合"))))))</f>
        <v/>
      </c>
      <c r="AH40" s="28" t="str">
        <f t="shared" si="1"/>
        <v/>
      </c>
      <c r="AI40" s="34"/>
    </row>
    <row r="41" spans="1:35" ht="38" customHeight="1" x14ac:dyDescent="0.2">
      <c r="A41" s="6"/>
      <c r="B41" s="6"/>
      <c r="C41" s="6"/>
      <c r="D41" s="6"/>
      <c r="E41" s="6"/>
      <c r="F41" s="6"/>
      <c r="G41" s="6"/>
      <c r="H41" s="6"/>
      <c r="I41" s="6"/>
      <c r="J41" s="6"/>
      <c r="K41" s="6"/>
      <c r="L41" s="6"/>
      <c r="M41" s="6"/>
      <c r="N41" s="6"/>
      <c r="O41" s="6"/>
      <c r="P41" s="6"/>
      <c r="Q41" s="19"/>
      <c r="R41" s="19"/>
      <c r="S41" s="6"/>
      <c r="T41" s="6"/>
      <c r="U41" s="28" t="str">
        <f t="shared" si="0"/>
        <v/>
      </c>
      <c r="V41" s="29"/>
      <c r="W41" s="29"/>
      <c r="X41" s="29"/>
      <c r="Y41" s="29"/>
      <c r="Z41" s="29"/>
      <c r="AA41" s="29"/>
      <c r="AB41" s="29"/>
      <c r="AC41" s="34"/>
      <c r="AD41" s="29"/>
      <c r="AE41" s="28" t="str">
        <f>IF(V41="","",COUNTIF('31_条件・有効性'!$B$4:$B$83,V41))</f>
        <v/>
      </c>
      <c r="AF41" s="28" t="str">
        <f>IF(A41="","",IF(OR(V41="",COUNTIF('29_ゲート承認記録'!$F$4:$F$83,V41)&lt;&gt;1),"GateRun不足・不正",IF(OR(A41&lt;&gt;IF(COUNTIF('29_ゲート承認記録'!$F$4:$F$83,V41)&lt;&gt;1,"参照ID不正",IF(INDEX('29_ゲート承認記録'!$T$4:$T$83,MATCH(V41,'29_ゲート承認記録'!$F$4:$F$83,0))="","",INDEX('29_ゲート承認記録'!$T$4:$T$83,MATCH(V41,'29_ゲート承認記録'!$F$4:$F$83,0)))),W41="",W41&lt;&gt;IF(COUNTIF('29_ゲート承認記録'!$F$4:$F$83,V41)&lt;&gt;1,"参照ID不正",IF(INDEX('29_ゲート承認記録'!$U$4:$U$83,MATCH(V41,'29_ゲート承認記録'!$F$4:$F$83,0))="","",INDEX('29_ゲート承認記録'!$U$4:$U$83,MATCH(V41,'29_ゲート承認記録'!$F$4:$F$83,0))))),"決裁対象・版不一致",IF(IF(COUNTIF('29_ゲート承認記録'!$F$4:$F$83,V41)&lt;&gt;1,"参照ID不正",IF(INDEX('29_ゲート承認記録'!$A$4:$A$83,MATCH(V41,'29_ゲート承認記録'!$F$4:$F$83,0))="","",INDEX('29_ゲート承認記録'!$A$4:$A$83,MATCH(V41,'29_ゲート承認記録'!$F$4:$F$83,0))))&lt;&gt;"G3","公開Gate不適合",IF(IF(COUNTIF('29_ゲート承認記録'!$F$4:$F$83,V41)&lt;&gt;1,"参照ID不正",IF(INDEX('29_ゲート承認記録'!$AD$4:$AD$83,MATCH(V41,'29_ゲート承認記録'!$F$4:$F$83,0))="","",INDEX('29_ゲート承認記録'!$AD$4:$AD$83,MATCH(V41,'29_ゲート承認記録'!$F$4:$F$83,0))))&lt;&gt;"整合済・正本決裁要確認","決裁整合未充足","決裁・構成一致")))))</f>
        <v/>
      </c>
      <c r="AG41" s="28" t="str">
        <f>IF(A41="","",IF(OR(AND(Q41&lt;&gt;"",OR(NOT(ISNUMBER(Q41)),IFERROR(Q41&lt;1,TRUE),IFERROR(INT(Q41)&gt;INT(AsOfDate),TRUE))),AND(R41&lt;&gt;"",OR(NOT(ISNUMBER(R41)),IFERROR(R41&lt;1,TRUE),IFERROR(INT(R41)&gt;INT(AsOfDate),TRUE))),AND(AI41&lt;&gt;"",OR(NOT(ISNUMBER(AI41)),IFERROR(AI41&lt;1,TRUE),IFERROR(INT(AI41)&gt;INT(AsOfDate),TRUE)))),"実績日時不正",IF(AND(OR(S41="展開中",S41="安定確認"),NOT(ISNUMBER(R41))),"公開日時不足",IF(C41="Emergency",IF(OR(AA41="",AB41="",COUNT(AC41,AI41)&lt;2),"緊急根拠不足",IF(AND(ISNUMBER(R41),OR(AI41&gt;R41,AC41&lt;R41)),"緊急時刻不正",IF(AND(AC41&lt;AsOfDate,AD41=""),"事後審査期限超過","緊急経路・正本審査要"))),IF(AND(COUNT(Q41:R41)=2,Q41&gt;R41),"承認前の通常公開",IF(AND(V41&lt;&gt;"",ISNUMBER(Q41),IFERROR(Q41&lt;IF(COUNTIF('29_ゲート承認記録'!$F$4:$F$83,V41)&lt;&gt;1,"参照ID不正",IF(INDEX('29_ゲート承認記録'!$P$4:$P$83,MATCH(V41,'29_ゲート承認記録'!$F$4:$F$83,0))="","",INDEX('29_ゲート承認記録'!$P$4:$P$83,MATCH(V41,'29_ゲート承認記録'!$F$4:$F$83,0)))),FALSE)),"Gate判断前の承認","日時整合"))))))</f>
        <v/>
      </c>
      <c r="AH41" s="28" t="str">
        <f t="shared" si="1"/>
        <v/>
      </c>
      <c r="AI41" s="34"/>
    </row>
    <row r="42" spans="1:35" ht="38" customHeight="1" x14ac:dyDescent="0.2">
      <c r="A42" s="6"/>
      <c r="B42" s="6"/>
      <c r="C42" s="6"/>
      <c r="D42" s="6"/>
      <c r="E42" s="6"/>
      <c r="F42" s="6"/>
      <c r="G42" s="6"/>
      <c r="H42" s="6"/>
      <c r="I42" s="6"/>
      <c r="J42" s="6"/>
      <c r="K42" s="6"/>
      <c r="L42" s="6"/>
      <c r="M42" s="6"/>
      <c r="N42" s="6"/>
      <c r="O42" s="6"/>
      <c r="P42" s="6"/>
      <c r="Q42" s="19"/>
      <c r="R42" s="19"/>
      <c r="S42" s="6"/>
      <c r="T42" s="6"/>
      <c r="U42" s="28" t="str">
        <f t="shared" si="0"/>
        <v/>
      </c>
      <c r="V42" s="29"/>
      <c r="W42" s="29"/>
      <c r="X42" s="29"/>
      <c r="Y42" s="29"/>
      <c r="Z42" s="29"/>
      <c r="AA42" s="29"/>
      <c r="AB42" s="29"/>
      <c r="AC42" s="34"/>
      <c r="AD42" s="29"/>
      <c r="AE42" s="28" t="str">
        <f>IF(V42="","",COUNTIF('31_条件・有効性'!$B$4:$B$83,V42))</f>
        <v/>
      </c>
      <c r="AF42" s="28" t="str">
        <f>IF(A42="","",IF(OR(V42="",COUNTIF('29_ゲート承認記録'!$F$4:$F$83,V42)&lt;&gt;1),"GateRun不足・不正",IF(OR(A42&lt;&gt;IF(COUNTIF('29_ゲート承認記録'!$F$4:$F$83,V42)&lt;&gt;1,"参照ID不正",IF(INDEX('29_ゲート承認記録'!$T$4:$T$83,MATCH(V42,'29_ゲート承認記録'!$F$4:$F$83,0))="","",INDEX('29_ゲート承認記録'!$T$4:$T$83,MATCH(V42,'29_ゲート承認記録'!$F$4:$F$83,0)))),W42="",W42&lt;&gt;IF(COUNTIF('29_ゲート承認記録'!$F$4:$F$83,V42)&lt;&gt;1,"参照ID不正",IF(INDEX('29_ゲート承認記録'!$U$4:$U$83,MATCH(V42,'29_ゲート承認記録'!$F$4:$F$83,0))="","",INDEX('29_ゲート承認記録'!$U$4:$U$83,MATCH(V42,'29_ゲート承認記録'!$F$4:$F$83,0))))),"決裁対象・版不一致",IF(IF(COUNTIF('29_ゲート承認記録'!$F$4:$F$83,V42)&lt;&gt;1,"参照ID不正",IF(INDEX('29_ゲート承認記録'!$A$4:$A$83,MATCH(V42,'29_ゲート承認記録'!$F$4:$F$83,0))="","",INDEX('29_ゲート承認記録'!$A$4:$A$83,MATCH(V42,'29_ゲート承認記録'!$F$4:$F$83,0))))&lt;&gt;"G3","公開Gate不適合",IF(IF(COUNTIF('29_ゲート承認記録'!$F$4:$F$83,V42)&lt;&gt;1,"参照ID不正",IF(INDEX('29_ゲート承認記録'!$AD$4:$AD$83,MATCH(V42,'29_ゲート承認記録'!$F$4:$F$83,0))="","",INDEX('29_ゲート承認記録'!$AD$4:$AD$83,MATCH(V42,'29_ゲート承認記録'!$F$4:$F$83,0))))&lt;&gt;"整合済・正本決裁要確認","決裁整合未充足","決裁・構成一致")))))</f>
        <v/>
      </c>
      <c r="AG42" s="28" t="str">
        <f>IF(A42="","",IF(OR(AND(Q42&lt;&gt;"",OR(NOT(ISNUMBER(Q42)),IFERROR(Q42&lt;1,TRUE),IFERROR(INT(Q42)&gt;INT(AsOfDate),TRUE))),AND(R42&lt;&gt;"",OR(NOT(ISNUMBER(R42)),IFERROR(R42&lt;1,TRUE),IFERROR(INT(R42)&gt;INT(AsOfDate),TRUE))),AND(AI42&lt;&gt;"",OR(NOT(ISNUMBER(AI42)),IFERROR(AI42&lt;1,TRUE),IFERROR(INT(AI42)&gt;INT(AsOfDate),TRUE)))),"実績日時不正",IF(AND(OR(S42="展開中",S42="安定確認"),NOT(ISNUMBER(R42))),"公開日時不足",IF(C42="Emergency",IF(OR(AA42="",AB42="",COUNT(AC42,AI42)&lt;2),"緊急根拠不足",IF(AND(ISNUMBER(R42),OR(AI42&gt;R42,AC42&lt;R42)),"緊急時刻不正",IF(AND(AC42&lt;AsOfDate,AD42=""),"事後審査期限超過","緊急経路・正本審査要"))),IF(AND(COUNT(Q42:R42)=2,Q42&gt;R42),"承認前の通常公開",IF(AND(V42&lt;&gt;"",ISNUMBER(Q42),IFERROR(Q42&lt;IF(COUNTIF('29_ゲート承認記録'!$F$4:$F$83,V42)&lt;&gt;1,"参照ID不正",IF(INDEX('29_ゲート承認記録'!$P$4:$P$83,MATCH(V42,'29_ゲート承認記録'!$F$4:$F$83,0))="","",INDEX('29_ゲート承認記録'!$P$4:$P$83,MATCH(V42,'29_ゲート承認記録'!$F$4:$F$83,0)))),FALSE)),"Gate判断前の承認","日時整合"))))))</f>
        <v/>
      </c>
      <c r="AH42" s="28" t="str">
        <f t="shared" si="1"/>
        <v/>
      </c>
      <c r="AI42" s="34"/>
    </row>
    <row r="43" spans="1:35" ht="38" customHeight="1" x14ac:dyDescent="0.2">
      <c r="A43" s="6"/>
      <c r="B43" s="6"/>
      <c r="C43" s="6"/>
      <c r="D43" s="6"/>
      <c r="E43" s="6"/>
      <c r="F43" s="6"/>
      <c r="G43" s="6"/>
      <c r="H43" s="6"/>
      <c r="I43" s="6"/>
      <c r="J43" s="6"/>
      <c r="K43" s="6"/>
      <c r="L43" s="6"/>
      <c r="M43" s="6"/>
      <c r="N43" s="6"/>
      <c r="O43" s="6"/>
      <c r="P43" s="6"/>
      <c r="Q43" s="19"/>
      <c r="R43" s="19"/>
      <c r="S43" s="6"/>
      <c r="T43" s="6"/>
      <c r="U43" s="28" t="str">
        <f t="shared" si="0"/>
        <v/>
      </c>
      <c r="V43" s="29"/>
      <c r="W43" s="29"/>
      <c r="X43" s="29"/>
      <c r="Y43" s="29"/>
      <c r="Z43" s="29"/>
      <c r="AA43" s="29"/>
      <c r="AB43" s="29"/>
      <c r="AC43" s="34"/>
      <c r="AD43" s="29"/>
      <c r="AE43" s="28" t="str">
        <f>IF(V43="","",COUNTIF('31_条件・有効性'!$B$4:$B$83,V43))</f>
        <v/>
      </c>
      <c r="AF43" s="28" t="str">
        <f>IF(A43="","",IF(OR(V43="",COUNTIF('29_ゲート承認記録'!$F$4:$F$83,V43)&lt;&gt;1),"GateRun不足・不正",IF(OR(A43&lt;&gt;IF(COUNTIF('29_ゲート承認記録'!$F$4:$F$83,V43)&lt;&gt;1,"参照ID不正",IF(INDEX('29_ゲート承認記録'!$T$4:$T$83,MATCH(V43,'29_ゲート承認記録'!$F$4:$F$83,0))="","",INDEX('29_ゲート承認記録'!$T$4:$T$83,MATCH(V43,'29_ゲート承認記録'!$F$4:$F$83,0)))),W43="",W43&lt;&gt;IF(COUNTIF('29_ゲート承認記録'!$F$4:$F$83,V43)&lt;&gt;1,"参照ID不正",IF(INDEX('29_ゲート承認記録'!$U$4:$U$83,MATCH(V43,'29_ゲート承認記録'!$F$4:$F$83,0))="","",INDEX('29_ゲート承認記録'!$U$4:$U$83,MATCH(V43,'29_ゲート承認記録'!$F$4:$F$83,0))))),"決裁対象・版不一致",IF(IF(COUNTIF('29_ゲート承認記録'!$F$4:$F$83,V43)&lt;&gt;1,"参照ID不正",IF(INDEX('29_ゲート承認記録'!$A$4:$A$83,MATCH(V43,'29_ゲート承認記録'!$F$4:$F$83,0))="","",INDEX('29_ゲート承認記録'!$A$4:$A$83,MATCH(V43,'29_ゲート承認記録'!$F$4:$F$83,0))))&lt;&gt;"G3","公開Gate不適合",IF(IF(COUNTIF('29_ゲート承認記録'!$F$4:$F$83,V43)&lt;&gt;1,"参照ID不正",IF(INDEX('29_ゲート承認記録'!$AD$4:$AD$83,MATCH(V43,'29_ゲート承認記録'!$F$4:$F$83,0))="","",INDEX('29_ゲート承認記録'!$AD$4:$AD$83,MATCH(V43,'29_ゲート承認記録'!$F$4:$F$83,0))))&lt;&gt;"整合済・正本決裁要確認","決裁整合未充足","決裁・構成一致")))))</f>
        <v/>
      </c>
      <c r="AG43" s="28" t="str">
        <f>IF(A43="","",IF(OR(AND(Q43&lt;&gt;"",OR(NOT(ISNUMBER(Q43)),IFERROR(Q43&lt;1,TRUE),IFERROR(INT(Q43)&gt;INT(AsOfDate),TRUE))),AND(R43&lt;&gt;"",OR(NOT(ISNUMBER(R43)),IFERROR(R43&lt;1,TRUE),IFERROR(INT(R43)&gt;INT(AsOfDate),TRUE))),AND(AI43&lt;&gt;"",OR(NOT(ISNUMBER(AI43)),IFERROR(AI43&lt;1,TRUE),IFERROR(INT(AI43)&gt;INT(AsOfDate),TRUE)))),"実績日時不正",IF(AND(OR(S43="展開中",S43="安定確認"),NOT(ISNUMBER(R43))),"公開日時不足",IF(C43="Emergency",IF(OR(AA43="",AB43="",COUNT(AC43,AI43)&lt;2),"緊急根拠不足",IF(AND(ISNUMBER(R43),OR(AI43&gt;R43,AC43&lt;R43)),"緊急時刻不正",IF(AND(AC43&lt;AsOfDate,AD43=""),"事後審査期限超過","緊急経路・正本審査要"))),IF(AND(COUNT(Q43:R43)=2,Q43&gt;R43),"承認前の通常公開",IF(AND(V43&lt;&gt;"",ISNUMBER(Q43),IFERROR(Q43&lt;IF(COUNTIF('29_ゲート承認記録'!$F$4:$F$83,V43)&lt;&gt;1,"参照ID不正",IF(INDEX('29_ゲート承認記録'!$P$4:$P$83,MATCH(V43,'29_ゲート承認記録'!$F$4:$F$83,0))="","",INDEX('29_ゲート承認記録'!$P$4:$P$83,MATCH(V43,'29_ゲート承認記録'!$F$4:$F$83,0)))),FALSE)),"Gate判断前の承認","日時整合"))))))</f>
        <v/>
      </c>
      <c r="AH43" s="28" t="str">
        <f t="shared" si="1"/>
        <v/>
      </c>
      <c r="AI43" s="34"/>
    </row>
    <row r="47" spans="1:35" ht="30" customHeight="1" x14ac:dyDescent="0.2">
      <c r="A47" s="46" t="s">
        <v>3811</v>
      </c>
      <c r="B47" s="45"/>
      <c r="C47" s="45"/>
    </row>
    <row r="48" spans="1:35" ht="32" customHeight="1" x14ac:dyDescent="0.2">
      <c r="A48" s="1" t="s">
        <v>3127</v>
      </c>
      <c r="B48" s="1" t="s">
        <v>3812</v>
      </c>
      <c r="C48" s="1" t="s">
        <v>3114</v>
      </c>
    </row>
    <row r="49" spans="1:21" ht="38" customHeight="1" x14ac:dyDescent="0.2">
      <c r="A49" s="2" t="s">
        <v>3813</v>
      </c>
      <c r="B49" s="2" t="s">
        <v>3814</v>
      </c>
      <c r="C49" s="2" t="s">
        <v>3815</v>
      </c>
      <c r="D49" s="2"/>
      <c r="E49" s="2"/>
      <c r="F49" s="2"/>
      <c r="G49" s="2"/>
      <c r="H49" s="2"/>
      <c r="I49" s="2"/>
      <c r="J49" s="2"/>
      <c r="K49" s="2"/>
      <c r="L49" s="2"/>
      <c r="M49" s="2"/>
      <c r="N49" s="2"/>
      <c r="O49" s="2"/>
      <c r="P49" s="2"/>
      <c r="Q49" s="2"/>
      <c r="R49" s="2"/>
      <c r="S49" s="2"/>
      <c r="T49" s="2"/>
      <c r="U49" s="2"/>
    </row>
    <row r="50" spans="1:21" ht="38" customHeight="1" x14ac:dyDescent="0.2">
      <c r="A50" s="4" t="s">
        <v>3816</v>
      </c>
      <c r="B50" s="4" t="s">
        <v>3817</v>
      </c>
      <c r="C50" s="4" t="s">
        <v>3818</v>
      </c>
      <c r="D50" s="4"/>
      <c r="E50" s="4"/>
      <c r="F50" s="4"/>
      <c r="G50" s="4"/>
      <c r="H50" s="4"/>
      <c r="I50" s="4"/>
      <c r="J50" s="4"/>
      <c r="K50" s="4"/>
      <c r="L50" s="4"/>
      <c r="M50" s="4"/>
      <c r="N50" s="4"/>
      <c r="O50" s="4"/>
      <c r="P50" s="4"/>
      <c r="Q50" s="4"/>
      <c r="R50" s="4"/>
      <c r="S50" s="4"/>
      <c r="T50" s="4"/>
      <c r="U50" s="4"/>
    </row>
    <row r="51" spans="1:21" ht="49" customHeight="1" x14ac:dyDescent="0.2">
      <c r="A51" s="2" t="s">
        <v>3819</v>
      </c>
      <c r="B51" s="2" t="s">
        <v>3820</v>
      </c>
      <c r="C51" s="2" t="s">
        <v>3821</v>
      </c>
      <c r="D51" s="2"/>
      <c r="E51" s="2"/>
      <c r="F51" s="2"/>
      <c r="G51" s="2"/>
      <c r="H51" s="2"/>
      <c r="I51" s="2"/>
      <c r="J51" s="2"/>
      <c r="K51" s="2"/>
      <c r="L51" s="2"/>
      <c r="M51" s="2"/>
      <c r="N51" s="2"/>
      <c r="O51" s="2"/>
      <c r="P51" s="2"/>
      <c r="Q51" s="2"/>
      <c r="R51" s="2"/>
      <c r="S51" s="2"/>
      <c r="T51" s="2"/>
      <c r="U51" s="2"/>
    </row>
  </sheetData>
  <autoFilter ref="A3:AI43" xr:uid="{00000000-0009-0000-0000-000014000000}"/>
  <mergeCells count="3">
    <mergeCell ref="A2:I2"/>
    <mergeCell ref="A1:G1"/>
    <mergeCell ref="A47:C47"/>
  </mergeCells>
  <phoneticPr fontId="12"/>
  <conditionalFormatting sqref="U4:U43">
    <cfRule type="expression" dxfId="46" priority="1">
      <formula>ISNUMBER(SEARCH("不足",U4))</formula>
    </cfRule>
    <cfRule type="expression" dxfId="45" priority="2">
      <formula>ISNUMBER(SEARCH("不正",U4))</formula>
    </cfRule>
    <cfRule type="expression" dxfId="44" priority="3">
      <formula>ISNUMBER(SEARCH("未判定",U4))</formula>
    </cfRule>
    <cfRule type="expression" dxfId="43" priority="4">
      <formula>ISNUMBER(SEARCH("未承認",U4))</formula>
    </cfRule>
    <cfRule type="expression" dxfId="42" priority="5">
      <formula>ISNUMBER(SEARCH("超過",U4))</formula>
    </cfRule>
    <cfRule type="expression" dxfId="41" priority="6">
      <formula>ISNUMBER(SEARCH("要確認",U4))</formula>
    </cfRule>
    <cfRule type="expression" dxfId="40" priority="7">
      <formula>OR(ISNUMBER(SEARCH("不正",U4)),ISNUMBER(SEARCH("不足",U4)),ISNUMBER(SEARCH("超過",U4)),ISNUMBER(SEARCH("不一致",U4)),ISNUMBER(SEARCH("失効",U4)),ISNUMBER(SEARCH("矛盾",U4)))</formula>
    </cfRule>
  </conditionalFormatting>
  <conditionalFormatting sqref="AF4:AH43">
    <cfRule type="expression" dxfId="39" priority="8">
      <formula>OR(ISNUMBER(SEARCH("不正",AF4)),ISNUMBER(SEARCH("不足",AF4)),ISNUMBER(SEARCH("超過",AF4)),ISNUMBER(SEARCH("不一致",AF4)),ISNUMBER(SEARCH("失効",AF4)),ISNUMBER(SEARCH("矛盾",AF4)))</formula>
    </cfRule>
  </conditionalFormatting>
  <dataValidations count="4">
    <dataValidation type="list" allowBlank="1" showErrorMessage="1" errorTitle="入力値を確認" error="選択肢から入力してください。" sqref="C4:C43" xr:uid="{00000000-0002-0000-1400-000000000000}">
      <formula1>"未判定,Initial,Minor,Major,Emergency,Retire"</formula1>
    </dataValidation>
    <dataValidation type="list" allowBlank="1" showErrorMessage="1" errorTitle="入力値を確認" error="選択肢から入力してください。" sqref="S4:S43" xr:uid="{00000000-0002-0000-1400-000001000000}">
      <formula1>"草案,審査中,承認,展開中,安定確認,停止,ロールバック,終了"</formula1>
    </dataValidation>
    <dataValidation type="date" allowBlank="1" showErrorMessage="1" error="日付形式で入力してください。" sqref="Q4:Q43 R4:R43" xr:uid="{00000000-0002-0000-1400-000002000000}">
      <formula1>DATE(2000,1,1)</formula1>
      <formula2>DATE(2100,12,31)</formula2>
    </dataValidation>
    <dataValidation type="list" allowBlank="1" showErrorMessage="1" errorTitle="入力値を確認" error="候補・値域を確認してください。貼付や外部取込後も点検が必要です。" sqref="X4:X43" xr:uid="{00000000-0002-0000-1400-000003000000}">
      <formula1>"未判定,必要,対象外"</formula1>
    </dataValidation>
  </dataValidations>
  <pageMargins left="0.25" right="0.25" top="0.4" bottom="0.4" header="0.5" footer="0.5"/>
  <pageSetup paperSize="8" fitToHeight="0" orientation="landscape"/>
  <headerFooter>
    <oddFooter>&amp;CAI自社事業PJ v1.0 | &amp;A&amp;R&amp;P / &amp;N</oddFooter>
  </headerFooter>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05494"/>
    <outlinePr summaryRight="0"/>
    <pageSetUpPr fitToPage="1"/>
  </sheetPr>
  <dimension ref="A1:Q46"/>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5" customWidth="1"/>
    <col min="2" max="2" width="30" customWidth="1"/>
    <col min="3" max="3" width="52" customWidth="1"/>
    <col min="4" max="5" width="68" customWidth="1"/>
    <col min="6" max="6" width="54" customWidth="1"/>
    <col min="7" max="7" width="65" customWidth="1"/>
    <col min="8" max="8" width="64" customWidth="1"/>
    <col min="9" max="9" width="25" customWidth="1"/>
    <col min="10" max="10" width="20" customWidth="1"/>
    <col min="11" max="13" width="60" customWidth="1"/>
    <col min="14" max="14" width="25" customWidth="1"/>
    <col min="15" max="15" width="60" customWidth="1"/>
    <col min="16" max="17" width="25" customWidth="1"/>
  </cols>
  <sheetData>
    <row r="1" spans="1:17" ht="34" customHeight="1" x14ac:dyDescent="0.55000000000000004">
      <c r="A1" s="44" t="s">
        <v>3822</v>
      </c>
      <c r="B1" s="45"/>
      <c r="C1" s="45"/>
      <c r="D1" s="45"/>
      <c r="E1" s="45"/>
      <c r="F1" s="45"/>
      <c r="G1" s="45"/>
    </row>
    <row r="2" spans="1:17" ht="43" customHeight="1" x14ac:dyDescent="0.2">
      <c r="A2" s="47" t="s">
        <v>3823</v>
      </c>
      <c r="B2" s="45"/>
      <c r="C2" s="45"/>
      <c r="D2" s="45"/>
      <c r="E2" s="45"/>
      <c r="F2" s="45"/>
      <c r="G2" s="45"/>
      <c r="H2" s="45"/>
      <c r="I2" s="45"/>
    </row>
    <row r="3" spans="1:17" ht="34" customHeight="1" x14ac:dyDescent="0.2">
      <c r="A3" s="1" t="s">
        <v>3824</v>
      </c>
      <c r="B3" s="1" t="s">
        <v>72</v>
      </c>
      <c r="C3" s="1" t="s">
        <v>3825</v>
      </c>
      <c r="D3" s="1" t="s">
        <v>3826</v>
      </c>
      <c r="E3" s="1" t="s">
        <v>3827</v>
      </c>
      <c r="F3" s="1" t="s">
        <v>3828</v>
      </c>
      <c r="G3" s="1" t="s">
        <v>3829</v>
      </c>
      <c r="H3" s="1" t="s">
        <v>3830</v>
      </c>
      <c r="I3" s="1" t="s">
        <v>3277</v>
      </c>
      <c r="J3" s="1" t="s">
        <v>3831</v>
      </c>
    </row>
    <row r="4" spans="1:17" ht="38" customHeight="1" x14ac:dyDescent="0.2">
      <c r="A4" s="2" t="s">
        <v>3832</v>
      </c>
      <c r="B4" s="2" t="s">
        <v>3833</v>
      </c>
      <c r="C4" s="2" t="s">
        <v>3834</v>
      </c>
      <c r="D4" s="2" t="s">
        <v>3835</v>
      </c>
      <c r="E4" s="6"/>
      <c r="F4" s="6"/>
      <c r="G4" s="6"/>
      <c r="H4" s="6"/>
      <c r="I4" s="6"/>
      <c r="J4" s="5"/>
    </row>
    <row r="5" spans="1:17" ht="38" customHeight="1" x14ac:dyDescent="0.2">
      <c r="A5" s="4" t="s">
        <v>3836</v>
      </c>
      <c r="B5" s="4" t="s">
        <v>3837</v>
      </c>
      <c r="C5" s="4" t="s">
        <v>3838</v>
      </c>
      <c r="D5" s="4" t="s">
        <v>3839</v>
      </c>
      <c r="E5" s="6"/>
      <c r="F5" s="6"/>
      <c r="G5" s="6"/>
      <c r="H5" s="6"/>
      <c r="I5" s="6"/>
      <c r="J5" s="5"/>
    </row>
    <row r="6" spans="1:17" ht="38" customHeight="1" x14ac:dyDescent="0.2">
      <c r="A6" s="2" t="s">
        <v>3840</v>
      </c>
      <c r="B6" s="2" t="s">
        <v>3841</v>
      </c>
      <c r="C6" s="2" t="s">
        <v>3842</v>
      </c>
      <c r="D6" s="2" t="s">
        <v>3843</v>
      </c>
      <c r="E6" s="6"/>
      <c r="F6" s="6"/>
      <c r="G6" s="6"/>
      <c r="H6" s="6"/>
      <c r="I6" s="6"/>
      <c r="J6" s="5"/>
    </row>
    <row r="7" spans="1:17" ht="38" customHeight="1" x14ac:dyDescent="0.2">
      <c r="A7" s="4" t="s">
        <v>3844</v>
      </c>
      <c r="B7" s="4" t="s">
        <v>1127</v>
      </c>
      <c r="C7" s="4" t="s">
        <v>3845</v>
      </c>
      <c r="D7" s="4" t="s">
        <v>3846</v>
      </c>
      <c r="E7" s="6"/>
      <c r="F7" s="6"/>
      <c r="G7" s="6"/>
      <c r="H7" s="6"/>
      <c r="I7" s="6"/>
      <c r="J7" s="5"/>
    </row>
    <row r="8" spans="1:17" ht="38" customHeight="1" x14ac:dyDescent="0.2">
      <c r="A8" s="2" t="s">
        <v>3847</v>
      </c>
      <c r="B8" s="2" t="s">
        <v>3848</v>
      </c>
      <c r="C8" s="2" t="s">
        <v>3849</v>
      </c>
      <c r="D8" s="2" t="s">
        <v>3850</v>
      </c>
      <c r="E8" s="6"/>
      <c r="F8" s="6"/>
      <c r="G8" s="6"/>
      <c r="H8" s="6"/>
      <c r="I8" s="6"/>
      <c r="J8" s="5"/>
    </row>
    <row r="9" spans="1:17" ht="38" customHeight="1" x14ac:dyDescent="0.2">
      <c r="A9" s="4" t="s">
        <v>3851</v>
      </c>
      <c r="B9" s="4" t="s">
        <v>3852</v>
      </c>
      <c r="C9" s="4" t="s">
        <v>3853</v>
      </c>
      <c r="D9" s="4" t="s">
        <v>3854</v>
      </c>
      <c r="E9" s="6"/>
      <c r="F9" s="6"/>
      <c r="G9" s="6"/>
      <c r="H9" s="6"/>
      <c r="I9" s="6"/>
      <c r="J9" s="5"/>
    </row>
    <row r="10" spans="1:17" ht="38" customHeight="1" x14ac:dyDescent="0.2">
      <c r="A10" s="2" t="s">
        <v>3855</v>
      </c>
      <c r="B10" s="2" t="s">
        <v>3856</v>
      </c>
      <c r="C10" s="2" t="s">
        <v>3857</v>
      </c>
      <c r="D10" s="2" t="s">
        <v>3858</v>
      </c>
      <c r="E10" s="6"/>
      <c r="F10" s="6"/>
      <c r="G10" s="6"/>
      <c r="H10" s="6"/>
      <c r="I10" s="6"/>
      <c r="J10" s="5"/>
    </row>
    <row r="11" spans="1:17" ht="38" customHeight="1" x14ac:dyDescent="0.2">
      <c r="A11" s="4" t="s">
        <v>3859</v>
      </c>
      <c r="B11" s="4" t="s">
        <v>3860</v>
      </c>
      <c r="C11" s="4" t="s">
        <v>3861</v>
      </c>
      <c r="D11" s="4" t="s">
        <v>3862</v>
      </c>
      <c r="E11" s="6"/>
      <c r="F11" s="6"/>
      <c r="G11" s="6"/>
      <c r="H11" s="6"/>
      <c r="I11" s="6"/>
      <c r="J11" s="5"/>
    </row>
    <row r="15" spans="1:17" ht="30" customHeight="1" x14ac:dyDescent="0.2">
      <c r="A15" s="46" t="s">
        <v>3863</v>
      </c>
      <c r="B15" s="45"/>
      <c r="C15" s="45"/>
      <c r="D15" s="45"/>
      <c r="E15" s="45"/>
      <c r="F15" s="45"/>
      <c r="G15" s="45"/>
      <c r="H15" s="45"/>
      <c r="I15" s="45"/>
      <c r="J15" s="45"/>
      <c r="K15" s="45"/>
      <c r="L15" s="45"/>
      <c r="M15" s="45"/>
      <c r="N15" s="45"/>
      <c r="O15" s="45"/>
      <c r="P15" s="45"/>
      <c r="Q15" s="45"/>
    </row>
    <row r="16" spans="1:17" ht="32" customHeight="1" x14ac:dyDescent="0.2">
      <c r="A16" s="1" t="s">
        <v>3864</v>
      </c>
      <c r="B16" s="1" t="s">
        <v>3865</v>
      </c>
      <c r="C16" s="1" t="s">
        <v>3866</v>
      </c>
      <c r="D16" s="1" t="s">
        <v>3867</v>
      </c>
      <c r="E16" s="1" t="s">
        <v>3868</v>
      </c>
      <c r="F16" s="1" t="s">
        <v>3869</v>
      </c>
      <c r="G16" s="1" t="s">
        <v>3870</v>
      </c>
      <c r="H16" s="1" t="s">
        <v>3871</v>
      </c>
      <c r="I16" s="1" t="s">
        <v>3872</v>
      </c>
      <c r="J16" s="1" t="s">
        <v>3873</v>
      </c>
      <c r="K16" s="1" t="s">
        <v>3874</v>
      </c>
      <c r="L16" s="1" t="s">
        <v>3875</v>
      </c>
      <c r="M16" s="1" t="s">
        <v>3876</v>
      </c>
      <c r="N16" s="1" t="s">
        <v>3277</v>
      </c>
      <c r="O16" s="1" t="s">
        <v>3877</v>
      </c>
      <c r="P16" s="1" t="s">
        <v>3111</v>
      </c>
      <c r="Q16" s="1" t="s">
        <v>3878</v>
      </c>
    </row>
    <row r="17" spans="1:17" ht="38" customHeight="1" x14ac:dyDescent="0.2">
      <c r="A17" s="6"/>
      <c r="B17" s="6"/>
      <c r="C17" s="6"/>
      <c r="D17" s="19"/>
      <c r="E17" s="19"/>
      <c r="F17" s="19"/>
      <c r="G17" s="28" t="str">
        <f t="shared" ref="G17:G46" si="0">IF(OR(COUNT(D17:E17)&lt;2,E17&lt;D17,OR(AND(D17&lt;&gt;"",OR(NOT(ISNUMBER(D17)),IFERROR(D17&lt;1,TRUE),IFERROR(INT(D17)&gt;INT(AsOfDate),TRUE))),AND(E17&lt;&gt;"",OR(NOT(ISNUMBER(E17)),IFERROR(E17&lt;1,TRUE),IFERROR(INT(E17)&gt;INT(AsOfDate),TRUE))))),"",(E17-D17)*24)</f>
        <v/>
      </c>
      <c r="H17" s="28" t="str">
        <f t="shared" ref="H17:H46" si="1">IF(OR(COUNT(D17:F17)&lt;3,F17&lt;D17,OR(AND(D17&lt;&gt;"",OR(NOT(ISNUMBER(D17)),IFERROR(D17&lt;1,TRUE),IFERROR(INT(D17)&gt;INT(AsOfDate),TRUE))),AND(F17&lt;&gt;"",OR(NOT(ISNUMBER(F17)),IFERROR(F17&lt;1,TRUE),IFERROR(INT(F17)&gt;INT(AsOfDate),TRUE))))),"",(F17-D17)*24)</f>
        <v/>
      </c>
      <c r="I17" s="6"/>
      <c r="J17" s="6"/>
      <c r="K17" s="6"/>
      <c r="L17" s="6"/>
      <c r="M17" s="6"/>
      <c r="N17" s="6"/>
      <c r="O17" s="6"/>
      <c r="P17" s="6"/>
      <c r="Q17" s="28" t="str">
        <f t="shared" ref="Q17:Q46" si="2">IF(A17="","",IF(COUNTIF($A$17:$A$46,A17)&lt;&gt;1,"Incident ID重複",IF(OR(AND(D17&lt;&gt;"",OR(NOT(ISNUMBER(D17)),IFERROR(D17&lt;1,TRUE),IFERROR(INT(D17)&gt;INT(AsOfDate),TRUE))),AND(E17&lt;&gt;"",OR(NOT(ISNUMBER(E17)),IFERROR(E17&lt;1,TRUE),IFERROR(INT(E17)&gt;INT(AsOfDate),TRUE))),AND(F17&lt;&gt;"",OR(NOT(ISNUMBER(F17)),IFERROR(F17&lt;1,TRUE),IFERROR(INT(F17)&gt;INT(AsOfDate),TRUE)))),"実績日時不正",IF(OR(AND(COUNT(D17:E17)=2,E17&lt;D17),AND(COUNT(E17:F17)=2,F17&lt;E17)),"時刻不正",IF(OR(OR(B17="",C17="",N17="",P17=""),COUNT(D17:E17)&lt;2),"受付情報不足",IF(P17="受付","受付記録あり・未復旧",IF(OR(P17="調査中",P17="対応中",P17="封じ込め"),"対応中・未復旧",IF(OR(P17="復旧",P17="解決",P17="再発防止中"),IF(OR(NOT(ISNUMBER(F17)),I17="",J17=""),"復旧記録不足",IF(AND(OR(P17="解決",P17="再発防止中"),OR(K17="",L17="",M17="",O17="")),"解決・是正記録不足",IF(P17="復旧","復旧記録あり・原因審査継続","解決記録あり・再発防止を追跡"))),"状態不正"))))))))</f>
        <v/>
      </c>
    </row>
    <row r="18" spans="1:17" ht="38" customHeight="1" x14ac:dyDescent="0.2">
      <c r="A18" s="6"/>
      <c r="B18" s="6"/>
      <c r="C18" s="6"/>
      <c r="D18" s="19"/>
      <c r="E18" s="19"/>
      <c r="F18" s="19"/>
      <c r="G18" s="28" t="str">
        <f t="shared" si="0"/>
        <v/>
      </c>
      <c r="H18" s="28" t="str">
        <f t="shared" si="1"/>
        <v/>
      </c>
      <c r="I18" s="6"/>
      <c r="J18" s="6"/>
      <c r="K18" s="6"/>
      <c r="L18" s="6"/>
      <c r="M18" s="6"/>
      <c r="N18" s="6"/>
      <c r="O18" s="6"/>
      <c r="P18" s="6"/>
      <c r="Q18" s="28" t="str">
        <f t="shared" si="2"/>
        <v/>
      </c>
    </row>
    <row r="19" spans="1:17" ht="38" customHeight="1" x14ac:dyDescent="0.2">
      <c r="A19" s="6"/>
      <c r="B19" s="6"/>
      <c r="C19" s="6"/>
      <c r="D19" s="19"/>
      <c r="E19" s="19"/>
      <c r="F19" s="19"/>
      <c r="G19" s="28" t="str">
        <f t="shared" si="0"/>
        <v/>
      </c>
      <c r="H19" s="28" t="str">
        <f t="shared" si="1"/>
        <v/>
      </c>
      <c r="I19" s="6"/>
      <c r="J19" s="6"/>
      <c r="K19" s="6"/>
      <c r="L19" s="6"/>
      <c r="M19" s="6"/>
      <c r="N19" s="6"/>
      <c r="O19" s="6"/>
      <c r="P19" s="6"/>
      <c r="Q19" s="28" t="str">
        <f t="shared" si="2"/>
        <v/>
      </c>
    </row>
    <row r="20" spans="1:17" ht="38" customHeight="1" x14ac:dyDescent="0.2">
      <c r="A20" s="6"/>
      <c r="B20" s="6"/>
      <c r="C20" s="6"/>
      <c r="D20" s="19"/>
      <c r="E20" s="19"/>
      <c r="F20" s="19"/>
      <c r="G20" s="28" t="str">
        <f t="shared" si="0"/>
        <v/>
      </c>
      <c r="H20" s="28" t="str">
        <f t="shared" si="1"/>
        <v/>
      </c>
      <c r="I20" s="6"/>
      <c r="J20" s="6"/>
      <c r="K20" s="6"/>
      <c r="L20" s="6"/>
      <c r="M20" s="6"/>
      <c r="N20" s="6"/>
      <c r="O20" s="6"/>
      <c r="P20" s="6"/>
      <c r="Q20" s="28" t="str">
        <f t="shared" si="2"/>
        <v/>
      </c>
    </row>
    <row r="21" spans="1:17" ht="38" customHeight="1" x14ac:dyDescent="0.2">
      <c r="A21" s="6"/>
      <c r="B21" s="6"/>
      <c r="C21" s="6"/>
      <c r="D21" s="19"/>
      <c r="E21" s="19"/>
      <c r="F21" s="19"/>
      <c r="G21" s="28" t="str">
        <f t="shared" si="0"/>
        <v/>
      </c>
      <c r="H21" s="28" t="str">
        <f t="shared" si="1"/>
        <v/>
      </c>
      <c r="I21" s="6"/>
      <c r="J21" s="6"/>
      <c r="K21" s="6"/>
      <c r="L21" s="6"/>
      <c r="M21" s="6"/>
      <c r="N21" s="6"/>
      <c r="O21" s="6"/>
      <c r="P21" s="6"/>
      <c r="Q21" s="28" t="str">
        <f t="shared" si="2"/>
        <v/>
      </c>
    </row>
    <row r="22" spans="1:17" ht="38" customHeight="1" x14ac:dyDescent="0.2">
      <c r="A22" s="6"/>
      <c r="B22" s="6"/>
      <c r="C22" s="6"/>
      <c r="D22" s="19"/>
      <c r="E22" s="19"/>
      <c r="F22" s="19"/>
      <c r="G22" s="28" t="str">
        <f t="shared" si="0"/>
        <v/>
      </c>
      <c r="H22" s="28" t="str">
        <f t="shared" si="1"/>
        <v/>
      </c>
      <c r="I22" s="6"/>
      <c r="J22" s="6"/>
      <c r="K22" s="6"/>
      <c r="L22" s="6"/>
      <c r="M22" s="6"/>
      <c r="N22" s="6"/>
      <c r="O22" s="6"/>
      <c r="P22" s="6"/>
      <c r="Q22" s="28" t="str">
        <f t="shared" si="2"/>
        <v/>
      </c>
    </row>
    <row r="23" spans="1:17" ht="38" customHeight="1" x14ac:dyDescent="0.2">
      <c r="A23" s="6"/>
      <c r="B23" s="6"/>
      <c r="C23" s="6"/>
      <c r="D23" s="19"/>
      <c r="E23" s="19"/>
      <c r="F23" s="19"/>
      <c r="G23" s="28" t="str">
        <f t="shared" si="0"/>
        <v/>
      </c>
      <c r="H23" s="28" t="str">
        <f t="shared" si="1"/>
        <v/>
      </c>
      <c r="I23" s="6"/>
      <c r="J23" s="6"/>
      <c r="K23" s="6"/>
      <c r="L23" s="6"/>
      <c r="M23" s="6"/>
      <c r="N23" s="6"/>
      <c r="O23" s="6"/>
      <c r="P23" s="6"/>
      <c r="Q23" s="28" t="str">
        <f t="shared" si="2"/>
        <v/>
      </c>
    </row>
    <row r="24" spans="1:17" ht="38" customHeight="1" x14ac:dyDescent="0.2">
      <c r="A24" s="6"/>
      <c r="B24" s="6"/>
      <c r="C24" s="6"/>
      <c r="D24" s="19"/>
      <c r="E24" s="19"/>
      <c r="F24" s="19"/>
      <c r="G24" s="28" t="str">
        <f t="shared" si="0"/>
        <v/>
      </c>
      <c r="H24" s="28" t="str">
        <f t="shared" si="1"/>
        <v/>
      </c>
      <c r="I24" s="6"/>
      <c r="J24" s="6"/>
      <c r="K24" s="6"/>
      <c r="L24" s="6"/>
      <c r="M24" s="6"/>
      <c r="N24" s="6"/>
      <c r="O24" s="6"/>
      <c r="P24" s="6"/>
      <c r="Q24" s="28" t="str">
        <f t="shared" si="2"/>
        <v/>
      </c>
    </row>
    <row r="25" spans="1:17" ht="38" customHeight="1" x14ac:dyDescent="0.2">
      <c r="A25" s="6"/>
      <c r="B25" s="6"/>
      <c r="C25" s="6"/>
      <c r="D25" s="19"/>
      <c r="E25" s="19"/>
      <c r="F25" s="19"/>
      <c r="G25" s="28" t="str">
        <f t="shared" si="0"/>
        <v/>
      </c>
      <c r="H25" s="28" t="str">
        <f t="shared" si="1"/>
        <v/>
      </c>
      <c r="I25" s="6"/>
      <c r="J25" s="6"/>
      <c r="K25" s="6"/>
      <c r="L25" s="6"/>
      <c r="M25" s="6"/>
      <c r="N25" s="6"/>
      <c r="O25" s="6"/>
      <c r="P25" s="6"/>
      <c r="Q25" s="28" t="str">
        <f t="shared" si="2"/>
        <v/>
      </c>
    </row>
    <row r="26" spans="1:17" ht="38" customHeight="1" x14ac:dyDescent="0.2">
      <c r="A26" s="6"/>
      <c r="B26" s="6"/>
      <c r="C26" s="6"/>
      <c r="D26" s="19"/>
      <c r="E26" s="19"/>
      <c r="F26" s="19"/>
      <c r="G26" s="28" t="str">
        <f t="shared" si="0"/>
        <v/>
      </c>
      <c r="H26" s="28" t="str">
        <f t="shared" si="1"/>
        <v/>
      </c>
      <c r="I26" s="6"/>
      <c r="J26" s="6"/>
      <c r="K26" s="6"/>
      <c r="L26" s="6"/>
      <c r="M26" s="6"/>
      <c r="N26" s="6"/>
      <c r="O26" s="6"/>
      <c r="P26" s="6"/>
      <c r="Q26" s="28" t="str">
        <f t="shared" si="2"/>
        <v/>
      </c>
    </row>
    <row r="27" spans="1:17" ht="38" customHeight="1" x14ac:dyDescent="0.2">
      <c r="A27" s="6"/>
      <c r="B27" s="6"/>
      <c r="C27" s="6"/>
      <c r="D27" s="19"/>
      <c r="E27" s="19"/>
      <c r="F27" s="19"/>
      <c r="G27" s="28" t="str">
        <f t="shared" si="0"/>
        <v/>
      </c>
      <c r="H27" s="28" t="str">
        <f t="shared" si="1"/>
        <v/>
      </c>
      <c r="I27" s="6"/>
      <c r="J27" s="6"/>
      <c r="K27" s="6"/>
      <c r="L27" s="6"/>
      <c r="M27" s="6"/>
      <c r="N27" s="6"/>
      <c r="O27" s="6"/>
      <c r="P27" s="6"/>
      <c r="Q27" s="28" t="str">
        <f t="shared" si="2"/>
        <v/>
      </c>
    </row>
    <row r="28" spans="1:17" ht="38" customHeight="1" x14ac:dyDescent="0.2">
      <c r="A28" s="6"/>
      <c r="B28" s="6"/>
      <c r="C28" s="6"/>
      <c r="D28" s="19"/>
      <c r="E28" s="19"/>
      <c r="F28" s="19"/>
      <c r="G28" s="28" t="str">
        <f t="shared" si="0"/>
        <v/>
      </c>
      <c r="H28" s="28" t="str">
        <f t="shared" si="1"/>
        <v/>
      </c>
      <c r="I28" s="6"/>
      <c r="J28" s="6"/>
      <c r="K28" s="6"/>
      <c r="L28" s="6"/>
      <c r="M28" s="6"/>
      <c r="N28" s="6"/>
      <c r="O28" s="6"/>
      <c r="P28" s="6"/>
      <c r="Q28" s="28" t="str">
        <f t="shared" si="2"/>
        <v/>
      </c>
    </row>
    <row r="29" spans="1:17" ht="38" customHeight="1" x14ac:dyDescent="0.2">
      <c r="A29" s="6"/>
      <c r="B29" s="6"/>
      <c r="C29" s="6"/>
      <c r="D29" s="19"/>
      <c r="E29" s="19"/>
      <c r="F29" s="19"/>
      <c r="G29" s="28" t="str">
        <f t="shared" si="0"/>
        <v/>
      </c>
      <c r="H29" s="28" t="str">
        <f t="shared" si="1"/>
        <v/>
      </c>
      <c r="I29" s="6"/>
      <c r="J29" s="6"/>
      <c r="K29" s="6"/>
      <c r="L29" s="6"/>
      <c r="M29" s="6"/>
      <c r="N29" s="6"/>
      <c r="O29" s="6"/>
      <c r="P29" s="6"/>
      <c r="Q29" s="28" t="str">
        <f t="shared" si="2"/>
        <v/>
      </c>
    </row>
    <row r="30" spans="1:17" ht="38" customHeight="1" x14ac:dyDescent="0.2">
      <c r="A30" s="6"/>
      <c r="B30" s="6"/>
      <c r="C30" s="6"/>
      <c r="D30" s="19"/>
      <c r="E30" s="19"/>
      <c r="F30" s="19"/>
      <c r="G30" s="28" t="str">
        <f t="shared" si="0"/>
        <v/>
      </c>
      <c r="H30" s="28" t="str">
        <f t="shared" si="1"/>
        <v/>
      </c>
      <c r="I30" s="6"/>
      <c r="J30" s="6"/>
      <c r="K30" s="6"/>
      <c r="L30" s="6"/>
      <c r="M30" s="6"/>
      <c r="N30" s="6"/>
      <c r="O30" s="6"/>
      <c r="P30" s="6"/>
      <c r="Q30" s="28" t="str">
        <f t="shared" si="2"/>
        <v/>
      </c>
    </row>
    <row r="31" spans="1:17" ht="38" customHeight="1" x14ac:dyDescent="0.2">
      <c r="A31" s="6"/>
      <c r="B31" s="6"/>
      <c r="C31" s="6"/>
      <c r="D31" s="19"/>
      <c r="E31" s="19"/>
      <c r="F31" s="19"/>
      <c r="G31" s="28" t="str">
        <f t="shared" si="0"/>
        <v/>
      </c>
      <c r="H31" s="28" t="str">
        <f t="shared" si="1"/>
        <v/>
      </c>
      <c r="I31" s="6"/>
      <c r="J31" s="6"/>
      <c r="K31" s="6"/>
      <c r="L31" s="6"/>
      <c r="M31" s="6"/>
      <c r="N31" s="6"/>
      <c r="O31" s="6"/>
      <c r="P31" s="6"/>
      <c r="Q31" s="28" t="str">
        <f t="shared" si="2"/>
        <v/>
      </c>
    </row>
    <row r="32" spans="1:17" ht="38" customHeight="1" x14ac:dyDescent="0.2">
      <c r="A32" s="6"/>
      <c r="B32" s="6"/>
      <c r="C32" s="6"/>
      <c r="D32" s="19"/>
      <c r="E32" s="19"/>
      <c r="F32" s="19"/>
      <c r="G32" s="28" t="str">
        <f t="shared" si="0"/>
        <v/>
      </c>
      <c r="H32" s="28" t="str">
        <f t="shared" si="1"/>
        <v/>
      </c>
      <c r="I32" s="6"/>
      <c r="J32" s="6"/>
      <c r="K32" s="6"/>
      <c r="L32" s="6"/>
      <c r="M32" s="6"/>
      <c r="N32" s="6"/>
      <c r="O32" s="6"/>
      <c r="P32" s="6"/>
      <c r="Q32" s="28" t="str">
        <f t="shared" si="2"/>
        <v/>
      </c>
    </row>
    <row r="33" spans="1:17" ht="38" customHeight="1" x14ac:dyDescent="0.2">
      <c r="A33" s="6"/>
      <c r="B33" s="6"/>
      <c r="C33" s="6"/>
      <c r="D33" s="19"/>
      <c r="E33" s="19"/>
      <c r="F33" s="19"/>
      <c r="G33" s="28" t="str">
        <f t="shared" si="0"/>
        <v/>
      </c>
      <c r="H33" s="28" t="str">
        <f t="shared" si="1"/>
        <v/>
      </c>
      <c r="I33" s="6"/>
      <c r="J33" s="6"/>
      <c r="K33" s="6"/>
      <c r="L33" s="6"/>
      <c r="M33" s="6"/>
      <c r="N33" s="6"/>
      <c r="O33" s="6"/>
      <c r="P33" s="6"/>
      <c r="Q33" s="28" t="str">
        <f t="shared" si="2"/>
        <v/>
      </c>
    </row>
    <row r="34" spans="1:17" ht="38" customHeight="1" x14ac:dyDescent="0.2">
      <c r="A34" s="6"/>
      <c r="B34" s="6"/>
      <c r="C34" s="6"/>
      <c r="D34" s="19"/>
      <c r="E34" s="19"/>
      <c r="F34" s="19"/>
      <c r="G34" s="28" t="str">
        <f t="shared" si="0"/>
        <v/>
      </c>
      <c r="H34" s="28" t="str">
        <f t="shared" si="1"/>
        <v/>
      </c>
      <c r="I34" s="6"/>
      <c r="J34" s="6"/>
      <c r="K34" s="6"/>
      <c r="L34" s="6"/>
      <c r="M34" s="6"/>
      <c r="N34" s="6"/>
      <c r="O34" s="6"/>
      <c r="P34" s="6"/>
      <c r="Q34" s="28" t="str">
        <f t="shared" si="2"/>
        <v/>
      </c>
    </row>
    <row r="35" spans="1:17" ht="38" customHeight="1" x14ac:dyDescent="0.2">
      <c r="A35" s="6"/>
      <c r="B35" s="6"/>
      <c r="C35" s="6"/>
      <c r="D35" s="19"/>
      <c r="E35" s="19"/>
      <c r="F35" s="19"/>
      <c r="G35" s="28" t="str">
        <f t="shared" si="0"/>
        <v/>
      </c>
      <c r="H35" s="28" t="str">
        <f t="shared" si="1"/>
        <v/>
      </c>
      <c r="I35" s="6"/>
      <c r="J35" s="6"/>
      <c r="K35" s="6"/>
      <c r="L35" s="6"/>
      <c r="M35" s="6"/>
      <c r="N35" s="6"/>
      <c r="O35" s="6"/>
      <c r="P35" s="6"/>
      <c r="Q35" s="28" t="str">
        <f t="shared" si="2"/>
        <v/>
      </c>
    </row>
    <row r="36" spans="1:17" ht="38" customHeight="1" x14ac:dyDescent="0.2">
      <c r="A36" s="6"/>
      <c r="B36" s="6"/>
      <c r="C36" s="6"/>
      <c r="D36" s="19"/>
      <c r="E36" s="19"/>
      <c r="F36" s="19"/>
      <c r="G36" s="28" t="str">
        <f t="shared" si="0"/>
        <v/>
      </c>
      <c r="H36" s="28" t="str">
        <f t="shared" si="1"/>
        <v/>
      </c>
      <c r="I36" s="6"/>
      <c r="J36" s="6"/>
      <c r="K36" s="6"/>
      <c r="L36" s="6"/>
      <c r="M36" s="6"/>
      <c r="N36" s="6"/>
      <c r="O36" s="6"/>
      <c r="P36" s="6"/>
      <c r="Q36" s="28" t="str">
        <f t="shared" si="2"/>
        <v/>
      </c>
    </row>
    <row r="37" spans="1:17" ht="38" customHeight="1" x14ac:dyDescent="0.2">
      <c r="A37" s="6"/>
      <c r="B37" s="6"/>
      <c r="C37" s="6"/>
      <c r="D37" s="19"/>
      <c r="E37" s="19"/>
      <c r="F37" s="19"/>
      <c r="G37" s="28" t="str">
        <f t="shared" si="0"/>
        <v/>
      </c>
      <c r="H37" s="28" t="str">
        <f t="shared" si="1"/>
        <v/>
      </c>
      <c r="I37" s="6"/>
      <c r="J37" s="6"/>
      <c r="K37" s="6"/>
      <c r="L37" s="6"/>
      <c r="M37" s="6"/>
      <c r="N37" s="6"/>
      <c r="O37" s="6"/>
      <c r="P37" s="6"/>
      <c r="Q37" s="28" t="str">
        <f t="shared" si="2"/>
        <v/>
      </c>
    </row>
    <row r="38" spans="1:17" ht="38" customHeight="1" x14ac:dyDescent="0.2">
      <c r="A38" s="6"/>
      <c r="B38" s="6"/>
      <c r="C38" s="6"/>
      <c r="D38" s="19"/>
      <c r="E38" s="19"/>
      <c r="F38" s="19"/>
      <c r="G38" s="28" t="str">
        <f t="shared" si="0"/>
        <v/>
      </c>
      <c r="H38" s="28" t="str">
        <f t="shared" si="1"/>
        <v/>
      </c>
      <c r="I38" s="6"/>
      <c r="J38" s="6"/>
      <c r="K38" s="6"/>
      <c r="L38" s="6"/>
      <c r="M38" s="6"/>
      <c r="N38" s="6"/>
      <c r="O38" s="6"/>
      <c r="P38" s="6"/>
      <c r="Q38" s="28" t="str">
        <f t="shared" si="2"/>
        <v/>
      </c>
    </row>
    <row r="39" spans="1:17" ht="38" customHeight="1" x14ac:dyDescent="0.2">
      <c r="A39" s="6"/>
      <c r="B39" s="6"/>
      <c r="C39" s="6"/>
      <c r="D39" s="19"/>
      <c r="E39" s="19"/>
      <c r="F39" s="19"/>
      <c r="G39" s="28" t="str">
        <f t="shared" si="0"/>
        <v/>
      </c>
      <c r="H39" s="28" t="str">
        <f t="shared" si="1"/>
        <v/>
      </c>
      <c r="I39" s="6"/>
      <c r="J39" s="6"/>
      <c r="K39" s="6"/>
      <c r="L39" s="6"/>
      <c r="M39" s="6"/>
      <c r="N39" s="6"/>
      <c r="O39" s="6"/>
      <c r="P39" s="6"/>
      <c r="Q39" s="28" t="str">
        <f t="shared" si="2"/>
        <v/>
      </c>
    </row>
    <row r="40" spans="1:17" ht="38" customHeight="1" x14ac:dyDescent="0.2">
      <c r="A40" s="6"/>
      <c r="B40" s="6"/>
      <c r="C40" s="6"/>
      <c r="D40" s="19"/>
      <c r="E40" s="19"/>
      <c r="F40" s="19"/>
      <c r="G40" s="28" t="str">
        <f t="shared" si="0"/>
        <v/>
      </c>
      <c r="H40" s="28" t="str">
        <f t="shared" si="1"/>
        <v/>
      </c>
      <c r="I40" s="6"/>
      <c r="J40" s="6"/>
      <c r="K40" s="6"/>
      <c r="L40" s="6"/>
      <c r="M40" s="6"/>
      <c r="N40" s="6"/>
      <c r="O40" s="6"/>
      <c r="P40" s="6"/>
      <c r="Q40" s="28" t="str">
        <f t="shared" si="2"/>
        <v/>
      </c>
    </row>
    <row r="41" spans="1:17" ht="38" customHeight="1" x14ac:dyDescent="0.2">
      <c r="A41" s="6"/>
      <c r="B41" s="6"/>
      <c r="C41" s="6"/>
      <c r="D41" s="19"/>
      <c r="E41" s="19"/>
      <c r="F41" s="19"/>
      <c r="G41" s="28" t="str">
        <f t="shared" si="0"/>
        <v/>
      </c>
      <c r="H41" s="28" t="str">
        <f t="shared" si="1"/>
        <v/>
      </c>
      <c r="I41" s="6"/>
      <c r="J41" s="6"/>
      <c r="K41" s="6"/>
      <c r="L41" s="6"/>
      <c r="M41" s="6"/>
      <c r="N41" s="6"/>
      <c r="O41" s="6"/>
      <c r="P41" s="6"/>
      <c r="Q41" s="28" t="str">
        <f t="shared" si="2"/>
        <v/>
      </c>
    </row>
    <row r="42" spans="1:17" ht="38" customHeight="1" x14ac:dyDescent="0.2">
      <c r="A42" s="6"/>
      <c r="B42" s="6"/>
      <c r="C42" s="6"/>
      <c r="D42" s="19"/>
      <c r="E42" s="19"/>
      <c r="F42" s="19"/>
      <c r="G42" s="28" t="str">
        <f t="shared" si="0"/>
        <v/>
      </c>
      <c r="H42" s="28" t="str">
        <f t="shared" si="1"/>
        <v/>
      </c>
      <c r="I42" s="6"/>
      <c r="J42" s="6"/>
      <c r="K42" s="6"/>
      <c r="L42" s="6"/>
      <c r="M42" s="6"/>
      <c r="N42" s="6"/>
      <c r="O42" s="6"/>
      <c r="P42" s="6"/>
      <c r="Q42" s="28" t="str">
        <f t="shared" si="2"/>
        <v/>
      </c>
    </row>
    <row r="43" spans="1:17" ht="38" customHeight="1" x14ac:dyDescent="0.2">
      <c r="A43" s="6"/>
      <c r="B43" s="6"/>
      <c r="C43" s="6"/>
      <c r="D43" s="19"/>
      <c r="E43" s="19"/>
      <c r="F43" s="19"/>
      <c r="G43" s="28" t="str">
        <f t="shared" si="0"/>
        <v/>
      </c>
      <c r="H43" s="28" t="str">
        <f t="shared" si="1"/>
        <v/>
      </c>
      <c r="I43" s="6"/>
      <c r="J43" s="6"/>
      <c r="K43" s="6"/>
      <c r="L43" s="6"/>
      <c r="M43" s="6"/>
      <c r="N43" s="6"/>
      <c r="O43" s="6"/>
      <c r="P43" s="6"/>
      <c r="Q43" s="28" t="str">
        <f t="shared" si="2"/>
        <v/>
      </c>
    </row>
    <row r="44" spans="1:17" ht="38" customHeight="1" x14ac:dyDescent="0.2">
      <c r="A44" s="6"/>
      <c r="B44" s="6"/>
      <c r="C44" s="6"/>
      <c r="D44" s="19"/>
      <c r="E44" s="19"/>
      <c r="F44" s="19"/>
      <c r="G44" s="28" t="str">
        <f t="shared" si="0"/>
        <v/>
      </c>
      <c r="H44" s="28" t="str">
        <f t="shared" si="1"/>
        <v/>
      </c>
      <c r="I44" s="6"/>
      <c r="J44" s="6"/>
      <c r="K44" s="6"/>
      <c r="L44" s="6"/>
      <c r="M44" s="6"/>
      <c r="N44" s="6"/>
      <c r="O44" s="6"/>
      <c r="P44" s="6"/>
      <c r="Q44" s="28" t="str">
        <f t="shared" si="2"/>
        <v/>
      </c>
    </row>
    <row r="45" spans="1:17" ht="38" customHeight="1" x14ac:dyDescent="0.2">
      <c r="A45" s="6"/>
      <c r="B45" s="6"/>
      <c r="C45" s="6"/>
      <c r="D45" s="19"/>
      <c r="E45" s="19"/>
      <c r="F45" s="19"/>
      <c r="G45" s="28" t="str">
        <f t="shared" si="0"/>
        <v/>
      </c>
      <c r="H45" s="28" t="str">
        <f t="shared" si="1"/>
        <v/>
      </c>
      <c r="I45" s="6"/>
      <c r="J45" s="6"/>
      <c r="K45" s="6"/>
      <c r="L45" s="6"/>
      <c r="M45" s="6"/>
      <c r="N45" s="6"/>
      <c r="O45" s="6"/>
      <c r="P45" s="6"/>
      <c r="Q45" s="28" t="str">
        <f t="shared" si="2"/>
        <v/>
      </c>
    </row>
    <row r="46" spans="1:17" ht="38" customHeight="1" x14ac:dyDescent="0.2">
      <c r="A46" s="6"/>
      <c r="B46" s="6"/>
      <c r="C46" s="6"/>
      <c r="D46" s="19"/>
      <c r="E46" s="19"/>
      <c r="F46" s="19"/>
      <c r="G46" s="28" t="str">
        <f t="shared" si="0"/>
        <v/>
      </c>
      <c r="H46" s="28" t="str">
        <f t="shared" si="1"/>
        <v/>
      </c>
      <c r="I46" s="6"/>
      <c r="J46" s="6"/>
      <c r="K46" s="6"/>
      <c r="L46" s="6"/>
      <c r="M46" s="6"/>
      <c r="N46" s="6"/>
      <c r="O46" s="6"/>
      <c r="P46" s="6"/>
      <c r="Q46" s="28" t="str">
        <f t="shared" si="2"/>
        <v/>
      </c>
    </row>
  </sheetData>
  <autoFilter ref="A3:J11" xr:uid="{00000000-0009-0000-0000-000015000000}"/>
  <mergeCells count="3">
    <mergeCell ref="A2:I2"/>
    <mergeCell ref="A15:Q15"/>
    <mergeCell ref="A1:G1"/>
  </mergeCells>
  <phoneticPr fontId="12"/>
  <conditionalFormatting sqref="Q17:Q46">
    <cfRule type="expression" dxfId="38" priority="1">
      <formula>ISNUMBER(SEARCH("不足",Q17))</formula>
    </cfRule>
    <cfRule type="expression" dxfId="37" priority="2">
      <formula>ISNUMBER(SEARCH("不正",Q17))</formula>
    </cfRule>
    <cfRule type="expression" dxfId="36" priority="3">
      <formula>ISNUMBER(SEARCH("未判定",Q17))</formula>
    </cfRule>
    <cfRule type="expression" dxfId="35" priority="4">
      <formula>ISNUMBER(SEARCH("未承認",Q17))</formula>
    </cfRule>
    <cfRule type="expression" dxfId="34" priority="5">
      <formula>ISNUMBER(SEARCH("超過",Q17))</formula>
    </cfRule>
    <cfRule type="expression" dxfId="33" priority="6">
      <formula>ISNUMBER(SEARCH("要確認",Q17))</formula>
    </cfRule>
  </conditionalFormatting>
  <dataValidations count="1">
    <dataValidation type="list" allowBlank="1" showErrorMessage="1" errorTitle="入力値を確認" error="候補・値域を確認してください。貼付や外部取込後も点検が必要です。" sqref="P17:P46" xr:uid="{00000000-0002-0000-1500-000000000000}">
      <formula1>"受付,調査中,対応中,封じ込め,復旧,解決,再発防止中"</formula1>
    </dataValidation>
  </dataValidations>
  <pageMargins left="0.25" right="0.25" top="0.4" bottom="0.4" header="0.5" footer="0.5"/>
  <pageSetup paperSize="8" fitToHeight="0" orientation="landscape"/>
  <headerFooter>
    <oddFooter>&amp;CAI自社事業PJ v1.0 | &amp;A&amp;R&amp;P / &amp;N</oddFooter>
  </headerFooter>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05494"/>
    <outlinePr summaryRight="0"/>
    <pageSetUpPr fitToPage="1"/>
  </sheetPr>
  <dimension ref="A1:W43"/>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4" customWidth="1"/>
    <col min="2" max="2" width="29" customWidth="1"/>
    <col min="3" max="3" width="88" customWidth="1"/>
    <col min="4" max="4" width="33" customWidth="1"/>
    <col min="5" max="5" width="53" customWidth="1"/>
    <col min="6" max="6" width="58" customWidth="1"/>
    <col min="7" max="7" width="57" customWidth="1"/>
    <col min="8" max="8" width="24" customWidth="1"/>
    <col min="9" max="9" width="20" customWidth="1"/>
    <col min="10" max="10" width="28" customWidth="1"/>
    <col min="11" max="11" width="20" customWidth="1"/>
    <col min="12" max="12" width="66" customWidth="1"/>
    <col min="13" max="13" width="65" customWidth="1"/>
    <col min="14" max="14" width="25" customWidth="1"/>
    <col min="15" max="15" width="30" customWidth="1"/>
    <col min="16" max="23" width="21" customWidth="1"/>
  </cols>
  <sheetData>
    <row r="1" spans="1:23" ht="34" customHeight="1" x14ac:dyDescent="0.55000000000000004">
      <c r="A1" s="44" t="s">
        <v>3879</v>
      </c>
      <c r="B1" s="45"/>
      <c r="C1" s="45"/>
      <c r="D1" s="45"/>
      <c r="E1" s="45"/>
      <c r="F1" s="45"/>
      <c r="G1" s="45"/>
    </row>
    <row r="2" spans="1:23" ht="43" customHeight="1" x14ac:dyDescent="0.2">
      <c r="A2" s="47" t="s">
        <v>3880</v>
      </c>
      <c r="B2" s="45"/>
      <c r="C2" s="45"/>
      <c r="D2" s="45"/>
      <c r="E2" s="45"/>
      <c r="F2" s="45"/>
      <c r="G2" s="45"/>
      <c r="H2" s="45"/>
      <c r="I2" s="45"/>
    </row>
    <row r="3" spans="1:23" ht="36" customHeight="1" x14ac:dyDescent="0.2">
      <c r="A3" s="1" t="s">
        <v>3881</v>
      </c>
      <c r="B3" s="1" t="s">
        <v>3127</v>
      </c>
      <c r="C3" s="1" t="s">
        <v>3882</v>
      </c>
      <c r="D3" s="1" t="s">
        <v>2894</v>
      </c>
      <c r="E3" s="1" t="s">
        <v>3883</v>
      </c>
      <c r="F3" s="1" t="s">
        <v>3884</v>
      </c>
      <c r="G3" s="1" t="s">
        <v>3885</v>
      </c>
      <c r="H3" s="1" t="s">
        <v>3886</v>
      </c>
      <c r="I3" s="1" t="s">
        <v>3887</v>
      </c>
      <c r="J3" s="1" t="s">
        <v>3567</v>
      </c>
      <c r="K3" s="1" t="s">
        <v>3422</v>
      </c>
      <c r="L3" s="1" t="s">
        <v>3110</v>
      </c>
      <c r="M3" s="1" t="s">
        <v>3888</v>
      </c>
      <c r="N3" s="1" t="s">
        <v>3111</v>
      </c>
      <c r="O3" s="1" t="s">
        <v>3664</v>
      </c>
      <c r="P3" s="1" t="s">
        <v>3889</v>
      </c>
      <c r="Q3" s="1" t="s">
        <v>3890</v>
      </c>
      <c r="R3" s="1" t="s">
        <v>3891</v>
      </c>
      <c r="S3" s="1" t="s">
        <v>3620</v>
      </c>
      <c r="T3" s="1" t="s">
        <v>3892</v>
      </c>
      <c r="U3" s="1" t="s">
        <v>3893</v>
      </c>
      <c r="V3" s="1" t="s">
        <v>3894</v>
      </c>
      <c r="W3" s="1" t="s">
        <v>3895</v>
      </c>
    </row>
    <row r="4" spans="1:23" ht="38" customHeight="1" x14ac:dyDescent="0.2">
      <c r="A4" s="2" t="s">
        <v>3896</v>
      </c>
      <c r="B4" s="2" t="s">
        <v>3897</v>
      </c>
      <c r="C4" s="2" t="s">
        <v>3898</v>
      </c>
      <c r="D4" s="2" t="s">
        <v>3899</v>
      </c>
      <c r="E4" s="6"/>
      <c r="F4" s="6"/>
      <c r="G4" s="6"/>
      <c r="H4" s="6"/>
      <c r="I4" s="5"/>
      <c r="J4" s="6"/>
      <c r="K4" s="5"/>
      <c r="L4" s="6"/>
      <c r="M4" s="6"/>
      <c r="N4" s="6" t="s">
        <v>3629</v>
      </c>
      <c r="O4" s="28" t="str">
        <f t="shared" ref="O4:O43" si="0">IF(A4="","",IF(OR(AND(I4&lt;&gt;"",OR(NOT(ISNUMBER(I4)),IFERROR(I4&lt;1,TRUE),IFERROR(INT(I4)&gt;INT(AsOfDate),TRUE))),AND(K4&lt;&gt;"",OR(NOT(ISNUMBER(K4)),IFERROR(K4&lt;1,TRUE),IFERROR(INT(K4)&gt;INT(AsOfDate),TRUE)))),"処理実績日不正",IF(AND(COUNT(I4,K4)=2,K4&lt;I4),"処理確認日逆転",IF(N4="対象外承認",IF(OR(G4="",J4="",NOT(ISNUMBER(K4)),L4=""),"対象外承認不足","対象外決定記録済"),IF(N4="保全継続",IF(OR(E4="",G4="",J4="",L4="",P4="",R4="",COUNT(K4,Q4,S4)&lt;3),"保全条件不足",IF(OR(Q4&lt;AsOfDate,S4&lt;AsOfDate),"保全期限・再確認超過","保全継続・決定記録済")),IF(N4&lt;&gt;"完了","未完了",IF(OR(OR(E4="",F4="",H4="",J4="",L4=""),COUNT(I4,K4)&lt;2),"終了証拠不足",IF(H4=J4,"独立確認不足","処理完了記録済"))))))))</f>
        <v>未完了</v>
      </c>
      <c r="P4" s="29"/>
      <c r="Q4" s="32"/>
      <c r="R4" s="29"/>
      <c r="S4" s="32"/>
      <c r="T4" s="29"/>
      <c r="U4" s="28">
        <f t="shared" ref="U4:U43" si="1">IF(AND(O4="処理完了記録済",F4="削除"),1,0)</f>
        <v>0</v>
      </c>
      <c r="V4" s="28">
        <f t="shared" ref="V4:V43" si="2">IF(O4="保全継続・決定記録済",1,0)</f>
        <v>0</v>
      </c>
      <c r="W4" s="28">
        <f t="shared" ref="W4:W43" si="3">IF(OR(O4="処理完了記録済",O4="対象外決定記録済",O4="保全継続・決定記録済"),1,0)</f>
        <v>0</v>
      </c>
    </row>
    <row r="5" spans="1:23" ht="38" customHeight="1" x14ac:dyDescent="0.2">
      <c r="A5" s="4" t="s">
        <v>3900</v>
      </c>
      <c r="B5" s="4" t="s">
        <v>3901</v>
      </c>
      <c r="C5" s="4" t="s">
        <v>3902</v>
      </c>
      <c r="D5" s="4" t="s">
        <v>1527</v>
      </c>
      <c r="E5" s="6"/>
      <c r="F5" s="6"/>
      <c r="G5" s="6"/>
      <c r="H5" s="6"/>
      <c r="I5" s="5"/>
      <c r="J5" s="6"/>
      <c r="K5" s="5"/>
      <c r="L5" s="6"/>
      <c r="M5" s="6"/>
      <c r="N5" s="6" t="s">
        <v>3629</v>
      </c>
      <c r="O5" s="28" t="str">
        <f t="shared" si="0"/>
        <v>未完了</v>
      </c>
      <c r="P5" s="29"/>
      <c r="Q5" s="32"/>
      <c r="R5" s="29"/>
      <c r="S5" s="32"/>
      <c r="T5" s="29"/>
      <c r="U5" s="28">
        <f t="shared" si="1"/>
        <v>0</v>
      </c>
      <c r="V5" s="28">
        <f t="shared" si="2"/>
        <v>0</v>
      </c>
      <c r="W5" s="28">
        <f t="shared" si="3"/>
        <v>0</v>
      </c>
    </row>
    <row r="6" spans="1:23" ht="38" customHeight="1" x14ac:dyDescent="0.2">
      <c r="A6" s="2" t="s">
        <v>3903</v>
      </c>
      <c r="B6" s="2" t="s">
        <v>3904</v>
      </c>
      <c r="C6" s="2" t="s">
        <v>3905</v>
      </c>
      <c r="D6" s="2" t="s">
        <v>1495</v>
      </c>
      <c r="E6" s="6"/>
      <c r="F6" s="6"/>
      <c r="G6" s="6"/>
      <c r="H6" s="6"/>
      <c r="I6" s="5"/>
      <c r="J6" s="6"/>
      <c r="K6" s="5"/>
      <c r="L6" s="6"/>
      <c r="M6" s="6"/>
      <c r="N6" s="6" t="s">
        <v>3629</v>
      </c>
      <c r="O6" s="28" t="str">
        <f t="shared" si="0"/>
        <v>未完了</v>
      </c>
      <c r="P6" s="29"/>
      <c r="Q6" s="32"/>
      <c r="R6" s="29"/>
      <c r="S6" s="32"/>
      <c r="T6" s="29"/>
      <c r="U6" s="28">
        <f t="shared" si="1"/>
        <v>0</v>
      </c>
      <c r="V6" s="28">
        <f t="shared" si="2"/>
        <v>0</v>
      </c>
      <c r="W6" s="28">
        <f t="shared" si="3"/>
        <v>0</v>
      </c>
    </row>
    <row r="7" spans="1:23" ht="38" customHeight="1" x14ac:dyDescent="0.2">
      <c r="A7" s="4" t="s">
        <v>3906</v>
      </c>
      <c r="B7" s="4" t="s">
        <v>3907</v>
      </c>
      <c r="C7" s="4" t="s">
        <v>3908</v>
      </c>
      <c r="D7" s="4" t="s">
        <v>3909</v>
      </c>
      <c r="E7" s="6"/>
      <c r="F7" s="6"/>
      <c r="G7" s="6"/>
      <c r="H7" s="6"/>
      <c r="I7" s="5"/>
      <c r="J7" s="6"/>
      <c r="K7" s="5"/>
      <c r="L7" s="6"/>
      <c r="M7" s="6"/>
      <c r="N7" s="6" t="s">
        <v>3629</v>
      </c>
      <c r="O7" s="28" t="str">
        <f t="shared" si="0"/>
        <v>未完了</v>
      </c>
      <c r="P7" s="29"/>
      <c r="Q7" s="32"/>
      <c r="R7" s="29"/>
      <c r="S7" s="32"/>
      <c r="T7" s="29"/>
      <c r="U7" s="28">
        <f t="shared" si="1"/>
        <v>0</v>
      </c>
      <c r="V7" s="28">
        <f t="shared" si="2"/>
        <v>0</v>
      </c>
      <c r="W7" s="28">
        <f t="shared" si="3"/>
        <v>0</v>
      </c>
    </row>
    <row r="8" spans="1:23" ht="38" customHeight="1" x14ac:dyDescent="0.2">
      <c r="A8" s="2" t="s">
        <v>3910</v>
      </c>
      <c r="B8" s="2" t="s">
        <v>3911</v>
      </c>
      <c r="C8" s="2" t="s">
        <v>3912</v>
      </c>
      <c r="D8" s="2" t="s">
        <v>1503</v>
      </c>
      <c r="E8" s="6"/>
      <c r="F8" s="6"/>
      <c r="G8" s="6"/>
      <c r="H8" s="6"/>
      <c r="I8" s="5"/>
      <c r="J8" s="6"/>
      <c r="K8" s="5"/>
      <c r="L8" s="6"/>
      <c r="M8" s="6"/>
      <c r="N8" s="6" t="s">
        <v>3629</v>
      </c>
      <c r="O8" s="28" t="str">
        <f t="shared" si="0"/>
        <v>未完了</v>
      </c>
      <c r="P8" s="29"/>
      <c r="Q8" s="32"/>
      <c r="R8" s="29"/>
      <c r="S8" s="32"/>
      <c r="T8" s="29"/>
      <c r="U8" s="28">
        <f t="shared" si="1"/>
        <v>0</v>
      </c>
      <c r="V8" s="28">
        <f t="shared" si="2"/>
        <v>0</v>
      </c>
      <c r="W8" s="28">
        <f t="shared" si="3"/>
        <v>0</v>
      </c>
    </row>
    <row r="9" spans="1:23" ht="38" customHeight="1" x14ac:dyDescent="0.2">
      <c r="A9" s="4" t="s">
        <v>3913</v>
      </c>
      <c r="B9" s="4" t="s">
        <v>3914</v>
      </c>
      <c r="C9" s="4" t="s">
        <v>3915</v>
      </c>
      <c r="D9" s="4" t="s">
        <v>3916</v>
      </c>
      <c r="E9" s="6"/>
      <c r="F9" s="6"/>
      <c r="G9" s="6"/>
      <c r="H9" s="6"/>
      <c r="I9" s="5"/>
      <c r="J9" s="6"/>
      <c r="K9" s="5"/>
      <c r="L9" s="6"/>
      <c r="M9" s="6"/>
      <c r="N9" s="6" t="s">
        <v>3629</v>
      </c>
      <c r="O9" s="28" t="str">
        <f t="shared" si="0"/>
        <v>未完了</v>
      </c>
      <c r="P9" s="29"/>
      <c r="Q9" s="32"/>
      <c r="R9" s="29"/>
      <c r="S9" s="32"/>
      <c r="T9" s="29"/>
      <c r="U9" s="28">
        <f t="shared" si="1"/>
        <v>0</v>
      </c>
      <c r="V9" s="28">
        <f t="shared" si="2"/>
        <v>0</v>
      </c>
      <c r="W9" s="28">
        <f t="shared" si="3"/>
        <v>0</v>
      </c>
    </row>
    <row r="10" spans="1:23" ht="38" customHeight="1" x14ac:dyDescent="0.2">
      <c r="A10" s="2" t="s">
        <v>3917</v>
      </c>
      <c r="B10" s="2" t="s">
        <v>3918</v>
      </c>
      <c r="C10" s="2" t="s">
        <v>3919</v>
      </c>
      <c r="D10" s="2" t="s">
        <v>1520</v>
      </c>
      <c r="E10" s="6"/>
      <c r="F10" s="6"/>
      <c r="G10" s="6"/>
      <c r="H10" s="6"/>
      <c r="I10" s="5"/>
      <c r="J10" s="6"/>
      <c r="K10" s="5"/>
      <c r="L10" s="6"/>
      <c r="M10" s="6"/>
      <c r="N10" s="6" t="s">
        <v>3629</v>
      </c>
      <c r="O10" s="28" t="str">
        <f t="shared" si="0"/>
        <v>未完了</v>
      </c>
      <c r="P10" s="29"/>
      <c r="Q10" s="32"/>
      <c r="R10" s="29"/>
      <c r="S10" s="32"/>
      <c r="T10" s="29"/>
      <c r="U10" s="28">
        <f t="shared" si="1"/>
        <v>0</v>
      </c>
      <c r="V10" s="28">
        <f t="shared" si="2"/>
        <v>0</v>
      </c>
      <c r="W10" s="28">
        <f t="shared" si="3"/>
        <v>0</v>
      </c>
    </row>
    <row r="11" spans="1:23" ht="38" customHeight="1" x14ac:dyDescent="0.2">
      <c r="A11" s="4" t="s">
        <v>3920</v>
      </c>
      <c r="B11" s="4" t="s">
        <v>3921</v>
      </c>
      <c r="C11" s="4" t="s">
        <v>3922</v>
      </c>
      <c r="D11" s="4" t="s">
        <v>1529</v>
      </c>
      <c r="E11" s="6"/>
      <c r="F11" s="6"/>
      <c r="G11" s="6"/>
      <c r="H11" s="6"/>
      <c r="I11" s="5"/>
      <c r="J11" s="6"/>
      <c r="K11" s="5"/>
      <c r="L11" s="6"/>
      <c r="M11" s="6"/>
      <c r="N11" s="6" t="s">
        <v>3629</v>
      </c>
      <c r="O11" s="28" t="str">
        <f t="shared" si="0"/>
        <v>未完了</v>
      </c>
      <c r="P11" s="29"/>
      <c r="Q11" s="32"/>
      <c r="R11" s="29"/>
      <c r="S11" s="32"/>
      <c r="T11" s="29"/>
      <c r="U11" s="28">
        <f t="shared" si="1"/>
        <v>0</v>
      </c>
      <c r="V11" s="28">
        <f t="shared" si="2"/>
        <v>0</v>
      </c>
      <c r="W11" s="28">
        <f t="shared" si="3"/>
        <v>0</v>
      </c>
    </row>
    <row r="12" spans="1:23" ht="38" customHeight="1" x14ac:dyDescent="0.2">
      <c r="A12" s="2" t="s">
        <v>3923</v>
      </c>
      <c r="B12" s="2" t="s">
        <v>3924</v>
      </c>
      <c r="C12" s="2" t="s">
        <v>3925</v>
      </c>
      <c r="D12" s="2" t="s">
        <v>1538</v>
      </c>
      <c r="E12" s="6"/>
      <c r="F12" s="6"/>
      <c r="G12" s="6"/>
      <c r="H12" s="6"/>
      <c r="I12" s="5"/>
      <c r="J12" s="6"/>
      <c r="K12" s="5"/>
      <c r="L12" s="6"/>
      <c r="M12" s="6"/>
      <c r="N12" s="6" t="s">
        <v>3629</v>
      </c>
      <c r="O12" s="28" t="str">
        <f t="shared" si="0"/>
        <v>未完了</v>
      </c>
      <c r="P12" s="29"/>
      <c r="Q12" s="32"/>
      <c r="R12" s="29"/>
      <c r="S12" s="32"/>
      <c r="T12" s="29"/>
      <c r="U12" s="28">
        <f t="shared" si="1"/>
        <v>0</v>
      </c>
      <c r="V12" s="28">
        <f t="shared" si="2"/>
        <v>0</v>
      </c>
      <c r="W12" s="28">
        <f t="shared" si="3"/>
        <v>0</v>
      </c>
    </row>
    <row r="13" spans="1:23" ht="38" customHeight="1" x14ac:dyDescent="0.2">
      <c r="A13" s="4" t="s">
        <v>3926</v>
      </c>
      <c r="B13" s="4" t="s">
        <v>3927</v>
      </c>
      <c r="C13" s="4" t="s">
        <v>3928</v>
      </c>
      <c r="D13" s="4" t="s">
        <v>1546</v>
      </c>
      <c r="E13" s="6"/>
      <c r="F13" s="6"/>
      <c r="G13" s="6"/>
      <c r="H13" s="6"/>
      <c r="I13" s="5"/>
      <c r="J13" s="6"/>
      <c r="K13" s="5"/>
      <c r="L13" s="6"/>
      <c r="M13" s="6"/>
      <c r="N13" s="6" t="s">
        <v>3629</v>
      </c>
      <c r="O13" s="28" t="str">
        <f t="shared" si="0"/>
        <v>未完了</v>
      </c>
      <c r="P13" s="29"/>
      <c r="Q13" s="32"/>
      <c r="R13" s="29"/>
      <c r="S13" s="32"/>
      <c r="T13" s="29"/>
      <c r="U13" s="28">
        <f t="shared" si="1"/>
        <v>0</v>
      </c>
      <c r="V13" s="28">
        <f t="shared" si="2"/>
        <v>0</v>
      </c>
      <c r="W13" s="28">
        <f t="shared" si="3"/>
        <v>0</v>
      </c>
    </row>
    <row r="14" spans="1:23" ht="38" customHeight="1" x14ac:dyDescent="0.2">
      <c r="A14" s="2"/>
      <c r="B14" s="2"/>
      <c r="C14" s="2"/>
      <c r="D14" s="2"/>
      <c r="E14" s="6"/>
      <c r="F14" s="6"/>
      <c r="G14" s="6"/>
      <c r="H14" s="6"/>
      <c r="I14" s="5"/>
      <c r="J14" s="6"/>
      <c r="K14" s="5"/>
      <c r="L14" s="6"/>
      <c r="M14" s="6"/>
      <c r="N14" s="6"/>
      <c r="O14" s="28" t="str">
        <f t="shared" si="0"/>
        <v/>
      </c>
      <c r="P14" s="29"/>
      <c r="Q14" s="32"/>
      <c r="R14" s="29"/>
      <c r="S14" s="32"/>
      <c r="T14" s="29"/>
      <c r="U14" s="28">
        <f t="shared" si="1"/>
        <v>0</v>
      </c>
      <c r="V14" s="28">
        <f t="shared" si="2"/>
        <v>0</v>
      </c>
      <c r="W14" s="28">
        <f t="shared" si="3"/>
        <v>0</v>
      </c>
    </row>
    <row r="15" spans="1:23" ht="38" customHeight="1" x14ac:dyDescent="0.2">
      <c r="A15" s="4"/>
      <c r="B15" s="4"/>
      <c r="C15" s="4"/>
      <c r="D15" s="4"/>
      <c r="E15" s="6"/>
      <c r="F15" s="6"/>
      <c r="G15" s="6"/>
      <c r="H15" s="6"/>
      <c r="I15" s="5"/>
      <c r="J15" s="6"/>
      <c r="K15" s="5"/>
      <c r="L15" s="6"/>
      <c r="M15" s="6"/>
      <c r="N15" s="6"/>
      <c r="O15" s="28" t="str">
        <f t="shared" si="0"/>
        <v/>
      </c>
      <c r="P15" s="29"/>
      <c r="Q15" s="32"/>
      <c r="R15" s="29"/>
      <c r="S15" s="32"/>
      <c r="T15" s="29"/>
      <c r="U15" s="28">
        <f t="shared" si="1"/>
        <v>0</v>
      </c>
      <c r="V15" s="28">
        <f t="shared" si="2"/>
        <v>0</v>
      </c>
      <c r="W15" s="28">
        <f t="shared" si="3"/>
        <v>0</v>
      </c>
    </row>
    <row r="16" spans="1:23" ht="38" customHeight="1" x14ac:dyDescent="0.2">
      <c r="A16" s="2"/>
      <c r="B16" s="2"/>
      <c r="C16" s="2"/>
      <c r="D16" s="2"/>
      <c r="E16" s="6"/>
      <c r="F16" s="6"/>
      <c r="G16" s="6"/>
      <c r="H16" s="6"/>
      <c r="I16" s="5"/>
      <c r="J16" s="6"/>
      <c r="K16" s="5"/>
      <c r="L16" s="6"/>
      <c r="M16" s="6"/>
      <c r="N16" s="6"/>
      <c r="O16" s="28" t="str">
        <f t="shared" si="0"/>
        <v/>
      </c>
      <c r="P16" s="29"/>
      <c r="Q16" s="32"/>
      <c r="R16" s="29"/>
      <c r="S16" s="32"/>
      <c r="T16" s="29"/>
      <c r="U16" s="28">
        <f t="shared" si="1"/>
        <v>0</v>
      </c>
      <c r="V16" s="28">
        <f t="shared" si="2"/>
        <v>0</v>
      </c>
      <c r="W16" s="28">
        <f t="shared" si="3"/>
        <v>0</v>
      </c>
    </row>
    <row r="17" spans="1:23" ht="38" customHeight="1" x14ac:dyDescent="0.2">
      <c r="A17" s="4"/>
      <c r="B17" s="4"/>
      <c r="C17" s="4"/>
      <c r="D17" s="4"/>
      <c r="E17" s="6"/>
      <c r="F17" s="6"/>
      <c r="G17" s="6"/>
      <c r="H17" s="6"/>
      <c r="I17" s="5"/>
      <c r="J17" s="6"/>
      <c r="K17" s="5"/>
      <c r="L17" s="6"/>
      <c r="M17" s="6"/>
      <c r="N17" s="6"/>
      <c r="O17" s="28" t="str">
        <f t="shared" si="0"/>
        <v/>
      </c>
      <c r="P17" s="29"/>
      <c r="Q17" s="32"/>
      <c r="R17" s="29"/>
      <c r="S17" s="32"/>
      <c r="T17" s="29"/>
      <c r="U17" s="28">
        <f t="shared" si="1"/>
        <v>0</v>
      </c>
      <c r="V17" s="28">
        <f t="shared" si="2"/>
        <v>0</v>
      </c>
      <c r="W17" s="28">
        <f t="shared" si="3"/>
        <v>0</v>
      </c>
    </row>
    <row r="18" spans="1:23" ht="38" customHeight="1" x14ac:dyDescent="0.2">
      <c r="A18" s="2"/>
      <c r="B18" s="2"/>
      <c r="C18" s="2"/>
      <c r="D18" s="2"/>
      <c r="E18" s="6"/>
      <c r="F18" s="6"/>
      <c r="G18" s="6"/>
      <c r="H18" s="6"/>
      <c r="I18" s="5"/>
      <c r="J18" s="6"/>
      <c r="K18" s="5"/>
      <c r="L18" s="6"/>
      <c r="M18" s="6"/>
      <c r="N18" s="6"/>
      <c r="O18" s="28" t="str">
        <f t="shared" si="0"/>
        <v/>
      </c>
      <c r="P18" s="29"/>
      <c r="Q18" s="32"/>
      <c r="R18" s="29"/>
      <c r="S18" s="32"/>
      <c r="T18" s="29"/>
      <c r="U18" s="28">
        <f t="shared" si="1"/>
        <v>0</v>
      </c>
      <c r="V18" s="28">
        <f t="shared" si="2"/>
        <v>0</v>
      </c>
      <c r="W18" s="28">
        <f t="shared" si="3"/>
        <v>0</v>
      </c>
    </row>
    <row r="19" spans="1:23" ht="38" customHeight="1" x14ac:dyDescent="0.2">
      <c r="A19" s="4"/>
      <c r="B19" s="4"/>
      <c r="C19" s="4"/>
      <c r="D19" s="4"/>
      <c r="E19" s="6"/>
      <c r="F19" s="6"/>
      <c r="G19" s="6"/>
      <c r="H19" s="6"/>
      <c r="I19" s="5"/>
      <c r="J19" s="6"/>
      <c r="K19" s="5"/>
      <c r="L19" s="6"/>
      <c r="M19" s="6"/>
      <c r="N19" s="6"/>
      <c r="O19" s="28" t="str">
        <f t="shared" si="0"/>
        <v/>
      </c>
      <c r="P19" s="29"/>
      <c r="Q19" s="32"/>
      <c r="R19" s="29"/>
      <c r="S19" s="32"/>
      <c r="T19" s="29"/>
      <c r="U19" s="28">
        <f t="shared" si="1"/>
        <v>0</v>
      </c>
      <c r="V19" s="28">
        <f t="shared" si="2"/>
        <v>0</v>
      </c>
      <c r="W19" s="28">
        <f t="shared" si="3"/>
        <v>0</v>
      </c>
    </row>
    <row r="20" spans="1:23" ht="38" customHeight="1" x14ac:dyDescent="0.2">
      <c r="A20" s="2"/>
      <c r="B20" s="2"/>
      <c r="C20" s="2"/>
      <c r="D20" s="2"/>
      <c r="E20" s="6"/>
      <c r="F20" s="6"/>
      <c r="G20" s="6"/>
      <c r="H20" s="6"/>
      <c r="I20" s="5"/>
      <c r="J20" s="6"/>
      <c r="K20" s="5"/>
      <c r="L20" s="6"/>
      <c r="M20" s="6"/>
      <c r="N20" s="6"/>
      <c r="O20" s="28" t="str">
        <f t="shared" si="0"/>
        <v/>
      </c>
      <c r="P20" s="29"/>
      <c r="Q20" s="32"/>
      <c r="R20" s="29"/>
      <c r="S20" s="32"/>
      <c r="T20" s="29"/>
      <c r="U20" s="28">
        <f t="shared" si="1"/>
        <v>0</v>
      </c>
      <c r="V20" s="28">
        <f t="shared" si="2"/>
        <v>0</v>
      </c>
      <c r="W20" s="28">
        <f t="shared" si="3"/>
        <v>0</v>
      </c>
    </row>
    <row r="21" spans="1:23" ht="38" customHeight="1" x14ac:dyDescent="0.2">
      <c r="A21" s="4"/>
      <c r="B21" s="4"/>
      <c r="C21" s="4"/>
      <c r="D21" s="4"/>
      <c r="E21" s="6"/>
      <c r="F21" s="6"/>
      <c r="G21" s="6"/>
      <c r="H21" s="6"/>
      <c r="I21" s="5"/>
      <c r="J21" s="6"/>
      <c r="K21" s="5"/>
      <c r="L21" s="6"/>
      <c r="M21" s="6"/>
      <c r="N21" s="6"/>
      <c r="O21" s="28" t="str">
        <f t="shared" si="0"/>
        <v/>
      </c>
      <c r="P21" s="29"/>
      <c r="Q21" s="32"/>
      <c r="R21" s="29"/>
      <c r="S21" s="32"/>
      <c r="T21" s="29"/>
      <c r="U21" s="28">
        <f t="shared" si="1"/>
        <v>0</v>
      </c>
      <c r="V21" s="28">
        <f t="shared" si="2"/>
        <v>0</v>
      </c>
      <c r="W21" s="28">
        <f t="shared" si="3"/>
        <v>0</v>
      </c>
    </row>
    <row r="22" spans="1:23" ht="38" customHeight="1" x14ac:dyDescent="0.2">
      <c r="A22" s="2"/>
      <c r="B22" s="2"/>
      <c r="C22" s="2"/>
      <c r="D22" s="2"/>
      <c r="E22" s="6"/>
      <c r="F22" s="6"/>
      <c r="G22" s="6"/>
      <c r="H22" s="6"/>
      <c r="I22" s="5"/>
      <c r="J22" s="6"/>
      <c r="K22" s="5"/>
      <c r="L22" s="6"/>
      <c r="M22" s="6"/>
      <c r="N22" s="6"/>
      <c r="O22" s="28" t="str">
        <f t="shared" si="0"/>
        <v/>
      </c>
      <c r="P22" s="29"/>
      <c r="Q22" s="32"/>
      <c r="R22" s="29"/>
      <c r="S22" s="32"/>
      <c r="T22" s="29"/>
      <c r="U22" s="28">
        <f t="shared" si="1"/>
        <v>0</v>
      </c>
      <c r="V22" s="28">
        <f t="shared" si="2"/>
        <v>0</v>
      </c>
      <c r="W22" s="28">
        <f t="shared" si="3"/>
        <v>0</v>
      </c>
    </row>
    <row r="23" spans="1:23" ht="38" customHeight="1" x14ac:dyDescent="0.2">
      <c r="A23" s="4"/>
      <c r="B23" s="4"/>
      <c r="C23" s="4"/>
      <c r="D23" s="4"/>
      <c r="E23" s="6"/>
      <c r="F23" s="6"/>
      <c r="G23" s="6"/>
      <c r="H23" s="6"/>
      <c r="I23" s="5"/>
      <c r="J23" s="6"/>
      <c r="K23" s="5"/>
      <c r="L23" s="6"/>
      <c r="M23" s="6"/>
      <c r="N23" s="6"/>
      <c r="O23" s="28" t="str">
        <f t="shared" si="0"/>
        <v/>
      </c>
      <c r="P23" s="29"/>
      <c r="Q23" s="32"/>
      <c r="R23" s="29"/>
      <c r="S23" s="32"/>
      <c r="T23" s="29"/>
      <c r="U23" s="28">
        <f t="shared" si="1"/>
        <v>0</v>
      </c>
      <c r="V23" s="28">
        <f t="shared" si="2"/>
        <v>0</v>
      </c>
      <c r="W23" s="28">
        <f t="shared" si="3"/>
        <v>0</v>
      </c>
    </row>
    <row r="24" spans="1:23" ht="38" customHeight="1" x14ac:dyDescent="0.2">
      <c r="A24" s="2"/>
      <c r="B24" s="2"/>
      <c r="C24" s="2"/>
      <c r="D24" s="2"/>
      <c r="E24" s="6"/>
      <c r="F24" s="6"/>
      <c r="G24" s="6"/>
      <c r="H24" s="6"/>
      <c r="I24" s="5"/>
      <c r="J24" s="6"/>
      <c r="K24" s="5"/>
      <c r="L24" s="6"/>
      <c r="M24" s="6"/>
      <c r="N24" s="6"/>
      <c r="O24" s="28" t="str">
        <f t="shared" si="0"/>
        <v/>
      </c>
      <c r="P24" s="29"/>
      <c r="Q24" s="32"/>
      <c r="R24" s="29"/>
      <c r="S24" s="32"/>
      <c r="T24" s="29"/>
      <c r="U24" s="28">
        <f t="shared" si="1"/>
        <v>0</v>
      </c>
      <c r="V24" s="28">
        <f t="shared" si="2"/>
        <v>0</v>
      </c>
      <c r="W24" s="28">
        <f t="shared" si="3"/>
        <v>0</v>
      </c>
    </row>
    <row r="25" spans="1:23" ht="38" customHeight="1" x14ac:dyDescent="0.2">
      <c r="A25" s="4"/>
      <c r="B25" s="4"/>
      <c r="C25" s="4"/>
      <c r="D25" s="4"/>
      <c r="E25" s="6"/>
      <c r="F25" s="6"/>
      <c r="G25" s="6"/>
      <c r="H25" s="6"/>
      <c r="I25" s="5"/>
      <c r="J25" s="6"/>
      <c r="K25" s="5"/>
      <c r="L25" s="6"/>
      <c r="M25" s="6"/>
      <c r="N25" s="6"/>
      <c r="O25" s="28" t="str">
        <f t="shared" si="0"/>
        <v/>
      </c>
      <c r="P25" s="29"/>
      <c r="Q25" s="32"/>
      <c r="R25" s="29"/>
      <c r="S25" s="32"/>
      <c r="T25" s="29"/>
      <c r="U25" s="28">
        <f t="shared" si="1"/>
        <v>0</v>
      </c>
      <c r="V25" s="28">
        <f t="shared" si="2"/>
        <v>0</v>
      </c>
      <c r="W25" s="28">
        <f t="shared" si="3"/>
        <v>0</v>
      </c>
    </row>
    <row r="26" spans="1:23" ht="38" customHeight="1" x14ac:dyDescent="0.2">
      <c r="A26" s="2"/>
      <c r="B26" s="2"/>
      <c r="C26" s="2"/>
      <c r="D26" s="2"/>
      <c r="E26" s="6"/>
      <c r="F26" s="6"/>
      <c r="G26" s="6"/>
      <c r="H26" s="6"/>
      <c r="I26" s="5"/>
      <c r="J26" s="6"/>
      <c r="K26" s="5"/>
      <c r="L26" s="6"/>
      <c r="M26" s="6"/>
      <c r="N26" s="6"/>
      <c r="O26" s="28" t="str">
        <f t="shared" si="0"/>
        <v/>
      </c>
      <c r="P26" s="29"/>
      <c r="Q26" s="32"/>
      <c r="R26" s="29"/>
      <c r="S26" s="32"/>
      <c r="T26" s="29"/>
      <c r="U26" s="28">
        <f t="shared" si="1"/>
        <v>0</v>
      </c>
      <c r="V26" s="28">
        <f t="shared" si="2"/>
        <v>0</v>
      </c>
      <c r="W26" s="28">
        <f t="shared" si="3"/>
        <v>0</v>
      </c>
    </row>
    <row r="27" spans="1:23" ht="38" customHeight="1" x14ac:dyDescent="0.2">
      <c r="A27" s="4"/>
      <c r="B27" s="4"/>
      <c r="C27" s="4"/>
      <c r="D27" s="4"/>
      <c r="E27" s="6"/>
      <c r="F27" s="6"/>
      <c r="G27" s="6"/>
      <c r="H27" s="6"/>
      <c r="I27" s="5"/>
      <c r="J27" s="6"/>
      <c r="K27" s="5"/>
      <c r="L27" s="6"/>
      <c r="M27" s="6"/>
      <c r="N27" s="6"/>
      <c r="O27" s="28" t="str">
        <f t="shared" si="0"/>
        <v/>
      </c>
      <c r="P27" s="29"/>
      <c r="Q27" s="32"/>
      <c r="R27" s="29"/>
      <c r="S27" s="32"/>
      <c r="T27" s="29"/>
      <c r="U27" s="28">
        <f t="shared" si="1"/>
        <v>0</v>
      </c>
      <c r="V27" s="28">
        <f t="shared" si="2"/>
        <v>0</v>
      </c>
      <c r="W27" s="28">
        <f t="shared" si="3"/>
        <v>0</v>
      </c>
    </row>
    <row r="28" spans="1:23" ht="38" customHeight="1" x14ac:dyDescent="0.2">
      <c r="A28" s="2"/>
      <c r="B28" s="2"/>
      <c r="C28" s="2"/>
      <c r="D28" s="2"/>
      <c r="E28" s="6"/>
      <c r="F28" s="6"/>
      <c r="G28" s="6"/>
      <c r="H28" s="6"/>
      <c r="I28" s="5"/>
      <c r="J28" s="6"/>
      <c r="K28" s="5"/>
      <c r="L28" s="6"/>
      <c r="M28" s="6"/>
      <c r="N28" s="6"/>
      <c r="O28" s="28" t="str">
        <f t="shared" si="0"/>
        <v/>
      </c>
      <c r="P28" s="29"/>
      <c r="Q28" s="32"/>
      <c r="R28" s="29"/>
      <c r="S28" s="32"/>
      <c r="T28" s="29"/>
      <c r="U28" s="28">
        <f t="shared" si="1"/>
        <v>0</v>
      </c>
      <c r="V28" s="28">
        <f t="shared" si="2"/>
        <v>0</v>
      </c>
      <c r="W28" s="28">
        <f t="shared" si="3"/>
        <v>0</v>
      </c>
    </row>
    <row r="29" spans="1:23" ht="38" customHeight="1" x14ac:dyDescent="0.2">
      <c r="A29" s="4"/>
      <c r="B29" s="4"/>
      <c r="C29" s="4"/>
      <c r="D29" s="4"/>
      <c r="E29" s="6"/>
      <c r="F29" s="6"/>
      <c r="G29" s="6"/>
      <c r="H29" s="6"/>
      <c r="I29" s="5"/>
      <c r="J29" s="6"/>
      <c r="K29" s="5"/>
      <c r="L29" s="6"/>
      <c r="M29" s="6"/>
      <c r="N29" s="6"/>
      <c r="O29" s="28" t="str">
        <f t="shared" si="0"/>
        <v/>
      </c>
      <c r="P29" s="29"/>
      <c r="Q29" s="32"/>
      <c r="R29" s="29"/>
      <c r="S29" s="32"/>
      <c r="T29" s="29"/>
      <c r="U29" s="28">
        <f t="shared" si="1"/>
        <v>0</v>
      </c>
      <c r="V29" s="28">
        <f t="shared" si="2"/>
        <v>0</v>
      </c>
      <c r="W29" s="28">
        <f t="shared" si="3"/>
        <v>0</v>
      </c>
    </row>
    <row r="30" spans="1:23" ht="38" customHeight="1" x14ac:dyDescent="0.2">
      <c r="A30" s="2"/>
      <c r="B30" s="2"/>
      <c r="C30" s="2"/>
      <c r="D30" s="2"/>
      <c r="E30" s="6"/>
      <c r="F30" s="6"/>
      <c r="G30" s="6"/>
      <c r="H30" s="6"/>
      <c r="I30" s="5"/>
      <c r="J30" s="6"/>
      <c r="K30" s="5"/>
      <c r="L30" s="6"/>
      <c r="M30" s="6"/>
      <c r="N30" s="6"/>
      <c r="O30" s="28" t="str">
        <f t="shared" si="0"/>
        <v/>
      </c>
      <c r="P30" s="29"/>
      <c r="Q30" s="32"/>
      <c r="R30" s="29"/>
      <c r="S30" s="32"/>
      <c r="T30" s="29"/>
      <c r="U30" s="28">
        <f t="shared" si="1"/>
        <v>0</v>
      </c>
      <c r="V30" s="28">
        <f t="shared" si="2"/>
        <v>0</v>
      </c>
      <c r="W30" s="28">
        <f t="shared" si="3"/>
        <v>0</v>
      </c>
    </row>
    <row r="31" spans="1:23" ht="38" customHeight="1" x14ac:dyDescent="0.2">
      <c r="A31" s="4"/>
      <c r="B31" s="4"/>
      <c r="C31" s="4"/>
      <c r="D31" s="4"/>
      <c r="E31" s="6"/>
      <c r="F31" s="6"/>
      <c r="G31" s="6"/>
      <c r="H31" s="6"/>
      <c r="I31" s="5"/>
      <c r="J31" s="6"/>
      <c r="K31" s="5"/>
      <c r="L31" s="6"/>
      <c r="M31" s="6"/>
      <c r="N31" s="6"/>
      <c r="O31" s="28" t="str">
        <f t="shared" si="0"/>
        <v/>
      </c>
      <c r="P31" s="29"/>
      <c r="Q31" s="32"/>
      <c r="R31" s="29"/>
      <c r="S31" s="32"/>
      <c r="T31" s="29"/>
      <c r="U31" s="28">
        <f t="shared" si="1"/>
        <v>0</v>
      </c>
      <c r="V31" s="28">
        <f t="shared" si="2"/>
        <v>0</v>
      </c>
      <c r="W31" s="28">
        <f t="shared" si="3"/>
        <v>0</v>
      </c>
    </row>
    <row r="32" spans="1:23" ht="38" customHeight="1" x14ac:dyDescent="0.2">
      <c r="A32" s="2"/>
      <c r="B32" s="2"/>
      <c r="C32" s="2"/>
      <c r="D32" s="2"/>
      <c r="E32" s="6"/>
      <c r="F32" s="6"/>
      <c r="G32" s="6"/>
      <c r="H32" s="6"/>
      <c r="I32" s="5"/>
      <c r="J32" s="6"/>
      <c r="K32" s="5"/>
      <c r="L32" s="6"/>
      <c r="M32" s="6"/>
      <c r="N32" s="6"/>
      <c r="O32" s="28" t="str">
        <f t="shared" si="0"/>
        <v/>
      </c>
      <c r="P32" s="29"/>
      <c r="Q32" s="32"/>
      <c r="R32" s="29"/>
      <c r="S32" s="32"/>
      <c r="T32" s="29"/>
      <c r="U32" s="28">
        <f t="shared" si="1"/>
        <v>0</v>
      </c>
      <c r="V32" s="28">
        <f t="shared" si="2"/>
        <v>0</v>
      </c>
      <c r="W32" s="28">
        <f t="shared" si="3"/>
        <v>0</v>
      </c>
    </row>
    <row r="33" spans="1:23" ht="38" customHeight="1" x14ac:dyDescent="0.2">
      <c r="A33" s="4"/>
      <c r="B33" s="4"/>
      <c r="C33" s="4"/>
      <c r="D33" s="4"/>
      <c r="E33" s="6"/>
      <c r="F33" s="6"/>
      <c r="G33" s="6"/>
      <c r="H33" s="6"/>
      <c r="I33" s="5"/>
      <c r="J33" s="6"/>
      <c r="K33" s="5"/>
      <c r="L33" s="6"/>
      <c r="M33" s="6"/>
      <c r="N33" s="6"/>
      <c r="O33" s="28" t="str">
        <f t="shared" si="0"/>
        <v/>
      </c>
      <c r="P33" s="29"/>
      <c r="Q33" s="32"/>
      <c r="R33" s="29"/>
      <c r="S33" s="32"/>
      <c r="T33" s="29"/>
      <c r="U33" s="28">
        <f t="shared" si="1"/>
        <v>0</v>
      </c>
      <c r="V33" s="28">
        <f t="shared" si="2"/>
        <v>0</v>
      </c>
      <c r="W33" s="28">
        <f t="shared" si="3"/>
        <v>0</v>
      </c>
    </row>
    <row r="34" spans="1:23" ht="38" customHeight="1" x14ac:dyDescent="0.2">
      <c r="A34" s="2"/>
      <c r="B34" s="2"/>
      <c r="C34" s="2"/>
      <c r="D34" s="2"/>
      <c r="E34" s="6"/>
      <c r="F34" s="6"/>
      <c r="G34" s="6"/>
      <c r="H34" s="6"/>
      <c r="I34" s="5"/>
      <c r="J34" s="6"/>
      <c r="K34" s="5"/>
      <c r="L34" s="6"/>
      <c r="M34" s="6"/>
      <c r="N34" s="6"/>
      <c r="O34" s="28" t="str">
        <f t="shared" si="0"/>
        <v/>
      </c>
      <c r="P34" s="29"/>
      <c r="Q34" s="32"/>
      <c r="R34" s="29"/>
      <c r="S34" s="32"/>
      <c r="T34" s="29"/>
      <c r="U34" s="28">
        <f t="shared" si="1"/>
        <v>0</v>
      </c>
      <c r="V34" s="28">
        <f t="shared" si="2"/>
        <v>0</v>
      </c>
      <c r="W34" s="28">
        <f t="shared" si="3"/>
        <v>0</v>
      </c>
    </row>
    <row r="35" spans="1:23" ht="38" customHeight="1" x14ac:dyDescent="0.2">
      <c r="A35" s="4"/>
      <c r="B35" s="4"/>
      <c r="C35" s="4"/>
      <c r="D35" s="4"/>
      <c r="E35" s="6"/>
      <c r="F35" s="6"/>
      <c r="G35" s="6"/>
      <c r="H35" s="6"/>
      <c r="I35" s="5"/>
      <c r="J35" s="6"/>
      <c r="K35" s="5"/>
      <c r="L35" s="6"/>
      <c r="M35" s="6"/>
      <c r="N35" s="6"/>
      <c r="O35" s="28" t="str">
        <f t="shared" si="0"/>
        <v/>
      </c>
      <c r="P35" s="29"/>
      <c r="Q35" s="32"/>
      <c r="R35" s="29"/>
      <c r="S35" s="32"/>
      <c r="T35" s="29"/>
      <c r="U35" s="28">
        <f t="shared" si="1"/>
        <v>0</v>
      </c>
      <c r="V35" s="28">
        <f t="shared" si="2"/>
        <v>0</v>
      </c>
      <c r="W35" s="28">
        <f t="shared" si="3"/>
        <v>0</v>
      </c>
    </row>
    <row r="36" spans="1:23" ht="38" customHeight="1" x14ac:dyDescent="0.2">
      <c r="A36" s="2"/>
      <c r="B36" s="2"/>
      <c r="C36" s="2"/>
      <c r="D36" s="2"/>
      <c r="E36" s="6"/>
      <c r="F36" s="6"/>
      <c r="G36" s="6"/>
      <c r="H36" s="6"/>
      <c r="I36" s="5"/>
      <c r="J36" s="6"/>
      <c r="K36" s="5"/>
      <c r="L36" s="6"/>
      <c r="M36" s="6"/>
      <c r="N36" s="6"/>
      <c r="O36" s="28" t="str">
        <f t="shared" si="0"/>
        <v/>
      </c>
      <c r="P36" s="29"/>
      <c r="Q36" s="32"/>
      <c r="R36" s="29"/>
      <c r="S36" s="32"/>
      <c r="T36" s="29"/>
      <c r="U36" s="28">
        <f t="shared" si="1"/>
        <v>0</v>
      </c>
      <c r="V36" s="28">
        <f t="shared" si="2"/>
        <v>0</v>
      </c>
      <c r="W36" s="28">
        <f t="shared" si="3"/>
        <v>0</v>
      </c>
    </row>
    <row r="37" spans="1:23" ht="38" customHeight="1" x14ac:dyDescent="0.2">
      <c r="A37" s="4"/>
      <c r="B37" s="4"/>
      <c r="C37" s="4"/>
      <c r="D37" s="4"/>
      <c r="E37" s="6"/>
      <c r="F37" s="6"/>
      <c r="G37" s="6"/>
      <c r="H37" s="6"/>
      <c r="I37" s="5"/>
      <c r="J37" s="6"/>
      <c r="K37" s="5"/>
      <c r="L37" s="6"/>
      <c r="M37" s="6"/>
      <c r="N37" s="6"/>
      <c r="O37" s="28" t="str">
        <f t="shared" si="0"/>
        <v/>
      </c>
      <c r="P37" s="29"/>
      <c r="Q37" s="32"/>
      <c r="R37" s="29"/>
      <c r="S37" s="32"/>
      <c r="T37" s="29"/>
      <c r="U37" s="28">
        <f t="shared" si="1"/>
        <v>0</v>
      </c>
      <c r="V37" s="28">
        <f t="shared" si="2"/>
        <v>0</v>
      </c>
      <c r="W37" s="28">
        <f t="shared" si="3"/>
        <v>0</v>
      </c>
    </row>
    <row r="38" spans="1:23" ht="38" customHeight="1" x14ac:dyDescent="0.2">
      <c r="A38" s="2"/>
      <c r="B38" s="2"/>
      <c r="C38" s="2"/>
      <c r="D38" s="2"/>
      <c r="E38" s="6"/>
      <c r="F38" s="6"/>
      <c r="G38" s="6"/>
      <c r="H38" s="6"/>
      <c r="I38" s="5"/>
      <c r="J38" s="6"/>
      <c r="K38" s="5"/>
      <c r="L38" s="6"/>
      <c r="M38" s="6"/>
      <c r="N38" s="6"/>
      <c r="O38" s="28" t="str">
        <f t="shared" si="0"/>
        <v/>
      </c>
      <c r="P38" s="29"/>
      <c r="Q38" s="32"/>
      <c r="R38" s="29"/>
      <c r="S38" s="32"/>
      <c r="T38" s="29"/>
      <c r="U38" s="28">
        <f t="shared" si="1"/>
        <v>0</v>
      </c>
      <c r="V38" s="28">
        <f t="shared" si="2"/>
        <v>0</v>
      </c>
      <c r="W38" s="28">
        <f t="shared" si="3"/>
        <v>0</v>
      </c>
    </row>
    <row r="39" spans="1:23" ht="38" customHeight="1" x14ac:dyDescent="0.2">
      <c r="A39" s="4"/>
      <c r="B39" s="4"/>
      <c r="C39" s="4"/>
      <c r="D39" s="4"/>
      <c r="E39" s="6"/>
      <c r="F39" s="6"/>
      <c r="G39" s="6"/>
      <c r="H39" s="6"/>
      <c r="I39" s="5"/>
      <c r="J39" s="6"/>
      <c r="K39" s="5"/>
      <c r="L39" s="6"/>
      <c r="M39" s="6"/>
      <c r="N39" s="6"/>
      <c r="O39" s="28" t="str">
        <f t="shared" si="0"/>
        <v/>
      </c>
      <c r="P39" s="29"/>
      <c r="Q39" s="32"/>
      <c r="R39" s="29"/>
      <c r="S39" s="32"/>
      <c r="T39" s="29"/>
      <c r="U39" s="28">
        <f t="shared" si="1"/>
        <v>0</v>
      </c>
      <c r="V39" s="28">
        <f t="shared" si="2"/>
        <v>0</v>
      </c>
      <c r="W39" s="28">
        <f t="shared" si="3"/>
        <v>0</v>
      </c>
    </row>
    <row r="40" spans="1:23" ht="38" customHeight="1" x14ac:dyDescent="0.2">
      <c r="A40" s="2"/>
      <c r="B40" s="2"/>
      <c r="C40" s="2"/>
      <c r="D40" s="2"/>
      <c r="E40" s="6"/>
      <c r="F40" s="6"/>
      <c r="G40" s="6"/>
      <c r="H40" s="6"/>
      <c r="I40" s="5"/>
      <c r="J40" s="6"/>
      <c r="K40" s="5"/>
      <c r="L40" s="6"/>
      <c r="M40" s="6"/>
      <c r="N40" s="6"/>
      <c r="O40" s="28" t="str">
        <f t="shared" si="0"/>
        <v/>
      </c>
      <c r="P40" s="29"/>
      <c r="Q40" s="32"/>
      <c r="R40" s="29"/>
      <c r="S40" s="32"/>
      <c r="T40" s="29"/>
      <c r="U40" s="28">
        <f t="shared" si="1"/>
        <v>0</v>
      </c>
      <c r="V40" s="28">
        <f t="shared" si="2"/>
        <v>0</v>
      </c>
      <c r="W40" s="28">
        <f t="shared" si="3"/>
        <v>0</v>
      </c>
    </row>
    <row r="41" spans="1:23" ht="38" customHeight="1" x14ac:dyDescent="0.2">
      <c r="A41" s="4"/>
      <c r="B41" s="4"/>
      <c r="C41" s="4"/>
      <c r="D41" s="4"/>
      <c r="E41" s="6"/>
      <c r="F41" s="6"/>
      <c r="G41" s="6"/>
      <c r="H41" s="6"/>
      <c r="I41" s="5"/>
      <c r="J41" s="6"/>
      <c r="K41" s="5"/>
      <c r="L41" s="6"/>
      <c r="M41" s="6"/>
      <c r="N41" s="6"/>
      <c r="O41" s="28" t="str">
        <f t="shared" si="0"/>
        <v/>
      </c>
      <c r="P41" s="29"/>
      <c r="Q41" s="32"/>
      <c r="R41" s="29"/>
      <c r="S41" s="32"/>
      <c r="T41" s="29"/>
      <c r="U41" s="28">
        <f t="shared" si="1"/>
        <v>0</v>
      </c>
      <c r="V41" s="28">
        <f t="shared" si="2"/>
        <v>0</v>
      </c>
      <c r="W41" s="28">
        <f t="shared" si="3"/>
        <v>0</v>
      </c>
    </row>
    <row r="42" spans="1:23" ht="38" customHeight="1" x14ac:dyDescent="0.2">
      <c r="A42" s="2"/>
      <c r="B42" s="2"/>
      <c r="C42" s="2"/>
      <c r="D42" s="2"/>
      <c r="E42" s="6"/>
      <c r="F42" s="6"/>
      <c r="G42" s="6"/>
      <c r="H42" s="6"/>
      <c r="I42" s="5"/>
      <c r="J42" s="6"/>
      <c r="K42" s="5"/>
      <c r="L42" s="6"/>
      <c r="M42" s="6"/>
      <c r="N42" s="6"/>
      <c r="O42" s="28" t="str">
        <f t="shared" si="0"/>
        <v/>
      </c>
      <c r="P42" s="29"/>
      <c r="Q42" s="32"/>
      <c r="R42" s="29"/>
      <c r="S42" s="32"/>
      <c r="T42" s="29"/>
      <c r="U42" s="28">
        <f t="shared" si="1"/>
        <v>0</v>
      </c>
      <c r="V42" s="28">
        <f t="shared" si="2"/>
        <v>0</v>
      </c>
      <c r="W42" s="28">
        <f t="shared" si="3"/>
        <v>0</v>
      </c>
    </row>
    <row r="43" spans="1:23" ht="38" customHeight="1" x14ac:dyDescent="0.2">
      <c r="A43" s="4"/>
      <c r="B43" s="4"/>
      <c r="C43" s="4"/>
      <c r="D43" s="4"/>
      <c r="E43" s="6"/>
      <c r="F43" s="6"/>
      <c r="G43" s="6"/>
      <c r="H43" s="6"/>
      <c r="I43" s="5"/>
      <c r="J43" s="6"/>
      <c r="K43" s="5"/>
      <c r="L43" s="6"/>
      <c r="M43" s="6"/>
      <c r="N43" s="6"/>
      <c r="O43" s="28" t="str">
        <f t="shared" si="0"/>
        <v/>
      </c>
      <c r="P43" s="29"/>
      <c r="Q43" s="32"/>
      <c r="R43" s="29"/>
      <c r="S43" s="32"/>
      <c r="T43" s="29"/>
      <c r="U43" s="28">
        <f t="shared" si="1"/>
        <v>0</v>
      </c>
      <c r="V43" s="28">
        <f t="shared" si="2"/>
        <v>0</v>
      </c>
      <c r="W43" s="28">
        <f t="shared" si="3"/>
        <v>0</v>
      </c>
    </row>
  </sheetData>
  <autoFilter ref="A3:W43" xr:uid="{00000000-0009-0000-0000-000016000000}"/>
  <mergeCells count="2">
    <mergeCell ref="A2:I2"/>
    <mergeCell ref="A1:G1"/>
  </mergeCells>
  <phoneticPr fontId="12"/>
  <conditionalFormatting sqref="O4:O43">
    <cfRule type="expression" dxfId="32" priority="1">
      <formula>ISNUMBER(SEARCH("不足",O4))</formula>
    </cfRule>
    <cfRule type="expression" dxfId="31" priority="2">
      <formula>ISNUMBER(SEARCH("不正",O4))</formula>
    </cfRule>
    <cfRule type="expression" dxfId="30" priority="3">
      <formula>ISNUMBER(SEARCH("未判定",O4))</formula>
    </cfRule>
    <cfRule type="expression" dxfId="29" priority="4">
      <formula>ISNUMBER(SEARCH("未承認",O4))</formula>
    </cfRule>
    <cfRule type="expression" dxfId="28" priority="5">
      <formula>ISNUMBER(SEARCH("超過",O4))</formula>
    </cfRule>
    <cfRule type="expression" dxfId="27" priority="6">
      <formula>ISNUMBER(SEARCH("要確認",O4))</formula>
    </cfRule>
    <cfRule type="expression" dxfId="26" priority="7">
      <formula>OR(ISNUMBER(SEARCH("不正",O4)),ISNUMBER(SEARCH("不足",O4)),ISNUMBER(SEARCH("超過",O4)),ISNUMBER(SEARCH("不一致",O4)),ISNUMBER(SEARCH("失効",O4)),ISNUMBER(SEARCH("矛盾",O4)))</formula>
    </cfRule>
  </conditionalFormatting>
  <dataValidations count="2">
    <dataValidation type="list" allowBlank="1" showErrorMessage="1" errorTitle="入力値を確認" error="選択肢から入力してください。" sqref="N4:N43" xr:uid="{00000000-0002-0000-1600-000000000000}">
      <formula1>"未着手,進行中,保全継続,完了,対象外承認"</formula1>
    </dataValidation>
    <dataValidation type="date" allowBlank="1" showErrorMessage="1" error="日付形式で入力してください。" sqref="I4:I43 K4:K43" xr:uid="{00000000-0002-0000-1600-000001000000}">
      <formula1>DATE(2000,1,1)</formula1>
      <formula2>DATE(2100,12,31)</formula2>
    </dataValidation>
  </dataValidations>
  <pageMargins left="0.25" right="0.25" top="0.4" bottom="0.4" header="0.5" footer="0.5"/>
  <pageSetup paperSize="8" fitToHeight="0" orientation="landscape"/>
  <headerFooter>
    <oddFooter>&amp;CAI自社事業PJ v1.0 | &amp;A&amp;R&amp;P / &amp;N</oddFooter>
  </headerFooter>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5494"/>
    <outlinePr summaryRight="0"/>
    <pageSetUpPr fitToPage="1"/>
  </sheetPr>
  <dimension ref="A1:N13"/>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8" customWidth="1"/>
    <col min="2" max="2" width="31" customWidth="1"/>
    <col min="3" max="3" width="45" customWidth="1"/>
    <col min="4" max="4" width="104" customWidth="1"/>
    <col min="5" max="5" width="24" customWidth="1"/>
    <col min="6" max="6" width="49" customWidth="1"/>
    <col min="7" max="7" width="38" customWidth="1"/>
    <col min="8" max="8" width="24" customWidth="1"/>
    <col min="9" max="10" width="20" customWidth="1"/>
    <col min="11" max="11" width="64" customWidth="1"/>
    <col min="12" max="12" width="66" customWidth="1"/>
    <col min="13" max="13" width="59" customWidth="1"/>
    <col min="14" max="14" width="25" customWidth="1"/>
  </cols>
  <sheetData>
    <row r="1" spans="1:14" ht="34" customHeight="1" x14ac:dyDescent="0.55000000000000004">
      <c r="A1" s="44" t="s">
        <v>3929</v>
      </c>
      <c r="B1" s="45"/>
      <c r="C1" s="45"/>
      <c r="D1" s="45"/>
      <c r="E1" s="45"/>
      <c r="F1" s="45"/>
      <c r="G1" s="45"/>
    </row>
    <row r="2" spans="1:14" ht="43" customHeight="1" x14ac:dyDescent="0.2">
      <c r="A2" s="47" t="s">
        <v>3930</v>
      </c>
      <c r="B2" s="45"/>
      <c r="C2" s="45"/>
      <c r="D2" s="45"/>
      <c r="E2" s="45"/>
      <c r="F2" s="45"/>
      <c r="G2" s="45"/>
      <c r="H2" s="45"/>
      <c r="I2" s="45"/>
    </row>
    <row r="3" spans="1:14" ht="34" customHeight="1" x14ac:dyDescent="0.2">
      <c r="A3" s="1" t="s">
        <v>3931</v>
      </c>
      <c r="B3" s="1" t="s">
        <v>3932</v>
      </c>
      <c r="C3" s="1" t="s">
        <v>3933</v>
      </c>
      <c r="D3" s="1" t="s">
        <v>3934</v>
      </c>
      <c r="E3" s="1" t="s">
        <v>3278</v>
      </c>
      <c r="F3" s="1" t="s">
        <v>3935</v>
      </c>
      <c r="G3" s="1" t="s">
        <v>3936</v>
      </c>
      <c r="H3" s="1" t="s">
        <v>3277</v>
      </c>
      <c r="I3" s="1" t="s">
        <v>3937</v>
      </c>
      <c r="J3" s="1" t="s">
        <v>3938</v>
      </c>
      <c r="K3" s="1" t="s">
        <v>3939</v>
      </c>
      <c r="L3" s="1" t="s">
        <v>3940</v>
      </c>
      <c r="M3" s="1" t="s">
        <v>3941</v>
      </c>
      <c r="N3" s="1" t="s">
        <v>3111</v>
      </c>
    </row>
    <row r="4" spans="1:14" ht="38" customHeight="1" x14ac:dyDescent="0.2">
      <c r="A4" s="2" t="s">
        <v>3942</v>
      </c>
      <c r="B4" s="2" t="s">
        <v>3943</v>
      </c>
      <c r="C4" s="2" t="s">
        <v>3944</v>
      </c>
      <c r="D4" s="2" t="s">
        <v>3945</v>
      </c>
      <c r="E4" s="2" t="s">
        <v>3946</v>
      </c>
      <c r="F4" s="6"/>
      <c r="G4" s="6"/>
      <c r="H4" s="6"/>
      <c r="I4" s="5"/>
      <c r="J4" s="5"/>
      <c r="K4" s="6"/>
      <c r="L4" s="6"/>
      <c r="M4" s="6"/>
      <c r="N4" s="6" t="s">
        <v>1598</v>
      </c>
    </row>
    <row r="5" spans="1:14" ht="38" customHeight="1" x14ac:dyDescent="0.2">
      <c r="A5" s="4" t="s">
        <v>3947</v>
      </c>
      <c r="B5" s="4" t="s">
        <v>3948</v>
      </c>
      <c r="C5" s="4" t="s">
        <v>3949</v>
      </c>
      <c r="D5" s="4" t="s">
        <v>3950</v>
      </c>
      <c r="E5" s="4" t="s">
        <v>481</v>
      </c>
      <c r="F5" s="6"/>
      <c r="G5" s="6"/>
      <c r="H5" s="6"/>
      <c r="I5" s="5"/>
      <c r="J5" s="5"/>
      <c r="K5" s="6"/>
      <c r="L5" s="6"/>
      <c r="M5" s="6"/>
      <c r="N5" s="6" t="s">
        <v>1598</v>
      </c>
    </row>
    <row r="6" spans="1:14" ht="38" customHeight="1" x14ac:dyDescent="0.2">
      <c r="A6" s="2" t="s">
        <v>3951</v>
      </c>
      <c r="B6" s="2" t="s">
        <v>3952</v>
      </c>
      <c r="C6" s="2" t="s">
        <v>3953</v>
      </c>
      <c r="D6" s="2" t="s">
        <v>3954</v>
      </c>
      <c r="E6" s="2" t="s">
        <v>481</v>
      </c>
      <c r="F6" s="6"/>
      <c r="G6" s="6"/>
      <c r="H6" s="6"/>
      <c r="I6" s="5"/>
      <c r="J6" s="5"/>
      <c r="K6" s="6"/>
      <c r="L6" s="6"/>
      <c r="M6" s="6"/>
      <c r="N6" s="6" t="s">
        <v>1598</v>
      </c>
    </row>
    <row r="7" spans="1:14" ht="38" customHeight="1" x14ac:dyDescent="0.2">
      <c r="A7" s="4" t="s">
        <v>3955</v>
      </c>
      <c r="B7" s="4" t="s">
        <v>3956</v>
      </c>
      <c r="C7" s="4" t="s">
        <v>3957</v>
      </c>
      <c r="D7" s="4" t="s">
        <v>3958</v>
      </c>
      <c r="E7" s="4" t="s">
        <v>571</v>
      </c>
      <c r="F7" s="6"/>
      <c r="G7" s="6"/>
      <c r="H7" s="6"/>
      <c r="I7" s="5"/>
      <c r="J7" s="5"/>
      <c r="K7" s="6"/>
      <c r="L7" s="6"/>
      <c r="M7" s="6"/>
      <c r="N7" s="6" t="s">
        <v>1598</v>
      </c>
    </row>
    <row r="8" spans="1:14" ht="38" customHeight="1" x14ac:dyDescent="0.2">
      <c r="A8" s="2" t="s">
        <v>3959</v>
      </c>
      <c r="B8" s="2" t="s">
        <v>3960</v>
      </c>
      <c r="C8" s="2" t="s">
        <v>3961</v>
      </c>
      <c r="D8" s="2" t="s">
        <v>3962</v>
      </c>
      <c r="E8" s="2" t="s">
        <v>571</v>
      </c>
      <c r="F8" s="6"/>
      <c r="G8" s="6"/>
      <c r="H8" s="6"/>
      <c r="I8" s="5"/>
      <c r="J8" s="5"/>
      <c r="K8" s="6"/>
      <c r="L8" s="6"/>
      <c r="M8" s="6"/>
      <c r="N8" s="6" t="s">
        <v>1598</v>
      </c>
    </row>
    <row r="9" spans="1:14" ht="38" customHeight="1" x14ac:dyDescent="0.2">
      <c r="A9" s="4" t="s">
        <v>3963</v>
      </c>
      <c r="B9" s="4" t="s">
        <v>3964</v>
      </c>
      <c r="C9" s="4" t="s">
        <v>3965</v>
      </c>
      <c r="D9" s="4" t="s">
        <v>3966</v>
      </c>
      <c r="E9" s="4" t="s">
        <v>881</v>
      </c>
      <c r="F9" s="6"/>
      <c r="G9" s="6"/>
      <c r="H9" s="6"/>
      <c r="I9" s="5"/>
      <c r="J9" s="5"/>
      <c r="K9" s="6"/>
      <c r="L9" s="6"/>
      <c r="M9" s="6"/>
      <c r="N9" s="6" t="s">
        <v>1598</v>
      </c>
    </row>
    <row r="10" spans="1:14" ht="38" customHeight="1" x14ac:dyDescent="0.2">
      <c r="A10" s="2" t="s">
        <v>3967</v>
      </c>
      <c r="B10" s="2" t="s">
        <v>3968</v>
      </c>
      <c r="C10" s="2" t="s">
        <v>3969</v>
      </c>
      <c r="D10" s="2" t="s">
        <v>3970</v>
      </c>
      <c r="E10" s="2" t="s">
        <v>1212</v>
      </c>
      <c r="F10" s="6"/>
      <c r="G10" s="6"/>
      <c r="H10" s="6"/>
      <c r="I10" s="5"/>
      <c r="J10" s="5"/>
      <c r="K10" s="6"/>
      <c r="L10" s="6"/>
      <c r="M10" s="6"/>
      <c r="N10" s="6" t="s">
        <v>1598</v>
      </c>
    </row>
    <row r="11" spans="1:14" ht="38" customHeight="1" x14ac:dyDescent="0.2">
      <c r="A11" s="4" t="s">
        <v>3971</v>
      </c>
      <c r="B11" s="4" t="s">
        <v>3972</v>
      </c>
      <c r="C11" s="4" t="s">
        <v>3973</v>
      </c>
      <c r="D11" s="4" t="s">
        <v>3974</v>
      </c>
      <c r="E11" s="4" t="s">
        <v>3975</v>
      </c>
      <c r="F11" s="6"/>
      <c r="G11" s="6"/>
      <c r="H11" s="6"/>
      <c r="I11" s="5"/>
      <c r="J11" s="5"/>
      <c r="K11" s="6"/>
      <c r="L11" s="6"/>
      <c r="M11" s="6"/>
      <c r="N11" s="6" t="s">
        <v>1598</v>
      </c>
    </row>
    <row r="12" spans="1:14" ht="38" customHeight="1" x14ac:dyDescent="0.2">
      <c r="A12" s="2" t="s">
        <v>3976</v>
      </c>
      <c r="B12" s="2" t="s">
        <v>3977</v>
      </c>
      <c r="C12" s="2" t="s">
        <v>3978</v>
      </c>
      <c r="D12" s="2" t="s">
        <v>3979</v>
      </c>
      <c r="E12" s="2" t="s">
        <v>1028</v>
      </c>
      <c r="F12" s="6"/>
      <c r="G12" s="6"/>
      <c r="H12" s="6"/>
      <c r="I12" s="5"/>
      <c r="J12" s="5"/>
      <c r="K12" s="6"/>
      <c r="L12" s="6"/>
      <c r="M12" s="6"/>
      <c r="N12" s="6" t="s">
        <v>1598</v>
      </c>
    </row>
    <row r="13" spans="1:14" ht="38" customHeight="1" x14ac:dyDescent="0.2">
      <c r="A13" s="4" t="s">
        <v>3980</v>
      </c>
      <c r="B13" s="4" t="s">
        <v>3981</v>
      </c>
      <c r="C13" s="4" t="s">
        <v>3982</v>
      </c>
      <c r="D13" s="4" t="s">
        <v>3983</v>
      </c>
      <c r="E13" s="4" t="s">
        <v>1520</v>
      </c>
      <c r="F13" s="6"/>
      <c r="G13" s="6"/>
      <c r="H13" s="6"/>
      <c r="I13" s="5"/>
      <c r="J13" s="5"/>
      <c r="K13" s="6"/>
      <c r="L13" s="6"/>
      <c r="M13" s="6"/>
      <c r="N13" s="6" t="s">
        <v>1598</v>
      </c>
    </row>
  </sheetData>
  <autoFilter ref="A3:N13" xr:uid="{00000000-0009-0000-0000-000017000000}"/>
  <mergeCells count="2">
    <mergeCell ref="A2:I2"/>
    <mergeCell ref="A1:G1"/>
  </mergeCells>
  <phoneticPr fontId="12"/>
  <dataValidations count="2">
    <dataValidation type="list" allowBlank="1" showErrorMessage="1" errorTitle="入力値を確認" error="選択肢から入力してください。" sqref="N4:N13" xr:uid="{00000000-0002-0000-1700-000000000000}">
      <formula1>"未判定,不要（承認済）,交渉中,締結,有効,更新審査,終了"</formula1>
    </dataValidation>
    <dataValidation type="date" allowBlank="1" showErrorMessage="1" error="日付形式で入力してください。" sqref="I4:I13 J4:J13" xr:uid="{00000000-0002-0000-1700-000001000000}">
      <formula1>DATE(2000,1,1)</formula1>
      <formula2>DATE(2100,12,31)</formula2>
    </dataValidation>
  </dataValidations>
  <pageMargins left="0.25" right="0.25" top="0.4" bottom="0.4" header="0.5" footer="0.5"/>
  <pageSetup paperSize="8" fitToHeight="0" orientation="landscape"/>
  <headerFooter>
    <oddFooter>&amp;CAI自社事業PJ v1.0 | &amp;A&amp;R&amp;P /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C795A"/>
    <outlinePr summaryRight="0"/>
    <pageSetUpPr fitToPage="1"/>
  </sheetPr>
  <dimension ref="A1:K34"/>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4" customWidth="1"/>
    <col min="2" max="2" width="26" customWidth="1"/>
    <col min="3" max="3" width="36" customWidth="1"/>
    <col min="4" max="4" width="60" customWidth="1"/>
    <col min="5" max="5" width="39" customWidth="1"/>
    <col min="6" max="6" width="87" customWidth="1"/>
    <col min="7" max="7" width="102" customWidth="1"/>
    <col min="8" max="8" width="28" customWidth="1"/>
    <col min="9" max="9" width="95" customWidth="1"/>
    <col min="10" max="10" width="20" customWidth="1"/>
    <col min="11" max="11" width="21" customWidth="1"/>
  </cols>
  <sheetData>
    <row r="1" spans="1:11" ht="34" customHeight="1" x14ac:dyDescent="0.55000000000000004">
      <c r="A1" s="44" t="s">
        <v>3984</v>
      </c>
      <c r="B1" s="45"/>
      <c r="C1" s="45"/>
      <c r="D1" s="45"/>
      <c r="E1" s="45"/>
      <c r="F1" s="45"/>
      <c r="G1" s="45"/>
    </row>
    <row r="2" spans="1:11" ht="43" customHeight="1" x14ac:dyDescent="0.2">
      <c r="A2" s="47" t="s">
        <v>3985</v>
      </c>
      <c r="B2" s="45"/>
      <c r="C2" s="45"/>
      <c r="D2" s="45"/>
      <c r="E2" s="45"/>
      <c r="F2" s="45"/>
      <c r="G2" s="45"/>
      <c r="H2" s="45"/>
      <c r="I2" s="45"/>
    </row>
    <row r="3" spans="1:11" ht="34" customHeight="1" x14ac:dyDescent="0.2">
      <c r="A3" s="1" t="s">
        <v>3986</v>
      </c>
      <c r="B3" s="1" t="s">
        <v>3987</v>
      </c>
      <c r="C3" s="1" t="s">
        <v>3988</v>
      </c>
      <c r="D3" s="1" t="s">
        <v>3989</v>
      </c>
      <c r="E3" s="1" t="s">
        <v>3990</v>
      </c>
      <c r="F3" s="1" t="s">
        <v>3991</v>
      </c>
      <c r="G3" s="1" t="s">
        <v>3992</v>
      </c>
      <c r="H3" s="1" t="s">
        <v>3993</v>
      </c>
      <c r="I3" s="1" t="s">
        <v>3994</v>
      </c>
      <c r="J3" s="1" t="s">
        <v>3422</v>
      </c>
      <c r="K3" s="1" t="s">
        <v>3995</v>
      </c>
    </row>
    <row r="4" spans="1:11" ht="78" customHeight="1" x14ac:dyDescent="0.2">
      <c r="A4" s="2" t="s">
        <v>301</v>
      </c>
      <c r="B4" s="2" t="s">
        <v>3996</v>
      </c>
      <c r="C4" s="2" t="s">
        <v>3997</v>
      </c>
      <c r="D4" s="2" t="s">
        <v>3998</v>
      </c>
      <c r="E4" s="2" t="s">
        <v>3999</v>
      </c>
      <c r="F4" s="2" t="s">
        <v>4000</v>
      </c>
      <c r="G4" s="2" t="s">
        <v>4001</v>
      </c>
      <c r="H4" s="2" t="s">
        <v>4002</v>
      </c>
      <c r="I4" s="2" t="s">
        <v>4003</v>
      </c>
      <c r="J4" s="20">
        <v>46271</v>
      </c>
      <c r="K4" s="29" t="s">
        <v>4004</v>
      </c>
    </row>
    <row r="5" spans="1:11" ht="78" customHeight="1" x14ac:dyDescent="0.2">
      <c r="A5" s="4" t="s">
        <v>1946</v>
      </c>
      <c r="B5" s="4" t="s">
        <v>3996</v>
      </c>
      <c r="C5" s="4" t="s">
        <v>3997</v>
      </c>
      <c r="D5" s="4" t="s">
        <v>4005</v>
      </c>
      <c r="E5" s="4" t="s">
        <v>4006</v>
      </c>
      <c r="F5" s="4" t="s">
        <v>4007</v>
      </c>
      <c r="G5" s="4" t="s">
        <v>4008</v>
      </c>
      <c r="H5" s="4" t="s">
        <v>4009</v>
      </c>
      <c r="I5" s="4" t="s">
        <v>4010</v>
      </c>
      <c r="J5" s="21">
        <v>46271</v>
      </c>
      <c r="K5" s="29" t="s">
        <v>4004</v>
      </c>
    </row>
    <row r="6" spans="1:11" ht="78" customHeight="1" x14ac:dyDescent="0.2">
      <c r="A6" s="2" t="s">
        <v>2752</v>
      </c>
      <c r="B6" s="2" t="s">
        <v>4011</v>
      </c>
      <c r="C6" s="2" t="s">
        <v>4012</v>
      </c>
      <c r="D6" s="2" t="s">
        <v>4013</v>
      </c>
      <c r="E6" s="2" t="s">
        <v>4014</v>
      </c>
      <c r="F6" s="2" t="s">
        <v>4015</v>
      </c>
      <c r="G6" s="2" t="s">
        <v>4016</v>
      </c>
      <c r="H6" s="2" t="s">
        <v>4002</v>
      </c>
      <c r="I6" s="2" t="s">
        <v>4017</v>
      </c>
      <c r="J6" s="20">
        <v>46271</v>
      </c>
      <c r="K6" s="29" t="s">
        <v>4004</v>
      </c>
    </row>
    <row r="7" spans="1:11" ht="78" customHeight="1" x14ac:dyDescent="0.2">
      <c r="A7" s="4" t="s">
        <v>4018</v>
      </c>
      <c r="B7" s="4" t="s">
        <v>4019</v>
      </c>
      <c r="C7" s="4" t="s">
        <v>4020</v>
      </c>
      <c r="D7" s="4" t="s">
        <v>4021</v>
      </c>
      <c r="E7" s="4" t="s">
        <v>4022</v>
      </c>
      <c r="F7" s="4" t="s">
        <v>4023</v>
      </c>
      <c r="G7" s="4" t="s">
        <v>4024</v>
      </c>
      <c r="H7" s="4" t="s">
        <v>4025</v>
      </c>
      <c r="I7" s="22" t="s">
        <v>291</v>
      </c>
      <c r="J7" s="21">
        <v>46271</v>
      </c>
      <c r="K7" s="29" t="s">
        <v>4004</v>
      </c>
    </row>
    <row r="8" spans="1:11" ht="78" customHeight="1" x14ac:dyDescent="0.2">
      <c r="A8" s="2" t="s">
        <v>3157</v>
      </c>
      <c r="B8" s="2" t="s">
        <v>4026</v>
      </c>
      <c r="C8" s="2" t="s">
        <v>4027</v>
      </c>
      <c r="D8" s="2" t="s">
        <v>4028</v>
      </c>
      <c r="E8" s="2" t="s">
        <v>4029</v>
      </c>
      <c r="F8" s="2" t="s">
        <v>4030</v>
      </c>
      <c r="G8" s="2" t="s">
        <v>4031</v>
      </c>
      <c r="H8" s="2" t="s">
        <v>4032</v>
      </c>
      <c r="I8" s="23" t="s">
        <v>3158</v>
      </c>
      <c r="J8" s="20">
        <v>46271</v>
      </c>
      <c r="K8" s="29" t="s">
        <v>4004</v>
      </c>
    </row>
    <row r="9" spans="1:11" ht="78" customHeight="1" x14ac:dyDescent="0.2">
      <c r="A9" s="4" t="s">
        <v>3163</v>
      </c>
      <c r="B9" s="4" t="s">
        <v>4033</v>
      </c>
      <c r="C9" s="4" t="s">
        <v>4027</v>
      </c>
      <c r="D9" s="4" t="s">
        <v>4034</v>
      </c>
      <c r="E9" s="4" t="s">
        <v>4029</v>
      </c>
      <c r="F9" s="4" t="s">
        <v>4035</v>
      </c>
      <c r="G9" s="4" t="s">
        <v>4036</v>
      </c>
      <c r="H9" s="4" t="s">
        <v>4037</v>
      </c>
      <c r="I9" s="22" t="s">
        <v>3164</v>
      </c>
      <c r="J9" s="21">
        <v>46271</v>
      </c>
      <c r="K9" s="29" t="s">
        <v>4004</v>
      </c>
    </row>
    <row r="10" spans="1:11" ht="78" customHeight="1" x14ac:dyDescent="0.2">
      <c r="A10" s="2" t="s">
        <v>4038</v>
      </c>
      <c r="B10" s="2" t="s">
        <v>4039</v>
      </c>
      <c r="C10" s="2" t="s">
        <v>4040</v>
      </c>
      <c r="D10" s="2" t="s">
        <v>4041</v>
      </c>
      <c r="E10" s="2" t="s">
        <v>4042</v>
      </c>
      <c r="F10" s="2" t="s">
        <v>4043</v>
      </c>
      <c r="G10" s="2" t="s">
        <v>4044</v>
      </c>
      <c r="H10" s="2" t="s">
        <v>4045</v>
      </c>
      <c r="I10" s="23" t="s">
        <v>329</v>
      </c>
      <c r="J10" s="20">
        <v>46271</v>
      </c>
      <c r="K10" s="29" t="s">
        <v>4004</v>
      </c>
    </row>
    <row r="11" spans="1:11" ht="78" customHeight="1" x14ac:dyDescent="0.2">
      <c r="A11" s="4" t="s">
        <v>4046</v>
      </c>
      <c r="B11" s="4" t="s">
        <v>4047</v>
      </c>
      <c r="C11" s="4" t="s">
        <v>4040</v>
      </c>
      <c r="D11" s="4" t="s">
        <v>4048</v>
      </c>
      <c r="E11" s="4" t="s">
        <v>4049</v>
      </c>
      <c r="F11" s="4" t="s">
        <v>4050</v>
      </c>
      <c r="G11" s="4" t="s">
        <v>4051</v>
      </c>
      <c r="H11" s="4" t="s">
        <v>4052</v>
      </c>
      <c r="I11" s="22" t="s">
        <v>751</v>
      </c>
      <c r="J11" s="21">
        <v>46271</v>
      </c>
      <c r="K11" s="29" t="s">
        <v>4004</v>
      </c>
    </row>
    <row r="12" spans="1:11" ht="78" customHeight="1" x14ac:dyDescent="0.2">
      <c r="A12" s="2" t="s">
        <v>4053</v>
      </c>
      <c r="B12" s="2" t="s">
        <v>4054</v>
      </c>
      <c r="C12" s="2" t="s">
        <v>4055</v>
      </c>
      <c r="D12" s="2" t="s">
        <v>4056</v>
      </c>
      <c r="E12" s="2" t="s">
        <v>4057</v>
      </c>
      <c r="F12" s="2" t="s">
        <v>4058</v>
      </c>
      <c r="G12" s="2" t="s">
        <v>4059</v>
      </c>
      <c r="H12" s="2" t="s">
        <v>4060</v>
      </c>
      <c r="I12" s="23" t="s">
        <v>869</v>
      </c>
      <c r="J12" s="20">
        <v>46271</v>
      </c>
      <c r="K12" s="29" t="s">
        <v>4004</v>
      </c>
    </row>
    <row r="13" spans="1:11" ht="78" customHeight="1" x14ac:dyDescent="0.2">
      <c r="A13" s="4" t="s">
        <v>4061</v>
      </c>
      <c r="B13" s="4" t="s">
        <v>4062</v>
      </c>
      <c r="C13" s="4" t="s">
        <v>4063</v>
      </c>
      <c r="D13" s="4" t="s">
        <v>4064</v>
      </c>
      <c r="E13" s="4" t="s">
        <v>4065</v>
      </c>
      <c r="F13" s="4" t="s">
        <v>4066</v>
      </c>
      <c r="G13" s="4" t="s">
        <v>4067</v>
      </c>
      <c r="H13" s="4" t="s">
        <v>4068</v>
      </c>
      <c r="I13" s="22" t="s">
        <v>4069</v>
      </c>
      <c r="J13" s="21">
        <v>46271</v>
      </c>
      <c r="K13" s="29" t="s">
        <v>4004</v>
      </c>
    </row>
    <row r="14" spans="1:11" ht="78" customHeight="1" x14ac:dyDescent="0.2">
      <c r="A14" s="2" t="s">
        <v>4070</v>
      </c>
      <c r="B14" s="2" t="s">
        <v>4071</v>
      </c>
      <c r="C14" s="2" t="s">
        <v>4072</v>
      </c>
      <c r="D14" s="2" t="s">
        <v>4073</v>
      </c>
      <c r="E14" s="2" t="s">
        <v>4074</v>
      </c>
      <c r="F14" s="2" t="s">
        <v>4075</v>
      </c>
      <c r="G14" s="2" t="s">
        <v>4076</v>
      </c>
      <c r="H14" s="2" t="s">
        <v>4068</v>
      </c>
      <c r="I14" s="23" t="s">
        <v>374</v>
      </c>
      <c r="J14" s="20">
        <v>46271</v>
      </c>
      <c r="K14" s="29" t="s">
        <v>4004</v>
      </c>
    </row>
    <row r="15" spans="1:11" ht="78" customHeight="1" x14ac:dyDescent="0.2">
      <c r="A15" s="4" t="s">
        <v>4077</v>
      </c>
      <c r="B15" s="4" t="s">
        <v>4078</v>
      </c>
      <c r="C15" s="4" t="s">
        <v>4040</v>
      </c>
      <c r="D15" s="4" t="s">
        <v>4079</v>
      </c>
      <c r="E15" s="4" t="s">
        <v>4080</v>
      </c>
      <c r="F15" s="4" t="s">
        <v>4081</v>
      </c>
      <c r="G15" s="4" t="s">
        <v>4082</v>
      </c>
      <c r="H15" s="4" t="s">
        <v>4083</v>
      </c>
      <c r="I15" s="22" t="s">
        <v>910</v>
      </c>
      <c r="J15" s="21">
        <v>46271</v>
      </c>
      <c r="K15" s="29" t="s">
        <v>4004</v>
      </c>
    </row>
    <row r="16" spans="1:11" ht="78" customHeight="1" x14ac:dyDescent="0.2">
      <c r="A16" s="2" t="s">
        <v>4084</v>
      </c>
      <c r="B16" s="2" t="s">
        <v>4085</v>
      </c>
      <c r="C16" s="2" t="s">
        <v>4086</v>
      </c>
      <c r="D16" s="2" t="s">
        <v>4087</v>
      </c>
      <c r="E16" s="2" t="s">
        <v>4088</v>
      </c>
      <c r="F16" s="2" t="s">
        <v>4089</v>
      </c>
      <c r="G16" s="2" t="s">
        <v>4090</v>
      </c>
      <c r="H16" s="2" t="s">
        <v>4091</v>
      </c>
      <c r="I16" s="23" t="s">
        <v>1136</v>
      </c>
      <c r="J16" s="20">
        <v>46271</v>
      </c>
      <c r="K16" s="29" t="s">
        <v>4004</v>
      </c>
    </row>
    <row r="17" spans="1:11" ht="78" customHeight="1" x14ac:dyDescent="0.2">
      <c r="A17" s="4" t="s">
        <v>4092</v>
      </c>
      <c r="B17" s="4" t="s">
        <v>4093</v>
      </c>
      <c r="C17" s="4" t="s">
        <v>4086</v>
      </c>
      <c r="D17" s="4" t="s">
        <v>4094</v>
      </c>
      <c r="E17" s="4" t="s">
        <v>4095</v>
      </c>
      <c r="F17" s="4" t="s">
        <v>4096</v>
      </c>
      <c r="G17" s="4" t="s">
        <v>4097</v>
      </c>
      <c r="H17" s="4" t="s">
        <v>4098</v>
      </c>
      <c r="I17" s="22" t="s">
        <v>1039</v>
      </c>
      <c r="J17" s="21">
        <v>46271</v>
      </c>
      <c r="K17" s="29" t="s">
        <v>4004</v>
      </c>
    </row>
    <row r="18" spans="1:11" ht="78" customHeight="1" x14ac:dyDescent="0.2">
      <c r="A18" s="2" t="s">
        <v>4099</v>
      </c>
      <c r="B18" s="2" t="s">
        <v>4100</v>
      </c>
      <c r="C18" s="2" t="s">
        <v>4101</v>
      </c>
      <c r="D18" s="2" t="s">
        <v>4102</v>
      </c>
      <c r="E18" s="2" t="s">
        <v>4103</v>
      </c>
      <c r="F18" s="2" t="s">
        <v>4104</v>
      </c>
      <c r="G18" s="2" t="s">
        <v>4105</v>
      </c>
      <c r="H18" s="2" t="s">
        <v>4106</v>
      </c>
      <c r="I18" s="23" t="s">
        <v>880</v>
      </c>
      <c r="J18" s="20">
        <v>46271</v>
      </c>
      <c r="K18" s="29" t="s">
        <v>4004</v>
      </c>
    </row>
    <row r="19" spans="1:11" ht="78" customHeight="1" x14ac:dyDescent="0.2">
      <c r="A19" s="4" t="s">
        <v>4107</v>
      </c>
      <c r="B19" s="4" t="s">
        <v>4108</v>
      </c>
      <c r="C19" s="4" t="s">
        <v>4101</v>
      </c>
      <c r="D19" s="4" t="s">
        <v>4109</v>
      </c>
      <c r="E19" s="4" t="s">
        <v>4110</v>
      </c>
      <c r="F19" s="4" t="s">
        <v>4111</v>
      </c>
      <c r="G19" s="4" t="s">
        <v>4112</v>
      </c>
      <c r="H19" s="4" t="s">
        <v>4098</v>
      </c>
      <c r="I19" s="22" t="s">
        <v>809</v>
      </c>
      <c r="J19" s="21">
        <v>46271</v>
      </c>
      <c r="K19" s="29" t="s">
        <v>4004</v>
      </c>
    </row>
    <row r="20" spans="1:11" ht="78" customHeight="1" x14ac:dyDescent="0.2">
      <c r="A20" s="2" t="s">
        <v>4113</v>
      </c>
      <c r="B20" s="2" t="s">
        <v>4033</v>
      </c>
      <c r="C20" s="2" t="s">
        <v>765</v>
      </c>
      <c r="D20" s="2" t="s">
        <v>4114</v>
      </c>
      <c r="E20" s="2" t="s">
        <v>4115</v>
      </c>
      <c r="F20" s="2" t="s">
        <v>4116</v>
      </c>
      <c r="G20" s="2" t="s">
        <v>4117</v>
      </c>
      <c r="H20" s="2" t="s">
        <v>4118</v>
      </c>
      <c r="I20" s="23" t="s">
        <v>775</v>
      </c>
      <c r="J20" s="20">
        <v>46271</v>
      </c>
      <c r="K20" s="29" t="s">
        <v>4004</v>
      </c>
    </row>
    <row r="21" spans="1:11" ht="78" customHeight="1" x14ac:dyDescent="0.2">
      <c r="A21" s="4" t="s">
        <v>3185</v>
      </c>
      <c r="B21" s="4" t="s">
        <v>4119</v>
      </c>
      <c r="C21" s="4" t="s">
        <v>4120</v>
      </c>
      <c r="D21" s="4" t="s">
        <v>4121</v>
      </c>
      <c r="E21" s="4" t="s">
        <v>4122</v>
      </c>
      <c r="F21" s="4" t="s">
        <v>4123</v>
      </c>
      <c r="G21" s="4" t="s">
        <v>4124</v>
      </c>
      <c r="H21" s="4" t="s">
        <v>4125</v>
      </c>
      <c r="I21" s="22" t="s">
        <v>1450</v>
      </c>
      <c r="J21" s="21">
        <v>46271</v>
      </c>
      <c r="K21" s="29" t="s">
        <v>4004</v>
      </c>
    </row>
    <row r="22" spans="1:11" ht="78" customHeight="1" x14ac:dyDescent="0.2">
      <c r="A22" s="2" t="s">
        <v>3195</v>
      </c>
      <c r="B22" s="2" t="s">
        <v>4126</v>
      </c>
      <c r="C22" s="2" t="s">
        <v>4127</v>
      </c>
      <c r="D22" s="2" t="s">
        <v>4128</v>
      </c>
      <c r="E22" s="2" t="s">
        <v>4129</v>
      </c>
      <c r="F22" s="2" t="s">
        <v>4130</v>
      </c>
      <c r="G22" s="2" t="s">
        <v>4131</v>
      </c>
      <c r="H22" s="2" t="s">
        <v>4132</v>
      </c>
      <c r="I22" s="23" t="s">
        <v>3196</v>
      </c>
      <c r="J22" s="20">
        <v>46271</v>
      </c>
      <c r="K22" s="29" t="s">
        <v>4004</v>
      </c>
    </row>
    <row r="23" spans="1:11" ht="78" customHeight="1" x14ac:dyDescent="0.2">
      <c r="A23" s="4" t="s">
        <v>4133</v>
      </c>
      <c r="B23" s="4" t="s">
        <v>4134</v>
      </c>
      <c r="C23" s="4" t="s">
        <v>4101</v>
      </c>
      <c r="D23" s="4" t="s">
        <v>4135</v>
      </c>
      <c r="E23" s="4" t="s">
        <v>4136</v>
      </c>
      <c r="F23" s="4" t="s">
        <v>4137</v>
      </c>
      <c r="G23" s="4" t="s">
        <v>4138</v>
      </c>
      <c r="H23" s="4" t="s">
        <v>4139</v>
      </c>
      <c r="I23" s="22" t="s">
        <v>4140</v>
      </c>
      <c r="J23" s="21">
        <v>46271</v>
      </c>
      <c r="K23" s="29" t="s">
        <v>4004</v>
      </c>
    </row>
    <row r="24" spans="1:11" ht="78" customHeight="1" x14ac:dyDescent="0.2">
      <c r="A24" s="2" t="s">
        <v>4141</v>
      </c>
      <c r="B24" s="2" t="s">
        <v>4033</v>
      </c>
      <c r="C24" s="2" t="s">
        <v>4142</v>
      </c>
      <c r="D24" s="2" t="s">
        <v>4143</v>
      </c>
      <c r="E24" s="2" t="s">
        <v>4144</v>
      </c>
      <c r="F24" s="2" t="s">
        <v>4145</v>
      </c>
      <c r="G24" s="2" t="s">
        <v>4146</v>
      </c>
      <c r="H24" s="2" t="s">
        <v>4147</v>
      </c>
      <c r="I24" s="23" t="s">
        <v>4148</v>
      </c>
      <c r="J24" s="20">
        <v>46271</v>
      </c>
      <c r="K24" s="29" t="s">
        <v>4004</v>
      </c>
    </row>
    <row r="28" spans="1:11" ht="30" customHeight="1" x14ac:dyDescent="0.2">
      <c r="A28" s="46" t="s">
        <v>4149</v>
      </c>
      <c r="B28" s="45"/>
      <c r="C28" s="45"/>
      <c r="D28" s="45"/>
      <c r="E28" s="45"/>
    </row>
    <row r="29" spans="1:11" ht="32" customHeight="1" x14ac:dyDescent="0.2">
      <c r="A29" s="1" t="s">
        <v>5</v>
      </c>
      <c r="B29" s="1" t="s">
        <v>4150</v>
      </c>
      <c r="C29" s="1" t="s">
        <v>1342</v>
      </c>
      <c r="D29" s="1" t="s">
        <v>3127</v>
      </c>
      <c r="E29" s="1" t="s">
        <v>4151</v>
      </c>
    </row>
    <row r="30" spans="1:11" ht="49" customHeight="1" x14ac:dyDescent="0.2">
      <c r="A30" s="2" t="s">
        <v>4152</v>
      </c>
      <c r="B30" s="20">
        <v>46271</v>
      </c>
      <c r="C30" s="2" t="s">
        <v>4153</v>
      </c>
      <c r="D30" s="2" t="s">
        <v>4002</v>
      </c>
      <c r="E30" s="2" t="s">
        <v>4154</v>
      </c>
      <c r="F30" s="2"/>
      <c r="G30" s="2"/>
      <c r="H30" s="2"/>
      <c r="I30" s="2"/>
      <c r="J30" s="2"/>
    </row>
    <row r="31" spans="1:11" ht="49" customHeight="1" x14ac:dyDescent="0.2">
      <c r="A31" s="4" t="s">
        <v>4152</v>
      </c>
      <c r="B31" s="4" t="s">
        <v>1687</v>
      </c>
      <c r="C31" s="4" t="s">
        <v>4155</v>
      </c>
      <c r="D31" s="4" t="s">
        <v>4156</v>
      </c>
      <c r="E31" s="4" t="s">
        <v>4157</v>
      </c>
      <c r="F31" s="4"/>
      <c r="G31" s="4"/>
      <c r="H31" s="4"/>
      <c r="I31" s="4"/>
      <c r="J31" s="4"/>
    </row>
    <row r="33" spans="1:5" ht="80" customHeight="1" x14ac:dyDescent="0.2">
      <c r="A33" s="28" t="s">
        <v>4158</v>
      </c>
      <c r="B33" s="28">
        <v>46271</v>
      </c>
      <c r="C33" s="28" t="s">
        <v>4159</v>
      </c>
      <c r="D33" s="28" t="s">
        <v>4160</v>
      </c>
      <c r="E33" s="28" t="s">
        <v>4161</v>
      </c>
    </row>
    <row r="34" spans="1:5" ht="80" customHeight="1" x14ac:dyDescent="0.2">
      <c r="A34" s="28" t="s">
        <v>4162</v>
      </c>
      <c r="B34" s="28" t="s">
        <v>3997</v>
      </c>
      <c r="C34" s="28" t="s">
        <v>4163</v>
      </c>
      <c r="D34" s="28" t="s">
        <v>4164</v>
      </c>
      <c r="E34" s="28" t="s">
        <v>4165</v>
      </c>
    </row>
  </sheetData>
  <autoFilter ref="A3:J24" xr:uid="{00000000-0009-0000-0000-000018000000}"/>
  <mergeCells count="3">
    <mergeCell ref="A2:I2"/>
    <mergeCell ref="A28:E28"/>
    <mergeCell ref="A1:G1"/>
  </mergeCells>
  <phoneticPr fontId="12"/>
  <hyperlinks>
    <hyperlink ref="I7" r:id="rId1" xr:uid="{00000000-0004-0000-1800-000000000000}"/>
    <hyperlink ref="I8" r:id="rId2" xr:uid="{00000000-0004-0000-1800-000001000000}"/>
    <hyperlink ref="I9" r:id="rId3" xr:uid="{00000000-0004-0000-1800-000002000000}"/>
    <hyperlink ref="I10" r:id="rId4" xr:uid="{00000000-0004-0000-1800-000003000000}"/>
    <hyperlink ref="I11" r:id="rId5" xr:uid="{00000000-0004-0000-1800-000004000000}"/>
    <hyperlink ref="I12" r:id="rId6" xr:uid="{00000000-0004-0000-1800-000005000000}"/>
    <hyperlink ref="I13" r:id="rId7" xr:uid="{00000000-0004-0000-1800-000006000000}"/>
    <hyperlink ref="I14" r:id="rId8" xr:uid="{00000000-0004-0000-1800-000007000000}"/>
    <hyperlink ref="I15" r:id="rId9" xr:uid="{00000000-0004-0000-1800-000008000000}"/>
    <hyperlink ref="I16" r:id="rId10" xr:uid="{00000000-0004-0000-1800-000009000000}"/>
    <hyperlink ref="I17" r:id="rId11" xr:uid="{00000000-0004-0000-1800-00000A000000}"/>
    <hyperlink ref="I18" r:id="rId12" xr:uid="{00000000-0004-0000-1800-00000B000000}"/>
    <hyperlink ref="I19" r:id="rId13" xr:uid="{00000000-0004-0000-1800-00000C000000}"/>
    <hyperlink ref="I20" r:id="rId14" xr:uid="{00000000-0004-0000-1800-00000D000000}"/>
    <hyperlink ref="I21" r:id="rId15" xr:uid="{00000000-0004-0000-1800-00000E000000}"/>
    <hyperlink ref="I22" r:id="rId16" xr:uid="{00000000-0004-0000-1800-00000F000000}"/>
    <hyperlink ref="I23" r:id="rId17" xr:uid="{00000000-0004-0000-1800-000010000000}"/>
    <hyperlink ref="I24" r:id="rId18" xr:uid="{00000000-0004-0000-1800-000011000000}"/>
  </hyperlinks>
  <pageMargins left="0.25" right="0.25" top="0.4" bottom="0.4" header="0.5" footer="0.5"/>
  <pageSetup paperSize="8" fitToHeight="0" orientation="landscape"/>
  <headerFooter>
    <oddFooter>&amp;CAI自社事業PJ v1.0 | &amp;A&amp;R&amp;P / &amp;N</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C795A"/>
    <outlinePr summaryRight="0"/>
    <pageSetUpPr fitToPage="1"/>
  </sheetPr>
  <dimension ref="A1:AF26"/>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4" customWidth="1"/>
    <col min="2" max="2" width="27" customWidth="1"/>
    <col min="3" max="3" width="79" customWidth="1"/>
    <col min="4" max="4" width="73" customWidth="1"/>
    <col min="5" max="5" width="33" customWidth="1"/>
    <col min="6" max="6" width="72" customWidth="1"/>
    <col min="7" max="7" width="64" customWidth="1"/>
    <col min="8" max="8" width="67" customWidth="1"/>
    <col min="9" max="9" width="59" customWidth="1"/>
    <col min="10" max="10" width="23" customWidth="1"/>
    <col min="11" max="11" width="20" customWidth="1"/>
    <col min="12" max="12" width="25" customWidth="1"/>
    <col min="13" max="13" width="70" customWidth="1"/>
    <col min="14" max="14" width="66" customWidth="1"/>
    <col min="15" max="15" width="24" customWidth="1"/>
    <col min="16" max="16" width="40" customWidth="1"/>
    <col min="17" max="17" width="33" customWidth="1"/>
    <col min="18" max="30" width="21" customWidth="1"/>
    <col min="31" max="31" width="26" customWidth="1"/>
    <col min="32" max="32" width="21" customWidth="1"/>
  </cols>
  <sheetData>
    <row r="1" spans="1:32" ht="34" customHeight="1" x14ac:dyDescent="0.55000000000000004">
      <c r="A1" s="44" t="s">
        <v>4166</v>
      </c>
      <c r="B1" s="45"/>
      <c r="C1" s="45"/>
      <c r="D1" s="45"/>
      <c r="E1" s="45"/>
      <c r="F1" s="45"/>
      <c r="G1" s="45"/>
    </row>
    <row r="2" spans="1:32" ht="43" customHeight="1" x14ac:dyDescent="0.2">
      <c r="A2" s="47" t="s">
        <v>4167</v>
      </c>
      <c r="B2" s="45"/>
      <c r="C2" s="45"/>
      <c r="D2" s="45"/>
      <c r="E2" s="45"/>
      <c r="F2" s="45"/>
      <c r="G2" s="45"/>
      <c r="H2" s="45"/>
      <c r="I2" s="45"/>
    </row>
    <row r="3" spans="1:32" ht="36" customHeight="1" x14ac:dyDescent="0.2">
      <c r="A3" s="1" t="s">
        <v>4168</v>
      </c>
      <c r="B3" s="1" t="s">
        <v>4169</v>
      </c>
      <c r="C3" s="1" t="s">
        <v>4170</v>
      </c>
      <c r="D3" s="1" t="s">
        <v>4171</v>
      </c>
      <c r="E3" s="1" t="s">
        <v>3278</v>
      </c>
      <c r="F3" s="1" t="s">
        <v>4172</v>
      </c>
      <c r="G3" s="1" t="s">
        <v>4173</v>
      </c>
      <c r="H3" s="1" t="s">
        <v>4174</v>
      </c>
      <c r="I3" s="1" t="s">
        <v>4175</v>
      </c>
      <c r="J3" s="1" t="s">
        <v>4176</v>
      </c>
      <c r="K3" s="1" t="s">
        <v>4177</v>
      </c>
      <c r="L3" s="1" t="s">
        <v>3277</v>
      </c>
      <c r="M3" s="1" t="s">
        <v>4178</v>
      </c>
      <c r="N3" s="1" t="s">
        <v>4179</v>
      </c>
      <c r="O3" s="1" t="s">
        <v>4180</v>
      </c>
      <c r="P3" s="1" t="s">
        <v>4181</v>
      </c>
      <c r="Q3" s="1" t="s">
        <v>4182</v>
      </c>
      <c r="R3" s="1" t="s">
        <v>4183</v>
      </c>
      <c r="S3" s="1" t="s">
        <v>4184</v>
      </c>
      <c r="T3" s="1" t="s">
        <v>4185</v>
      </c>
      <c r="U3" s="1" t="s">
        <v>4186</v>
      </c>
      <c r="V3" s="1" t="s">
        <v>4187</v>
      </c>
      <c r="W3" s="1" t="s">
        <v>4188</v>
      </c>
      <c r="X3" s="1" t="s">
        <v>4189</v>
      </c>
      <c r="Y3" s="1" t="s">
        <v>4190</v>
      </c>
      <c r="Z3" s="1" t="s">
        <v>4191</v>
      </c>
      <c r="AA3" s="1" t="s">
        <v>4192</v>
      </c>
      <c r="AB3" s="1" t="s">
        <v>4193</v>
      </c>
      <c r="AC3" s="1" t="s">
        <v>4194</v>
      </c>
      <c r="AD3" s="1" t="s">
        <v>4195</v>
      </c>
      <c r="AE3" s="1" t="s">
        <v>4196</v>
      </c>
      <c r="AF3" s="1" t="s">
        <v>4197</v>
      </c>
    </row>
    <row r="4" spans="1:32" ht="38" customHeight="1" x14ac:dyDescent="0.2">
      <c r="A4" s="2" t="s">
        <v>4198</v>
      </c>
      <c r="B4" s="2" t="s">
        <v>4199</v>
      </c>
      <c r="C4" s="2" t="s">
        <v>4200</v>
      </c>
      <c r="D4" s="2" t="s">
        <v>4201</v>
      </c>
      <c r="E4" s="2" t="s">
        <v>1965</v>
      </c>
      <c r="F4" s="6"/>
      <c r="G4" s="6"/>
      <c r="H4" s="6"/>
      <c r="I4" s="6"/>
      <c r="J4" s="6"/>
      <c r="K4" s="5"/>
      <c r="L4" s="6"/>
      <c r="M4" s="6"/>
      <c r="N4" s="6"/>
      <c r="O4" s="6" t="s">
        <v>4202</v>
      </c>
      <c r="P4" s="6"/>
      <c r="Q4" s="6"/>
      <c r="R4" s="29" t="s">
        <v>4202</v>
      </c>
      <c r="S4" s="29"/>
      <c r="T4" s="29"/>
      <c r="U4" s="29"/>
      <c r="V4" s="29"/>
      <c r="W4" s="29"/>
      <c r="X4" s="29"/>
      <c r="Y4" s="39"/>
      <c r="Z4" s="32"/>
      <c r="AA4" s="29"/>
      <c r="AB4" s="29"/>
      <c r="AC4" s="29"/>
      <c r="AD4" s="29"/>
      <c r="AE4" s="28" t="str">
        <f>IF(Q4="","Gate未接続",IF(COUNTIF('29_ゲート承認記録'!$F$4:$F$83,Q4)&lt;&gt;1,"GateRun不正",IF(OR(F4="",G4="",H4="",L4="",T4="",U4="",AB4=""),"仮説・必要証拠不足",IF(R4="未検証で限定継続",IF(OR(V4="",W4="",X4="",AA4="",COUNT(Y4,Z4)&lt;2,Y4&lt;0),"持越し条件不足",IF(Z4&lt;AsOfDate,"再判断期限超過","仮説記録あり")),IF(OR(R4="検証済み",R4="否定"),IF(OR(M4="",S4="",N4="",AC4="",AD4="",AF4="",AF4="未判定"),"実証・判定不足","仮説記録あり"),"検証状態未確定")))))</f>
        <v>Gate未接続</v>
      </c>
      <c r="AF4" s="29" t="s">
        <v>1598</v>
      </c>
    </row>
    <row r="5" spans="1:32" ht="38" customHeight="1" x14ac:dyDescent="0.2">
      <c r="A5" s="4" t="s">
        <v>4203</v>
      </c>
      <c r="B5" s="4" t="s">
        <v>4204</v>
      </c>
      <c r="C5" s="4" t="s">
        <v>4205</v>
      </c>
      <c r="D5" s="4" t="s">
        <v>4206</v>
      </c>
      <c r="E5" s="4" t="s">
        <v>4207</v>
      </c>
      <c r="F5" s="6"/>
      <c r="G5" s="6"/>
      <c r="H5" s="6"/>
      <c r="I5" s="6"/>
      <c r="J5" s="6"/>
      <c r="K5" s="5"/>
      <c r="L5" s="6"/>
      <c r="M5" s="6"/>
      <c r="N5" s="6"/>
      <c r="O5" s="6" t="s">
        <v>4202</v>
      </c>
      <c r="P5" s="6"/>
      <c r="Q5" s="6"/>
      <c r="R5" s="29" t="s">
        <v>4202</v>
      </c>
      <c r="S5" s="29"/>
      <c r="T5" s="29"/>
      <c r="U5" s="29"/>
      <c r="V5" s="29"/>
      <c r="W5" s="29"/>
      <c r="X5" s="29"/>
      <c r="Y5" s="39"/>
      <c r="Z5" s="32"/>
      <c r="AA5" s="29"/>
      <c r="AB5" s="29"/>
      <c r="AC5" s="29"/>
      <c r="AD5" s="29"/>
      <c r="AE5" s="28" t="str">
        <f>IF(Q5="","Gate未接続",IF(COUNTIF('29_ゲート承認記録'!$F$4:$F$83,Q5)&lt;&gt;1,"GateRun不正",IF(OR(F5="",G5="",H5="",L5="",T5="",U5="",AB5=""),"仮説・必要証拠不足",IF(R5="未検証で限定継続",IF(OR(V5="",W5="",X5="",AA5="",COUNT(Y5,Z5)&lt;2,Y5&lt;0),"持越し条件不足",IF(Z5&lt;AsOfDate,"再判断期限超過","仮説記録あり")),IF(OR(R5="検証済み",R5="否定"),IF(OR(M5="",S5="",N5="",AC5="",AD5="",AF5="",AF5="未判定"),"実証・判定不足","仮説記録あり"),"検証状態未確定")))))</f>
        <v>Gate未接続</v>
      </c>
      <c r="AF5" s="29" t="s">
        <v>1598</v>
      </c>
    </row>
    <row r="6" spans="1:32" ht="38" customHeight="1" x14ac:dyDescent="0.2">
      <c r="A6" s="2" t="s">
        <v>4208</v>
      </c>
      <c r="B6" s="2" t="s">
        <v>4209</v>
      </c>
      <c r="C6" s="2" t="s">
        <v>4210</v>
      </c>
      <c r="D6" s="2" t="s">
        <v>4211</v>
      </c>
      <c r="E6" s="2" t="s">
        <v>4212</v>
      </c>
      <c r="F6" s="6"/>
      <c r="G6" s="6"/>
      <c r="H6" s="6"/>
      <c r="I6" s="6"/>
      <c r="J6" s="6"/>
      <c r="K6" s="5"/>
      <c r="L6" s="6"/>
      <c r="M6" s="6"/>
      <c r="N6" s="6"/>
      <c r="O6" s="6" t="s">
        <v>4202</v>
      </c>
      <c r="P6" s="6"/>
      <c r="Q6" s="6"/>
      <c r="R6" s="29" t="s">
        <v>4202</v>
      </c>
      <c r="S6" s="29"/>
      <c r="T6" s="29"/>
      <c r="U6" s="29"/>
      <c r="V6" s="29"/>
      <c r="W6" s="29"/>
      <c r="X6" s="29"/>
      <c r="Y6" s="39"/>
      <c r="Z6" s="32"/>
      <c r="AA6" s="29"/>
      <c r="AB6" s="29"/>
      <c r="AC6" s="29"/>
      <c r="AD6" s="29"/>
      <c r="AE6" s="28" t="str">
        <f>IF(Q6="","Gate未接続",IF(COUNTIF('29_ゲート承認記録'!$F$4:$F$83,Q6)&lt;&gt;1,"GateRun不正",IF(OR(F6="",G6="",H6="",L6="",T6="",U6="",AB6=""),"仮説・必要証拠不足",IF(R6="未検証で限定継続",IF(OR(V6="",W6="",X6="",AA6="",COUNT(Y6,Z6)&lt;2,Y6&lt;0),"持越し条件不足",IF(Z6&lt;AsOfDate,"再判断期限超過","仮説記録あり")),IF(OR(R6="検証済み",R6="否定"),IF(OR(M6="",S6="",N6="",AC6="",AD6="",AF6="",AF6="未判定"),"実証・判定不足","仮説記録あり"),"検証状態未確定")))))</f>
        <v>Gate未接続</v>
      </c>
      <c r="AF6" s="29" t="s">
        <v>1598</v>
      </c>
    </row>
    <row r="7" spans="1:32" ht="38" customHeight="1" x14ac:dyDescent="0.2">
      <c r="A7" s="4" t="s">
        <v>4213</v>
      </c>
      <c r="B7" s="4" t="s">
        <v>4214</v>
      </c>
      <c r="C7" s="4" t="s">
        <v>4215</v>
      </c>
      <c r="D7" s="4" t="s">
        <v>4216</v>
      </c>
      <c r="E7" s="4" t="s">
        <v>4217</v>
      </c>
      <c r="F7" s="6"/>
      <c r="G7" s="6"/>
      <c r="H7" s="6"/>
      <c r="I7" s="6"/>
      <c r="J7" s="6"/>
      <c r="K7" s="5"/>
      <c r="L7" s="6"/>
      <c r="M7" s="6"/>
      <c r="N7" s="6"/>
      <c r="O7" s="6" t="s">
        <v>4202</v>
      </c>
      <c r="P7" s="6"/>
      <c r="Q7" s="6"/>
      <c r="R7" s="29" t="s">
        <v>4202</v>
      </c>
      <c r="S7" s="29"/>
      <c r="T7" s="29"/>
      <c r="U7" s="29"/>
      <c r="V7" s="29"/>
      <c r="W7" s="29"/>
      <c r="X7" s="29"/>
      <c r="Y7" s="39"/>
      <c r="Z7" s="32"/>
      <c r="AA7" s="29"/>
      <c r="AB7" s="29"/>
      <c r="AC7" s="29"/>
      <c r="AD7" s="29"/>
      <c r="AE7" s="28" t="str">
        <f>IF(Q7="","Gate未接続",IF(COUNTIF('29_ゲート承認記録'!$F$4:$F$83,Q7)&lt;&gt;1,"GateRun不正",IF(OR(F7="",G7="",H7="",L7="",T7="",U7="",AB7=""),"仮説・必要証拠不足",IF(R7="未検証で限定継続",IF(OR(V7="",W7="",X7="",AA7="",COUNT(Y7,Z7)&lt;2,Y7&lt;0),"持越し条件不足",IF(Z7&lt;AsOfDate,"再判断期限超過","仮説記録あり")),IF(OR(R7="検証済み",R7="否定"),IF(OR(M7="",S7="",N7="",AC7="",AD7="",AF7="",AF7="未判定"),"実証・判定不足","仮説記録あり"),"検証状態未確定")))))</f>
        <v>Gate未接続</v>
      </c>
      <c r="AF7" s="29" t="s">
        <v>1598</v>
      </c>
    </row>
    <row r="8" spans="1:32" ht="38" customHeight="1" x14ac:dyDescent="0.2">
      <c r="A8" s="2" t="s">
        <v>4218</v>
      </c>
      <c r="B8" s="2" t="s">
        <v>4219</v>
      </c>
      <c r="C8" s="2" t="s">
        <v>4220</v>
      </c>
      <c r="D8" s="2" t="s">
        <v>4221</v>
      </c>
      <c r="E8" s="2" t="s">
        <v>4222</v>
      </c>
      <c r="F8" s="6"/>
      <c r="G8" s="6"/>
      <c r="H8" s="6"/>
      <c r="I8" s="6"/>
      <c r="J8" s="6"/>
      <c r="K8" s="5"/>
      <c r="L8" s="6"/>
      <c r="M8" s="6"/>
      <c r="N8" s="6"/>
      <c r="O8" s="6" t="s">
        <v>4202</v>
      </c>
      <c r="P8" s="6"/>
      <c r="Q8" s="6"/>
      <c r="R8" s="29" t="s">
        <v>4202</v>
      </c>
      <c r="S8" s="29"/>
      <c r="T8" s="29"/>
      <c r="U8" s="29"/>
      <c r="V8" s="29"/>
      <c r="W8" s="29"/>
      <c r="X8" s="29"/>
      <c r="Y8" s="39"/>
      <c r="Z8" s="32"/>
      <c r="AA8" s="29"/>
      <c r="AB8" s="29"/>
      <c r="AC8" s="29"/>
      <c r="AD8" s="29"/>
      <c r="AE8" s="28" t="str">
        <f>IF(Q8="","Gate未接続",IF(COUNTIF('29_ゲート承認記録'!$F$4:$F$83,Q8)&lt;&gt;1,"GateRun不正",IF(OR(F8="",G8="",H8="",L8="",T8="",U8="",AB8=""),"仮説・必要証拠不足",IF(R8="未検証で限定継続",IF(OR(V8="",W8="",X8="",AA8="",COUNT(Y8,Z8)&lt;2,Y8&lt;0),"持越し条件不足",IF(Z8&lt;AsOfDate,"再判断期限超過","仮説記録あり")),IF(OR(R8="検証済み",R8="否定"),IF(OR(M8="",S8="",N8="",AC8="",AD8="",AF8="",AF8="未判定"),"実証・判定不足","仮説記録あり"),"検証状態未確定")))))</f>
        <v>Gate未接続</v>
      </c>
      <c r="AF8" s="29" t="s">
        <v>1598</v>
      </c>
    </row>
    <row r="9" spans="1:32" ht="38" customHeight="1" x14ac:dyDescent="0.2">
      <c r="A9" s="4" t="s">
        <v>4223</v>
      </c>
      <c r="B9" s="4" t="s">
        <v>4224</v>
      </c>
      <c r="C9" s="4" t="s">
        <v>4225</v>
      </c>
      <c r="D9" s="4" t="s">
        <v>4226</v>
      </c>
      <c r="E9" s="4" t="s">
        <v>3946</v>
      </c>
      <c r="F9" s="6"/>
      <c r="G9" s="6"/>
      <c r="H9" s="6"/>
      <c r="I9" s="6"/>
      <c r="J9" s="6"/>
      <c r="K9" s="5"/>
      <c r="L9" s="6"/>
      <c r="M9" s="6"/>
      <c r="N9" s="6"/>
      <c r="O9" s="6" t="s">
        <v>4202</v>
      </c>
      <c r="P9" s="6"/>
      <c r="Q9" s="6"/>
      <c r="R9" s="29" t="s">
        <v>4202</v>
      </c>
      <c r="S9" s="29"/>
      <c r="T9" s="29"/>
      <c r="U9" s="29"/>
      <c r="V9" s="29"/>
      <c r="W9" s="29"/>
      <c r="X9" s="29"/>
      <c r="Y9" s="39"/>
      <c r="Z9" s="32"/>
      <c r="AA9" s="29"/>
      <c r="AB9" s="29"/>
      <c r="AC9" s="29"/>
      <c r="AD9" s="29"/>
      <c r="AE9" s="28" t="str">
        <f>IF(Q9="","Gate未接続",IF(COUNTIF('29_ゲート承認記録'!$F$4:$F$83,Q9)&lt;&gt;1,"GateRun不正",IF(OR(F9="",G9="",H9="",L9="",T9="",U9="",AB9=""),"仮説・必要証拠不足",IF(R9="未検証で限定継続",IF(OR(V9="",W9="",X9="",AA9="",COUNT(Y9,Z9)&lt;2,Y9&lt;0),"持越し条件不足",IF(Z9&lt;AsOfDate,"再判断期限超過","仮説記録あり")),IF(OR(R9="検証済み",R9="否定"),IF(OR(M9="",S9="",N9="",AC9="",AD9="",AF9="",AF9="未判定"),"実証・判定不足","仮説記録あり"),"検証状態未確定")))))</f>
        <v>Gate未接続</v>
      </c>
      <c r="AF9" s="29" t="s">
        <v>1598</v>
      </c>
    </row>
    <row r="10" spans="1:32" ht="38" customHeight="1" x14ac:dyDescent="0.2">
      <c r="A10" s="2" t="s">
        <v>4227</v>
      </c>
      <c r="B10" s="2" t="s">
        <v>1175</v>
      </c>
      <c r="C10" s="2" t="s">
        <v>4228</v>
      </c>
      <c r="D10" s="2" t="s">
        <v>4229</v>
      </c>
      <c r="E10" s="2" t="s">
        <v>4230</v>
      </c>
      <c r="F10" s="6"/>
      <c r="G10" s="6"/>
      <c r="H10" s="6"/>
      <c r="I10" s="6"/>
      <c r="J10" s="6"/>
      <c r="K10" s="5"/>
      <c r="L10" s="6"/>
      <c r="M10" s="6"/>
      <c r="N10" s="6"/>
      <c r="O10" s="6" t="s">
        <v>4202</v>
      </c>
      <c r="P10" s="6"/>
      <c r="Q10" s="6"/>
      <c r="R10" s="29" t="s">
        <v>4202</v>
      </c>
      <c r="S10" s="29"/>
      <c r="T10" s="29"/>
      <c r="U10" s="29"/>
      <c r="V10" s="29"/>
      <c r="W10" s="29"/>
      <c r="X10" s="29"/>
      <c r="Y10" s="39"/>
      <c r="Z10" s="32"/>
      <c r="AA10" s="29"/>
      <c r="AB10" s="29"/>
      <c r="AC10" s="29"/>
      <c r="AD10" s="29"/>
      <c r="AE10" s="28" t="str">
        <f>IF(Q10="","Gate未接続",IF(COUNTIF('29_ゲート承認記録'!$F$4:$F$83,Q10)&lt;&gt;1,"GateRun不正",IF(OR(F10="",G10="",H10="",L10="",T10="",U10="",AB10=""),"仮説・必要証拠不足",IF(R10="未検証で限定継続",IF(OR(V10="",W10="",X10="",AA10="",COUNT(Y10,Z10)&lt;2,Y10&lt;0),"持越し条件不足",IF(Z10&lt;AsOfDate,"再判断期限超過","仮説記録あり")),IF(OR(R10="検証済み",R10="否定"),IF(OR(M10="",S10="",N10="",AC10="",AD10="",AF10="",AF10="未判定"),"実証・判定不足","仮説記録あり"),"検証状態未確定")))))</f>
        <v>Gate未接続</v>
      </c>
      <c r="AF10" s="29" t="s">
        <v>1598</v>
      </c>
    </row>
    <row r="11" spans="1:32" ht="38" customHeight="1" x14ac:dyDescent="0.2">
      <c r="A11" s="4" t="s">
        <v>4231</v>
      </c>
      <c r="B11" s="4" t="s">
        <v>4232</v>
      </c>
      <c r="C11" s="4" t="s">
        <v>4233</v>
      </c>
      <c r="D11" s="4" t="s">
        <v>4234</v>
      </c>
      <c r="E11" s="4" t="s">
        <v>4235</v>
      </c>
      <c r="F11" s="6"/>
      <c r="G11" s="6"/>
      <c r="H11" s="6"/>
      <c r="I11" s="6"/>
      <c r="J11" s="6"/>
      <c r="K11" s="5"/>
      <c r="L11" s="6"/>
      <c r="M11" s="6"/>
      <c r="N11" s="6"/>
      <c r="O11" s="6" t="s">
        <v>4202</v>
      </c>
      <c r="P11" s="6"/>
      <c r="Q11" s="6"/>
      <c r="R11" s="29" t="s">
        <v>4202</v>
      </c>
      <c r="S11" s="29"/>
      <c r="T11" s="29"/>
      <c r="U11" s="29"/>
      <c r="V11" s="29"/>
      <c r="W11" s="29"/>
      <c r="X11" s="29"/>
      <c r="Y11" s="39"/>
      <c r="Z11" s="32"/>
      <c r="AA11" s="29"/>
      <c r="AB11" s="29"/>
      <c r="AC11" s="29"/>
      <c r="AD11" s="29"/>
      <c r="AE11" s="28" t="str">
        <f>IF(Q11="","Gate未接続",IF(COUNTIF('29_ゲート承認記録'!$F$4:$F$83,Q11)&lt;&gt;1,"GateRun不正",IF(OR(F11="",G11="",H11="",L11="",T11="",U11="",AB11=""),"仮説・必要証拠不足",IF(R11="未検証で限定継続",IF(OR(V11="",W11="",X11="",AA11="",COUNT(Y11,Z11)&lt;2,Y11&lt;0),"持越し条件不足",IF(Z11&lt;AsOfDate,"再判断期限超過","仮説記録あり")),IF(OR(R11="検証済み",R11="否定"),IF(OR(M11="",S11="",N11="",AC11="",AD11="",AF11="",AF11="未判定"),"実証・判定不足","仮説記録あり"),"検証状態未確定")))))</f>
        <v>Gate未接続</v>
      </c>
      <c r="AF11" s="29" t="s">
        <v>1598</v>
      </c>
    </row>
    <row r="12" spans="1:32" ht="38" customHeight="1" x14ac:dyDescent="0.2">
      <c r="A12" s="2" t="s">
        <v>4236</v>
      </c>
      <c r="B12" s="2" t="s">
        <v>4237</v>
      </c>
      <c r="C12" s="2" t="s">
        <v>4238</v>
      </c>
      <c r="D12" s="2" t="s">
        <v>4239</v>
      </c>
      <c r="E12" s="2" t="s">
        <v>4240</v>
      </c>
      <c r="F12" s="6"/>
      <c r="G12" s="6"/>
      <c r="H12" s="6"/>
      <c r="I12" s="6"/>
      <c r="J12" s="6"/>
      <c r="K12" s="5"/>
      <c r="L12" s="6"/>
      <c r="M12" s="6"/>
      <c r="N12" s="6"/>
      <c r="O12" s="6" t="s">
        <v>4202</v>
      </c>
      <c r="P12" s="6"/>
      <c r="Q12" s="6"/>
      <c r="R12" s="29" t="s">
        <v>4202</v>
      </c>
      <c r="S12" s="29"/>
      <c r="T12" s="29"/>
      <c r="U12" s="29"/>
      <c r="V12" s="29"/>
      <c r="W12" s="29"/>
      <c r="X12" s="29"/>
      <c r="Y12" s="39"/>
      <c r="Z12" s="32"/>
      <c r="AA12" s="29"/>
      <c r="AB12" s="29"/>
      <c r="AC12" s="29"/>
      <c r="AD12" s="29"/>
      <c r="AE12" s="28" t="str">
        <f>IF(Q12="","Gate未接続",IF(COUNTIF('29_ゲート承認記録'!$F$4:$F$83,Q12)&lt;&gt;1,"GateRun不正",IF(OR(F12="",G12="",H12="",L12="",T12="",U12="",AB12=""),"仮説・必要証拠不足",IF(R12="未検証で限定継続",IF(OR(V12="",W12="",X12="",AA12="",COUNT(Y12,Z12)&lt;2,Y12&lt;0),"持越し条件不足",IF(Z12&lt;AsOfDate,"再判断期限超過","仮説記録あり")),IF(OR(R12="検証済み",R12="否定"),IF(OR(M12="",S12="",N12="",AC12="",AD12="",AF12="",AF12="未判定"),"実証・判定不足","仮説記録あり"),"検証状態未確定")))))</f>
        <v>Gate未接続</v>
      </c>
      <c r="AF12" s="29" t="s">
        <v>1598</v>
      </c>
    </row>
    <row r="13" spans="1:32" ht="38" customHeight="1" x14ac:dyDescent="0.2">
      <c r="A13" s="4" t="s">
        <v>4241</v>
      </c>
      <c r="B13" s="4" t="s">
        <v>4242</v>
      </c>
      <c r="C13" s="4" t="s">
        <v>4243</v>
      </c>
      <c r="D13" s="4" t="s">
        <v>4244</v>
      </c>
      <c r="E13" s="4" t="s">
        <v>4245</v>
      </c>
      <c r="F13" s="6"/>
      <c r="G13" s="6"/>
      <c r="H13" s="6"/>
      <c r="I13" s="6"/>
      <c r="J13" s="6"/>
      <c r="K13" s="5"/>
      <c r="L13" s="6"/>
      <c r="M13" s="6"/>
      <c r="N13" s="6"/>
      <c r="O13" s="6" t="s">
        <v>4202</v>
      </c>
      <c r="P13" s="6"/>
      <c r="Q13" s="6"/>
      <c r="R13" s="29" t="s">
        <v>4202</v>
      </c>
      <c r="S13" s="29"/>
      <c r="T13" s="29"/>
      <c r="U13" s="29"/>
      <c r="V13" s="29"/>
      <c r="W13" s="29"/>
      <c r="X13" s="29"/>
      <c r="Y13" s="39"/>
      <c r="Z13" s="32"/>
      <c r="AA13" s="29"/>
      <c r="AB13" s="29"/>
      <c r="AC13" s="29"/>
      <c r="AD13" s="29"/>
      <c r="AE13" s="28" t="str">
        <f>IF(Q13="","Gate未接続",IF(COUNTIF('29_ゲート承認記録'!$F$4:$F$83,Q13)&lt;&gt;1,"GateRun不正",IF(OR(F13="",G13="",H13="",L13="",T13="",U13="",AB13=""),"仮説・必要証拠不足",IF(R13="未検証で限定継続",IF(OR(V13="",W13="",X13="",AA13="",COUNT(Y13,Z13)&lt;2,Y13&lt;0),"持越し条件不足",IF(Z13&lt;AsOfDate,"再判断期限超過","仮説記録あり")),IF(OR(R13="検証済み",R13="否定"),IF(OR(M13="",S13="",N13="",AC13="",AD13="",AF13="",AF13="未判定"),"実証・判定不足","仮説記録あり"),"検証状態未確定")))))</f>
        <v>Gate未接続</v>
      </c>
      <c r="AF13" s="29" t="s">
        <v>1598</v>
      </c>
    </row>
    <row r="14" spans="1:32" ht="38" customHeight="1" x14ac:dyDescent="0.2">
      <c r="A14" s="2" t="s">
        <v>4246</v>
      </c>
      <c r="B14" s="2" t="s">
        <v>4247</v>
      </c>
      <c r="C14" s="2" t="s">
        <v>4248</v>
      </c>
      <c r="D14" s="2" t="s">
        <v>4249</v>
      </c>
      <c r="E14" s="2" t="s">
        <v>4250</v>
      </c>
      <c r="F14" s="6"/>
      <c r="G14" s="6"/>
      <c r="H14" s="6"/>
      <c r="I14" s="6"/>
      <c r="J14" s="6"/>
      <c r="K14" s="5"/>
      <c r="L14" s="6"/>
      <c r="M14" s="6"/>
      <c r="N14" s="6"/>
      <c r="O14" s="6" t="s">
        <v>4202</v>
      </c>
      <c r="P14" s="6"/>
      <c r="Q14" s="6"/>
      <c r="R14" s="29" t="s">
        <v>4202</v>
      </c>
      <c r="S14" s="29"/>
      <c r="T14" s="29"/>
      <c r="U14" s="29"/>
      <c r="V14" s="29"/>
      <c r="W14" s="29"/>
      <c r="X14" s="29"/>
      <c r="Y14" s="39"/>
      <c r="Z14" s="32"/>
      <c r="AA14" s="29"/>
      <c r="AB14" s="29"/>
      <c r="AC14" s="29"/>
      <c r="AD14" s="29"/>
      <c r="AE14" s="28" t="str">
        <f>IF(Q14="","Gate未接続",IF(COUNTIF('29_ゲート承認記録'!$F$4:$F$83,Q14)&lt;&gt;1,"GateRun不正",IF(OR(F14="",G14="",H14="",L14="",T14="",U14="",AB14=""),"仮説・必要証拠不足",IF(R14="未検証で限定継続",IF(OR(V14="",W14="",X14="",AA14="",COUNT(Y14,Z14)&lt;2,Y14&lt;0),"持越し条件不足",IF(Z14&lt;AsOfDate,"再判断期限超過","仮説記録あり")),IF(OR(R14="検証済み",R14="否定"),IF(OR(M14="",S14="",N14="",AC14="",AD14="",AF14="",AF14="未判定"),"実証・判定不足","仮説記録あり"),"検証状態未確定")))))</f>
        <v>Gate未接続</v>
      </c>
      <c r="AF14" s="29" t="s">
        <v>1598</v>
      </c>
    </row>
    <row r="15" spans="1:32" ht="38" customHeight="1" x14ac:dyDescent="0.2">
      <c r="A15" s="4" t="s">
        <v>4251</v>
      </c>
      <c r="B15" s="4" t="s">
        <v>4252</v>
      </c>
      <c r="C15" s="4" t="s">
        <v>4253</v>
      </c>
      <c r="D15" s="4" t="s">
        <v>4254</v>
      </c>
      <c r="E15" s="4" t="s">
        <v>4255</v>
      </c>
      <c r="F15" s="6"/>
      <c r="G15" s="6"/>
      <c r="H15" s="6"/>
      <c r="I15" s="6"/>
      <c r="J15" s="6"/>
      <c r="K15" s="5"/>
      <c r="L15" s="6"/>
      <c r="M15" s="6"/>
      <c r="N15" s="6"/>
      <c r="O15" s="6" t="s">
        <v>4202</v>
      </c>
      <c r="P15" s="6"/>
      <c r="Q15" s="6"/>
      <c r="R15" s="29" t="s">
        <v>4202</v>
      </c>
      <c r="S15" s="29"/>
      <c r="T15" s="29"/>
      <c r="U15" s="29"/>
      <c r="V15" s="29"/>
      <c r="W15" s="29"/>
      <c r="X15" s="29"/>
      <c r="Y15" s="39"/>
      <c r="Z15" s="32"/>
      <c r="AA15" s="29"/>
      <c r="AB15" s="29"/>
      <c r="AC15" s="29"/>
      <c r="AD15" s="29"/>
      <c r="AE15" s="28" t="str">
        <f>IF(Q15="","Gate未接続",IF(COUNTIF('29_ゲート承認記録'!$F$4:$F$83,Q15)&lt;&gt;1,"GateRun不正",IF(OR(F15="",G15="",H15="",L15="",T15="",U15="",AB15=""),"仮説・必要証拠不足",IF(R15="未検証で限定継続",IF(OR(V15="",W15="",X15="",AA15="",COUNT(Y15,Z15)&lt;2,Y15&lt;0),"持越し条件不足",IF(Z15&lt;AsOfDate,"再判断期限超過","仮説記録あり")),IF(OR(R15="検証済み",R15="否定"),IF(OR(M15="",S15="",N15="",AC15="",AD15="",AF15="",AF15="未判定"),"実証・判定不足","仮説記録あり"),"検証状態未確定")))))</f>
        <v>Gate未接続</v>
      </c>
      <c r="AF15" s="29" t="s">
        <v>1598</v>
      </c>
    </row>
    <row r="19" spans="1:17" ht="30" customHeight="1" x14ac:dyDescent="0.2">
      <c r="A19" s="46" t="s">
        <v>4256</v>
      </c>
      <c r="B19" s="45"/>
      <c r="C19" s="45"/>
      <c r="D19" s="45"/>
      <c r="E19" s="45"/>
    </row>
    <row r="20" spans="1:17" ht="32" customHeight="1" x14ac:dyDescent="0.2">
      <c r="A20" s="1" t="s">
        <v>2</v>
      </c>
      <c r="B20" s="1" t="s">
        <v>216</v>
      </c>
      <c r="C20" s="1" t="s">
        <v>4257</v>
      </c>
      <c r="D20" s="1" t="s">
        <v>4258</v>
      </c>
      <c r="E20" s="1" t="s">
        <v>3110</v>
      </c>
    </row>
    <row r="21" spans="1:17" ht="38" customHeight="1" x14ac:dyDescent="0.2">
      <c r="A21" s="2" t="s">
        <v>4259</v>
      </c>
      <c r="B21" s="2" t="s">
        <v>4260</v>
      </c>
      <c r="C21" s="6"/>
      <c r="D21" s="6" t="s">
        <v>1598</v>
      </c>
      <c r="E21" s="6"/>
      <c r="F21" s="2"/>
      <c r="G21" s="2"/>
      <c r="H21" s="2"/>
      <c r="I21" s="2"/>
      <c r="J21" s="2"/>
      <c r="K21" s="2"/>
      <c r="L21" s="2"/>
      <c r="M21" s="2"/>
      <c r="N21" s="2"/>
      <c r="O21" s="2"/>
      <c r="P21" s="2"/>
      <c r="Q21" s="2"/>
    </row>
    <row r="22" spans="1:17" ht="38" customHeight="1" x14ac:dyDescent="0.2">
      <c r="A22" s="4" t="s">
        <v>4261</v>
      </c>
      <c r="B22" s="4" t="s">
        <v>4262</v>
      </c>
      <c r="C22" s="6"/>
      <c r="D22" s="6" t="s">
        <v>1598</v>
      </c>
      <c r="E22" s="6"/>
      <c r="F22" s="4"/>
      <c r="G22" s="4"/>
      <c r="H22" s="4"/>
      <c r="I22" s="4"/>
      <c r="J22" s="4"/>
      <c r="K22" s="4"/>
      <c r="L22" s="4"/>
      <c r="M22" s="4"/>
      <c r="N22" s="4"/>
      <c r="O22" s="4"/>
      <c r="P22" s="4"/>
      <c r="Q22" s="4"/>
    </row>
    <row r="23" spans="1:17" ht="38" customHeight="1" x14ac:dyDescent="0.2">
      <c r="A23" s="2" t="s">
        <v>4263</v>
      </c>
      <c r="B23" s="2" t="s">
        <v>4264</v>
      </c>
      <c r="C23" s="6"/>
      <c r="D23" s="6" t="s">
        <v>1598</v>
      </c>
      <c r="E23" s="6"/>
      <c r="F23" s="2"/>
      <c r="G23" s="2"/>
      <c r="H23" s="2"/>
      <c r="I23" s="2"/>
      <c r="J23" s="2"/>
      <c r="K23" s="2"/>
      <c r="L23" s="2"/>
      <c r="M23" s="2"/>
      <c r="N23" s="2"/>
      <c r="O23" s="2"/>
      <c r="P23" s="2"/>
      <c r="Q23" s="2"/>
    </row>
    <row r="24" spans="1:17" ht="38" customHeight="1" x14ac:dyDescent="0.2">
      <c r="A24" s="4" t="s">
        <v>4265</v>
      </c>
      <c r="B24" s="4" t="s">
        <v>4266</v>
      </c>
      <c r="C24" s="6"/>
      <c r="D24" s="6" t="s">
        <v>1598</v>
      </c>
      <c r="E24" s="6"/>
      <c r="F24" s="4"/>
      <c r="G24" s="4"/>
      <c r="H24" s="4"/>
      <c r="I24" s="4"/>
      <c r="J24" s="4"/>
      <c r="K24" s="4"/>
      <c r="L24" s="4"/>
      <c r="M24" s="4"/>
      <c r="N24" s="4"/>
      <c r="O24" s="4"/>
      <c r="P24" s="4"/>
      <c r="Q24" s="4"/>
    </row>
    <row r="25" spans="1:17" ht="38" customHeight="1" x14ac:dyDescent="0.2">
      <c r="A25" s="2" t="s">
        <v>4237</v>
      </c>
      <c r="B25" s="2" t="s">
        <v>4267</v>
      </c>
      <c r="C25" s="6"/>
      <c r="D25" s="6" t="s">
        <v>1598</v>
      </c>
      <c r="E25" s="6"/>
      <c r="F25" s="2"/>
      <c r="G25" s="2"/>
      <c r="H25" s="2"/>
      <c r="I25" s="2"/>
      <c r="J25" s="2"/>
      <c r="K25" s="2"/>
      <c r="L25" s="2"/>
      <c r="M25" s="2"/>
      <c r="N25" s="2"/>
      <c r="O25" s="2"/>
      <c r="P25" s="2"/>
      <c r="Q25" s="2"/>
    </row>
    <row r="26" spans="1:17" ht="38" customHeight="1" x14ac:dyDescent="0.2">
      <c r="A26" s="4" t="s">
        <v>4268</v>
      </c>
      <c r="B26" s="4" t="s">
        <v>4269</v>
      </c>
      <c r="C26" s="6"/>
      <c r="D26" s="6" t="s">
        <v>1598</v>
      </c>
      <c r="E26" s="6"/>
      <c r="F26" s="4"/>
      <c r="G26" s="4"/>
      <c r="H26" s="4"/>
      <c r="I26" s="4"/>
      <c r="J26" s="4"/>
      <c r="K26" s="4"/>
      <c r="L26" s="4"/>
      <c r="M26" s="4"/>
      <c r="N26" s="4"/>
      <c r="O26" s="4"/>
      <c r="P26" s="4"/>
      <c r="Q26" s="4"/>
    </row>
  </sheetData>
  <autoFilter ref="A3:AF15" xr:uid="{00000000-0009-0000-0000-000019000000}"/>
  <mergeCells count="3">
    <mergeCell ref="A2:I2"/>
    <mergeCell ref="A1:G1"/>
    <mergeCell ref="A19:E19"/>
  </mergeCells>
  <phoneticPr fontId="12"/>
  <dataValidations count="8">
    <dataValidation type="list" allowBlank="1" showErrorMessage="1" errorTitle="入力値を確認" error="選択肢から入力してください。" sqref="O4:O15" xr:uid="{00000000-0002-0000-1900-000000000000}">
      <formula1>"未検証,検証中,支持,反証,不確定,継続,ピボット,停止"</formula1>
    </dataValidation>
    <dataValidation type="date" allowBlank="1" showErrorMessage="1" error="日付形式で入力してください。" sqref="K4:K15" xr:uid="{00000000-0002-0000-1900-000001000000}">
      <formula1>DATE(2000,1,1)</formula1>
      <formula2>DATE(2100,12,31)</formula2>
    </dataValidation>
    <dataValidation type="decimal" operator="greaterThanOrEqual" allowBlank="1" showErrorMessage="1" error="0以上の数値を入力してください。未測定は空欄です。" sqref="J4:J15" xr:uid="{00000000-0002-0000-1900-000002000000}">
      <formula1>0</formula1>
    </dataValidation>
    <dataValidation type="list" allowBlank="1" showErrorMessage="1" errorTitle="入力値を確認" error="候補・値域を確認してください。貼付や外部取込後も点検が必要です。" sqref="R4:R15" xr:uid="{00000000-0002-0000-1900-000003000000}">
      <formula1>"未検証,検証中,検証済み,否定,未検証で限定継続"</formula1>
    </dataValidation>
    <dataValidation type="list" allowBlank="1" showErrorMessage="1" errorTitle="入力値を確認" error="候補・値域を確認してください。貼付や外部取込後も点検が必要です。" sqref="S4:S15" xr:uid="{00000000-0002-0000-1900-000004000000}">
      <formula1>"発言,無償デモ,実業務利用,支払,有償継続,社内価値・費用負担,複合証拠"</formula1>
    </dataValidation>
    <dataValidation type="list" allowBlank="1" showErrorMessage="1" errorTitle="入力値を確認" error="候補・値域を確認してください。貼付や外部取込後も点検が必要です。" sqref="AC4:AC15" xr:uid="{00000000-0002-0000-1900-000005000000}">
      <formula1>"未判定,技術成立,技術不成立,技術未検証"</formula1>
    </dataValidation>
    <dataValidation type="list" allowBlank="1" showErrorMessage="1" errorTitle="入力値を確認" error="候補・値域を確認してください。貼付や外部取込後も点検が必要です。" sqref="AD4:AD15" xr:uid="{00000000-0002-0000-1900-000006000000}">
      <formula1>"未判定,拡大可能,拡大不成立,限定継続,停止"</formula1>
    </dataValidation>
    <dataValidation type="list" allowBlank="1" showErrorMessage="1" errorTitle="入力値を確認" error="候補・値域を確認してください。貼付や外部取込後も点検が必要です。" sqref="AF4:AF15" xr:uid="{00000000-0002-0000-1900-000007000000}">
      <formula1>"未判定,充足,不充足"</formula1>
    </dataValidation>
  </dataValidations>
  <pageMargins left="0.25" right="0.25" top="0.4" bottom="0.4" header="0.5" footer="0.5"/>
  <pageSetup paperSize="8" fitToHeight="0" orientation="landscape"/>
  <headerFooter>
    <oddFooter>&amp;CAI自社事業PJ v1.0 | &amp;A&amp;R&amp;P / &amp;N</oddFooter>
  </headerFooter>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C795A"/>
    <outlinePr summaryRight="0"/>
    <pageSetUpPr fitToPage="1"/>
  </sheetPr>
  <dimension ref="A1:AA43"/>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3" customWidth="1"/>
    <col min="2" max="2" width="22" customWidth="1"/>
    <col min="3" max="3" width="48" customWidth="1"/>
    <col min="4" max="4" width="97" customWidth="1"/>
    <col min="5" max="5" width="17" customWidth="1"/>
    <col min="6" max="6" width="64" customWidth="1"/>
    <col min="7" max="7" width="62" customWidth="1"/>
    <col min="8" max="8" width="37" customWidth="1"/>
    <col min="9" max="9" width="67" customWidth="1"/>
    <col min="10" max="10" width="24" customWidth="1"/>
    <col min="11" max="11" width="20" customWidth="1"/>
    <col min="12" max="21" width="22" customWidth="1"/>
    <col min="22" max="22" width="65" customWidth="1"/>
    <col min="23" max="23" width="39" customWidth="1"/>
    <col min="24" max="27" width="29" customWidth="1"/>
  </cols>
  <sheetData>
    <row r="1" spans="1:11" ht="34" customHeight="1" x14ac:dyDescent="0.55000000000000004">
      <c r="A1" s="44" t="s">
        <v>4270</v>
      </c>
      <c r="B1" s="45"/>
      <c r="C1" s="45"/>
      <c r="D1" s="45"/>
      <c r="E1" s="45"/>
      <c r="F1" s="45"/>
      <c r="G1" s="45"/>
    </row>
    <row r="2" spans="1:11" ht="43" customHeight="1" x14ac:dyDescent="0.2">
      <c r="A2" s="47" t="s">
        <v>4271</v>
      </c>
      <c r="B2" s="45"/>
      <c r="C2" s="45"/>
      <c r="D2" s="45"/>
      <c r="E2" s="45"/>
      <c r="F2" s="45"/>
      <c r="G2" s="45"/>
      <c r="H2" s="45"/>
      <c r="I2" s="45"/>
    </row>
    <row r="3" spans="1:11" ht="34" customHeight="1" x14ac:dyDescent="0.2">
      <c r="A3" s="1" t="s">
        <v>4272</v>
      </c>
      <c r="B3" s="1" t="s">
        <v>4169</v>
      </c>
      <c r="C3" s="1" t="s">
        <v>3493</v>
      </c>
      <c r="D3" s="1" t="s">
        <v>4273</v>
      </c>
      <c r="E3" s="1" t="s">
        <v>3698</v>
      </c>
      <c r="F3" s="1" t="s">
        <v>4274</v>
      </c>
      <c r="G3" s="1" t="s">
        <v>4275</v>
      </c>
      <c r="H3" s="1" t="s">
        <v>4276</v>
      </c>
      <c r="I3" s="1" t="s">
        <v>3830</v>
      </c>
      <c r="J3" s="1" t="s">
        <v>3700</v>
      </c>
      <c r="K3" s="1" t="s">
        <v>3422</v>
      </c>
    </row>
    <row r="4" spans="1:11" ht="38" customHeight="1" x14ac:dyDescent="0.2">
      <c r="A4" s="2" t="s">
        <v>4277</v>
      </c>
      <c r="B4" s="2" t="s">
        <v>4278</v>
      </c>
      <c r="C4" s="2" t="s">
        <v>4279</v>
      </c>
      <c r="D4" s="2" t="s">
        <v>4280</v>
      </c>
      <c r="E4" s="2" t="s">
        <v>286</v>
      </c>
      <c r="F4" s="6"/>
      <c r="G4" s="6"/>
      <c r="H4" s="6"/>
      <c r="I4" s="6"/>
      <c r="J4" s="6"/>
      <c r="K4" s="5"/>
    </row>
    <row r="5" spans="1:11" ht="38" customHeight="1" x14ac:dyDescent="0.2">
      <c r="A5" s="4" t="s">
        <v>4281</v>
      </c>
      <c r="B5" s="4" t="s">
        <v>4282</v>
      </c>
      <c r="C5" s="4" t="s">
        <v>4283</v>
      </c>
      <c r="D5" s="4" t="s">
        <v>4284</v>
      </c>
      <c r="E5" s="4" t="s">
        <v>286</v>
      </c>
      <c r="F5" s="6"/>
      <c r="G5" s="6"/>
      <c r="H5" s="6"/>
      <c r="I5" s="6"/>
      <c r="J5" s="6"/>
      <c r="K5" s="5"/>
    </row>
    <row r="6" spans="1:11" ht="38" customHeight="1" x14ac:dyDescent="0.2">
      <c r="A6" s="2" t="s">
        <v>4285</v>
      </c>
      <c r="B6" s="2" t="s">
        <v>4286</v>
      </c>
      <c r="C6" s="2" t="s">
        <v>4287</v>
      </c>
      <c r="D6" s="2" t="s">
        <v>4288</v>
      </c>
      <c r="E6" s="2" t="s">
        <v>1873</v>
      </c>
      <c r="F6" s="6"/>
      <c r="G6" s="6"/>
      <c r="H6" s="6"/>
      <c r="I6" s="6"/>
      <c r="J6" s="6"/>
      <c r="K6" s="5"/>
    </row>
    <row r="7" spans="1:11" ht="38" customHeight="1" x14ac:dyDescent="0.2">
      <c r="A7" s="4" t="s">
        <v>4289</v>
      </c>
      <c r="B7" s="4" t="s">
        <v>4290</v>
      </c>
      <c r="C7" s="4" t="s">
        <v>4291</v>
      </c>
      <c r="D7" s="4" t="s">
        <v>4292</v>
      </c>
      <c r="E7" s="4" t="s">
        <v>286</v>
      </c>
      <c r="F7" s="6"/>
      <c r="G7" s="6"/>
      <c r="H7" s="6"/>
      <c r="I7" s="6"/>
      <c r="J7" s="6"/>
      <c r="K7" s="5"/>
    </row>
    <row r="8" spans="1:11" ht="38" customHeight="1" x14ac:dyDescent="0.2">
      <c r="A8" s="2" t="s">
        <v>4293</v>
      </c>
      <c r="B8" s="2" t="s">
        <v>4294</v>
      </c>
      <c r="C8" s="2" t="s">
        <v>4295</v>
      </c>
      <c r="D8" s="2" t="s">
        <v>4296</v>
      </c>
      <c r="E8" s="2" t="s">
        <v>1873</v>
      </c>
      <c r="F8" s="6"/>
      <c r="G8" s="6"/>
      <c r="H8" s="6"/>
      <c r="I8" s="6"/>
      <c r="J8" s="6"/>
      <c r="K8" s="5"/>
    </row>
    <row r="9" spans="1:11" ht="38" customHeight="1" x14ac:dyDescent="0.2">
      <c r="A9" s="4" t="s">
        <v>4297</v>
      </c>
      <c r="B9" s="4" t="s">
        <v>992</v>
      </c>
      <c r="C9" s="4" t="s">
        <v>4298</v>
      </c>
      <c r="D9" s="4" t="s">
        <v>4299</v>
      </c>
      <c r="E9" s="4" t="s">
        <v>1867</v>
      </c>
      <c r="F9" s="6"/>
      <c r="G9" s="6"/>
      <c r="H9" s="6"/>
      <c r="I9" s="6"/>
      <c r="J9" s="6"/>
      <c r="K9" s="5"/>
    </row>
    <row r="10" spans="1:11" ht="38" customHeight="1" x14ac:dyDescent="0.2">
      <c r="A10" s="2" t="s">
        <v>4300</v>
      </c>
      <c r="B10" s="2" t="s">
        <v>1175</v>
      </c>
      <c r="C10" s="2" t="s">
        <v>4301</v>
      </c>
      <c r="D10" s="2" t="s">
        <v>4302</v>
      </c>
      <c r="E10" s="2" t="s">
        <v>1867</v>
      </c>
      <c r="F10" s="6"/>
      <c r="G10" s="6"/>
      <c r="H10" s="6"/>
      <c r="I10" s="6"/>
      <c r="J10" s="6"/>
      <c r="K10" s="5"/>
    </row>
    <row r="11" spans="1:11" ht="38" customHeight="1" x14ac:dyDescent="0.2">
      <c r="A11" s="4" t="s">
        <v>4303</v>
      </c>
      <c r="B11" s="4" t="s">
        <v>4304</v>
      </c>
      <c r="C11" s="4" t="s">
        <v>4305</v>
      </c>
      <c r="D11" s="4" t="s">
        <v>4306</v>
      </c>
      <c r="E11" s="4" t="s">
        <v>197</v>
      </c>
      <c r="F11" s="6"/>
      <c r="G11" s="6"/>
      <c r="H11" s="6"/>
      <c r="I11" s="6"/>
      <c r="J11" s="6"/>
      <c r="K11" s="5"/>
    </row>
    <row r="12" spans="1:11" ht="38" customHeight="1" x14ac:dyDescent="0.2">
      <c r="A12" s="2" t="s">
        <v>4307</v>
      </c>
      <c r="B12" s="2" t="s">
        <v>4308</v>
      </c>
      <c r="C12" s="2" t="s">
        <v>3845</v>
      </c>
      <c r="D12" s="2" t="s">
        <v>4309</v>
      </c>
      <c r="E12" s="2" t="s">
        <v>516</v>
      </c>
      <c r="F12" s="6"/>
      <c r="G12" s="6"/>
      <c r="H12" s="6"/>
      <c r="I12" s="6"/>
      <c r="J12" s="6"/>
      <c r="K12" s="5"/>
    </row>
    <row r="13" spans="1:11" ht="38" customHeight="1" x14ac:dyDescent="0.2">
      <c r="A13" s="4" t="s">
        <v>4310</v>
      </c>
      <c r="B13" s="4" t="s">
        <v>1156</v>
      </c>
      <c r="C13" s="4" t="s">
        <v>4311</v>
      </c>
      <c r="D13" s="4" t="s">
        <v>4312</v>
      </c>
      <c r="E13" s="4" t="s">
        <v>1271</v>
      </c>
      <c r="F13" s="6"/>
      <c r="G13" s="6"/>
      <c r="H13" s="6"/>
      <c r="I13" s="6"/>
      <c r="J13" s="6"/>
      <c r="K13" s="5"/>
    </row>
    <row r="14" spans="1:11" ht="38" customHeight="1" x14ac:dyDescent="0.2">
      <c r="A14" s="2" t="s">
        <v>4313</v>
      </c>
      <c r="B14" s="2" t="s">
        <v>4314</v>
      </c>
      <c r="C14" s="2" t="s">
        <v>4315</v>
      </c>
      <c r="D14" s="2" t="s">
        <v>4316</v>
      </c>
      <c r="E14" s="2" t="s">
        <v>1802</v>
      </c>
      <c r="F14" s="6"/>
      <c r="G14" s="6"/>
      <c r="H14" s="6"/>
      <c r="I14" s="6"/>
      <c r="J14" s="6"/>
      <c r="K14" s="5"/>
    </row>
    <row r="15" spans="1:11" ht="38" customHeight="1" x14ac:dyDescent="0.2">
      <c r="A15" s="4" t="s">
        <v>4317</v>
      </c>
      <c r="B15" s="4" t="s">
        <v>4318</v>
      </c>
      <c r="C15" s="4" t="s">
        <v>4319</v>
      </c>
      <c r="D15" s="4" t="s">
        <v>4320</v>
      </c>
      <c r="E15" s="4" t="s">
        <v>189</v>
      </c>
      <c r="F15" s="6"/>
      <c r="G15" s="6"/>
      <c r="H15" s="6"/>
      <c r="I15" s="6"/>
      <c r="J15" s="6"/>
      <c r="K15" s="5"/>
    </row>
    <row r="16" spans="1:11" ht="38" customHeight="1" x14ac:dyDescent="0.2">
      <c r="A16" s="2" t="s">
        <v>4321</v>
      </c>
      <c r="B16" s="2" t="s">
        <v>962</v>
      </c>
      <c r="C16" s="2" t="s">
        <v>4322</v>
      </c>
      <c r="D16" s="2" t="s">
        <v>4323</v>
      </c>
      <c r="E16" s="2" t="s">
        <v>1830</v>
      </c>
      <c r="F16" s="6"/>
      <c r="G16" s="6"/>
      <c r="H16" s="6"/>
      <c r="I16" s="6"/>
      <c r="J16" s="6"/>
      <c r="K16" s="5"/>
    </row>
    <row r="17" spans="1:27" ht="38" customHeight="1" x14ac:dyDescent="0.2">
      <c r="A17" s="4" t="s">
        <v>4324</v>
      </c>
      <c r="B17" s="4" t="s">
        <v>4325</v>
      </c>
      <c r="C17" s="4" t="s">
        <v>4326</v>
      </c>
      <c r="D17" s="4" t="s">
        <v>4327</v>
      </c>
      <c r="E17" s="4" t="s">
        <v>1879</v>
      </c>
      <c r="F17" s="6"/>
      <c r="G17" s="6"/>
      <c r="H17" s="6"/>
      <c r="I17" s="6"/>
      <c r="J17" s="6"/>
      <c r="K17" s="5"/>
    </row>
    <row r="18" spans="1:27" ht="38" customHeight="1" x14ac:dyDescent="0.2">
      <c r="A18" s="2" t="s">
        <v>4328</v>
      </c>
      <c r="B18" s="2" t="s">
        <v>4329</v>
      </c>
      <c r="C18" s="2" t="s">
        <v>4330</v>
      </c>
      <c r="D18" s="2" t="s">
        <v>4331</v>
      </c>
      <c r="E18" s="2" t="s">
        <v>166</v>
      </c>
      <c r="F18" s="6"/>
      <c r="G18" s="6"/>
      <c r="H18" s="6"/>
      <c r="I18" s="6"/>
      <c r="J18" s="6"/>
      <c r="K18" s="5"/>
    </row>
    <row r="19" spans="1:27" ht="38" customHeight="1" x14ac:dyDescent="0.2">
      <c r="A19" s="4" t="s">
        <v>4332</v>
      </c>
      <c r="B19" s="4" t="s">
        <v>4333</v>
      </c>
      <c r="C19" s="4" t="s">
        <v>4334</v>
      </c>
      <c r="D19" s="4" t="s">
        <v>4335</v>
      </c>
      <c r="E19" s="4" t="s">
        <v>1867</v>
      </c>
      <c r="F19" s="6"/>
      <c r="G19" s="6"/>
      <c r="H19" s="6"/>
      <c r="I19" s="6"/>
      <c r="J19" s="6"/>
      <c r="K19" s="5"/>
    </row>
    <row r="23" spans="1:27" ht="30" customHeight="1" x14ac:dyDescent="0.2">
      <c r="A23" s="46" t="s">
        <v>4336</v>
      </c>
      <c r="B23" s="45"/>
      <c r="C23" s="45"/>
      <c r="D23" s="45"/>
      <c r="E23" s="45"/>
      <c r="F23" s="45"/>
      <c r="G23" s="45"/>
      <c r="H23" s="45"/>
      <c r="I23" s="45"/>
      <c r="J23" s="45"/>
      <c r="K23" s="45"/>
      <c r="L23" s="45"/>
      <c r="M23" s="45"/>
      <c r="N23" s="45"/>
      <c r="O23" s="45"/>
      <c r="P23" s="45"/>
      <c r="Q23" s="45"/>
      <c r="R23" s="45"/>
      <c r="S23" s="45"/>
      <c r="T23" s="45"/>
      <c r="U23" s="45"/>
      <c r="V23" s="45"/>
      <c r="W23" s="45"/>
    </row>
    <row r="24" spans="1:27" ht="36" customHeight="1" x14ac:dyDescent="0.2">
      <c r="A24" s="1" t="s">
        <v>4337</v>
      </c>
      <c r="B24" s="1" t="s">
        <v>4338</v>
      </c>
      <c r="C24" s="1" t="s">
        <v>4339</v>
      </c>
      <c r="D24" s="1" t="s">
        <v>4340</v>
      </c>
      <c r="E24" s="1" t="s">
        <v>4341</v>
      </c>
      <c r="F24" s="1" t="s">
        <v>4342</v>
      </c>
      <c r="G24" s="1" t="s">
        <v>4343</v>
      </c>
      <c r="H24" s="1" t="s">
        <v>4344</v>
      </c>
      <c r="I24" s="1" t="s">
        <v>4345</v>
      </c>
      <c r="J24" s="1" t="s">
        <v>4346</v>
      </c>
      <c r="K24" s="1" t="s">
        <v>4347</v>
      </c>
      <c r="L24" s="1" t="s">
        <v>4348</v>
      </c>
      <c r="M24" s="1" t="s">
        <v>4349</v>
      </c>
      <c r="N24" s="1" t="s">
        <v>4350</v>
      </c>
      <c r="O24" s="1" t="s">
        <v>4351</v>
      </c>
      <c r="P24" s="1" t="s">
        <v>4352</v>
      </c>
      <c r="Q24" s="1" t="s">
        <v>4353</v>
      </c>
      <c r="R24" s="1" t="s">
        <v>4354</v>
      </c>
      <c r="S24" s="1" t="s">
        <v>4355</v>
      </c>
      <c r="T24" s="1" t="s">
        <v>4356</v>
      </c>
      <c r="U24" s="1" t="s">
        <v>4357</v>
      </c>
      <c r="V24" s="1" t="s">
        <v>3073</v>
      </c>
      <c r="W24" s="1" t="s">
        <v>4358</v>
      </c>
      <c r="X24" s="1" t="s">
        <v>4359</v>
      </c>
      <c r="Y24" s="1" t="s">
        <v>4360</v>
      </c>
      <c r="Z24" s="1" t="s">
        <v>4361</v>
      </c>
      <c r="AA24" s="1" t="s">
        <v>4362</v>
      </c>
    </row>
    <row r="25" spans="1:27" ht="38" customHeight="1" x14ac:dyDescent="0.2">
      <c r="A25" s="2" t="s">
        <v>1334</v>
      </c>
      <c r="B25" s="6" t="s">
        <v>4363</v>
      </c>
      <c r="C25" s="6"/>
      <c r="D25" s="24"/>
      <c r="E25" s="18"/>
      <c r="F25" s="18"/>
      <c r="G25" s="18"/>
      <c r="H25" s="37" t="str">
        <f>IF(COUNT(D25:G25)&lt;4,"",D25*E25+F25-G25)</f>
        <v/>
      </c>
      <c r="I25" s="24"/>
      <c r="J25" s="24"/>
      <c r="K25" s="18"/>
      <c r="L25" s="18"/>
      <c r="M25" s="18"/>
      <c r="N25" s="18"/>
      <c r="O25" s="18"/>
      <c r="P25" s="37" t="str">
        <f>IF(COUNT(K25:O25)&lt;5,"",SUM(K25:O25))</f>
        <v/>
      </c>
      <c r="Q25" s="37" t="str">
        <f>IF(OR(NOT(ISNUMBER(H25)),NOT(ISNUMBER(P25))),"",H25-P25)</f>
        <v/>
      </c>
      <c r="R25" s="40" t="str">
        <f>IF(OR(NOT(ISNUMBER(Q25)),H25&lt;=0),"",Q25/H25)</f>
        <v/>
      </c>
      <c r="S25" s="18"/>
      <c r="T25" s="37" t="str">
        <f>IF(OR(NOT(ISNUMBER(Q25)),NOT(ISNUMBER(S25))),"",Q25-S25)</f>
        <v/>
      </c>
      <c r="U25" s="37" t="str">
        <f>IF(OR(COUNT(I25:J25)&lt;2,J25&lt;=0,J25&gt;I25,NOT(ISNUMBER(P25))),"",P25/J25)</f>
        <v/>
      </c>
      <c r="V25" s="6"/>
      <c r="W25" s="25" t="str">
        <f>IF(COUNT(D25:G25,I25:O25,S25)=0,"未入力",IF(OR(MIN(D25:G25,I25:O25,S25)&lt;0,AND(COUNT(I25:J25)=2,J25&gt;I25)),"入力値不正",IF(OR(C25="",COUNT(D25:G25,I25:O25,S25)&lt;12,V25=""),"計算前提不足",IF(H25&lt;0,"返金額要確認",IF(OR(Y25="",Z25="",AA25=""),"成功定義・配賦不足","記録あり・採算判断別")))))</f>
        <v>未入力</v>
      </c>
      <c r="X25" s="41" t="str">
        <f>IF(OR(COUNT(P25,S25,J25)&lt;3,J25&lt;=0,MIN(P25,S25)&lt;0),"",(P25+S25)/J25)</f>
        <v/>
      </c>
      <c r="Y25" s="29"/>
      <c r="Z25" s="29"/>
      <c r="AA25" s="29"/>
    </row>
    <row r="26" spans="1:27" ht="38" customHeight="1" x14ac:dyDescent="0.2">
      <c r="A26" s="4" t="s">
        <v>4364</v>
      </c>
      <c r="B26" s="6" t="s">
        <v>4363</v>
      </c>
      <c r="C26" s="6"/>
      <c r="D26" s="24"/>
      <c r="E26" s="18"/>
      <c r="F26" s="18"/>
      <c r="G26" s="18"/>
      <c r="H26" s="38" t="str">
        <f>IF(COUNT(D26:G26)&lt;4,"",D26*E26+F26-G26)</f>
        <v/>
      </c>
      <c r="I26" s="24"/>
      <c r="J26" s="24"/>
      <c r="K26" s="18"/>
      <c r="L26" s="18"/>
      <c r="M26" s="18"/>
      <c r="N26" s="18"/>
      <c r="O26" s="18"/>
      <c r="P26" s="38" t="str">
        <f>IF(COUNT(K26:O26)&lt;5,"",SUM(K26:O26))</f>
        <v/>
      </c>
      <c r="Q26" s="38" t="str">
        <f>IF(OR(NOT(ISNUMBER(H26)),NOT(ISNUMBER(P26))),"",H26-P26)</f>
        <v/>
      </c>
      <c r="R26" s="42" t="str">
        <f>IF(OR(NOT(ISNUMBER(Q26)),H26&lt;=0),"",Q26/H26)</f>
        <v/>
      </c>
      <c r="S26" s="18"/>
      <c r="T26" s="38" t="str">
        <f>IF(OR(NOT(ISNUMBER(Q26)),NOT(ISNUMBER(S26))),"",Q26-S26)</f>
        <v/>
      </c>
      <c r="U26" s="38" t="str">
        <f>IF(OR(COUNT(I26:J26)&lt;2,J26&lt;=0,J26&gt;I26,NOT(ISNUMBER(P26))),"",P26/J26)</f>
        <v/>
      </c>
      <c r="V26" s="6"/>
      <c r="W26" s="26" t="str">
        <f>IF(COUNT(D26:G26,I26:O26,S26)=0,"未入力",IF(OR(MIN(D26:G26,I26:O26,S26)&lt;0,AND(COUNT(I26:J26)=2,J26&gt;I26)),"入力値不正",IF(OR(C26="",COUNT(D26:G26,I26:O26,S26)&lt;12,V26=""),"計算前提不足",IF(H26&lt;0,"返金額要確認",IF(OR(Y26="",Z26="",AA26=""),"成功定義・配賦不足","記録あり・採算判断別")))))</f>
        <v>未入力</v>
      </c>
      <c r="X26" s="41" t="str">
        <f>IF(OR(COUNT(P26,S26,J26)&lt;3,J26&lt;=0,MIN(P26,S26)&lt;0),"",(P26+S26)/J26)</f>
        <v/>
      </c>
      <c r="Y26" s="29"/>
      <c r="Z26" s="29"/>
      <c r="AA26" s="29"/>
    </row>
    <row r="27" spans="1:27" ht="38" customHeight="1" x14ac:dyDescent="0.2">
      <c r="A27" s="2" t="s">
        <v>4365</v>
      </c>
      <c r="B27" s="6" t="s">
        <v>4363</v>
      </c>
      <c r="C27" s="6"/>
      <c r="D27" s="24"/>
      <c r="E27" s="18"/>
      <c r="F27" s="18"/>
      <c r="G27" s="18"/>
      <c r="H27" s="37" t="str">
        <f>IF(COUNT(D27:G27)&lt;4,"",D27*E27+F27-G27)</f>
        <v/>
      </c>
      <c r="I27" s="24"/>
      <c r="J27" s="24"/>
      <c r="K27" s="18"/>
      <c r="L27" s="18"/>
      <c r="M27" s="18"/>
      <c r="N27" s="18"/>
      <c r="O27" s="18"/>
      <c r="P27" s="37" t="str">
        <f>IF(COUNT(K27:O27)&lt;5,"",SUM(K27:O27))</f>
        <v/>
      </c>
      <c r="Q27" s="37" t="str">
        <f>IF(OR(NOT(ISNUMBER(H27)),NOT(ISNUMBER(P27))),"",H27-P27)</f>
        <v/>
      </c>
      <c r="R27" s="40" t="str">
        <f>IF(OR(NOT(ISNUMBER(Q27)),H27&lt;=0),"",Q27/H27)</f>
        <v/>
      </c>
      <c r="S27" s="18"/>
      <c r="T27" s="37" t="str">
        <f>IF(OR(NOT(ISNUMBER(Q27)),NOT(ISNUMBER(S27))),"",Q27-S27)</f>
        <v/>
      </c>
      <c r="U27" s="37" t="str">
        <f>IF(OR(COUNT(I27:J27)&lt;2,J27&lt;=0,J27&gt;I27,NOT(ISNUMBER(P27))),"",P27/J27)</f>
        <v/>
      </c>
      <c r="V27" s="6"/>
      <c r="W27" s="25" t="str">
        <f>IF(COUNT(D27:G27,I27:O27,S27)=0,"未入力",IF(OR(MIN(D27:G27,I27:O27,S27)&lt;0,AND(COUNT(I27:J27)=2,J27&gt;I27)),"入力値不正",IF(OR(C27="",COUNT(D27:G27,I27:O27,S27)&lt;12,V27=""),"計算前提不足",IF(H27&lt;0,"返金額要確認",IF(OR(Y27="",Z27="",AA27=""),"成功定義・配賦不足","記録あり・採算判断別")))))</f>
        <v>未入力</v>
      </c>
      <c r="X27" s="41" t="str">
        <f>IF(OR(COUNT(P27,S27,J27)&lt;3,J27&lt;=0,MIN(P27,S27)&lt;0),"",(P27+S27)/J27)</f>
        <v/>
      </c>
      <c r="Y27" s="29"/>
      <c r="Z27" s="29"/>
      <c r="AA27" s="29"/>
    </row>
    <row r="31" spans="1:27" ht="30" customHeight="1" x14ac:dyDescent="0.2">
      <c r="A31" s="46" t="s">
        <v>4366</v>
      </c>
      <c r="B31" s="45"/>
      <c r="C31" s="45"/>
      <c r="D31" s="45"/>
      <c r="E31" s="45"/>
      <c r="F31" s="45"/>
      <c r="G31" s="45"/>
      <c r="H31" s="45"/>
      <c r="I31" s="45"/>
      <c r="J31" s="45"/>
      <c r="K31" s="45"/>
    </row>
    <row r="32" spans="1:27" ht="32" customHeight="1" x14ac:dyDescent="0.2">
      <c r="A32" s="1" t="s">
        <v>4367</v>
      </c>
      <c r="B32" s="1" t="s">
        <v>4368</v>
      </c>
      <c r="C32" s="1" t="s">
        <v>4369</v>
      </c>
      <c r="D32" s="1" t="s">
        <v>4370</v>
      </c>
      <c r="E32" s="1" t="s">
        <v>4371</v>
      </c>
      <c r="F32" s="1" t="s">
        <v>4372</v>
      </c>
      <c r="G32" s="1" t="s">
        <v>4373</v>
      </c>
      <c r="H32" s="1" t="s">
        <v>4374</v>
      </c>
      <c r="I32" s="1" t="s">
        <v>4375</v>
      </c>
      <c r="J32" s="1" t="s">
        <v>3073</v>
      </c>
      <c r="K32" s="1" t="s">
        <v>1621</v>
      </c>
    </row>
    <row r="33" spans="1:23" ht="38" customHeight="1" x14ac:dyDescent="0.2">
      <c r="A33" s="2" t="s">
        <v>1334</v>
      </c>
      <c r="B33" s="18"/>
      <c r="C33" s="18"/>
      <c r="D33" s="18"/>
      <c r="E33" s="18"/>
      <c r="F33" s="37" t="str">
        <f>IF(COUNT(B33:E33)&lt;4,"",SUM(B33:D33)-E33)</f>
        <v/>
      </c>
      <c r="G33" s="18"/>
      <c r="H33" s="37" t="str">
        <f>IF(OR(NOT(ISNUMBER(F33)),NOT(ISNUMBER(G33))),"",MAX(0,G33-F33))</f>
        <v/>
      </c>
      <c r="I33" s="6"/>
      <c r="J33" s="6"/>
      <c r="K33" s="6"/>
      <c r="L33" s="2"/>
      <c r="M33" s="2"/>
      <c r="N33" s="2"/>
      <c r="O33" s="2"/>
      <c r="P33" s="2"/>
      <c r="Q33" s="2"/>
      <c r="R33" s="2"/>
      <c r="S33" s="2"/>
      <c r="T33" s="2"/>
      <c r="U33" s="2"/>
      <c r="V33" s="2"/>
      <c r="W33" s="2"/>
    </row>
    <row r="34" spans="1:23" ht="38" customHeight="1" x14ac:dyDescent="0.2">
      <c r="A34" s="4" t="s">
        <v>4364</v>
      </c>
      <c r="B34" s="18"/>
      <c r="C34" s="18"/>
      <c r="D34" s="18"/>
      <c r="E34" s="18"/>
      <c r="F34" s="38" t="str">
        <f>IF(COUNT(B34:E34)&lt;4,"",SUM(B34:D34)-E34)</f>
        <v/>
      </c>
      <c r="G34" s="18"/>
      <c r="H34" s="38" t="str">
        <f>IF(OR(NOT(ISNUMBER(F34)),NOT(ISNUMBER(G34))),"",MAX(0,G34-F34))</f>
        <v/>
      </c>
      <c r="I34" s="6"/>
      <c r="J34" s="6"/>
      <c r="K34" s="6"/>
      <c r="L34" s="4"/>
      <c r="M34" s="4"/>
      <c r="N34" s="4"/>
      <c r="O34" s="4"/>
      <c r="P34" s="4"/>
      <c r="Q34" s="4"/>
      <c r="R34" s="4"/>
      <c r="S34" s="4"/>
      <c r="T34" s="4"/>
      <c r="U34" s="4"/>
      <c r="V34" s="4"/>
      <c r="W34" s="4"/>
    </row>
    <row r="35" spans="1:23" ht="38" customHeight="1" x14ac:dyDescent="0.2">
      <c r="A35" s="2" t="s">
        <v>4365</v>
      </c>
      <c r="B35" s="18"/>
      <c r="C35" s="18"/>
      <c r="D35" s="18"/>
      <c r="E35" s="18"/>
      <c r="F35" s="37" t="str">
        <f>IF(COUNT(B35:E35)&lt;4,"",SUM(B35:D35)-E35)</f>
        <v/>
      </c>
      <c r="G35" s="18"/>
      <c r="H35" s="37" t="str">
        <f>IF(OR(NOT(ISNUMBER(F35)),NOT(ISNUMBER(G35))),"",MAX(0,G35-F35))</f>
        <v/>
      </c>
      <c r="I35" s="6"/>
      <c r="J35" s="6"/>
      <c r="K35" s="6"/>
      <c r="L35" s="2"/>
      <c r="M35" s="2"/>
      <c r="N35" s="2"/>
      <c r="O35" s="2"/>
      <c r="P35" s="2"/>
      <c r="Q35" s="2"/>
      <c r="R35" s="2"/>
      <c r="S35" s="2"/>
      <c r="T35" s="2"/>
      <c r="U35" s="2"/>
      <c r="V35" s="2"/>
      <c r="W35" s="2"/>
    </row>
    <row r="39" spans="1:23" ht="30" customHeight="1" x14ac:dyDescent="0.2">
      <c r="A39" s="46" t="s">
        <v>4376</v>
      </c>
      <c r="B39" s="45"/>
      <c r="C39" s="45"/>
    </row>
    <row r="40" spans="1:23" ht="32" customHeight="1" x14ac:dyDescent="0.2">
      <c r="A40" s="1" t="s">
        <v>4377</v>
      </c>
      <c r="B40" s="1" t="s">
        <v>4378</v>
      </c>
      <c r="C40" s="1" t="s">
        <v>4379</v>
      </c>
    </row>
    <row r="41" spans="1:23" ht="49" customHeight="1" x14ac:dyDescent="0.2">
      <c r="A41" s="2" t="s">
        <v>4380</v>
      </c>
      <c r="B41" s="2" t="s">
        <v>4381</v>
      </c>
      <c r="C41" s="2" t="s">
        <v>4382</v>
      </c>
      <c r="D41" s="2"/>
      <c r="E41" s="2"/>
      <c r="F41" s="2"/>
      <c r="G41" s="2"/>
      <c r="H41" s="2"/>
      <c r="I41" s="2"/>
      <c r="J41" s="2"/>
      <c r="K41" s="2"/>
      <c r="L41" s="2"/>
      <c r="M41" s="2"/>
      <c r="N41" s="2"/>
      <c r="O41" s="2"/>
      <c r="P41" s="2"/>
      <c r="Q41" s="2"/>
      <c r="R41" s="2"/>
      <c r="S41" s="2"/>
      <c r="T41" s="2"/>
      <c r="U41" s="2"/>
      <c r="V41" s="2"/>
      <c r="W41" s="2"/>
    </row>
    <row r="42" spans="1:23" ht="49" customHeight="1" x14ac:dyDescent="0.2">
      <c r="A42" s="4" t="s">
        <v>4383</v>
      </c>
      <c r="B42" s="4" t="s">
        <v>4384</v>
      </c>
      <c r="C42" s="4" t="s">
        <v>4385</v>
      </c>
      <c r="D42" s="4"/>
      <c r="E42" s="4"/>
      <c r="F42" s="4"/>
      <c r="G42" s="4"/>
      <c r="H42" s="4"/>
      <c r="I42" s="4"/>
      <c r="J42" s="4"/>
      <c r="K42" s="4"/>
      <c r="L42" s="4"/>
      <c r="M42" s="4"/>
      <c r="N42" s="4"/>
      <c r="O42" s="4"/>
      <c r="P42" s="4"/>
      <c r="Q42" s="4"/>
      <c r="R42" s="4"/>
      <c r="S42" s="4"/>
      <c r="T42" s="4"/>
      <c r="U42" s="4"/>
      <c r="V42" s="4"/>
      <c r="W42" s="4"/>
    </row>
    <row r="43" spans="1:23" ht="49" customHeight="1" x14ac:dyDescent="0.2">
      <c r="A43" s="2" t="s">
        <v>4386</v>
      </c>
      <c r="B43" s="2" t="s">
        <v>4387</v>
      </c>
      <c r="C43" s="2" t="s">
        <v>4388</v>
      </c>
      <c r="D43" s="2"/>
      <c r="E43" s="2"/>
      <c r="F43" s="2"/>
      <c r="G43" s="2"/>
      <c r="H43" s="2"/>
      <c r="I43" s="2"/>
      <c r="J43" s="2"/>
      <c r="K43" s="2"/>
      <c r="L43" s="2"/>
      <c r="M43" s="2"/>
      <c r="N43" s="2"/>
      <c r="O43" s="2"/>
      <c r="P43" s="2"/>
      <c r="Q43" s="2"/>
      <c r="R43" s="2"/>
      <c r="S43" s="2"/>
      <c r="T43" s="2"/>
      <c r="U43" s="2"/>
      <c r="V43" s="2"/>
      <c r="W43" s="2"/>
    </row>
  </sheetData>
  <autoFilter ref="A3:K19" xr:uid="{00000000-0009-0000-0000-00001A000000}"/>
  <mergeCells count="5">
    <mergeCell ref="A23:W23"/>
    <mergeCell ref="A2:I2"/>
    <mergeCell ref="A1:G1"/>
    <mergeCell ref="A39:C39"/>
    <mergeCell ref="A31:K31"/>
  </mergeCells>
  <phoneticPr fontId="12"/>
  <conditionalFormatting sqref="W25:W27">
    <cfRule type="expression" dxfId="25" priority="1">
      <formula>ISNUMBER(SEARCH("不足",W25))</formula>
    </cfRule>
    <cfRule type="expression" dxfId="24" priority="2">
      <formula>ISNUMBER(SEARCH("不正",W25))</formula>
    </cfRule>
    <cfRule type="expression" dxfId="23" priority="3">
      <formula>ISNUMBER(SEARCH("未判定",W25))</formula>
    </cfRule>
    <cfRule type="expression" dxfId="22" priority="4">
      <formula>ISNUMBER(SEARCH("未承認",W25))</formula>
    </cfRule>
    <cfRule type="expression" dxfId="21" priority="5">
      <formula>ISNUMBER(SEARCH("超過",W25))</formula>
    </cfRule>
    <cfRule type="expression" dxfId="20" priority="6">
      <formula>ISNUMBER(SEARCH("要確認",W25))</formula>
    </cfRule>
  </conditionalFormatting>
  <dataValidations count="3">
    <dataValidation type="date" allowBlank="1" showErrorMessage="1" error="日付形式で入力してください。" sqref="K4:K19" xr:uid="{00000000-0002-0000-1A00-000000000000}">
      <formula1>DATE(2000,1,1)</formula1>
      <formula2>DATE(2100,12,31)</formula2>
    </dataValidation>
    <dataValidation type="decimal" operator="greaterThanOrEqual" allowBlank="1" showErrorMessage="1" error="0以上の数値を入力してください。未測定は空欄です。" sqref="D25:G27 I25:O27 S25:S27 B33:E35 G33:G35" xr:uid="{00000000-0002-0000-1A00-000001000000}">
      <formula1>0</formula1>
    </dataValidation>
    <dataValidation type="list" allowBlank="1" showErrorMessage="1" errorTitle="入力値を確認" error="選択肢から入力してください。" sqref="B25:B27" xr:uid="{00000000-0002-0000-1A00-000002000000}">
      <formula1>"予測,実績"</formula1>
    </dataValidation>
  </dataValidations>
  <pageMargins left="0.25" right="0.25" top="0.4" bottom="0.4" header="0.5" footer="0.5"/>
  <pageSetup paperSize="8" fitToHeight="0" orientation="landscape"/>
  <headerFooter>
    <oddFooter>&amp;CAI自社事業PJ v1.0 | &amp;A&amp;R&amp;P / &amp;N</oddFooter>
  </headerFooter>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8C795A"/>
    <outlinePr summaryRight="0"/>
    <pageSetUpPr fitToPage="1"/>
  </sheetPr>
  <dimension ref="A1:H137"/>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5" customWidth="1"/>
    <col min="2" max="2" width="19" customWidth="1"/>
    <col min="3" max="3" width="55" customWidth="1"/>
    <col min="4" max="5" width="43" customWidth="1"/>
    <col min="6" max="6" width="105" customWidth="1"/>
    <col min="7" max="7" width="85" customWidth="1"/>
    <col min="8" max="8" width="23" customWidth="1"/>
  </cols>
  <sheetData>
    <row r="1" spans="1:8" ht="34" customHeight="1" x14ac:dyDescent="0.55000000000000004">
      <c r="A1" s="44" t="s">
        <v>4389</v>
      </c>
      <c r="B1" s="45"/>
      <c r="C1" s="45"/>
      <c r="D1" s="45"/>
      <c r="E1" s="45"/>
      <c r="F1" s="45"/>
      <c r="G1" s="45"/>
    </row>
    <row r="2" spans="1:8" ht="43" customHeight="1" x14ac:dyDescent="0.2">
      <c r="A2" s="47" t="s">
        <v>4390</v>
      </c>
      <c r="B2" s="45"/>
      <c r="C2" s="45"/>
      <c r="D2" s="45"/>
      <c r="E2" s="45"/>
      <c r="F2" s="45"/>
      <c r="G2" s="45"/>
      <c r="H2" s="45"/>
    </row>
    <row r="3" spans="1:8" ht="34" customHeight="1" x14ac:dyDescent="0.2">
      <c r="A3" s="1" t="s">
        <v>4391</v>
      </c>
      <c r="B3" s="1" t="s">
        <v>4392</v>
      </c>
      <c r="C3" s="1" t="s">
        <v>4393</v>
      </c>
      <c r="D3" s="1" t="s">
        <v>4394</v>
      </c>
      <c r="E3" s="1" t="s">
        <v>4395</v>
      </c>
      <c r="F3" s="1" t="s">
        <v>4396</v>
      </c>
      <c r="G3" s="1" t="s">
        <v>4151</v>
      </c>
      <c r="H3" s="1" t="s">
        <v>160</v>
      </c>
    </row>
    <row r="4" spans="1:8" ht="38" customHeight="1" x14ac:dyDescent="0.2">
      <c r="A4" s="2" t="s">
        <v>289</v>
      </c>
      <c r="B4" s="2" t="s">
        <v>4397</v>
      </c>
      <c r="C4" s="2" t="s">
        <v>4398</v>
      </c>
      <c r="D4" s="2" t="s">
        <v>4399</v>
      </c>
      <c r="E4" s="2" t="s">
        <v>280</v>
      </c>
      <c r="F4" s="2" t="s">
        <v>282</v>
      </c>
      <c r="G4" s="2" t="s">
        <v>4400</v>
      </c>
      <c r="H4" s="2" t="s">
        <v>4401</v>
      </c>
    </row>
    <row r="5" spans="1:8" ht="38" customHeight="1" x14ac:dyDescent="0.2">
      <c r="A5" s="4" t="s">
        <v>300</v>
      </c>
      <c r="B5" s="4" t="s">
        <v>4397</v>
      </c>
      <c r="C5" s="4" t="s">
        <v>4402</v>
      </c>
      <c r="D5" s="4" t="s">
        <v>4399</v>
      </c>
      <c r="E5" s="4" t="s">
        <v>292</v>
      </c>
      <c r="F5" s="4" t="s">
        <v>294</v>
      </c>
      <c r="G5" s="4" t="s">
        <v>4400</v>
      </c>
      <c r="H5" s="4" t="s">
        <v>4401</v>
      </c>
    </row>
    <row r="6" spans="1:8" ht="38" customHeight="1" x14ac:dyDescent="0.2">
      <c r="A6" s="2" t="s">
        <v>4403</v>
      </c>
      <c r="B6" s="2" t="s">
        <v>4397</v>
      </c>
      <c r="C6" s="2" t="s">
        <v>4404</v>
      </c>
      <c r="D6" s="2" t="s">
        <v>4399</v>
      </c>
      <c r="E6" s="2" t="s">
        <v>302</v>
      </c>
      <c r="F6" s="2" t="s">
        <v>303</v>
      </c>
      <c r="G6" s="2" t="s">
        <v>4400</v>
      </c>
      <c r="H6" s="2" t="s">
        <v>4401</v>
      </c>
    </row>
    <row r="7" spans="1:8" ht="38" customHeight="1" x14ac:dyDescent="0.2">
      <c r="A7" s="4" t="s">
        <v>4405</v>
      </c>
      <c r="B7" s="4" t="s">
        <v>4397</v>
      </c>
      <c r="C7" s="4" t="s">
        <v>4406</v>
      </c>
      <c r="D7" s="4" t="s">
        <v>4399</v>
      </c>
      <c r="E7" s="4" t="s">
        <v>319</v>
      </c>
      <c r="F7" s="4" t="s">
        <v>321</v>
      </c>
      <c r="G7" s="4" t="s">
        <v>4400</v>
      </c>
      <c r="H7" s="4" t="s">
        <v>4401</v>
      </c>
    </row>
    <row r="8" spans="1:8" ht="38" customHeight="1" x14ac:dyDescent="0.2">
      <c r="A8" s="2" t="s">
        <v>4407</v>
      </c>
      <c r="B8" s="2" t="s">
        <v>4397</v>
      </c>
      <c r="C8" s="2" t="s">
        <v>4408</v>
      </c>
      <c r="D8" s="2" t="s">
        <v>4409</v>
      </c>
      <c r="E8" s="2" t="s">
        <v>571</v>
      </c>
      <c r="F8" s="2" t="s">
        <v>573</v>
      </c>
      <c r="G8" s="2" t="s">
        <v>4400</v>
      </c>
      <c r="H8" s="2" t="s">
        <v>4401</v>
      </c>
    </row>
    <row r="9" spans="1:8" ht="38" customHeight="1" x14ac:dyDescent="0.2">
      <c r="A9" s="4" t="s">
        <v>4410</v>
      </c>
      <c r="B9" s="4" t="s">
        <v>4397</v>
      </c>
      <c r="C9" s="4" t="s">
        <v>4411</v>
      </c>
      <c r="D9" s="4" t="s">
        <v>4409</v>
      </c>
      <c r="E9" s="4" t="s">
        <v>4412</v>
      </c>
      <c r="F9" s="4" t="s">
        <v>4413</v>
      </c>
      <c r="G9" s="4" t="s">
        <v>4400</v>
      </c>
      <c r="H9" s="4" t="s">
        <v>4401</v>
      </c>
    </row>
    <row r="10" spans="1:8" ht="38" customHeight="1" x14ac:dyDescent="0.2">
      <c r="A10" s="2" t="s">
        <v>4414</v>
      </c>
      <c r="B10" s="2" t="s">
        <v>4415</v>
      </c>
      <c r="C10" s="2" t="s">
        <v>4416</v>
      </c>
      <c r="D10" s="2" t="s">
        <v>4417</v>
      </c>
      <c r="E10" s="2" t="s">
        <v>302</v>
      </c>
      <c r="F10" s="2" t="s">
        <v>303</v>
      </c>
      <c r="G10" s="2" t="s">
        <v>4400</v>
      </c>
      <c r="H10" s="2" t="s">
        <v>4401</v>
      </c>
    </row>
    <row r="11" spans="1:8" ht="38" customHeight="1" x14ac:dyDescent="0.2">
      <c r="A11" s="4" t="s">
        <v>318</v>
      </c>
      <c r="B11" s="4" t="s">
        <v>4415</v>
      </c>
      <c r="C11" s="4" t="s">
        <v>4418</v>
      </c>
      <c r="D11" s="4" t="s">
        <v>4417</v>
      </c>
      <c r="E11" s="4" t="s">
        <v>310</v>
      </c>
      <c r="F11" s="4" t="s">
        <v>312</v>
      </c>
      <c r="G11" s="4" t="s">
        <v>4400</v>
      </c>
      <c r="H11" s="4" t="s">
        <v>4401</v>
      </c>
    </row>
    <row r="12" spans="1:8" ht="38" customHeight="1" x14ac:dyDescent="0.2">
      <c r="A12" s="2" t="s">
        <v>4419</v>
      </c>
      <c r="B12" s="2" t="s">
        <v>4415</v>
      </c>
      <c r="C12" s="2" t="s">
        <v>4420</v>
      </c>
      <c r="D12" s="2" t="s">
        <v>4417</v>
      </c>
      <c r="E12" s="2" t="s">
        <v>4421</v>
      </c>
      <c r="F12" s="2" t="s">
        <v>4422</v>
      </c>
      <c r="G12" s="2" t="s">
        <v>4400</v>
      </c>
      <c r="H12" s="2" t="s">
        <v>4401</v>
      </c>
    </row>
    <row r="13" spans="1:8" ht="38" customHeight="1" x14ac:dyDescent="0.2">
      <c r="A13" s="4" t="s">
        <v>4423</v>
      </c>
      <c r="B13" s="4" t="s">
        <v>4415</v>
      </c>
      <c r="C13" s="4" t="s">
        <v>4424</v>
      </c>
      <c r="D13" s="4" t="s">
        <v>4417</v>
      </c>
      <c r="E13" s="4" t="s">
        <v>4425</v>
      </c>
      <c r="F13" s="4" t="s">
        <v>4426</v>
      </c>
      <c r="G13" s="4" t="s">
        <v>4400</v>
      </c>
      <c r="H13" s="4" t="s">
        <v>4401</v>
      </c>
    </row>
    <row r="14" spans="1:8" ht="38" customHeight="1" x14ac:dyDescent="0.2">
      <c r="A14" s="2" t="s">
        <v>471</v>
      </c>
      <c r="B14" s="2" t="s">
        <v>4415</v>
      </c>
      <c r="C14" s="2" t="s">
        <v>4427</v>
      </c>
      <c r="D14" s="2" t="s">
        <v>4417</v>
      </c>
      <c r="E14" s="2" t="s">
        <v>463</v>
      </c>
      <c r="F14" s="2" t="s">
        <v>465</v>
      </c>
      <c r="G14" s="2" t="s">
        <v>4400</v>
      </c>
      <c r="H14" s="2" t="s">
        <v>4401</v>
      </c>
    </row>
    <row r="15" spans="1:8" ht="38" customHeight="1" x14ac:dyDescent="0.2">
      <c r="A15" s="4" t="s">
        <v>4428</v>
      </c>
      <c r="B15" s="4" t="s">
        <v>4415</v>
      </c>
      <c r="C15" s="4" t="s">
        <v>4429</v>
      </c>
      <c r="D15" s="4" t="s">
        <v>4417</v>
      </c>
      <c r="E15" s="4" t="s">
        <v>472</v>
      </c>
      <c r="F15" s="4" t="s">
        <v>474</v>
      </c>
      <c r="G15" s="4" t="s">
        <v>4400</v>
      </c>
      <c r="H15" s="4" t="s">
        <v>4401</v>
      </c>
    </row>
    <row r="16" spans="1:8" ht="38" customHeight="1" x14ac:dyDescent="0.2">
      <c r="A16" s="2" t="s">
        <v>4430</v>
      </c>
      <c r="B16" s="2" t="s">
        <v>4415</v>
      </c>
      <c r="C16" s="2" t="s">
        <v>4431</v>
      </c>
      <c r="D16" s="2" t="s">
        <v>4417</v>
      </c>
      <c r="E16" s="2" t="s">
        <v>416</v>
      </c>
      <c r="F16" s="2" t="s">
        <v>418</v>
      </c>
      <c r="G16" s="2" t="s">
        <v>4400</v>
      </c>
      <c r="H16" s="2" t="s">
        <v>4401</v>
      </c>
    </row>
    <row r="17" spans="1:8" ht="38" customHeight="1" x14ac:dyDescent="0.2">
      <c r="A17" s="4" t="s">
        <v>4432</v>
      </c>
      <c r="B17" s="4" t="s">
        <v>4415</v>
      </c>
      <c r="C17" s="4" t="s">
        <v>4433</v>
      </c>
      <c r="D17" s="4" t="s">
        <v>4417</v>
      </c>
      <c r="E17" s="4" t="s">
        <v>3946</v>
      </c>
      <c r="F17" s="4" t="s">
        <v>4434</v>
      </c>
      <c r="G17" s="4" t="s">
        <v>4400</v>
      </c>
      <c r="H17" s="4" t="s">
        <v>4401</v>
      </c>
    </row>
    <row r="18" spans="1:8" ht="38" customHeight="1" x14ac:dyDescent="0.2">
      <c r="A18" s="2" t="s">
        <v>4435</v>
      </c>
      <c r="B18" s="2" t="s">
        <v>4415</v>
      </c>
      <c r="C18" s="2" t="s">
        <v>4436</v>
      </c>
      <c r="D18" s="2" t="s">
        <v>4417</v>
      </c>
      <c r="E18" s="2" t="s">
        <v>330</v>
      </c>
      <c r="F18" s="2" t="s">
        <v>332</v>
      </c>
      <c r="G18" s="2" t="s">
        <v>4400</v>
      </c>
      <c r="H18" s="2" t="s">
        <v>4401</v>
      </c>
    </row>
    <row r="19" spans="1:8" ht="38" customHeight="1" x14ac:dyDescent="0.2">
      <c r="A19" s="4" t="s">
        <v>4437</v>
      </c>
      <c r="B19" s="4" t="s">
        <v>4415</v>
      </c>
      <c r="C19" s="4" t="s">
        <v>4438</v>
      </c>
      <c r="D19" s="4" t="s">
        <v>4417</v>
      </c>
      <c r="E19" s="4" t="s">
        <v>363</v>
      </c>
      <c r="F19" s="4" t="s">
        <v>365</v>
      </c>
      <c r="G19" s="4" t="s">
        <v>4400</v>
      </c>
      <c r="H19" s="4" t="s">
        <v>4401</v>
      </c>
    </row>
    <row r="20" spans="1:8" ht="38" customHeight="1" x14ac:dyDescent="0.2">
      <c r="A20" s="2" t="s">
        <v>351</v>
      </c>
      <c r="B20" s="2" t="s">
        <v>4415</v>
      </c>
      <c r="C20" s="2" t="s">
        <v>4439</v>
      </c>
      <c r="D20" s="2" t="s">
        <v>4417</v>
      </c>
      <c r="E20" s="2" t="s">
        <v>4440</v>
      </c>
      <c r="F20" s="2" t="s">
        <v>4441</v>
      </c>
      <c r="G20" s="2" t="s">
        <v>4400</v>
      </c>
      <c r="H20" s="2" t="s">
        <v>4401</v>
      </c>
    </row>
    <row r="21" spans="1:8" ht="38" customHeight="1" x14ac:dyDescent="0.2">
      <c r="A21" s="4" t="s">
        <v>4442</v>
      </c>
      <c r="B21" s="4" t="s">
        <v>4415</v>
      </c>
      <c r="C21" s="4" t="s">
        <v>4443</v>
      </c>
      <c r="D21" s="4" t="s">
        <v>4417</v>
      </c>
      <c r="E21" s="4" t="s">
        <v>425</v>
      </c>
      <c r="F21" s="4" t="s">
        <v>427</v>
      </c>
      <c r="G21" s="4" t="s">
        <v>4400</v>
      </c>
      <c r="H21" s="4" t="s">
        <v>4401</v>
      </c>
    </row>
    <row r="22" spans="1:8" ht="38" customHeight="1" x14ac:dyDescent="0.2">
      <c r="A22" s="2" t="s">
        <v>509</v>
      </c>
      <c r="B22" s="2" t="s">
        <v>4415</v>
      </c>
      <c r="C22" s="2" t="s">
        <v>4444</v>
      </c>
      <c r="D22" s="2" t="s">
        <v>4417</v>
      </c>
      <c r="E22" s="2" t="s">
        <v>4445</v>
      </c>
      <c r="F22" s="2" t="s">
        <v>4446</v>
      </c>
      <c r="G22" s="2" t="s">
        <v>4400</v>
      </c>
      <c r="H22" s="2" t="s">
        <v>4401</v>
      </c>
    </row>
    <row r="23" spans="1:8" ht="38" customHeight="1" x14ac:dyDescent="0.2">
      <c r="A23" s="4" t="s">
        <v>4447</v>
      </c>
      <c r="B23" s="4" t="s">
        <v>4415</v>
      </c>
      <c r="C23" s="4" t="s">
        <v>4448</v>
      </c>
      <c r="D23" s="4" t="s">
        <v>4417</v>
      </c>
      <c r="E23" s="4" t="s">
        <v>492</v>
      </c>
      <c r="F23" s="4" t="s">
        <v>494</v>
      </c>
      <c r="G23" s="4" t="s">
        <v>4400</v>
      </c>
      <c r="H23" s="4" t="s">
        <v>4401</v>
      </c>
    </row>
    <row r="24" spans="1:8" ht="38" customHeight="1" x14ac:dyDescent="0.2">
      <c r="A24" s="2" t="s">
        <v>532</v>
      </c>
      <c r="B24" s="2" t="s">
        <v>4415</v>
      </c>
      <c r="C24" s="2" t="s">
        <v>4449</v>
      </c>
      <c r="D24" s="2" t="s">
        <v>4417</v>
      </c>
      <c r="E24" s="2" t="s">
        <v>523</v>
      </c>
      <c r="F24" s="2" t="s">
        <v>525</v>
      </c>
      <c r="G24" s="2" t="s">
        <v>4400</v>
      </c>
      <c r="H24" s="2" t="s">
        <v>4401</v>
      </c>
    </row>
    <row r="25" spans="1:8" ht="38" customHeight="1" x14ac:dyDescent="0.2">
      <c r="A25" s="4" t="s">
        <v>4450</v>
      </c>
      <c r="B25" s="4" t="s">
        <v>4415</v>
      </c>
      <c r="C25" s="4" t="s">
        <v>4451</v>
      </c>
      <c r="D25" s="4" t="s">
        <v>4417</v>
      </c>
      <c r="E25" s="4" t="s">
        <v>425</v>
      </c>
      <c r="F25" s="4" t="s">
        <v>427</v>
      </c>
      <c r="G25" s="4" t="s">
        <v>4400</v>
      </c>
      <c r="H25" s="4" t="s">
        <v>4401</v>
      </c>
    </row>
    <row r="26" spans="1:8" ht="38" customHeight="1" x14ac:dyDescent="0.2">
      <c r="A26" s="2" t="s">
        <v>462</v>
      </c>
      <c r="B26" s="2" t="s">
        <v>4415</v>
      </c>
      <c r="C26" s="2" t="s">
        <v>4452</v>
      </c>
      <c r="D26" s="2" t="s">
        <v>4417</v>
      </c>
      <c r="E26" s="2" t="s">
        <v>4453</v>
      </c>
      <c r="F26" s="2" t="s">
        <v>4454</v>
      </c>
      <c r="G26" s="2" t="s">
        <v>4400</v>
      </c>
      <c r="H26" s="2" t="s">
        <v>4401</v>
      </c>
    </row>
    <row r="27" spans="1:8" ht="38" customHeight="1" x14ac:dyDescent="0.2">
      <c r="A27" s="4" t="s">
        <v>362</v>
      </c>
      <c r="B27" s="4" t="s">
        <v>4415</v>
      </c>
      <c r="C27" s="4" t="s">
        <v>4455</v>
      </c>
      <c r="D27" s="4" t="s">
        <v>4417</v>
      </c>
      <c r="E27" s="4" t="s">
        <v>4456</v>
      </c>
      <c r="F27" s="4" t="s">
        <v>4457</v>
      </c>
      <c r="G27" s="4" t="s">
        <v>4400</v>
      </c>
      <c r="H27" s="4" t="s">
        <v>4401</v>
      </c>
    </row>
    <row r="28" spans="1:8" ht="38" customHeight="1" x14ac:dyDescent="0.2">
      <c r="A28" s="2" t="s">
        <v>384</v>
      </c>
      <c r="B28" s="2" t="s">
        <v>4415</v>
      </c>
      <c r="C28" s="2" t="s">
        <v>4458</v>
      </c>
      <c r="D28" s="2" t="s">
        <v>4417</v>
      </c>
      <c r="E28" s="2" t="s">
        <v>4459</v>
      </c>
      <c r="F28" s="2" t="s">
        <v>4460</v>
      </c>
      <c r="G28" s="2" t="s">
        <v>4400</v>
      </c>
      <c r="H28" s="2" t="s">
        <v>4401</v>
      </c>
    </row>
    <row r="29" spans="1:8" ht="38" customHeight="1" x14ac:dyDescent="0.2">
      <c r="A29" s="4" t="s">
        <v>4461</v>
      </c>
      <c r="B29" s="4" t="s">
        <v>4415</v>
      </c>
      <c r="C29" s="4" t="s">
        <v>4462</v>
      </c>
      <c r="D29" s="4" t="s">
        <v>4417</v>
      </c>
      <c r="E29" s="4" t="s">
        <v>445</v>
      </c>
      <c r="F29" s="4" t="s">
        <v>446</v>
      </c>
      <c r="G29" s="4" t="s">
        <v>4400</v>
      </c>
      <c r="H29" s="4" t="s">
        <v>4401</v>
      </c>
    </row>
    <row r="30" spans="1:8" ht="38" customHeight="1" x14ac:dyDescent="0.2">
      <c r="A30" s="2" t="s">
        <v>4463</v>
      </c>
      <c r="B30" s="2" t="s">
        <v>4415</v>
      </c>
      <c r="C30" s="2" t="s">
        <v>4464</v>
      </c>
      <c r="D30" s="2" t="s">
        <v>4409</v>
      </c>
      <c r="E30" s="2" t="s">
        <v>635</v>
      </c>
      <c r="F30" s="2" t="s">
        <v>636</v>
      </c>
      <c r="G30" s="2" t="s">
        <v>4400</v>
      </c>
      <c r="H30" s="2" t="s">
        <v>4401</v>
      </c>
    </row>
    <row r="31" spans="1:8" ht="38" customHeight="1" x14ac:dyDescent="0.2">
      <c r="A31" s="4" t="s">
        <v>593</v>
      </c>
      <c r="B31" s="4" t="s">
        <v>4415</v>
      </c>
      <c r="C31" s="4" t="s">
        <v>4465</v>
      </c>
      <c r="D31" s="4" t="s">
        <v>4417</v>
      </c>
      <c r="E31" s="4" t="s">
        <v>4466</v>
      </c>
      <c r="F31" s="4" t="s">
        <v>4467</v>
      </c>
      <c r="G31" s="4" t="s">
        <v>4400</v>
      </c>
      <c r="H31" s="4" t="s">
        <v>4401</v>
      </c>
    </row>
    <row r="32" spans="1:8" ht="38" customHeight="1" x14ac:dyDescent="0.2">
      <c r="A32" s="2" t="s">
        <v>4468</v>
      </c>
      <c r="B32" s="2" t="s">
        <v>4415</v>
      </c>
      <c r="C32" s="2" t="s">
        <v>4469</v>
      </c>
      <c r="D32" s="2" t="s">
        <v>4417</v>
      </c>
      <c r="E32" s="2" t="s">
        <v>596</v>
      </c>
      <c r="F32" s="2" t="s">
        <v>598</v>
      </c>
      <c r="G32" s="2" t="s">
        <v>4400</v>
      </c>
      <c r="H32" s="2" t="s">
        <v>4401</v>
      </c>
    </row>
    <row r="33" spans="1:8" ht="38" customHeight="1" x14ac:dyDescent="0.2">
      <c r="A33" s="4" t="s">
        <v>4470</v>
      </c>
      <c r="B33" s="4" t="s">
        <v>4471</v>
      </c>
      <c r="C33" s="4" t="s">
        <v>4472</v>
      </c>
      <c r="D33" s="4" t="s">
        <v>4417</v>
      </c>
      <c r="E33" s="4" t="s">
        <v>596</v>
      </c>
      <c r="F33" s="4" t="s">
        <v>598</v>
      </c>
      <c r="G33" s="4" t="s">
        <v>4400</v>
      </c>
      <c r="H33" s="4" t="s">
        <v>4401</v>
      </c>
    </row>
    <row r="34" spans="1:8" ht="38" customHeight="1" x14ac:dyDescent="0.2">
      <c r="A34" s="2" t="s">
        <v>786</v>
      </c>
      <c r="B34" s="2" t="s">
        <v>4471</v>
      </c>
      <c r="C34" s="2" t="s">
        <v>4473</v>
      </c>
      <c r="D34" s="2" t="s">
        <v>4417</v>
      </c>
      <c r="E34" s="2" t="s">
        <v>4474</v>
      </c>
      <c r="F34" s="2" t="s">
        <v>4475</v>
      </c>
      <c r="G34" s="2" t="s">
        <v>4400</v>
      </c>
      <c r="H34" s="2" t="s">
        <v>4401</v>
      </c>
    </row>
    <row r="35" spans="1:8" ht="38" customHeight="1" x14ac:dyDescent="0.2">
      <c r="A35" s="4" t="s">
        <v>4476</v>
      </c>
      <c r="B35" s="4" t="s">
        <v>4471</v>
      </c>
      <c r="C35" s="4" t="s">
        <v>4477</v>
      </c>
      <c r="D35" s="4" t="s">
        <v>4417</v>
      </c>
      <c r="E35" s="4" t="s">
        <v>4478</v>
      </c>
      <c r="F35" s="4" t="s">
        <v>4479</v>
      </c>
      <c r="G35" s="4" t="s">
        <v>4400</v>
      </c>
      <c r="H35" s="4" t="s">
        <v>4401</v>
      </c>
    </row>
    <row r="36" spans="1:8" ht="38" customHeight="1" x14ac:dyDescent="0.2">
      <c r="A36" s="2" t="s">
        <v>4480</v>
      </c>
      <c r="B36" s="2" t="s">
        <v>4471</v>
      </c>
      <c r="C36" s="2" t="s">
        <v>4481</v>
      </c>
      <c r="D36" s="2" t="s">
        <v>4417</v>
      </c>
      <c r="E36" s="2" t="s">
        <v>4482</v>
      </c>
      <c r="F36" s="2" t="s">
        <v>4483</v>
      </c>
      <c r="G36" s="2" t="s">
        <v>4400</v>
      </c>
      <c r="H36" s="2" t="s">
        <v>4401</v>
      </c>
    </row>
    <row r="37" spans="1:8" ht="38" customHeight="1" x14ac:dyDescent="0.2">
      <c r="A37" s="4" t="s">
        <v>4484</v>
      </c>
      <c r="B37" s="4" t="s">
        <v>4471</v>
      </c>
      <c r="C37" s="4" t="s">
        <v>4485</v>
      </c>
      <c r="D37" s="4" t="s">
        <v>4417</v>
      </c>
      <c r="E37" s="4" t="s">
        <v>4486</v>
      </c>
      <c r="F37" s="4" t="s">
        <v>4487</v>
      </c>
      <c r="G37" s="4" t="s">
        <v>4400</v>
      </c>
      <c r="H37" s="4" t="s">
        <v>4401</v>
      </c>
    </row>
    <row r="38" spans="1:8" ht="38" customHeight="1" x14ac:dyDescent="0.2">
      <c r="A38" s="2" t="s">
        <v>4488</v>
      </c>
      <c r="B38" s="2" t="s">
        <v>4471</v>
      </c>
      <c r="C38" s="2" t="s">
        <v>4489</v>
      </c>
      <c r="D38" s="2" t="s">
        <v>4417</v>
      </c>
      <c r="E38" s="2" t="s">
        <v>911</v>
      </c>
      <c r="F38" s="2" t="s">
        <v>913</v>
      </c>
      <c r="G38" s="2" t="s">
        <v>4400</v>
      </c>
      <c r="H38" s="2" t="s">
        <v>4401</v>
      </c>
    </row>
    <row r="39" spans="1:8" ht="38" customHeight="1" x14ac:dyDescent="0.2">
      <c r="A39" s="4" t="s">
        <v>4490</v>
      </c>
      <c r="B39" s="4" t="s">
        <v>4471</v>
      </c>
      <c r="C39" s="4" t="s">
        <v>4491</v>
      </c>
      <c r="D39" s="4" t="s">
        <v>4417</v>
      </c>
      <c r="E39" s="4" t="s">
        <v>4492</v>
      </c>
      <c r="F39" s="4" t="s">
        <v>4493</v>
      </c>
      <c r="G39" s="4" t="s">
        <v>4400</v>
      </c>
      <c r="H39" s="4" t="s">
        <v>4401</v>
      </c>
    </row>
    <row r="40" spans="1:8" ht="38" customHeight="1" x14ac:dyDescent="0.2">
      <c r="A40" s="2" t="s">
        <v>684</v>
      </c>
      <c r="B40" s="2" t="s">
        <v>4471</v>
      </c>
      <c r="C40" s="2" t="s">
        <v>4494</v>
      </c>
      <c r="D40" s="2" t="s">
        <v>4417</v>
      </c>
      <c r="E40" s="2" t="s">
        <v>4495</v>
      </c>
      <c r="F40" s="2" t="s">
        <v>4496</v>
      </c>
      <c r="G40" s="2" t="s">
        <v>4400</v>
      </c>
      <c r="H40" s="2" t="s">
        <v>4401</v>
      </c>
    </row>
    <row r="41" spans="1:8" ht="38" customHeight="1" x14ac:dyDescent="0.2">
      <c r="A41" s="4" t="s">
        <v>4497</v>
      </c>
      <c r="B41" s="4" t="s">
        <v>4471</v>
      </c>
      <c r="C41" s="4" t="s">
        <v>4498</v>
      </c>
      <c r="D41" s="4" t="s">
        <v>4417</v>
      </c>
      <c r="E41" s="4" t="s">
        <v>708</v>
      </c>
      <c r="F41" s="4" t="s">
        <v>710</v>
      </c>
      <c r="G41" s="4" t="s">
        <v>4400</v>
      </c>
      <c r="H41" s="4" t="s">
        <v>4401</v>
      </c>
    </row>
    <row r="42" spans="1:8" ht="38" customHeight="1" x14ac:dyDescent="0.2">
      <c r="A42" s="2" t="s">
        <v>4499</v>
      </c>
      <c r="B42" s="2" t="s">
        <v>4471</v>
      </c>
      <c r="C42" s="2" t="s">
        <v>4500</v>
      </c>
      <c r="D42" s="2" t="s">
        <v>4417</v>
      </c>
      <c r="E42" s="2" t="s">
        <v>4501</v>
      </c>
      <c r="F42" s="2" t="s">
        <v>4502</v>
      </c>
      <c r="G42" s="2" t="s">
        <v>4400</v>
      </c>
      <c r="H42" s="2" t="s">
        <v>4401</v>
      </c>
    </row>
    <row r="43" spans="1:8" ht="38" customHeight="1" x14ac:dyDescent="0.2">
      <c r="A43" s="4" t="s">
        <v>4503</v>
      </c>
      <c r="B43" s="4" t="s">
        <v>4471</v>
      </c>
      <c r="C43" s="4" t="s">
        <v>4504</v>
      </c>
      <c r="D43" s="4" t="s">
        <v>4417</v>
      </c>
      <c r="E43" s="4" t="s">
        <v>396</v>
      </c>
      <c r="F43" s="4" t="s">
        <v>398</v>
      </c>
      <c r="G43" s="4" t="s">
        <v>4400</v>
      </c>
      <c r="H43" s="4" t="s">
        <v>4401</v>
      </c>
    </row>
    <row r="44" spans="1:8" ht="38" customHeight="1" x14ac:dyDescent="0.2">
      <c r="A44" s="2" t="s">
        <v>899</v>
      </c>
      <c r="B44" s="2" t="s">
        <v>4471</v>
      </c>
      <c r="C44" s="2" t="s">
        <v>4505</v>
      </c>
      <c r="D44" s="2" t="s">
        <v>4417</v>
      </c>
      <c r="E44" s="2" t="s">
        <v>4506</v>
      </c>
      <c r="F44" s="2" t="s">
        <v>4507</v>
      </c>
      <c r="G44" s="2" t="s">
        <v>4400</v>
      </c>
      <c r="H44" s="2" t="s">
        <v>4401</v>
      </c>
    </row>
    <row r="45" spans="1:8" ht="38" customHeight="1" x14ac:dyDescent="0.2">
      <c r="A45" s="4" t="s">
        <v>4508</v>
      </c>
      <c r="B45" s="4" t="s">
        <v>4471</v>
      </c>
      <c r="C45" s="4" t="s">
        <v>4509</v>
      </c>
      <c r="D45" s="4" t="s">
        <v>4417</v>
      </c>
      <c r="E45" s="4" t="s">
        <v>4510</v>
      </c>
      <c r="F45" s="4" t="s">
        <v>4511</v>
      </c>
      <c r="G45" s="4" t="s">
        <v>4400</v>
      </c>
      <c r="H45" s="4" t="s">
        <v>4401</v>
      </c>
    </row>
    <row r="46" spans="1:8" ht="38" customHeight="1" x14ac:dyDescent="0.2">
      <c r="A46" s="2" t="s">
        <v>1096</v>
      </c>
      <c r="B46" s="2" t="s">
        <v>4471</v>
      </c>
      <c r="C46" s="2" t="s">
        <v>4512</v>
      </c>
      <c r="D46" s="2" t="s">
        <v>4417</v>
      </c>
      <c r="E46" s="2" t="s">
        <v>4513</v>
      </c>
      <c r="F46" s="2" t="s">
        <v>4514</v>
      </c>
      <c r="G46" s="2" t="s">
        <v>4400</v>
      </c>
      <c r="H46" s="2" t="s">
        <v>4401</v>
      </c>
    </row>
    <row r="47" spans="1:8" ht="38" customHeight="1" x14ac:dyDescent="0.2">
      <c r="A47" s="4" t="s">
        <v>395</v>
      </c>
      <c r="B47" s="4" t="s">
        <v>4471</v>
      </c>
      <c r="C47" s="4" t="s">
        <v>4515</v>
      </c>
      <c r="D47" s="4" t="s">
        <v>4417</v>
      </c>
      <c r="E47" s="4" t="s">
        <v>4516</v>
      </c>
      <c r="F47" s="4" t="s">
        <v>4517</v>
      </c>
      <c r="G47" s="4" t="s">
        <v>4400</v>
      </c>
      <c r="H47" s="4" t="s">
        <v>4401</v>
      </c>
    </row>
    <row r="48" spans="1:8" ht="38" customHeight="1" x14ac:dyDescent="0.2">
      <c r="A48" s="2" t="s">
        <v>1183</v>
      </c>
      <c r="B48" s="2" t="s">
        <v>4471</v>
      </c>
      <c r="C48" s="2" t="s">
        <v>4518</v>
      </c>
      <c r="D48" s="2" t="s">
        <v>4417</v>
      </c>
      <c r="E48" s="2" t="s">
        <v>4230</v>
      </c>
      <c r="F48" s="2" t="s">
        <v>4519</v>
      </c>
      <c r="G48" s="2" t="s">
        <v>4400</v>
      </c>
      <c r="H48" s="2" t="s">
        <v>4401</v>
      </c>
    </row>
    <row r="49" spans="1:8" ht="38" customHeight="1" x14ac:dyDescent="0.2">
      <c r="A49" s="4" t="s">
        <v>4520</v>
      </c>
      <c r="B49" s="4" t="s">
        <v>4471</v>
      </c>
      <c r="C49" s="4" t="s">
        <v>4521</v>
      </c>
      <c r="D49" s="4" t="s">
        <v>4417</v>
      </c>
      <c r="E49" s="4" t="s">
        <v>2567</v>
      </c>
      <c r="F49" s="4" t="s">
        <v>4522</v>
      </c>
      <c r="G49" s="4" t="s">
        <v>4400</v>
      </c>
      <c r="H49" s="4" t="s">
        <v>4401</v>
      </c>
    </row>
    <row r="50" spans="1:8" ht="38" customHeight="1" x14ac:dyDescent="0.2">
      <c r="A50" s="2" t="s">
        <v>4523</v>
      </c>
      <c r="B50" s="2" t="s">
        <v>4471</v>
      </c>
      <c r="C50" s="2" t="s">
        <v>4524</v>
      </c>
      <c r="D50" s="2" t="s">
        <v>4417</v>
      </c>
      <c r="E50" s="2" t="s">
        <v>435</v>
      </c>
      <c r="F50" s="2" t="s">
        <v>437</v>
      </c>
      <c r="G50" s="2" t="s">
        <v>4400</v>
      </c>
      <c r="H50" s="2" t="s">
        <v>4401</v>
      </c>
    </row>
    <row r="51" spans="1:8" ht="38" customHeight="1" x14ac:dyDescent="0.2">
      <c r="A51" s="4" t="s">
        <v>4525</v>
      </c>
      <c r="B51" s="4" t="s">
        <v>4471</v>
      </c>
      <c r="C51" s="4" t="s">
        <v>4526</v>
      </c>
      <c r="D51" s="4" t="s">
        <v>4417</v>
      </c>
      <c r="E51" s="4" t="s">
        <v>635</v>
      </c>
      <c r="F51" s="4" t="s">
        <v>636</v>
      </c>
      <c r="G51" s="4" t="s">
        <v>4400</v>
      </c>
      <c r="H51" s="4" t="s">
        <v>4401</v>
      </c>
    </row>
    <row r="52" spans="1:8" ht="38" customHeight="1" x14ac:dyDescent="0.2">
      <c r="A52" s="2" t="s">
        <v>4527</v>
      </c>
      <c r="B52" s="2" t="s">
        <v>4471</v>
      </c>
      <c r="C52" s="2" t="s">
        <v>4528</v>
      </c>
      <c r="D52" s="2" t="s">
        <v>4417</v>
      </c>
      <c r="E52" s="2" t="s">
        <v>4529</v>
      </c>
      <c r="F52" s="2" t="s">
        <v>4530</v>
      </c>
      <c r="G52" s="2" t="s">
        <v>4400</v>
      </c>
      <c r="H52" s="2" t="s">
        <v>4401</v>
      </c>
    </row>
    <row r="53" spans="1:8" ht="38" customHeight="1" x14ac:dyDescent="0.2">
      <c r="A53" s="4" t="s">
        <v>4531</v>
      </c>
      <c r="B53" s="4" t="s">
        <v>4471</v>
      </c>
      <c r="C53" s="4" t="s">
        <v>4532</v>
      </c>
      <c r="D53" s="4" t="s">
        <v>4409</v>
      </c>
      <c r="E53" s="4" t="s">
        <v>4533</v>
      </c>
      <c r="F53" s="4" t="s">
        <v>4534</v>
      </c>
      <c r="G53" s="4" t="s">
        <v>4400</v>
      </c>
      <c r="H53" s="4" t="s">
        <v>4401</v>
      </c>
    </row>
    <row r="54" spans="1:8" ht="38" customHeight="1" x14ac:dyDescent="0.2">
      <c r="A54" s="2" t="s">
        <v>848</v>
      </c>
      <c r="B54" s="2" t="s">
        <v>4535</v>
      </c>
      <c r="C54" s="2" t="s">
        <v>4536</v>
      </c>
      <c r="D54" s="2" t="s">
        <v>4417</v>
      </c>
      <c r="E54" s="2" t="s">
        <v>4537</v>
      </c>
      <c r="F54" s="2" t="s">
        <v>4538</v>
      </c>
      <c r="G54" s="2" t="s">
        <v>4400</v>
      </c>
      <c r="H54" s="2" t="s">
        <v>4401</v>
      </c>
    </row>
    <row r="55" spans="1:8" ht="38" customHeight="1" x14ac:dyDescent="0.2">
      <c r="A55" s="4" t="s">
        <v>612</v>
      </c>
      <c r="B55" s="4" t="s">
        <v>4535</v>
      </c>
      <c r="C55" s="4" t="s">
        <v>4539</v>
      </c>
      <c r="D55" s="4" t="s">
        <v>4417</v>
      </c>
      <c r="E55" s="4" t="s">
        <v>604</v>
      </c>
      <c r="F55" s="4" t="s">
        <v>605</v>
      </c>
      <c r="G55" s="4" t="s">
        <v>4400</v>
      </c>
      <c r="H55" s="4" t="s">
        <v>4401</v>
      </c>
    </row>
    <row r="56" spans="1:8" ht="38" customHeight="1" x14ac:dyDescent="0.2">
      <c r="A56" s="2" t="s">
        <v>652</v>
      </c>
      <c r="B56" s="2" t="s">
        <v>4535</v>
      </c>
      <c r="C56" s="2" t="s">
        <v>4540</v>
      </c>
      <c r="D56" s="2" t="s">
        <v>4417</v>
      </c>
      <c r="E56" s="2" t="s">
        <v>643</v>
      </c>
      <c r="F56" s="2" t="s">
        <v>645</v>
      </c>
      <c r="G56" s="2" t="s">
        <v>4400</v>
      </c>
      <c r="H56" s="2" t="s">
        <v>4401</v>
      </c>
    </row>
    <row r="57" spans="1:8" ht="38" customHeight="1" x14ac:dyDescent="0.2">
      <c r="A57" s="4" t="s">
        <v>673</v>
      </c>
      <c r="B57" s="4" t="s">
        <v>4535</v>
      </c>
      <c r="C57" s="4" t="s">
        <v>4541</v>
      </c>
      <c r="D57" s="4" t="s">
        <v>4417</v>
      </c>
      <c r="E57" s="4" t="s">
        <v>664</v>
      </c>
      <c r="F57" s="4" t="s">
        <v>666</v>
      </c>
      <c r="G57" s="4" t="s">
        <v>4400</v>
      </c>
      <c r="H57" s="4" t="s">
        <v>4401</v>
      </c>
    </row>
    <row r="58" spans="1:8" ht="38" customHeight="1" x14ac:dyDescent="0.2">
      <c r="A58" s="2" t="s">
        <v>729</v>
      </c>
      <c r="B58" s="2" t="s">
        <v>4535</v>
      </c>
      <c r="C58" s="2" t="s">
        <v>4542</v>
      </c>
      <c r="D58" s="2" t="s">
        <v>4417</v>
      </c>
      <c r="E58" s="2" t="s">
        <v>4543</v>
      </c>
      <c r="F58" s="2" t="s">
        <v>4544</v>
      </c>
      <c r="G58" s="2" t="s">
        <v>4400</v>
      </c>
      <c r="H58" s="2" t="s">
        <v>4401</v>
      </c>
    </row>
    <row r="59" spans="1:8" ht="38" customHeight="1" x14ac:dyDescent="0.2">
      <c r="A59" s="4" t="s">
        <v>4545</v>
      </c>
      <c r="B59" s="4" t="s">
        <v>4535</v>
      </c>
      <c r="C59" s="4" t="s">
        <v>2310</v>
      </c>
      <c r="D59" s="4" t="s">
        <v>4417</v>
      </c>
      <c r="E59" s="4" t="s">
        <v>708</v>
      </c>
      <c r="F59" s="4" t="s">
        <v>710</v>
      </c>
      <c r="G59" s="4" t="s">
        <v>4400</v>
      </c>
      <c r="H59" s="4" t="s">
        <v>4401</v>
      </c>
    </row>
    <row r="60" spans="1:8" ht="38" customHeight="1" x14ac:dyDescent="0.2">
      <c r="A60" s="2" t="s">
        <v>4546</v>
      </c>
      <c r="B60" s="2" t="s">
        <v>4535</v>
      </c>
      <c r="C60" s="2" t="s">
        <v>4547</v>
      </c>
      <c r="D60" s="2" t="s">
        <v>4417</v>
      </c>
      <c r="E60" s="2" t="s">
        <v>857</v>
      </c>
      <c r="F60" s="2" t="s">
        <v>859</v>
      </c>
      <c r="G60" s="2" t="s">
        <v>4400</v>
      </c>
      <c r="H60" s="2" t="s">
        <v>4401</v>
      </c>
    </row>
    <row r="61" spans="1:8" ht="38" customHeight="1" x14ac:dyDescent="0.2">
      <c r="A61" s="4" t="s">
        <v>4548</v>
      </c>
      <c r="B61" s="4" t="s">
        <v>4535</v>
      </c>
      <c r="C61" s="4" t="s">
        <v>4549</v>
      </c>
      <c r="D61" s="4" t="s">
        <v>4417</v>
      </c>
      <c r="E61" s="4" t="s">
        <v>971</v>
      </c>
      <c r="F61" s="4" t="s">
        <v>973</v>
      </c>
      <c r="G61" s="4" t="s">
        <v>4400</v>
      </c>
      <c r="H61" s="4" t="s">
        <v>4401</v>
      </c>
    </row>
    <row r="62" spans="1:8" ht="38" customHeight="1" x14ac:dyDescent="0.2">
      <c r="A62" s="2" t="s">
        <v>4550</v>
      </c>
      <c r="B62" s="2" t="s">
        <v>4535</v>
      </c>
      <c r="C62" s="2" t="s">
        <v>4551</v>
      </c>
      <c r="D62" s="2" t="s">
        <v>4417</v>
      </c>
      <c r="E62" s="2" t="s">
        <v>4552</v>
      </c>
      <c r="F62" s="2" t="s">
        <v>4553</v>
      </c>
      <c r="G62" s="2" t="s">
        <v>4400</v>
      </c>
      <c r="H62" s="2" t="s">
        <v>4401</v>
      </c>
    </row>
    <row r="63" spans="1:8" ht="38" customHeight="1" x14ac:dyDescent="0.2">
      <c r="A63" s="4" t="s">
        <v>705</v>
      </c>
      <c r="B63" s="4" t="s">
        <v>4535</v>
      </c>
      <c r="C63" s="4" t="s">
        <v>4554</v>
      </c>
      <c r="D63" s="4" t="s">
        <v>4417</v>
      </c>
      <c r="E63" s="4" t="s">
        <v>4555</v>
      </c>
      <c r="F63" s="4" t="s">
        <v>4556</v>
      </c>
      <c r="G63" s="4" t="s">
        <v>4400</v>
      </c>
      <c r="H63" s="4" t="s">
        <v>4401</v>
      </c>
    </row>
    <row r="64" spans="1:8" ht="38" customHeight="1" x14ac:dyDescent="0.2">
      <c r="A64" s="2" t="s">
        <v>4557</v>
      </c>
      <c r="B64" s="2" t="s">
        <v>4535</v>
      </c>
      <c r="C64" s="2" t="s">
        <v>4558</v>
      </c>
      <c r="D64" s="2" t="s">
        <v>4417</v>
      </c>
      <c r="E64" s="2" t="s">
        <v>951</v>
      </c>
      <c r="F64" s="2" t="s">
        <v>953</v>
      </c>
      <c r="G64" s="2" t="s">
        <v>4400</v>
      </c>
      <c r="H64" s="2" t="s">
        <v>4401</v>
      </c>
    </row>
    <row r="65" spans="1:8" ht="38" customHeight="1" x14ac:dyDescent="0.2">
      <c r="A65" s="4" t="s">
        <v>4559</v>
      </c>
      <c r="B65" s="4" t="s">
        <v>4535</v>
      </c>
      <c r="C65" s="4" t="s">
        <v>4560</v>
      </c>
      <c r="D65" s="4" t="s">
        <v>4417</v>
      </c>
      <c r="E65" s="4" t="s">
        <v>4561</v>
      </c>
      <c r="F65" s="4" t="s">
        <v>4562</v>
      </c>
      <c r="G65" s="4" t="s">
        <v>4400</v>
      </c>
      <c r="H65" s="4" t="s">
        <v>4401</v>
      </c>
    </row>
    <row r="66" spans="1:8" ht="38" customHeight="1" x14ac:dyDescent="0.2">
      <c r="A66" s="2" t="s">
        <v>990</v>
      </c>
      <c r="B66" s="2" t="s">
        <v>4535</v>
      </c>
      <c r="C66" s="2" t="s">
        <v>4563</v>
      </c>
      <c r="D66" s="2" t="s">
        <v>4417</v>
      </c>
      <c r="E66" s="2" t="s">
        <v>981</v>
      </c>
      <c r="F66" s="2" t="s">
        <v>983</v>
      </c>
      <c r="G66" s="2" t="s">
        <v>4400</v>
      </c>
      <c r="H66" s="2" t="s">
        <v>4401</v>
      </c>
    </row>
    <row r="67" spans="1:8" ht="38" customHeight="1" x14ac:dyDescent="0.2">
      <c r="A67" s="4" t="s">
        <v>4564</v>
      </c>
      <c r="B67" s="4" t="s">
        <v>4535</v>
      </c>
      <c r="C67" s="4" t="s">
        <v>4565</v>
      </c>
      <c r="D67" s="4" t="s">
        <v>4417</v>
      </c>
      <c r="E67" s="4" t="s">
        <v>4566</v>
      </c>
      <c r="F67" s="4" t="s">
        <v>4567</v>
      </c>
      <c r="G67" s="4" t="s">
        <v>4400</v>
      </c>
      <c r="H67" s="4" t="s">
        <v>4401</v>
      </c>
    </row>
    <row r="68" spans="1:8" ht="38" customHeight="1" x14ac:dyDescent="0.2">
      <c r="A68" s="2" t="s">
        <v>1017</v>
      </c>
      <c r="B68" s="2" t="s">
        <v>4535</v>
      </c>
      <c r="C68" s="2" t="s">
        <v>4568</v>
      </c>
      <c r="D68" s="2" t="s">
        <v>4417</v>
      </c>
      <c r="E68" s="2" t="s">
        <v>1008</v>
      </c>
      <c r="F68" s="2" t="s">
        <v>1010</v>
      </c>
      <c r="G68" s="2" t="s">
        <v>4400</v>
      </c>
      <c r="H68" s="2" t="s">
        <v>4401</v>
      </c>
    </row>
    <row r="69" spans="1:8" ht="38" customHeight="1" x14ac:dyDescent="0.2">
      <c r="A69" s="4" t="s">
        <v>1114</v>
      </c>
      <c r="B69" s="4" t="s">
        <v>4535</v>
      </c>
      <c r="C69" s="4" t="s">
        <v>4569</v>
      </c>
      <c r="D69" s="4" t="s">
        <v>4417</v>
      </c>
      <c r="E69" s="4" t="s">
        <v>4570</v>
      </c>
      <c r="F69" s="4" t="s">
        <v>4571</v>
      </c>
      <c r="G69" s="4" t="s">
        <v>4400</v>
      </c>
      <c r="H69" s="4" t="s">
        <v>4401</v>
      </c>
    </row>
    <row r="70" spans="1:8" ht="38" customHeight="1" x14ac:dyDescent="0.2">
      <c r="A70" s="2" t="s">
        <v>4572</v>
      </c>
      <c r="B70" s="2" t="s">
        <v>4535</v>
      </c>
      <c r="C70" s="2" t="s">
        <v>4573</v>
      </c>
      <c r="D70" s="2" t="s">
        <v>4417</v>
      </c>
      <c r="E70" s="2" t="s">
        <v>1126</v>
      </c>
      <c r="F70" s="2" t="s">
        <v>1128</v>
      </c>
      <c r="G70" s="2" t="s">
        <v>4400</v>
      </c>
      <c r="H70" s="2" t="s">
        <v>4401</v>
      </c>
    </row>
    <row r="71" spans="1:8" ht="38" customHeight="1" x14ac:dyDescent="0.2">
      <c r="A71" s="4" t="s">
        <v>1037</v>
      </c>
      <c r="B71" s="4" t="s">
        <v>4535</v>
      </c>
      <c r="C71" s="4" t="s">
        <v>4574</v>
      </c>
      <c r="D71" s="4" t="s">
        <v>4417</v>
      </c>
      <c r="E71" s="4" t="s">
        <v>4575</v>
      </c>
      <c r="F71" s="4" t="s">
        <v>4576</v>
      </c>
      <c r="G71" s="4" t="s">
        <v>4400</v>
      </c>
      <c r="H71" s="4" t="s">
        <v>4401</v>
      </c>
    </row>
    <row r="72" spans="1:8" ht="38" customHeight="1" x14ac:dyDescent="0.2">
      <c r="A72" s="2" t="s">
        <v>1164</v>
      </c>
      <c r="B72" s="2" t="s">
        <v>4535</v>
      </c>
      <c r="C72" s="2" t="s">
        <v>4577</v>
      </c>
      <c r="D72" s="2" t="s">
        <v>4417</v>
      </c>
      <c r="E72" s="2" t="s">
        <v>4578</v>
      </c>
      <c r="F72" s="2" t="s">
        <v>4579</v>
      </c>
      <c r="G72" s="2" t="s">
        <v>4400</v>
      </c>
      <c r="H72" s="2" t="s">
        <v>4401</v>
      </c>
    </row>
    <row r="73" spans="1:8" ht="38" customHeight="1" x14ac:dyDescent="0.2">
      <c r="A73" s="4" t="s">
        <v>4580</v>
      </c>
      <c r="B73" s="4" t="s">
        <v>4535</v>
      </c>
      <c r="C73" s="4" t="s">
        <v>4581</v>
      </c>
      <c r="D73" s="4" t="s">
        <v>4417</v>
      </c>
      <c r="E73" s="4" t="s">
        <v>857</v>
      </c>
      <c r="F73" s="4" t="s">
        <v>859</v>
      </c>
      <c r="G73" s="4" t="s">
        <v>4400</v>
      </c>
      <c r="H73" s="4" t="s">
        <v>4401</v>
      </c>
    </row>
    <row r="74" spans="1:8" ht="38" customHeight="1" x14ac:dyDescent="0.2">
      <c r="A74" s="2" t="s">
        <v>4582</v>
      </c>
      <c r="B74" s="2" t="s">
        <v>4535</v>
      </c>
      <c r="C74" s="2" t="s">
        <v>4583</v>
      </c>
      <c r="D74" s="2" t="s">
        <v>4417</v>
      </c>
      <c r="E74" s="2" t="s">
        <v>2297</v>
      </c>
      <c r="F74" s="2" t="s">
        <v>4584</v>
      </c>
      <c r="G74" s="2" t="s">
        <v>4400</v>
      </c>
      <c r="H74" s="2" t="s">
        <v>4401</v>
      </c>
    </row>
    <row r="75" spans="1:8" ht="38" customHeight="1" x14ac:dyDescent="0.2">
      <c r="A75" s="4" t="s">
        <v>561</v>
      </c>
      <c r="B75" s="4" t="s">
        <v>4535</v>
      </c>
      <c r="C75" s="4" t="s">
        <v>4585</v>
      </c>
      <c r="D75" s="4" t="s">
        <v>4417</v>
      </c>
      <c r="E75" s="4" t="s">
        <v>4586</v>
      </c>
      <c r="F75" s="4" t="s">
        <v>4587</v>
      </c>
      <c r="G75" s="4" t="s">
        <v>4400</v>
      </c>
      <c r="H75" s="4" t="s">
        <v>4401</v>
      </c>
    </row>
    <row r="76" spans="1:8" ht="38" customHeight="1" x14ac:dyDescent="0.2">
      <c r="A76" s="2" t="s">
        <v>1085</v>
      </c>
      <c r="B76" s="2" t="s">
        <v>4535</v>
      </c>
      <c r="C76" s="2" t="s">
        <v>4588</v>
      </c>
      <c r="D76" s="2" t="s">
        <v>4417</v>
      </c>
      <c r="E76" s="2" t="s">
        <v>4589</v>
      </c>
      <c r="F76" s="2" t="s">
        <v>4590</v>
      </c>
      <c r="G76" s="2" t="s">
        <v>4400</v>
      </c>
      <c r="H76" s="2" t="s">
        <v>4401</v>
      </c>
    </row>
    <row r="77" spans="1:8" ht="38" customHeight="1" x14ac:dyDescent="0.2">
      <c r="A77" s="4" t="s">
        <v>819</v>
      </c>
      <c r="B77" s="4" t="s">
        <v>4535</v>
      </c>
      <c r="C77" s="4" t="s">
        <v>4591</v>
      </c>
      <c r="D77" s="4" t="s">
        <v>4417</v>
      </c>
      <c r="E77" s="4" t="s">
        <v>4592</v>
      </c>
      <c r="F77" s="4" t="s">
        <v>4593</v>
      </c>
      <c r="G77" s="4" t="s">
        <v>4400</v>
      </c>
      <c r="H77" s="4" t="s">
        <v>4401</v>
      </c>
    </row>
    <row r="78" spans="1:8" ht="38" customHeight="1" x14ac:dyDescent="0.2">
      <c r="A78" s="2" t="s">
        <v>1220</v>
      </c>
      <c r="B78" s="2" t="s">
        <v>4535</v>
      </c>
      <c r="C78" s="2" t="s">
        <v>4594</v>
      </c>
      <c r="D78" s="2" t="s">
        <v>4409</v>
      </c>
      <c r="E78" s="2" t="s">
        <v>4595</v>
      </c>
      <c r="F78" s="2" t="s">
        <v>4596</v>
      </c>
      <c r="G78" s="2" t="s">
        <v>4400</v>
      </c>
      <c r="H78" s="2" t="s">
        <v>4401</v>
      </c>
    </row>
    <row r="79" spans="1:8" ht="38" customHeight="1" x14ac:dyDescent="0.2">
      <c r="A79" s="4" t="s">
        <v>4597</v>
      </c>
      <c r="B79" s="4" t="s">
        <v>4535</v>
      </c>
      <c r="C79" s="4" t="s">
        <v>4598</v>
      </c>
      <c r="D79" s="4" t="s">
        <v>4417</v>
      </c>
      <c r="E79" s="4" t="s">
        <v>1221</v>
      </c>
      <c r="F79" s="4" t="s">
        <v>1223</v>
      </c>
      <c r="G79" s="4" t="s">
        <v>4400</v>
      </c>
      <c r="H79" s="4" t="s">
        <v>4401</v>
      </c>
    </row>
    <row r="80" spans="1:8" ht="38" customHeight="1" x14ac:dyDescent="0.2">
      <c r="A80" s="2" t="s">
        <v>4599</v>
      </c>
      <c r="B80" s="2" t="s">
        <v>4535</v>
      </c>
      <c r="C80" s="2" t="s">
        <v>4600</v>
      </c>
      <c r="D80" s="2" t="s">
        <v>4409</v>
      </c>
      <c r="E80" s="2" t="s">
        <v>1238</v>
      </c>
      <c r="F80" s="2" t="s">
        <v>1240</v>
      </c>
      <c r="G80" s="2" t="s">
        <v>4400</v>
      </c>
      <c r="H80" s="2" t="s">
        <v>4401</v>
      </c>
    </row>
    <row r="81" spans="1:8" ht="38" customHeight="1" x14ac:dyDescent="0.2">
      <c r="A81" s="4" t="s">
        <v>4601</v>
      </c>
      <c r="B81" s="4" t="s">
        <v>4602</v>
      </c>
      <c r="C81" s="4" t="s">
        <v>4603</v>
      </c>
      <c r="D81" s="4" t="s">
        <v>4417</v>
      </c>
      <c r="E81" s="4" t="s">
        <v>4604</v>
      </c>
      <c r="F81" s="4" t="s">
        <v>4605</v>
      </c>
      <c r="G81" s="4" t="s">
        <v>4400</v>
      </c>
      <c r="H81" s="4" t="s">
        <v>4401</v>
      </c>
    </row>
    <row r="82" spans="1:8" ht="38" customHeight="1" x14ac:dyDescent="0.2">
      <c r="A82" s="2" t="s">
        <v>4606</v>
      </c>
      <c r="B82" s="2" t="s">
        <v>4602</v>
      </c>
      <c r="C82" s="2" t="s">
        <v>4607</v>
      </c>
      <c r="D82" s="2" t="s">
        <v>4409</v>
      </c>
      <c r="E82" s="2" t="s">
        <v>4608</v>
      </c>
      <c r="F82" s="2" t="s">
        <v>4609</v>
      </c>
      <c r="G82" s="2" t="s">
        <v>4400</v>
      </c>
      <c r="H82" s="2" t="s">
        <v>4401</v>
      </c>
    </row>
    <row r="83" spans="1:8" ht="38" customHeight="1" x14ac:dyDescent="0.2">
      <c r="A83" s="4" t="s">
        <v>4610</v>
      </c>
      <c r="B83" s="4" t="s">
        <v>4602</v>
      </c>
      <c r="C83" s="4" t="s">
        <v>4611</v>
      </c>
      <c r="D83" s="4" t="s">
        <v>4417</v>
      </c>
      <c r="E83" s="4" t="s">
        <v>4612</v>
      </c>
      <c r="F83" s="4" t="s">
        <v>4613</v>
      </c>
      <c r="G83" s="4" t="s">
        <v>4400</v>
      </c>
      <c r="H83" s="4" t="s">
        <v>4401</v>
      </c>
    </row>
    <row r="84" spans="1:8" ht="38" customHeight="1" x14ac:dyDescent="0.2">
      <c r="A84" s="2" t="s">
        <v>4614</v>
      </c>
      <c r="B84" s="2" t="s">
        <v>4602</v>
      </c>
      <c r="C84" s="2" t="s">
        <v>4615</v>
      </c>
      <c r="D84" s="2" t="s">
        <v>4417</v>
      </c>
      <c r="E84" s="2" t="s">
        <v>1341</v>
      </c>
      <c r="F84" s="2" t="s">
        <v>1343</v>
      </c>
      <c r="G84" s="2" t="s">
        <v>4400</v>
      </c>
      <c r="H84" s="2" t="s">
        <v>4401</v>
      </c>
    </row>
    <row r="85" spans="1:8" ht="38" customHeight="1" x14ac:dyDescent="0.2">
      <c r="A85" s="4" t="s">
        <v>4616</v>
      </c>
      <c r="B85" s="4" t="s">
        <v>4602</v>
      </c>
      <c r="C85" s="4" t="s">
        <v>4617</v>
      </c>
      <c r="D85" s="4" t="s">
        <v>4417</v>
      </c>
      <c r="E85" s="4" t="s">
        <v>1333</v>
      </c>
      <c r="F85" s="4" t="s">
        <v>1335</v>
      </c>
      <c r="G85" s="4" t="s">
        <v>4400</v>
      </c>
      <c r="H85" s="4" t="s">
        <v>4401</v>
      </c>
    </row>
    <row r="86" spans="1:8" ht="38" customHeight="1" x14ac:dyDescent="0.2">
      <c r="A86" s="2" t="s">
        <v>4618</v>
      </c>
      <c r="B86" s="2" t="s">
        <v>4602</v>
      </c>
      <c r="C86" s="2" t="s">
        <v>4619</v>
      </c>
      <c r="D86" s="2" t="s">
        <v>4417</v>
      </c>
      <c r="E86" s="2" t="s">
        <v>1267</v>
      </c>
      <c r="F86" s="2" t="s">
        <v>1268</v>
      </c>
      <c r="G86" s="2" t="s">
        <v>4400</v>
      </c>
      <c r="H86" s="2" t="s">
        <v>4401</v>
      </c>
    </row>
    <row r="87" spans="1:8" ht="38" customHeight="1" x14ac:dyDescent="0.2">
      <c r="A87" s="4" t="s">
        <v>4620</v>
      </c>
      <c r="B87" s="4" t="s">
        <v>4602</v>
      </c>
      <c r="C87" s="4" t="s">
        <v>4621</v>
      </c>
      <c r="D87" s="4" t="s">
        <v>4417</v>
      </c>
      <c r="E87" s="4" t="s">
        <v>1284</v>
      </c>
      <c r="F87" s="4" t="s">
        <v>1286</v>
      </c>
      <c r="G87" s="4" t="s">
        <v>4400</v>
      </c>
      <c r="H87" s="4" t="s">
        <v>4401</v>
      </c>
    </row>
    <row r="88" spans="1:8" ht="38" customHeight="1" x14ac:dyDescent="0.2">
      <c r="A88" s="2" t="s">
        <v>1283</v>
      </c>
      <c r="B88" s="2" t="s">
        <v>4602</v>
      </c>
      <c r="C88" s="2" t="s">
        <v>4622</v>
      </c>
      <c r="D88" s="2" t="s">
        <v>4417</v>
      </c>
      <c r="E88" s="2" t="s">
        <v>1275</v>
      </c>
      <c r="F88" s="2" t="s">
        <v>1277</v>
      </c>
      <c r="G88" s="2" t="s">
        <v>4400</v>
      </c>
      <c r="H88" s="2" t="s">
        <v>4401</v>
      </c>
    </row>
    <row r="89" spans="1:8" ht="38" customHeight="1" x14ac:dyDescent="0.2">
      <c r="A89" s="4" t="s">
        <v>828</v>
      </c>
      <c r="B89" s="4" t="s">
        <v>4602</v>
      </c>
      <c r="C89" s="4" t="s">
        <v>4623</v>
      </c>
      <c r="D89" s="4" t="s">
        <v>4417</v>
      </c>
      <c r="E89" s="4" t="s">
        <v>4624</v>
      </c>
      <c r="F89" s="4" t="s">
        <v>4625</v>
      </c>
      <c r="G89" s="4" t="s">
        <v>4400</v>
      </c>
      <c r="H89" s="4" t="s">
        <v>4401</v>
      </c>
    </row>
    <row r="90" spans="1:8" ht="38" customHeight="1" x14ac:dyDescent="0.2">
      <c r="A90" s="2" t="s">
        <v>1332</v>
      </c>
      <c r="B90" s="2" t="s">
        <v>4602</v>
      </c>
      <c r="C90" s="2" t="s">
        <v>4626</v>
      </c>
      <c r="D90" s="2" t="s">
        <v>4417</v>
      </c>
      <c r="E90" s="2" t="s">
        <v>4627</v>
      </c>
      <c r="F90" s="2" t="s">
        <v>4628</v>
      </c>
      <c r="G90" s="2" t="s">
        <v>4400</v>
      </c>
      <c r="H90" s="2" t="s">
        <v>4401</v>
      </c>
    </row>
    <row r="91" spans="1:8" ht="38" customHeight="1" x14ac:dyDescent="0.2">
      <c r="A91" s="4" t="s">
        <v>4629</v>
      </c>
      <c r="B91" s="4" t="s">
        <v>4602</v>
      </c>
      <c r="C91" s="4" t="s">
        <v>4630</v>
      </c>
      <c r="D91" s="4" t="s">
        <v>4417</v>
      </c>
      <c r="E91" s="4" t="s">
        <v>4631</v>
      </c>
      <c r="F91" s="4" t="s">
        <v>4632</v>
      </c>
      <c r="G91" s="4" t="s">
        <v>4400</v>
      </c>
      <c r="H91" s="4" t="s">
        <v>4401</v>
      </c>
    </row>
    <row r="92" spans="1:8" ht="38" customHeight="1" x14ac:dyDescent="0.2">
      <c r="A92" s="2" t="s">
        <v>4633</v>
      </c>
      <c r="B92" s="2" t="s">
        <v>4602</v>
      </c>
      <c r="C92" s="2" t="s">
        <v>4634</v>
      </c>
      <c r="D92" s="2" t="s">
        <v>4417</v>
      </c>
      <c r="E92" s="2" t="s">
        <v>1315</v>
      </c>
      <c r="F92" s="2" t="s">
        <v>1316</v>
      </c>
      <c r="G92" s="2" t="s">
        <v>4400</v>
      </c>
      <c r="H92" s="2" t="s">
        <v>4401</v>
      </c>
    </row>
    <row r="93" spans="1:8" ht="38" customHeight="1" x14ac:dyDescent="0.2">
      <c r="A93" s="4" t="s">
        <v>4635</v>
      </c>
      <c r="B93" s="4" t="s">
        <v>4602</v>
      </c>
      <c r="C93" s="4" t="s">
        <v>4636</v>
      </c>
      <c r="D93" s="4" t="s">
        <v>4417</v>
      </c>
      <c r="E93" s="4" t="s">
        <v>1307</v>
      </c>
      <c r="F93" s="4" t="s">
        <v>1309</v>
      </c>
      <c r="G93" s="4" t="s">
        <v>4400</v>
      </c>
      <c r="H93" s="4" t="s">
        <v>4401</v>
      </c>
    </row>
    <row r="94" spans="1:8" ht="38" customHeight="1" x14ac:dyDescent="0.2">
      <c r="A94" s="2" t="s">
        <v>4637</v>
      </c>
      <c r="B94" s="2" t="s">
        <v>4602</v>
      </c>
      <c r="C94" s="2" t="s">
        <v>4638</v>
      </c>
      <c r="D94" s="2" t="s">
        <v>4417</v>
      </c>
      <c r="E94" s="2" t="s">
        <v>1315</v>
      </c>
      <c r="F94" s="2" t="s">
        <v>1316</v>
      </c>
      <c r="G94" s="2" t="s">
        <v>4400</v>
      </c>
      <c r="H94" s="2" t="s">
        <v>4401</v>
      </c>
    </row>
    <row r="95" spans="1:8" ht="38" customHeight="1" x14ac:dyDescent="0.2">
      <c r="A95" s="4" t="s">
        <v>4639</v>
      </c>
      <c r="B95" s="4" t="s">
        <v>4602</v>
      </c>
      <c r="C95" s="4" t="s">
        <v>4640</v>
      </c>
      <c r="D95" s="4" t="s">
        <v>4417</v>
      </c>
      <c r="E95" s="4" t="s">
        <v>4641</v>
      </c>
      <c r="F95" s="4" t="s">
        <v>4642</v>
      </c>
      <c r="G95" s="4" t="s">
        <v>4400</v>
      </c>
      <c r="H95" s="4" t="s">
        <v>4401</v>
      </c>
    </row>
    <row r="96" spans="1:8" ht="38" customHeight="1" x14ac:dyDescent="0.2">
      <c r="A96" s="2" t="s">
        <v>1380</v>
      </c>
      <c r="B96" s="2" t="s">
        <v>4602</v>
      </c>
      <c r="C96" s="2" t="s">
        <v>4643</v>
      </c>
      <c r="D96" s="2" t="s">
        <v>4417</v>
      </c>
      <c r="E96" s="2" t="s">
        <v>4644</v>
      </c>
      <c r="F96" s="2" t="s">
        <v>4645</v>
      </c>
      <c r="G96" s="2" t="s">
        <v>4400</v>
      </c>
      <c r="H96" s="2" t="s">
        <v>4401</v>
      </c>
    </row>
    <row r="97" spans="1:8" ht="38" customHeight="1" x14ac:dyDescent="0.2">
      <c r="A97" s="4" t="s">
        <v>1389</v>
      </c>
      <c r="B97" s="4" t="s">
        <v>4602</v>
      </c>
      <c r="C97" s="4" t="s">
        <v>4646</v>
      </c>
      <c r="D97" s="4" t="s">
        <v>4417</v>
      </c>
      <c r="E97" s="4" t="s">
        <v>1381</v>
      </c>
      <c r="F97" s="4" t="s">
        <v>1383</v>
      </c>
      <c r="G97" s="4" t="s">
        <v>4400</v>
      </c>
      <c r="H97" s="4" t="s">
        <v>4401</v>
      </c>
    </row>
    <row r="98" spans="1:8" ht="38" customHeight="1" x14ac:dyDescent="0.2">
      <c r="A98" s="2" t="s">
        <v>1398</v>
      </c>
      <c r="B98" s="2" t="s">
        <v>4602</v>
      </c>
      <c r="C98" s="2" t="s">
        <v>4647</v>
      </c>
      <c r="D98" s="2" t="s">
        <v>4417</v>
      </c>
      <c r="E98" s="2" t="s">
        <v>4648</v>
      </c>
      <c r="F98" s="2" t="s">
        <v>4649</v>
      </c>
      <c r="G98" s="2" t="s">
        <v>4400</v>
      </c>
      <c r="H98" s="2" t="s">
        <v>4401</v>
      </c>
    </row>
    <row r="99" spans="1:8" ht="38" customHeight="1" x14ac:dyDescent="0.2">
      <c r="A99" s="4" t="s">
        <v>1266</v>
      </c>
      <c r="B99" s="4" t="s">
        <v>4602</v>
      </c>
      <c r="C99" s="4" t="s">
        <v>4650</v>
      </c>
      <c r="D99" s="4" t="s">
        <v>4417</v>
      </c>
      <c r="E99" s="4" t="s">
        <v>4651</v>
      </c>
      <c r="F99" s="4" t="s">
        <v>4652</v>
      </c>
      <c r="G99" s="4" t="s">
        <v>4400</v>
      </c>
      <c r="H99" s="4" t="s">
        <v>4401</v>
      </c>
    </row>
    <row r="100" spans="1:8" ht="38" customHeight="1" x14ac:dyDescent="0.2">
      <c r="A100" s="2" t="s">
        <v>1439</v>
      </c>
      <c r="B100" s="2" t="s">
        <v>4602</v>
      </c>
      <c r="C100" s="2" t="s">
        <v>4653</v>
      </c>
      <c r="D100" s="2" t="s">
        <v>4417</v>
      </c>
      <c r="E100" s="2" t="s">
        <v>4654</v>
      </c>
      <c r="F100" s="2" t="s">
        <v>4655</v>
      </c>
      <c r="G100" s="2" t="s">
        <v>4400</v>
      </c>
      <c r="H100" s="2" t="s">
        <v>4401</v>
      </c>
    </row>
    <row r="101" spans="1:8" ht="38" customHeight="1" x14ac:dyDescent="0.2">
      <c r="A101" s="4" t="s">
        <v>415</v>
      </c>
      <c r="B101" s="4" t="s">
        <v>4602</v>
      </c>
      <c r="C101" s="4" t="s">
        <v>4656</v>
      </c>
      <c r="D101" s="4" t="s">
        <v>4417</v>
      </c>
      <c r="E101" s="4" t="s">
        <v>4657</v>
      </c>
      <c r="F101" s="4" t="s">
        <v>4658</v>
      </c>
      <c r="G101" s="4" t="s">
        <v>4400</v>
      </c>
      <c r="H101" s="4" t="s">
        <v>4401</v>
      </c>
    </row>
    <row r="102" spans="1:8" ht="61" customHeight="1" x14ac:dyDescent="0.2">
      <c r="A102" s="2" t="s">
        <v>1460</v>
      </c>
      <c r="B102" s="2" t="s">
        <v>4602</v>
      </c>
      <c r="C102" s="2" t="s">
        <v>4659</v>
      </c>
      <c r="D102" s="2" t="s">
        <v>4417</v>
      </c>
      <c r="E102" s="2" t="s">
        <v>4660</v>
      </c>
      <c r="F102" s="2" t="s">
        <v>4661</v>
      </c>
      <c r="G102" s="2" t="s">
        <v>4400</v>
      </c>
      <c r="H102" s="2" t="s">
        <v>4401</v>
      </c>
    </row>
    <row r="106" spans="1:8" ht="30" customHeight="1" x14ac:dyDescent="0.2">
      <c r="A106" s="46" t="s">
        <v>4662</v>
      </c>
      <c r="B106" s="45"/>
      <c r="C106" s="45"/>
    </row>
    <row r="107" spans="1:8" ht="32" customHeight="1" x14ac:dyDescent="0.2">
      <c r="A107" s="1" t="s">
        <v>4663</v>
      </c>
      <c r="B107" s="1" t="s">
        <v>4664</v>
      </c>
      <c r="C107" s="1" t="s">
        <v>4665</v>
      </c>
    </row>
    <row r="108" spans="1:8" ht="38" customHeight="1" x14ac:dyDescent="0.2">
      <c r="A108" s="2" t="s">
        <v>4666</v>
      </c>
      <c r="B108" s="2" t="s">
        <v>4667</v>
      </c>
      <c r="C108" s="2" t="s">
        <v>4668</v>
      </c>
      <c r="D108" s="2"/>
      <c r="E108" s="2"/>
      <c r="F108" s="2"/>
      <c r="G108" s="2"/>
      <c r="H108" s="2"/>
    </row>
    <row r="109" spans="1:8" ht="38" customHeight="1" x14ac:dyDescent="0.2">
      <c r="A109" s="4" t="s">
        <v>4669</v>
      </c>
      <c r="B109" s="4" t="s">
        <v>4670</v>
      </c>
      <c r="C109" s="4" t="s">
        <v>4671</v>
      </c>
      <c r="D109" s="4"/>
      <c r="E109" s="4"/>
      <c r="F109" s="4"/>
      <c r="G109" s="4"/>
      <c r="H109" s="4"/>
    </row>
    <row r="110" spans="1:8" ht="38" customHeight="1" x14ac:dyDescent="0.2">
      <c r="A110" s="2" t="s">
        <v>96</v>
      </c>
      <c r="B110" s="2" t="s">
        <v>4672</v>
      </c>
      <c r="C110" s="2" t="s">
        <v>4673</v>
      </c>
      <c r="D110" s="2"/>
      <c r="E110" s="2"/>
      <c r="F110" s="2"/>
      <c r="G110" s="2"/>
      <c r="H110" s="2"/>
    </row>
    <row r="111" spans="1:8" ht="38" customHeight="1" x14ac:dyDescent="0.2">
      <c r="A111" s="4" t="s">
        <v>4674</v>
      </c>
      <c r="B111" s="4" t="s">
        <v>4675</v>
      </c>
      <c r="C111" s="4" t="s">
        <v>4676</v>
      </c>
      <c r="D111" s="4"/>
      <c r="E111" s="4"/>
      <c r="F111" s="4"/>
      <c r="G111" s="4"/>
      <c r="H111" s="4"/>
    </row>
    <row r="112" spans="1:8" ht="38" customHeight="1" x14ac:dyDescent="0.2">
      <c r="A112" s="2" t="s">
        <v>4677</v>
      </c>
      <c r="B112" s="2" t="s">
        <v>4678</v>
      </c>
      <c r="C112" s="2" t="s">
        <v>4679</v>
      </c>
      <c r="D112" s="2"/>
      <c r="E112" s="2"/>
      <c r="F112" s="2"/>
      <c r="G112" s="2"/>
      <c r="H112" s="2"/>
    </row>
    <row r="113" spans="1:8" ht="38" customHeight="1" x14ac:dyDescent="0.2">
      <c r="A113" s="4" t="s">
        <v>4680</v>
      </c>
      <c r="B113" s="4" t="s">
        <v>4681</v>
      </c>
      <c r="C113" s="4" t="s">
        <v>4682</v>
      </c>
      <c r="D113" s="4"/>
      <c r="E113" s="4"/>
      <c r="F113" s="4"/>
      <c r="G113" s="4"/>
      <c r="H113" s="4"/>
    </row>
    <row r="114" spans="1:8" ht="38" customHeight="1" x14ac:dyDescent="0.2">
      <c r="A114" s="2" t="s">
        <v>4683</v>
      </c>
      <c r="B114" s="2" t="s">
        <v>4684</v>
      </c>
      <c r="C114" s="2" t="s">
        <v>4685</v>
      </c>
      <c r="D114" s="2"/>
      <c r="E114" s="2"/>
      <c r="F114" s="2"/>
      <c r="G114" s="2"/>
      <c r="H114" s="2"/>
    </row>
    <row r="115" spans="1:8" ht="38" customHeight="1" x14ac:dyDescent="0.2">
      <c r="A115" s="4" t="s">
        <v>4686</v>
      </c>
      <c r="B115" s="4" t="s">
        <v>4687</v>
      </c>
      <c r="C115" s="4" t="s">
        <v>4688</v>
      </c>
      <c r="D115" s="4"/>
      <c r="E115" s="4"/>
      <c r="F115" s="4"/>
      <c r="G115" s="4"/>
      <c r="H115" s="4"/>
    </row>
    <row r="116" spans="1:8" ht="38" customHeight="1" x14ac:dyDescent="0.2">
      <c r="A116" s="2" t="s">
        <v>4689</v>
      </c>
      <c r="B116" s="2" t="s">
        <v>4690</v>
      </c>
      <c r="C116" s="2" t="s">
        <v>4691</v>
      </c>
      <c r="D116" s="2"/>
      <c r="E116" s="2"/>
      <c r="F116" s="2"/>
      <c r="G116" s="2"/>
      <c r="H116" s="2"/>
    </row>
    <row r="117" spans="1:8" ht="38" customHeight="1" x14ac:dyDescent="0.2">
      <c r="A117" s="4" t="s">
        <v>4692</v>
      </c>
      <c r="B117" s="4" t="s">
        <v>4693</v>
      </c>
      <c r="C117" s="4" t="s">
        <v>4694</v>
      </c>
      <c r="D117" s="4"/>
      <c r="E117" s="4"/>
      <c r="F117" s="4"/>
      <c r="G117" s="4"/>
      <c r="H117" s="4"/>
    </row>
    <row r="118" spans="1:8" ht="38" customHeight="1" x14ac:dyDescent="0.2">
      <c r="A118" s="2" t="s">
        <v>4695</v>
      </c>
      <c r="B118" s="2" t="s">
        <v>4696</v>
      </c>
      <c r="C118" s="2" t="s">
        <v>4697</v>
      </c>
      <c r="D118" s="2"/>
      <c r="E118" s="2"/>
      <c r="F118" s="2"/>
      <c r="G118" s="2"/>
      <c r="H118" s="2"/>
    </row>
    <row r="119" spans="1:8" ht="38" customHeight="1" x14ac:dyDescent="0.2">
      <c r="A119" s="4" t="s">
        <v>4698</v>
      </c>
      <c r="B119" s="4" t="s">
        <v>4699</v>
      </c>
      <c r="C119" s="4" t="s">
        <v>4700</v>
      </c>
      <c r="D119" s="4"/>
      <c r="E119" s="4"/>
      <c r="F119" s="4"/>
      <c r="G119" s="4"/>
      <c r="H119" s="4"/>
    </row>
    <row r="120" spans="1:8" ht="38" customHeight="1" x14ac:dyDescent="0.2">
      <c r="A120" s="2" t="s">
        <v>4701</v>
      </c>
      <c r="B120" s="2" t="s">
        <v>4702</v>
      </c>
      <c r="C120" s="2" t="s">
        <v>4703</v>
      </c>
      <c r="D120" s="2"/>
      <c r="E120" s="2"/>
      <c r="F120" s="2"/>
      <c r="G120" s="2"/>
      <c r="H120" s="2"/>
    </row>
    <row r="121" spans="1:8" ht="38" customHeight="1" x14ac:dyDescent="0.2">
      <c r="A121" s="4" t="s">
        <v>4704</v>
      </c>
      <c r="B121" s="4" t="s">
        <v>4705</v>
      </c>
      <c r="C121" s="4" t="s">
        <v>4706</v>
      </c>
      <c r="D121" s="4"/>
      <c r="E121" s="4"/>
      <c r="F121" s="4"/>
      <c r="G121" s="4"/>
      <c r="H121" s="4"/>
    </row>
    <row r="122" spans="1:8" ht="38" customHeight="1" x14ac:dyDescent="0.2">
      <c r="A122" s="2" t="s">
        <v>4707</v>
      </c>
      <c r="B122" s="2" t="s">
        <v>4708</v>
      </c>
      <c r="C122" s="2" t="s">
        <v>4709</v>
      </c>
      <c r="D122" s="2"/>
      <c r="E122" s="2"/>
      <c r="F122" s="2"/>
      <c r="G122" s="2"/>
      <c r="H122" s="2"/>
    </row>
    <row r="123" spans="1:8" ht="38" customHeight="1" x14ac:dyDescent="0.2">
      <c r="A123" s="4" t="s">
        <v>4710</v>
      </c>
      <c r="B123" s="4" t="s">
        <v>4711</v>
      </c>
      <c r="C123" s="4" t="s">
        <v>4712</v>
      </c>
      <c r="D123" s="4"/>
      <c r="E123" s="4"/>
      <c r="F123" s="4"/>
      <c r="G123" s="4"/>
      <c r="H123" s="4"/>
    </row>
    <row r="124" spans="1:8" ht="38" customHeight="1" x14ac:dyDescent="0.2">
      <c r="A124" s="2" t="s">
        <v>4713</v>
      </c>
      <c r="B124" s="2" t="s">
        <v>4714</v>
      </c>
      <c r="C124" s="2" t="s">
        <v>4715</v>
      </c>
      <c r="D124" s="2"/>
      <c r="E124" s="2"/>
      <c r="F124" s="2"/>
      <c r="G124" s="2"/>
      <c r="H124" s="2"/>
    </row>
    <row r="128" spans="1:8" ht="30" customHeight="1" x14ac:dyDescent="0.2">
      <c r="A128" s="46" t="s">
        <v>4716</v>
      </c>
      <c r="B128" s="45"/>
      <c r="C128" s="45"/>
    </row>
    <row r="129" spans="1:8" ht="32" customHeight="1" x14ac:dyDescent="0.2">
      <c r="A129" s="1" t="s">
        <v>4717</v>
      </c>
      <c r="B129" s="1" t="s">
        <v>4718</v>
      </c>
      <c r="C129" s="1" t="s">
        <v>4719</v>
      </c>
    </row>
    <row r="130" spans="1:8" ht="49" customHeight="1" x14ac:dyDescent="0.2">
      <c r="A130" s="2" t="s">
        <v>4720</v>
      </c>
      <c r="B130" s="2" t="s">
        <v>4721</v>
      </c>
      <c r="C130" s="2" t="s">
        <v>4722</v>
      </c>
      <c r="D130" s="2"/>
      <c r="E130" s="2"/>
      <c r="F130" s="2"/>
      <c r="G130" s="2"/>
      <c r="H130" s="2"/>
    </row>
    <row r="131" spans="1:8" ht="38" customHeight="1" x14ac:dyDescent="0.2">
      <c r="A131" s="4" t="s">
        <v>4723</v>
      </c>
      <c r="B131" s="4" t="s">
        <v>4724</v>
      </c>
      <c r="C131" s="4" t="s">
        <v>4725</v>
      </c>
      <c r="D131" s="4"/>
      <c r="E131" s="4"/>
      <c r="F131" s="4"/>
      <c r="G131" s="4"/>
      <c r="H131" s="4"/>
    </row>
    <row r="132" spans="1:8" ht="38" customHeight="1" x14ac:dyDescent="0.2">
      <c r="A132" s="2" t="s">
        <v>4726</v>
      </c>
      <c r="B132" s="2" t="s">
        <v>4727</v>
      </c>
      <c r="C132" s="2" t="s">
        <v>4728</v>
      </c>
      <c r="D132" s="2"/>
      <c r="E132" s="2"/>
      <c r="F132" s="2"/>
      <c r="G132" s="2"/>
      <c r="H132" s="2"/>
    </row>
    <row r="133" spans="1:8" ht="38" customHeight="1" x14ac:dyDescent="0.2">
      <c r="A133" s="4" t="s">
        <v>4729</v>
      </c>
      <c r="B133" s="4" t="s">
        <v>4730</v>
      </c>
      <c r="C133" s="4" t="s">
        <v>4731</v>
      </c>
      <c r="D133" s="4"/>
      <c r="E133" s="4"/>
      <c r="F133" s="4"/>
      <c r="G133" s="4"/>
      <c r="H133" s="4"/>
    </row>
    <row r="134" spans="1:8" ht="38" customHeight="1" x14ac:dyDescent="0.2">
      <c r="A134" s="2" t="s">
        <v>4732</v>
      </c>
      <c r="B134" s="2" t="s">
        <v>4733</v>
      </c>
      <c r="C134" s="2" t="s">
        <v>4734</v>
      </c>
      <c r="D134" s="2"/>
      <c r="E134" s="2"/>
      <c r="F134" s="2"/>
      <c r="G134" s="2"/>
      <c r="H134" s="2"/>
    </row>
    <row r="135" spans="1:8" ht="38" customHeight="1" x14ac:dyDescent="0.2">
      <c r="A135" s="4" t="s">
        <v>4735</v>
      </c>
      <c r="B135" s="4" t="s">
        <v>4736</v>
      </c>
      <c r="C135" s="4" t="s">
        <v>4737</v>
      </c>
      <c r="D135" s="4"/>
      <c r="E135" s="4"/>
      <c r="F135" s="4"/>
      <c r="G135" s="4"/>
      <c r="H135" s="4"/>
    </row>
    <row r="136" spans="1:8" ht="38" customHeight="1" x14ac:dyDescent="0.2">
      <c r="A136" s="2" t="s">
        <v>4738</v>
      </c>
      <c r="B136" s="2" t="s">
        <v>4739</v>
      </c>
      <c r="C136" s="2" t="s">
        <v>4740</v>
      </c>
      <c r="D136" s="2"/>
      <c r="E136" s="2"/>
      <c r="F136" s="2"/>
      <c r="G136" s="2"/>
      <c r="H136" s="2"/>
    </row>
    <row r="137" spans="1:8" ht="38" customHeight="1" x14ac:dyDescent="0.2">
      <c r="A137" s="4" t="s">
        <v>4741</v>
      </c>
      <c r="B137" s="4" t="s">
        <v>4742</v>
      </c>
      <c r="C137" s="4" t="s">
        <v>4743</v>
      </c>
      <c r="D137" s="4"/>
      <c r="E137" s="4"/>
      <c r="F137" s="4"/>
      <c r="G137" s="4"/>
      <c r="H137" s="4"/>
    </row>
  </sheetData>
  <autoFilter ref="A3:H102" xr:uid="{00000000-0009-0000-0000-00001B000000}"/>
  <mergeCells count="4">
    <mergeCell ref="A106:C106"/>
    <mergeCell ref="A128:C128"/>
    <mergeCell ref="A2:H2"/>
    <mergeCell ref="A1:G1"/>
  </mergeCells>
  <phoneticPr fontId="12"/>
  <pageMargins left="0.25" right="0.25" top="0.4" bottom="0.4" header="0.5" footer="0.5"/>
  <pageSetup paperSize="8" fitToHeight="0" orientation="landscape"/>
  <headerFooter>
    <oddFooter>&amp;CAI自社事業PJ v1.0 | &amp;A&amp;R&amp;P /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8C795A"/>
    <outlinePr summaryRight="0"/>
    <pageSetUpPr fitToPage="1"/>
  </sheetPr>
  <dimension ref="A1:S203"/>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16" customWidth="1"/>
    <col min="2" max="2" width="13" customWidth="1"/>
    <col min="3" max="3" width="47" customWidth="1"/>
    <col min="4" max="4" width="24" customWidth="1"/>
    <col min="5" max="5" width="14" customWidth="1"/>
    <col min="6" max="6" width="53" customWidth="1"/>
    <col min="7" max="9" width="14" customWidth="1"/>
    <col min="10" max="10" width="67" customWidth="1"/>
    <col min="11" max="11" width="24" customWidth="1"/>
    <col min="12" max="12" width="20" customWidth="1"/>
    <col min="13" max="13" width="82" customWidth="1"/>
    <col min="14" max="14" width="20" customWidth="1"/>
    <col min="15" max="15" width="24" customWidth="1"/>
    <col min="16" max="16" width="30" customWidth="1"/>
    <col min="17" max="18" width="21" customWidth="1"/>
    <col min="19" max="19" width="26" customWidth="1"/>
  </cols>
  <sheetData>
    <row r="1" spans="1:19" ht="34" customHeight="1" x14ac:dyDescent="0.55000000000000004">
      <c r="A1" s="44" t="s">
        <v>4744</v>
      </c>
      <c r="B1" s="45"/>
      <c r="C1" s="45"/>
      <c r="D1" s="45"/>
      <c r="E1" s="45"/>
      <c r="F1" s="45"/>
      <c r="G1" s="45"/>
    </row>
    <row r="2" spans="1:19" ht="43" customHeight="1" x14ac:dyDescent="0.2">
      <c r="A2" s="47" t="s">
        <v>4745</v>
      </c>
      <c r="B2" s="45"/>
      <c r="C2" s="45"/>
      <c r="D2" s="45"/>
      <c r="E2" s="45"/>
      <c r="F2" s="45"/>
      <c r="G2" s="45"/>
      <c r="H2" s="45"/>
      <c r="I2" s="45"/>
    </row>
    <row r="3" spans="1:19" ht="34" customHeight="1" x14ac:dyDescent="0.2">
      <c r="A3" s="1" t="s">
        <v>4746</v>
      </c>
      <c r="B3" s="1" t="s">
        <v>1913</v>
      </c>
      <c r="C3" s="1" t="s">
        <v>2896</v>
      </c>
      <c r="D3" s="1" t="s">
        <v>4747</v>
      </c>
      <c r="E3" s="1" t="s">
        <v>1771</v>
      </c>
      <c r="F3" s="1" t="s">
        <v>4748</v>
      </c>
      <c r="G3" s="1" t="s">
        <v>2897</v>
      </c>
      <c r="H3" s="1" t="s">
        <v>4749</v>
      </c>
      <c r="I3" s="1" t="s">
        <v>4750</v>
      </c>
      <c r="J3" s="1" t="s">
        <v>4751</v>
      </c>
      <c r="K3" s="1" t="s">
        <v>4752</v>
      </c>
      <c r="L3" s="1" t="s">
        <v>4753</v>
      </c>
      <c r="M3" s="1" t="s">
        <v>4754</v>
      </c>
      <c r="N3" s="1" t="s">
        <v>4177</v>
      </c>
      <c r="O3" s="1" t="s">
        <v>3111</v>
      </c>
      <c r="P3" s="1" t="s">
        <v>4755</v>
      </c>
      <c r="Q3" s="1" t="s">
        <v>3627</v>
      </c>
      <c r="R3" s="1" t="s">
        <v>4756</v>
      </c>
      <c r="S3" s="1" t="s">
        <v>4757</v>
      </c>
    </row>
    <row r="4" spans="1:19" ht="38" customHeight="1" x14ac:dyDescent="0.2">
      <c r="A4" s="2" t="s">
        <v>4758</v>
      </c>
      <c r="B4" s="2" t="s">
        <v>1924</v>
      </c>
      <c r="C4" s="28" t="str">
        <f>IF(B4="","",IF(COUNTIF('07_スキル辞書'!$A$4:$A$109,B4)&lt;&gt;1,"参照ID不正",IF(INDEX('07_スキル辞書'!$D$4:$D$109,MATCH(B4,'07_スキル辞書'!$A$4:$A$109,0))="","",INDEX('07_スキル辞書'!$D$4:$D$109,MATCH(B4,'07_スキル辞書'!$A$4:$A$109,0)))))</f>
        <v>七工程と事業投資・公開ゲートの運用</v>
      </c>
      <c r="D4" s="6"/>
      <c r="E4" s="6"/>
      <c r="F4" s="6"/>
      <c r="G4" s="6"/>
      <c r="H4" s="6"/>
      <c r="I4" s="28" t="str">
        <f t="shared" ref="I4:I35" si="0">IF(OR(COUNT(G4:H4)&lt;2,IFERROR(MIN(G4:H4)&lt;0,TRUE),IFERROR(MAX(G4:H4)&gt;3,TRUE),IFERROR(MOD(G4,1)&lt;&gt;0,TRUE),IFERROR(MOD(H4,1)&lt;&gt;0,TRUE)),"",MAX(0,G4-H4))</f>
        <v/>
      </c>
      <c r="J4" s="6"/>
      <c r="K4" s="6"/>
      <c r="L4" s="5"/>
      <c r="M4" s="6"/>
      <c r="N4" s="5"/>
      <c r="O4" s="6"/>
      <c r="P4" s="28" t="str">
        <f t="shared" ref="P4:P35" si="1">IF(AND(D4="",Q4=""),"未割当",IF(OR(COUNTIF(SkillIDs,B4)&lt;&gt;1,COUNTIF(RoleIDs,E4)&lt;&gt;1,S4&lt;&gt;"ID一意"),"Skill／Role／記録ID不正",IF(OR(COUNT(G4:H4)&lt;2,IFERROR(MIN(G4:H4)&lt;0,TRUE),IFERROR(MAX(G4:H4)&gt;3,TRUE),IFERROR(MOD(G4,1)&lt;&gt;0,TRUE),IFERROR(MOD(H4,1)&lt;&gt;0,TRUE)),"習熟度不正",IF(OR(OR(D4="",F4="",J4="",K4="",Q4="",R4=""),NOT(ISNUMBER(L4))),"評価証拠不足",IF(OR(AND(L4&lt;&gt;"",OR(NOT(ISNUMBER(L4)),IFERROR(L4&lt;1,TRUE),IFERROR(INT(L4)&gt;INT(AsOfDate),TRUE)))),"評価日不正",IF(OR(Q4=R4,D4=K4),"自己申告・第三者確認前","第三者評価記録あり"))))))</f>
        <v>未割当</v>
      </c>
      <c r="Q4" s="29"/>
      <c r="R4" s="29"/>
      <c r="S4" s="28" t="str">
        <f t="shared" ref="S4:S35" si="2">IF(A4="","",IF(COUNTIF($A$4:$A$203,A4)&lt;&gt;1,"評価記録ID重複","ID一意"))</f>
        <v>ID一意</v>
      </c>
    </row>
    <row r="5" spans="1:19" ht="38" customHeight="1" x14ac:dyDescent="0.2">
      <c r="A5" s="4" t="s">
        <v>4759</v>
      </c>
      <c r="B5" s="4" t="s">
        <v>1936</v>
      </c>
      <c r="C5" s="28" t="str">
        <f>IF(B5="","",IF(COUNTIF('07_スキル辞書'!$A$4:$A$109,B5)&lt;&gt;1,"参照ID不正",IF(INDEX('07_スキル辞書'!$D$4:$D$109,MATCH(B5,'07_スキル辞書'!$A$4:$A$109,0))="","",INDEX('07_スキル辞書'!$D$4:$D$109,MATCH(B5,'07_スキル辞書'!$A$4:$A$109,0)))))</f>
        <v>AIガバナンスと関連法規の適用</v>
      </c>
      <c r="D5" s="6"/>
      <c r="E5" s="6"/>
      <c r="F5" s="6"/>
      <c r="G5" s="6"/>
      <c r="H5" s="6"/>
      <c r="I5" s="28" t="str">
        <f t="shared" si="0"/>
        <v/>
      </c>
      <c r="J5" s="6"/>
      <c r="K5" s="6"/>
      <c r="L5" s="5"/>
      <c r="M5" s="6"/>
      <c r="N5" s="5"/>
      <c r="O5" s="6"/>
      <c r="P5" s="28" t="str">
        <f t="shared" si="1"/>
        <v>未割当</v>
      </c>
      <c r="Q5" s="29"/>
      <c r="R5" s="29"/>
      <c r="S5" s="28" t="str">
        <f t="shared" si="2"/>
        <v>ID一意</v>
      </c>
    </row>
    <row r="6" spans="1:19" ht="38" customHeight="1" x14ac:dyDescent="0.2">
      <c r="A6" s="2" t="s">
        <v>4760</v>
      </c>
      <c r="B6" s="2" t="s">
        <v>1948</v>
      </c>
      <c r="C6" s="28" t="str">
        <f>IF(B6="","",IF(COUNTIF('07_スキル辞書'!$A$4:$A$109,B6)&lt;&gt;1,"参照ID不正",IF(INDEX('07_スキル辞書'!$D$4:$D$109,MATCH(B6,'07_スキル辞書'!$A$4:$A$109,0))="","",INDEX('07_スキル辞書'!$D$4:$D$109,MATCH(B6,'07_スキル辞書'!$A$4:$A$109,0)))))</f>
        <v>個人情報保護法の適用判定とデータガバナンス</v>
      </c>
      <c r="D6" s="6"/>
      <c r="E6" s="6"/>
      <c r="F6" s="6"/>
      <c r="G6" s="6"/>
      <c r="H6" s="6"/>
      <c r="I6" s="28" t="str">
        <f t="shared" si="0"/>
        <v/>
      </c>
      <c r="J6" s="6"/>
      <c r="K6" s="6"/>
      <c r="L6" s="5"/>
      <c r="M6" s="6"/>
      <c r="N6" s="5"/>
      <c r="O6" s="6"/>
      <c r="P6" s="28" t="str">
        <f t="shared" si="1"/>
        <v>未割当</v>
      </c>
      <c r="Q6" s="29"/>
      <c r="R6" s="29"/>
      <c r="S6" s="28" t="str">
        <f t="shared" si="2"/>
        <v>ID一意</v>
      </c>
    </row>
    <row r="7" spans="1:19" ht="38" customHeight="1" x14ac:dyDescent="0.2">
      <c r="A7" s="4" t="s">
        <v>4761</v>
      </c>
      <c r="B7" s="4" t="s">
        <v>1957</v>
      </c>
      <c r="C7" s="28" t="str">
        <f>IF(B7="","",IF(COUNTIF('07_スキル辞書'!$A$4:$A$109,B7)&lt;&gt;1,"参照ID不正",IF(INDEX('07_スキル辞書'!$D$4:$D$109,MATCH(B7,'07_スキル辞書'!$A$4:$A$109,0))="","",INDEX('07_スキル辞書'!$D$4:$D$109,MATCH(B7,'07_スキル辞書'!$A$4:$A$109,0)))))</f>
        <v>ヒアリングと課題定義</v>
      </c>
      <c r="D7" s="6"/>
      <c r="E7" s="6"/>
      <c r="F7" s="6"/>
      <c r="G7" s="6"/>
      <c r="H7" s="6"/>
      <c r="I7" s="28" t="str">
        <f t="shared" si="0"/>
        <v/>
      </c>
      <c r="J7" s="6"/>
      <c r="K7" s="6"/>
      <c r="L7" s="5"/>
      <c r="M7" s="6"/>
      <c r="N7" s="5"/>
      <c r="O7" s="6"/>
      <c r="P7" s="28" t="str">
        <f t="shared" si="1"/>
        <v>未割当</v>
      </c>
      <c r="Q7" s="29"/>
      <c r="R7" s="29"/>
      <c r="S7" s="28" t="str">
        <f t="shared" si="2"/>
        <v>ID一意</v>
      </c>
    </row>
    <row r="8" spans="1:19" ht="38" customHeight="1" x14ac:dyDescent="0.2">
      <c r="A8" s="2" t="s">
        <v>4762</v>
      </c>
      <c r="B8" s="2" t="s">
        <v>1967</v>
      </c>
      <c r="C8" s="28" t="str">
        <f>IF(B8="","",IF(COUNTIF('07_スキル辞書'!$A$4:$A$109,B8)&lt;&gt;1,"参照ID不正",IF(INDEX('07_スキル辞書'!$D$4:$D$109,MATCH(B8,'07_スキル辞書'!$A$4:$A$109,0))="","",INDEX('07_スキル辞書'!$D$4:$D$109,MATCH(B8,'07_スキル辞書'!$A$4:$A$109,0)))))</f>
        <v>ファシリテーション・交渉・合意形成</v>
      </c>
      <c r="D8" s="6"/>
      <c r="E8" s="6"/>
      <c r="F8" s="6"/>
      <c r="G8" s="6"/>
      <c r="H8" s="6"/>
      <c r="I8" s="28" t="str">
        <f t="shared" si="0"/>
        <v/>
      </c>
      <c r="J8" s="6"/>
      <c r="K8" s="6"/>
      <c r="L8" s="5"/>
      <c r="M8" s="6"/>
      <c r="N8" s="5"/>
      <c r="O8" s="6"/>
      <c r="P8" s="28" t="str">
        <f t="shared" si="1"/>
        <v>未割当</v>
      </c>
      <c r="Q8" s="29"/>
      <c r="R8" s="29"/>
      <c r="S8" s="28" t="str">
        <f t="shared" si="2"/>
        <v>ID一意</v>
      </c>
    </row>
    <row r="9" spans="1:19" ht="38" customHeight="1" x14ac:dyDescent="0.2">
      <c r="A9" s="4" t="s">
        <v>4763</v>
      </c>
      <c r="B9" s="4" t="s">
        <v>1975</v>
      </c>
      <c r="C9" s="28" t="str">
        <f>IF(B9="","",IF(COUNTIF('07_スキル辞書'!$A$4:$A$109,B9)&lt;&gt;1,"参照ID不正",IF(INDEX('07_スキル辞書'!$D$4:$D$109,MATCH(B9,'07_スキル辞書'!$A$4:$A$109,0))="","",INDEX('07_スキル辞書'!$D$4:$D$109,MATCH(B9,'07_スキル辞書'!$A$4:$A$109,0)))))</f>
        <v>ステークホルダー分析とRACI運用</v>
      </c>
      <c r="D9" s="6"/>
      <c r="E9" s="6"/>
      <c r="F9" s="6"/>
      <c r="G9" s="6"/>
      <c r="H9" s="6"/>
      <c r="I9" s="28" t="str">
        <f t="shared" si="0"/>
        <v/>
      </c>
      <c r="J9" s="6"/>
      <c r="K9" s="6"/>
      <c r="L9" s="5"/>
      <c r="M9" s="6"/>
      <c r="N9" s="5"/>
      <c r="O9" s="6"/>
      <c r="P9" s="28" t="str">
        <f t="shared" si="1"/>
        <v>未割当</v>
      </c>
      <c r="Q9" s="29"/>
      <c r="R9" s="29"/>
      <c r="S9" s="28" t="str">
        <f t="shared" si="2"/>
        <v>ID一意</v>
      </c>
    </row>
    <row r="10" spans="1:19" ht="38" customHeight="1" x14ac:dyDescent="0.2">
      <c r="A10" s="2" t="s">
        <v>4764</v>
      </c>
      <c r="B10" s="2" t="s">
        <v>1984</v>
      </c>
      <c r="C10" s="28" t="str">
        <f>IF(B10="","",IF(COUNTIF('07_スキル辞書'!$A$4:$A$109,B10)&lt;&gt;1,"参照ID不正",IF(INDEX('07_スキル辞書'!$D$4:$D$109,MATCH(B10,'07_スキル辞書'!$A$4:$A$109,0))="","",INDEX('07_スキル辞書'!$D$4:$D$109,MATCH(B10,'07_スキル辞書'!$A$4:$A$109,0)))))</f>
        <v>ドメイン知識の獲得と活用</v>
      </c>
      <c r="D10" s="6"/>
      <c r="E10" s="6"/>
      <c r="F10" s="6"/>
      <c r="G10" s="6"/>
      <c r="H10" s="6"/>
      <c r="I10" s="28" t="str">
        <f t="shared" si="0"/>
        <v/>
      </c>
      <c r="J10" s="6"/>
      <c r="K10" s="6"/>
      <c r="L10" s="5"/>
      <c r="M10" s="6"/>
      <c r="N10" s="5"/>
      <c r="O10" s="6"/>
      <c r="P10" s="28" t="str">
        <f t="shared" si="1"/>
        <v>未割当</v>
      </c>
      <c r="Q10" s="29"/>
      <c r="R10" s="29"/>
      <c r="S10" s="28" t="str">
        <f t="shared" si="2"/>
        <v>ID一意</v>
      </c>
    </row>
    <row r="11" spans="1:19" ht="38" customHeight="1" x14ac:dyDescent="0.2">
      <c r="A11" s="4" t="s">
        <v>4765</v>
      </c>
      <c r="B11" s="4" t="s">
        <v>1992</v>
      </c>
      <c r="C11" s="28" t="str">
        <f>IF(B11="","",IF(COUNTIF('07_スキル辞書'!$A$4:$A$109,B11)&lt;&gt;1,"参照ID不正",IF(INDEX('07_スキル辞書'!$D$4:$D$109,MATCH(B11,'07_スキル辞書'!$A$4:$A$109,0))="","",INDEX('07_スキル辞書'!$D$4:$D$109,MATCH(B11,'07_スキル辞書'!$A$4:$A$109,0)))))</f>
        <v>事業戦略理解とビジネス分析フレームワークの活用</v>
      </c>
      <c r="D11" s="6"/>
      <c r="E11" s="6"/>
      <c r="F11" s="6"/>
      <c r="G11" s="6"/>
      <c r="H11" s="6"/>
      <c r="I11" s="28" t="str">
        <f t="shared" si="0"/>
        <v/>
      </c>
      <c r="J11" s="6"/>
      <c r="K11" s="6"/>
      <c r="L11" s="5"/>
      <c r="M11" s="6"/>
      <c r="N11" s="5"/>
      <c r="O11" s="6"/>
      <c r="P11" s="28" t="str">
        <f t="shared" si="1"/>
        <v>未割当</v>
      </c>
      <c r="Q11" s="29"/>
      <c r="R11" s="29"/>
      <c r="S11" s="28" t="str">
        <f t="shared" si="2"/>
        <v>ID一意</v>
      </c>
    </row>
    <row r="12" spans="1:19" ht="38" customHeight="1" x14ac:dyDescent="0.2">
      <c r="A12" s="2" t="s">
        <v>4766</v>
      </c>
      <c r="B12" s="2" t="s">
        <v>2002</v>
      </c>
      <c r="C12" s="28" t="str">
        <f>IF(B12="","",IF(COUNTIF('07_スキル辞書'!$A$4:$A$109,B12)&lt;&gt;1,"参照ID不正",IF(INDEX('07_スキル辞書'!$D$4:$D$109,MATCH(B12,'07_スキル辞書'!$A$4:$A$109,0))="","",INDEX('07_スキル辞書'!$D$4:$D$109,MATCH(B12,'07_スキル辞書'!$A$4:$A$109,0)))))</f>
        <v>価値仮説の定義とKPI設計</v>
      </c>
      <c r="D12" s="6"/>
      <c r="E12" s="6"/>
      <c r="F12" s="6"/>
      <c r="G12" s="6"/>
      <c r="H12" s="6"/>
      <c r="I12" s="28" t="str">
        <f t="shared" si="0"/>
        <v/>
      </c>
      <c r="J12" s="6"/>
      <c r="K12" s="6"/>
      <c r="L12" s="5"/>
      <c r="M12" s="6"/>
      <c r="N12" s="5"/>
      <c r="O12" s="6"/>
      <c r="P12" s="28" t="str">
        <f t="shared" si="1"/>
        <v>未割当</v>
      </c>
      <c r="Q12" s="29"/>
      <c r="R12" s="29"/>
      <c r="S12" s="28" t="str">
        <f t="shared" si="2"/>
        <v>ID一意</v>
      </c>
    </row>
    <row r="13" spans="1:19" ht="38" customHeight="1" x14ac:dyDescent="0.2">
      <c r="A13" s="4" t="s">
        <v>4767</v>
      </c>
      <c r="B13" s="4" t="s">
        <v>2011</v>
      </c>
      <c r="C13" s="28" t="str">
        <f>IF(B13="","",IF(COUNTIF('07_スキル辞書'!$A$4:$A$109,B13)&lt;&gt;1,"参照ID不正",IF(INDEX('07_スキル辞書'!$D$4:$D$109,MATCH(B13,'07_スキル辞書'!$A$4:$A$109,0))="","",INDEX('07_スキル辞書'!$D$4:$D$109,MATCH(B13,'07_スキル辞書'!$A$4:$A$109,0)))))</f>
        <v>ROI・TCO試算と感度分析</v>
      </c>
      <c r="D13" s="6"/>
      <c r="E13" s="6"/>
      <c r="F13" s="6"/>
      <c r="G13" s="6"/>
      <c r="H13" s="6"/>
      <c r="I13" s="28" t="str">
        <f t="shared" si="0"/>
        <v/>
      </c>
      <c r="J13" s="6"/>
      <c r="K13" s="6"/>
      <c r="L13" s="5"/>
      <c r="M13" s="6"/>
      <c r="N13" s="5"/>
      <c r="O13" s="6"/>
      <c r="P13" s="28" t="str">
        <f t="shared" si="1"/>
        <v>未割当</v>
      </c>
      <c r="Q13" s="29"/>
      <c r="R13" s="29"/>
      <c r="S13" s="28" t="str">
        <f t="shared" si="2"/>
        <v>ID一意</v>
      </c>
    </row>
    <row r="14" spans="1:19" ht="38" customHeight="1" x14ac:dyDescent="0.2">
      <c r="A14" s="2" t="s">
        <v>4768</v>
      </c>
      <c r="B14" s="2" t="s">
        <v>2020</v>
      </c>
      <c r="C14" s="28" t="str">
        <f>IF(B14="","",IF(COUNTIF('07_スキル辞書'!$A$4:$A$109,B14)&lt;&gt;1,"参照ID不正",IF(INDEX('07_スキル辞書'!$D$4:$D$109,MATCH(B14,'07_スキル辞書'!$A$4:$A$109,0))="","",INDEX('07_スキル辞書'!$D$4:$D$109,MATCH(B14,'07_スキル辞書'!$A$4:$A$109,0)))))</f>
        <v>ビジネス価値の可視化と定例レポーティング・QBR運営</v>
      </c>
      <c r="D14" s="6"/>
      <c r="E14" s="6"/>
      <c r="F14" s="6"/>
      <c r="G14" s="6"/>
      <c r="H14" s="6"/>
      <c r="I14" s="28" t="str">
        <f t="shared" si="0"/>
        <v/>
      </c>
      <c r="J14" s="6"/>
      <c r="K14" s="6"/>
      <c r="L14" s="5"/>
      <c r="M14" s="6"/>
      <c r="N14" s="5"/>
      <c r="O14" s="6"/>
      <c r="P14" s="28" t="str">
        <f t="shared" si="1"/>
        <v>未割当</v>
      </c>
      <c r="Q14" s="29"/>
      <c r="R14" s="29"/>
      <c r="S14" s="28" t="str">
        <f t="shared" si="2"/>
        <v>ID一意</v>
      </c>
    </row>
    <row r="15" spans="1:19" ht="38" customHeight="1" x14ac:dyDescent="0.2">
      <c r="A15" s="4" t="s">
        <v>4769</v>
      </c>
      <c r="B15" s="4" t="s">
        <v>2029</v>
      </c>
      <c r="C15" s="28" t="str">
        <f>IF(B15="","",IF(COUNTIF('07_スキル辞書'!$A$4:$A$109,B15)&lt;&gt;1,"参照ID不正",IF(INDEX('07_スキル辞書'!$D$4:$D$109,MATCH(B15,'07_スキル辞書'!$A$4:$A$109,0))="","",INDEX('07_スキル辞書'!$D$4:$D$109,MATCH(B15,'07_スキル辞書'!$A$4:$A$109,0)))))</f>
        <v>事業投資・原価・価格の計画管理</v>
      </c>
      <c r="D15" s="6"/>
      <c r="E15" s="6"/>
      <c r="F15" s="6"/>
      <c r="G15" s="6"/>
      <c r="H15" s="6"/>
      <c r="I15" s="28" t="str">
        <f t="shared" si="0"/>
        <v/>
      </c>
      <c r="J15" s="6"/>
      <c r="K15" s="6"/>
      <c r="L15" s="5"/>
      <c r="M15" s="6"/>
      <c r="N15" s="5"/>
      <c r="O15" s="6"/>
      <c r="P15" s="28" t="str">
        <f t="shared" si="1"/>
        <v>未割当</v>
      </c>
      <c r="Q15" s="29"/>
      <c r="R15" s="29"/>
      <c r="S15" s="28" t="str">
        <f t="shared" si="2"/>
        <v>ID一意</v>
      </c>
    </row>
    <row r="16" spans="1:19" ht="38" customHeight="1" x14ac:dyDescent="0.2">
      <c r="A16" s="2" t="s">
        <v>4770</v>
      </c>
      <c r="B16" s="2" t="s">
        <v>2038</v>
      </c>
      <c r="C16" s="28" t="str">
        <f>IF(B16="","",IF(COUNTIF('07_スキル辞書'!$A$4:$A$109,B16)&lt;&gt;1,"参照ID不正",IF(INDEX('07_スキル辞書'!$D$4:$D$109,MATCH(B16,'07_スキル辞書'!$A$4:$A$109,0))="","",INDEX('07_スキル辞書'!$D$4:$D$109,MATCH(B16,'07_スキル辞書'!$A$4:$A$109,0)))))</f>
        <v>事業提案・投資ストーリーの構成</v>
      </c>
      <c r="D16" s="6"/>
      <c r="E16" s="6"/>
      <c r="F16" s="6"/>
      <c r="G16" s="6"/>
      <c r="H16" s="6"/>
      <c r="I16" s="28" t="str">
        <f t="shared" si="0"/>
        <v/>
      </c>
      <c r="J16" s="6"/>
      <c r="K16" s="6"/>
      <c r="L16" s="5"/>
      <c r="M16" s="6"/>
      <c r="N16" s="5"/>
      <c r="O16" s="6"/>
      <c r="P16" s="28" t="str">
        <f t="shared" si="1"/>
        <v>未割当</v>
      </c>
      <c r="Q16" s="29"/>
      <c r="R16" s="29"/>
      <c r="S16" s="28" t="str">
        <f t="shared" si="2"/>
        <v>ID一意</v>
      </c>
    </row>
    <row r="17" spans="1:19" ht="38" customHeight="1" x14ac:dyDescent="0.2">
      <c r="A17" s="4" t="s">
        <v>4771</v>
      </c>
      <c r="B17" s="4" t="s">
        <v>2046</v>
      </c>
      <c r="C17" s="28" t="str">
        <f>IF(B17="","",IF(COUNTIF('07_スキル辞書'!$A$4:$A$109,B17)&lt;&gt;1,"参照ID不正",IF(INDEX('07_スキル辞書'!$D$4:$D$109,MATCH(B17,'07_スキル辞書'!$A$4:$A$109,0))="","",INDEX('07_スキル辞書'!$D$4:$D$109,MATCH(B17,'07_スキル辞書'!$A$4:$A$109,0)))))</f>
        <v>外部契約・調達・ベンダー受入</v>
      </c>
      <c r="D17" s="6"/>
      <c r="E17" s="6"/>
      <c r="F17" s="6"/>
      <c r="G17" s="6"/>
      <c r="H17" s="6"/>
      <c r="I17" s="28" t="str">
        <f t="shared" si="0"/>
        <v/>
      </c>
      <c r="J17" s="6"/>
      <c r="K17" s="6"/>
      <c r="L17" s="5"/>
      <c r="M17" s="6"/>
      <c r="N17" s="5"/>
      <c r="O17" s="6"/>
      <c r="P17" s="28" t="str">
        <f t="shared" si="1"/>
        <v>未割当</v>
      </c>
      <c r="Q17" s="29"/>
      <c r="R17" s="29"/>
      <c r="S17" s="28" t="str">
        <f t="shared" si="2"/>
        <v>ID一意</v>
      </c>
    </row>
    <row r="18" spans="1:19" ht="38" customHeight="1" x14ac:dyDescent="0.2">
      <c r="A18" s="2" t="s">
        <v>4772</v>
      </c>
      <c r="B18" s="2" t="s">
        <v>2055</v>
      </c>
      <c r="C18" s="28" t="str">
        <f>IF(B18="","",IF(COUNTIF('07_スキル辞書'!$A$4:$A$109,B18)&lt;&gt;1,"参照ID不正",IF(INDEX('07_スキル辞書'!$D$4:$D$109,MATCH(B18,'07_スキル辞書'!$A$4:$A$109,0))="","",INDEX('07_スキル辞書'!$D$4:$D$109,MATCH(B18,'07_スキル辞書'!$A$4:$A$109,0)))))</f>
        <v>知的財産・ライセンスと生成物の権利処理</v>
      </c>
      <c r="D18" s="6"/>
      <c r="E18" s="6"/>
      <c r="F18" s="6"/>
      <c r="G18" s="6"/>
      <c r="H18" s="6"/>
      <c r="I18" s="28" t="str">
        <f t="shared" si="0"/>
        <v/>
      </c>
      <c r="J18" s="6"/>
      <c r="K18" s="6"/>
      <c r="L18" s="5"/>
      <c r="M18" s="6"/>
      <c r="N18" s="5"/>
      <c r="O18" s="6"/>
      <c r="P18" s="28" t="str">
        <f t="shared" si="1"/>
        <v>未割当</v>
      </c>
      <c r="Q18" s="29"/>
      <c r="R18" s="29"/>
      <c r="S18" s="28" t="str">
        <f t="shared" si="2"/>
        <v>ID一意</v>
      </c>
    </row>
    <row r="19" spans="1:19" ht="38" customHeight="1" x14ac:dyDescent="0.2">
      <c r="A19" s="4" t="s">
        <v>4773</v>
      </c>
      <c r="B19" s="4" t="s">
        <v>2064</v>
      </c>
      <c r="C19" s="28" t="str">
        <f>IF(B19="","",IF(COUNTIF('07_スキル辞書'!$A$4:$A$109,B19)&lt;&gt;1,"参照ID不正",IF(INDEX('07_スキル辞書'!$D$4:$D$109,MATCH(B19,'07_スキル辞書'!$A$4:$A$109,0))="","",INDEX('07_スキル辞書'!$D$4:$D$109,MATCH(B19,'07_スキル辞書'!$A$4:$A$109,0)))))</f>
        <v>プロジェクト計画・進捗・変更管理</v>
      </c>
      <c r="D19" s="6"/>
      <c r="E19" s="6"/>
      <c r="F19" s="6"/>
      <c r="G19" s="6"/>
      <c r="H19" s="6"/>
      <c r="I19" s="28" t="str">
        <f t="shared" si="0"/>
        <v/>
      </c>
      <c r="J19" s="6"/>
      <c r="K19" s="6"/>
      <c r="L19" s="5"/>
      <c r="M19" s="6"/>
      <c r="N19" s="5"/>
      <c r="O19" s="6"/>
      <c r="P19" s="28" t="str">
        <f t="shared" si="1"/>
        <v>未割当</v>
      </c>
      <c r="Q19" s="29"/>
      <c r="R19" s="29"/>
      <c r="S19" s="28" t="str">
        <f t="shared" si="2"/>
        <v>ID一意</v>
      </c>
    </row>
    <row r="20" spans="1:19" ht="38" customHeight="1" x14ac:dyDescent="0.2">
      <c r="A20" s="2" t="s">
        <v>4774</v>
      </c>
      <c r="B20" s="2" t="s">
        <v>2074</v>
      </c>
      <c r="C20" s="28" t="str">
        <f>IF(B20="","",IF(COUNTIF('07_スキル辞書'!$A$4:$A$109,B20)&lt;&gt;1,"参照ID不正",IF(INDEX('07_スキル辞書'!$D$4:$D$109,MATCH(B20,'07_スキル辞書'!$A$4:$A$109,0))="","",INDEX('07_スキル辞書'!$D$4:$D$109,MATCH(B20,'07_スキル辞書'!$A$4:$A$109,0)))))</f>
        <v>リスク管理（AI固有リスクを含む）</v>
      </c>
      <c r="D20" s="6"/>
      <c r="E20" s="6"/>
      <c r="F20" s="6"/>
      <c r="G20" s="6"/>
      <c r="H20" s="6"/>
      <c r="I20" s="28" t="str">
        <f t="shared" si="0"/>
        <v/>
      </c>
      <c r="J20" s="6"/>
      <c r="K20" s="6"/>
      <c r="L20" s="5"/>
      <c r="M20" s="6"/>
      <c r="N20" s="5"/>
      <c r="O20" s="6"/>
      <c r="P20" s="28" t="str">
        <f t="shared" si="1"/>
        <v>未割当</v>
      </c>
      <c r="Q20" s="29"/>
      <c r="R20" s="29"/>
      <c r="S20" s="28" t="str">
        <f t="shared" si="2"/>
        <v>ID一意</v>
      </c>
    </row>
    <row r="21" spans="1:19" ht="38" customHeight="1" x14ac:dyDescent="0.2">
      <c r="A21" s="4" t="s">
        <v>4775</v>
      </c>
      <c r="B21" s="4" t="s">
        <v>2083</v>
      </c>
      <c r="C21" s="28" t="str">
        <f>IF(B21="","",IF(COUNTIF('07_スキル辞書'!$A$4:$A$109,B21)&lt;&gt;1,"参照ID不正",IF(INDEX('07_スキル辞書'!$D$4:$D$109,MATCH(B21,'07_スキル辞書'!$A$4:$A$109,0))="","",INDEX('07_スキル辞書'!$D$4:$D$109,MATCH(B21,'07_スキル辞書'!$A$4:$A$109,0)))))</f>
        <v>方式・機能・配置・学習とRisk Tierの適用</v>
      </c>
      <c r="D21" s="6"/>
      <c r="E21" s="6"/>
      <c r="F21" s="6"/>
      <c r="G21" s="6"/>
      <c r="H21" s="6"/>
      <c r="I21" s="28" t="str">
        <f t="shared" si="0"/>
        <v/>
      </c>
      <c r="J21" s="6"/>
      <c r="K21" s="6"/>
      <c r="L21" s="5"/>
      <c r="M21" s="6"/>
      <c r="N21" s="5"/>
      <c r="O21" s="6"/>
      <c r="P21" s="28" t="str">
        <f t="shared" si="1"/>
        <v>未割当</v>
      </c>
      <c r="Q21" s="29"/>
      <c r="R21" s="29"/>
      <c r="S21" s="28" t="str">
        <f t="shared" si="2"/>
        <v>ID一意</v>
      </c>
    </row>
    <row r="22" spans="1:19" ht="38" customHeight="1" x14ac:dyDescent="0.2">
      <c r="A22" s="2" t="s">
        <v>4776</v>
      </c>
      <c r="B22" s="2" t="s">
        <v>2092</v>
      </c>
      <c r="C22" s="28" t="str">
        <f>IF(B22="","",IF(COUNTIF('07_スキル辞書'!$A$4:$A$109,B22)&lt;&gt;1,"参照ID不正",IF(INDEX('07_スキル辞書'!$D$4:$D$109,MATCH(B22,'07_スキル辞書'!$A$4:$A$109,0))="","",INDEX('07_スキル辞書'!$D$4:$D$109,MATCH(B22,'07_スキル辞書'!$A$4:$A$109,0)))))</f>
        <v>業務フロー分析とHITL設計</v>
      </c>
      <c r="D22" s="6"/>
      <c r="E22" s="6"/>
      <c r="F22" s="6"/>
      <c r="G22" s="6"/>
      <c r="H22" s="6"/>
      <c r="I22" s="28" t="str">
        <f t="shared" si="0"/>
        <v/>
      </c>
      <c r="J22" s="6"/>
      <c r="K22" s="6"/>
      <c r="L22" s="5"/>
      <c r="M22" s="6"/>
      <c r="N22" s="5"/>
      <c r="O22" s="6"/>
      <c r="P22" s="28" t="str">
        <f t="shared" si="1"/>
        <v>未割当</v>
      </c>
      <c r="Q22" s="29"/>
      <c r="R22" s="29"/>
      <c r="S22" s="28" t="str">
        <f t="shared" si="2"/>
        <v>ID一意</v>
      </c>
    </row>
    <row r="23" spans="1:19" ht="38" customHeight="1" x14ac:dyDescent="0.2">
      <c r="A23" s="4" t="s">
        <v>4777</v>
      </c>
      <c r="B23" s="4" t="s">
        <v>2102</v>
      </c>
      <c r="C23" s="28" t="str">
        <f>IF(B23="","",IF(COUNTIF('07_スキル辞書'!$A$4:$A$109,B23)&lt;&gt;1,"参照ID不正",IF(INDEX('07_スキル辞書'!$D$4:$D$109,MATCH(B23,'07_スキル辞書'!$A$4:$A$109,0))="","",INDEX('07_スキル辞書'!$D$4:$D$109,MATCH(B23,'07_スキル辞書'!$A$4:$A$109,0)))))</f>
        <v>ユーザーストーリーと受け入れ観点の定義</v>
      </c>
      <c r="D23" s="6"/>
      <c r="E23" s="6"/>
      <c r="F23" s="6"/>
      <c r="G23" s="6"/>
      <c r="H23" s="6"/>
      <c r="I23" s="28" t="str">
        <f t="shared" si="0"/>
        <v/>
      </c>
      <c r="J23" s="6"/>
      <c r="K23" s="6"/>
      <c r="L23" s="5"/>
      <c r="M23" s="6"/>
      <c r="N23" s="5"/>
      <c r="O23" s="6"/>
      <c r="P23" s="28" t="str">
        <f t="shared" si="1"/>
        <v>未割当</v>
      </c>
      <c r="Q23" s="29"/>
      <c r="R23" s="29"/>
      <c r="S23" s="28" t="str">
        <f t="shared" si="2"/>
        <v>ID一意</v>
      </c>
    </row>
    <row r="24" spans="1:19" ht="38" customHeight="1" x14ac:dyDescent="0.2">
      <c r="A24" s="2" t="s">
        <v>4778</v>
      </c>
      <c r="B24" s="2" t="s">
        <v>2110</v>
      </c>
      <c r="C24" s="28" t="str">
        <f>IF(B24="","",IF(COUNTIF('07_スキル辞書'!$A$4:$A$109,B24)&lt;&gt;1,"参照ID不正",IF(INDEX('07_スキル辞書'!$D$4:$D$109,MATCH(B24,'07_スキル辞書'!$A$4:$A$109,0))="","",INDEX('07_スキル辞書'!$D$4:$D$109,MATCH(B24,'07_スキル辞書'!$A$4:$A$109,0)))))</f>
        <v>ユーザビリティ・業務適合性評価</v>
      </c>
      <c r="D24" s="6"/>
      <c r="E24" s="6"/>
      <c r="F24" s="6"/>
      <c r="G24" s="6"/>
      <c r="H24" s="6"/>
      <c r="I24" s="28" t="str">
        <f t="shared" si="0"/>
        <v/>
      </c>
      <c r="J24" s="6"/>
      <c r="K24" s="6"/>
      <c r="L24" s="5"/>
      <c r="M24" s="6"/>
      <c r="N24" s="5"/>
      <c r="O24" s="6"/>
      <c r="P24" s="28" t="str">
        <f t="shared" si="1"/>
        <v>未割当</v>
      </c>
      <c r="Q24" s="29"/>
      <c r="R24" s="29"/>
      <c r="S24" s="28" t="str">
        <f t="shared" si="2"/>
        <v>ID一意</v>
      </c>
    </row>
    <row r="25" spans="1:19" ht="38" customHeight="1" x14ac:dyDescent="0.2">
      <c r="A25" s="4" t="s">
        <v>4779</v>
      </c>
      <c r="B25" s="4" t="s">
        <v>2119</v>
      </c>
      <c r="C25" s="28" t="str">
        <f>IF(B25="","",IF(COUNTIF('07_スキル辞書'!$A$4:$A$109,B25)&lt;&gt;1,"参照ID不正",IF(INDEX('07_スキル辞書'!$D$4:$D$109,MATCH(B25,'07_スキル辞書'!$A$4:$A$109,0))="","",INDEX('07_スキル辞書'!$D$4:$D$109,MATCH(B25,'07_スキル辞書'!$A$4:$A$109,0)))))</f>
        <v>業務定着支援とチェンジマネジメント</v>
      </c>
      <c r="D25" s="6"/>
      <c r="E25" s="6"/>
      <c r="F25" s="6"/>
      <c r="G25" s="6"/>
      <c r="H25" s="6"/>
      <c r="I25" s="28" t="str">
        <f t="shared" si="0"/>
        <v/>
      </c>
      <c r="J25" s="6"/>
      <c r="K25" s="6"/>
      <c r="L25" s="5"/>
      <c r="M25" s="6"/>
      <c r="N25" s="5"/>
      <c r="O25" s="6"/>
      <c r="P25" s="28" t="str">
        <f t="shared" si="1"/>
        <v>未割当</v>
      </c>
      <c r="Q25" s="29"/>
      <c r="R25" s="29"/>
      <c r="S25" s="28" t="str">
        <f t="shared" si="2"/>
        <v>ID一意</v>
      </c>
    </row>
    <row r="26" spans="1:19" ht="38" customHeight="1" x14ac:dyDescent="0.2">
      <c r="A26" s="2" t="s">
        <v>4780</v>
      </c>
      <c r="B26" s="2" t="s">
        <v>2128</v>
      </c>
      <c r="C26" s="28" t="str">
        <f>IF(B26="","",IF(COUNTIF('07_スキル辞書'!$A$4:$A$109,B26)&lt;&gt;1,"参照ID不正",IF(INDEX('07_スキル辞書'!$D$4:$D$109,MATCH(B26,'07_スキル辞書'!$A$4:$A$109,0))="","",INDEX('07_スキル辞書'!$D$4:$D$109,MATCH(B26,'07_スキル辞書'!$A$4:$A$109,0)))))</f>
        <v>SLO/SLA設計とサービスレベル管理</v>
      </c>
      <c r="D26" s="6"/>
      <c r="E26" s="6"/>
      <c r="F26" s="6"/>
      <c r="G26" s="6"/>
      <c r="H26" s="6"/>
      <c r="I26" s="28" t="str">
        <f t="shared" si="0"/>
        <v/>
      </c>
      <c r="J26" s="6"/>
      <c r="K26" s="6"/>
      <c r="L26" s="5"/>
      <c r="M26" s="6"/>
      <c r="N26" s="5"/>
      <c r="O26" s="6"/>
      <c r="P26" s="28" t="str">
        <f t="shared" si="1"/>
        <v>未割当</v>
      </c>
      <c r="Q26" s="29"/>
      <c r="R26" s="29"/>
      <c r="S26" s="28" t="str">
        <f t="shared" si="2"/>
        <v>ID一意</v>
      </c>
    </row>
    <row r="27" spans="1:19" ht="38" customHeight="1" x14ac:dyDescent="0.2">
      <c r="A27" s="4" t="s">
        <v>4781</v>
      </c>
      <c r="B27" s="4" t="s">
        <v>2138</v>
      </c>
      <c r="C27" s="28" t="str">
        <f>IF(B27="","",IF(COUNTIF('07_スキル辞書'!$A$4:$A$109,B27)&lt;&gt;1,"参照ID不正",IF(INDEX('07_スキル辞書'!$D$4:$D$109,MATCH(B27,'07_スキル辞書'!$A$4:$A$109,0))="","",INDEX('07_スキル辞書'!$D$4:$D$109,MATCH(B27,'07_スキル辞書'!$A$4:$A$109,0)))))</f>
        <v>Pythonとデータ処理プログラミング</v>
      </c>
      <c r="D27" s="6"/>
      <c r="E27" s="6"/>
      <c r="F27" s="6"/>
      <c r="G27" s="6"/>
      <c r="H27" s="6"/>
      <c r="I27" s="28" t="str">
        <f t="shared" si="0"/>
        <v/>
      </c>
      <c r="J27" s="6"/>
      <c r="K27" s="6"/>
      <c r="L27" s="5"/>
      <c r="M27" s="6"/>
      <c r="N27" s="5"/>
      <c r="O27" s="6"/>
      <c r="P27" s="28" t="str">
        <f t="shared" si="1"/>
        <v>未割当</v>
      </c>
      <c r="Q27" s="29"/>
      <c r="R27" s="29"/>
      <c r="S27" s="28" t="str">
        <f t="shared" si="2"/>
        <v>ID一意</v>
      </c>
    </row>
    <row r="28" spans="1:19" ht="38" customHeight="1" x14ac:dyDescent="0.2">
      <c r="A28" s="2" t="s">
        <v>4782</v>
      </c>
      <c r="B28" s="2" t="s">
        <v>2147</v>
      </c>
      <c r="C28" s="28" t="str">
        <f>IF(B28="","",IF(COUNTIF('07_スキル辞書'!$A$4:$A$109,B28)&lt;&gt;1,"参照ID不正",IF(INDEX('07_スキル辞書'!$D$4:$D$109,MATCH(B28,'07_スキル辞書'!$A$4:$A$109,0))="","",INDEX('07_スキル辞書'!$D$4:$D$109,MATCH(B28,'07_スキル辞書'!$A$4:$A$109,0)))))</f>
        <v>SQLとデータモデリング</v>
      </c>
      <c r="D28" s="6"/>
      <c r="E28" s="6"/>
      <c r="F28" s="6"/>
      <c r="G28" s="6"/>
      <c r="H28" s="6"/>
      <c r="I28" s="28" t="str">
        <f t="shared" si="0"/>
        <v/>
      </c>
      <c r="J28" s="6"/>
      <c r="K28" s="6"/>
      <c r="L28" s="5"/>
      <c r="M28" s="6"/>
      <c r="N28" s="5"/>
      <c r="O28" s="6"/>
      <c r="P28" s="28" t="str">
        <f t="shared" si="1"/>
        <v>未割当</v>
      </c>
      <c r="Q28" s="29"/>
      <c r="R28" s="29"/>
      <c r="S28" s="28" t="str">
        <f t="shared" si="2"/>
        <v>ID一意</v>
      </c>
    </row>
    <row r="29" spans="1:19" ht="38" customHeight="1" x14ac:dyDescent="0.2">
      <c r="A29" s="4" t="s">
        <v>4783</v>
      </c>
      <c r="B29" s="4" t="s">
        <v>2156</v>
      </c>
      <c r="C29" s="28" t="str">
        <f>IF(B29="","",IF(COUNTIF('07_スキル辞書'!$A$4:$A$109,B29)&lt;&gt;1,"参照ID不正",IF(INDEX('07_スキル辞書'!$D$4:$D$109,MATCH(B29,'07_スキル辞書'!$A$4:$A$109,0))="","",INDEX('07_スキル辞書'!$D$4:$D$109,MATCH(B29,'07_スキル辞書'!$A$4:$A$109,0)))))</f>
        <v>クラウド基盤の基礎と技術スタック選定</v>
      </c>
      <c r="D29" s="6"/>
      <c r="E29" s="6"/>
      <c r="F29" s="6"/>
      <c r="G29" s="6"/>
      <c r="H29" s="6"/>
      <c r="I29" s="28" t="str">
        <f t="shared" si="0"/>
        <v/>
      </c>
      <c r="J29" s="6"/>
      <c r="K29" s="6"/>
      <c r="L29" s="5"/>
      <c r="M29" s="6"/>
      <c r="N29" s="5"/>
      <c r="O29" s="6"/>
      <c r="P29" s="28" t="str">
        <f t="shared" si="1"/>
        <v>未割当</v>
      </c>
      <c r="Q29" s="29"/>
      <c r="R29" s="29"/>
      <c r="S29" s="28" t="str">
        <f t="shared" si="2"/>
        <v>ID一意</v>
      </c>
    </row>
    <row r="30" spans="1:19" ht="38" customHeight="1" x14ac:dyDescent="0.2">
      <c r="A30" s="2" t="s">
        <v>4784</v>
      </c>
      <c r="B30" s="2" t="s">
        <v>2164</v>
      </c>
      <c r="C30" s="28" t="str">
        <f>IF(B30="","",IF(COUNTIF('07_スキル辞書'!$A$4:$A$109,B30)&lt;&gt;1,"参照ID不正",IF(INDEX('07_スキル辞書'!$D$4:$D$109,MATCH(B30,'07_スキル辞書'!$A$4:$A$109,0))="","",INDEX('07_スキル辞書'!$D$4:$D$109,MATCH(B30,'07_スキル辞書'!$A$4:$A$109,0)))))</f>
        <v>コード・データ・モデルのバージョン管理と再現性確保</v>
      </c>
      <c r="D30" s="6"/>
      <c r="E30" s="6"/>
      <c r="F30" s="6"/>
      <c r="G30" s="6"/>
      <c r="H30" s="6"/>
      <c r="I30" s="28" t="str">
        <f t="shared" si="0"/>
        <v/>
      </c>
      <c r="J30" s="6"/>
      <c r="K30" s="6"/>
      <c r="L30" s="5"/>
      <c r="M30" s="6"/>
      <c r="N30" s="5"/>
      <c r="O30" s="6"/>
      <c r="P30" s="28" t="str">
        <f t="shared" si="1"/>
        <v>未割当</v>
      </c>
      <c r="Q30" s="29"/>
      <c r="R30" s="29"/>
      <c r="S30" s="28" t="str">
        <f t="shared" si="2"/>
        <v>ID一意</v>
      </c>
    </row>
    <row r="31" spans="1:19" ht="38" customHeight="1" x14ac:dyDescent="0.2">
      <c r="A31" s="4" t="s">
        <v>4785</v>
      </c>
      <c r="B31" s="4" t="s">
        <v>2173</v>
      </c>
      <c r="C31" s="28" t="str">
        <f>IF(B31="","",IF(COUNTIF('07_スキル辞書'!$A$4:$A$109,B31)&lt;&gt;1,"参照ID不正",IF(INDEX('07_スキル辞書'!$D$4:$D$109,MATCH(B31,'07_スキル辞書'!$A$4:$A$109,0))="","",INDEX('07_スキル辞書'!$D$4:$D$109,MATCH(B31,'07_スキル辞書'!$A$4:$A$109,0)))))</f>
        <v>コーディングエージェントの活用</v>
      </c>
      <c r="D31" s="6"/>
      <c r="E31" s="6"/>
      <c r="F31" s="6"/>
      <c r="G31" s="6"/>
      <c r="H31" s="6"/>
      <c r="I31" s="28" t="str">
        <f t="shared" si="0"/>
        <v/>
      </c>
      <c r="J31" s="6"/>
      <c r="K31" s="6"/>
      <c r="L31" s="5"/>
      <c r="M31" s="6"/>
      <c r="N31" s="5"/>
      <c r="O31" s="6"/>
      <c r="P31" s="28" t="str">
        <f t="shared" si="1"/>
        <v>未割当</v>
      </c>
      <c r="Q31" s="29"/>
      <c r="R31" s="29"/>
      <c r="S31" s="28" t="str">
        <f t="shared" si="2"/>
        <v>ID一意</v>
      </c>
    </row>
    <row r="32" spans="1:19" ht="38" customHeight="1" x14ac:dyDescent="0.2">
      <c r="A32" s="2" t="s">
        <v>4786</v>
      </c>
      <c r="B32" s="2" t="s">
        <v>2182</v>
      </c>
      <c r="C32" s="28" t="str">
        <f>IF(B32="","",IF(COUNTIF('07_スキル辞書'!$A$4:$A$109,B32)&lt;&gt;1,"参照ID不正",IF(INDEX('07_スキル辞書'!$D$4:$D$109,MATCH(B32,'07_スキル辞書'!$A$4:$A$109,0))="","",INDEX('07_スキル辞書'!$D$4:$D$109,MATCH(B32,'07_スキル辞書'!$A$4:$A$109,0)))))</f>
        <v>非機能要件の定義と性能設計</v>
      </c>
      <c r="D32" s="6"/>
      <c r="E32" s="6"/>
      <c r="F32" s="6"/>
      <c r="G32" s="6"/>
      <c r="H32" s="6"/>
      <c r="I32" s="28" t="str">
        <f t="shared" si="0"/>
        <v/>
      </c>
      <c r="J32" s="6"/>
      <c r="K32" s="6"/>
      <c r="L32" s="5"/>
      <c r="M32" s="6"/>
      <c r="N32" s="5"/>
      <c r="O32" s="6"/>
      <c r="P32" s="28" t="str">
        <f t="shared" si="1"/>
        <v>未割当</v>
      </c>
      <c r="Q32" s="29"/>
      <c r="R32" s="29"/>
      <c r="S32" s="28" t="str">
        <f t="shared" si="2"/>
        <v>ID一意</v>
      </c>
    </row>
    <row r="33" spans="1:19" ht="38" customHeight="1" x14ac:dyDescent="0.2">
      <c r="A33" s="4" t="s">
        <v>4787</v>
      </c>
      <c r="B33" s="4" t="s">
        <v>2192</v>
      </c>
      <c r="C33" s="28" t="str">
        <f>IF(B33="","",IF(COUNTIF('07_スキル辞書'!$A$4:$A$109,B33)&lt;&gt;1,"参照ID不正",IF(INDEX('07_スキル辞書'!$D$4:$D$109,MATCH(B33,'07_スキル辞書'!$A$4:$A$109,0))="","",INDEX('07_スキル辞書'!$D$4:$D$109,MATCH(B33,'07_スキル辞書'!$A$4:$A$109,0)))))</f>
        <v>システムアーキテクチャ設計</v>
      </c>
      <c r="D33" s="6"/>
      <c r="E33" s="6"/>
      <c r="F33" s="6"/>
      <c r="G33" s="6"/>
      <c r="H33" s="6"/>
      <c r="I33" s="28" t="str">
        <f t="shared" si="0"/>
        <v/>
      </c>
      <c r="J33" s="6"/>
      <c r="K33" s="6"/>
      <c r="L33" s="5"/>
      <c r="M33" s="6"/>
      <c r="N33" s="5"/>
      <c r="O33" s="6"/>
      <c r="P33" s="28" t="str">
        <f t="shared" si="1"/>
        <v>未割当</v>
      </c>
      <c r="Q33" s="29"/>
      <c r="R33" s="29"/>
      <c r="S33" s="28" t="str">
        <f t="shared" si="2"/>
        <v>ID一意</v>
      </c>
    </row>
    <row r="34" spans="1:19" ht="38" customHeight="1" x14ac:dyDescent="0.2">
      <c r="A34" s="2" t="s">
        <v>4788</v>
      </c>
      <c r="B34" s="2" t="s">
        <v>2201</v>
      </c>
      <c r="C34" s="28" t="str">
        <f>IF(B34="","",IF(COUNTIF('07_スキル辞書'!$A$4:$A$109,B34)&lt;&gt;1,"参照ID不正",IF(INDEX('07_スキル辞書'!$D$4:$D$109,MATCH(B34,'07_スキル辞書'!$A$4:$A$109,0))="","",INDEX('07_スキル辞書'!$D$4:$D$109,MATCH(B34,'07_スキル辞書'!$A$4:$A$109,0)))))</f>
        <v>データアーキテクチャとパイプライン設計</v>
      </c>
      <c r="D34" s="6"/>
      <c r="E34" s="6"/>
      <c r="F34" s="6"/>
      <c r="G34" s="6"/>
      <c r="H34" s="6"/>
      <c r="I34" s="28" t="str">
        <f t="shared" si="0"/>
        <v/>
      </c>
      <c r="J34" s="6"/>
      <c r="K34" s="6"/>
      <c r="L34" s="5"/>
      <c r="M34" s="6"/>
      <c r="N34" s="5"/>
      <c r="O34" s="6"/>
      <c r="P34" s="28" t="str">
        <f t="shared" si="1"/>
        <v>未割当</v>
      </c>
      <c r="Q34" s="29"/>
      <c r="R34" s="29"/>
      <c r="S34" s="28" t="str">
        <f t="shared" si="2"/>
        <v>ID一意</v>
      </c>
    </row>
    <row r="35" spans="1:19" ht="38" customHeight="1" x14ac:dyDescent="0.2">
      <c r="A35" s="4" t="s">
        <v>4789</v>
      </c>
      <c r="B35" s="4" t="s">
        <v>2210</v>
      </c>
      <c r="C35" s="28" t="str">
        <f>IF(B35="","",IF(COUNTIF('07_スキル辞書'!$A$4:$A$109,B35)&lt;&gt;1,"参照ID不正",IF(INDEX('07_スキル辞書'!$D$4:$D$109,MATCH(B35,'07_スキル辞書'!$A$4:$A$109,0))="","",INDEX('07_スキル辞書'!$D$4:$D$109,MATCH(B35,'07_スキル辞書'!$A$4:$A$109,0)))))</f>
        <v>UI/UX設計（AI出力の提示とHITL）</v>
      </c>
      <c r="D35" s="6"/>
      <c r="E35" s="6"/>
      <c r="F35" s="6"/>
      <c r="G35" s="6"/>
      <c r="H35" s="6"/>
      <c r="I35" s="28" t="str">
        <f t="shared" si="0"/>
        <v/>
      </c>
      <c r="J35" s="6"/>
      <c r="K35" s="6"/>
      <c r="L35" s="5"/>
      <c r="M35" s="6"/>
      <c r="N35" s="5"/>
      <c r="O35" s="6"/>
      <c r="P35" s="28" t="str">
        <f t="shared" si="1"/>
        <v>未割当</v>
      </c>
      <c r="Q35" s="29"/>
      <c r="R35" s="29"/>
      <c r="S35" s="28" t="str">
        <f t="shared" si="2"/>
        <v>ID一意</v>
      </c>
    </row>
    <row r="36" spans="1:19" ht="38" customHeight="1" x14ac:dyDescent="0.2">
      <c r="A36" s="2" t="s">
        <v>4790</v>
      </c>
      <c r="B36" s="2" t="s">
        <v>2219</v>
      </c>
      <c r="C36" s="28" t="str">
        <f>IF(B36="","",IF(COUNTIF('07_スキル辞書'!$A$4:$A$109,B36)&lt;&gt;1,"参照ID不正",IF(INDEX('07_スキル辞書'!$D$4:$D$109,MATCH(B36,'07_スキル辞書'!$A$4:$A$109,0))="","",INDEX('07_スキル辞書'!$D$4:$D$109,MATCH(B36,'07_スキル辞書'!$A$4:$A$109,0)))))</f>
        <v>検証環境構築とIaC</v>
      </c>
      <c r="D36" s="6"/>
      <c r="E36" s="6"/>
      <c r="F36" s="6"/>
      <c r="G36" s="6"/>
      <c r="H36" s="6"/>
      <c r="I36" s="28" t="str">
        <f t="shared" ref="I36:I67" si="3">IF(OR(COUNT(G36:H36)&lt;2,IFERROR(MIN(G36:H36)&lt;0,TRUE),IFERROR(MAX(G36:H36)&gt;3,TRUE),IFERROR(MOD(G36,1)&lt;&gt;0,TRUE),IFERROR(MOD(H36,1)&lt;&gt;0,TRUE)),"",MAX(0,G36-H36))</f>
        <v/>
      </c>
      <c r="J36" s="6"/>
      <c r="K36" s="6"/>
      <c r="L36" s="5"/>
      <c r="M36" s="6"/>
      <c r="N36" s="5"/>
      <c r="O36" s="6"/>
      <c r="P36" s="28" t="str">
        <f t="shared" ref="P36:P67" si="4">IF(AND(D36="",Q36=""),"未割当",IF(OR(COUNTIF(SkillIDs,B36)&lt;&gt;1,COUNTIF(RoleIDs,E36)&lt;&gt;1,S36&lt;&gt;"ID一意"),"Skill／Role／記録ID不正",IF(OR(COUNT(G36:H36)&lt;2,IFERROR(MIN(G36:H36)&lt;0,TRUE),IFERROR(MAX(G36:H36)&gt;3,TRUE),IFERROR(MOD(G36,1)&lt;&gt;0,TRUE),IFERROR(MOD(H36,1)&lt;&gt;0,TRUE)),"習熟度不正",IF(OR(OR(D36="",F36="",J36="",K36="",Q36="",R36=""),NOT(ISNUMBER(L36))),"評価証拠不足",IF(OR(AND(L36&lt;&gt;"",OR(NOT(ISNUMBER(L36)),IFERROR(L36&lt;1,TRUE),IFERROR(INT(L36)&gt;INT(AsOfDate),TRUE)))),"評価日不正",IF(OR(Q36=R36,D36=K36),"自己申告・第三者確認前","第三者評価記録あり"))))))</f>
        <v>未割当</v>
      </c>
      <c r="Q36" s="29"/>
      <c r="R36" s="29"/>
      <c r="S36" s="28" t="str">
        <f t="shared" ref="S36:S67" si="5">IF(A36="","",IF(COUNTIF($A$4:$A$203,A36)&lt;&gt;1,"評価記録ID重複","ID一意"))</f>
        <v>ID一意</v>
      </c>
    </row>
    <row r="37" spans="1:19" ht="38" customHeight="1" x14ac:dyDescent="0.2">
      <c r="A37" s="4" t="s">
        <v>4791</v>
      </c>
      <c r="B37" s="4" t="s">
        <v>2229</v>
      </c>
      <c r="C37" s="28" t="str">
        <f>IF(B37="","",IF(COUNTIF('07_スキル辞書'!$A$4:$A$109,B37)&lt;&gt;1,"参照ID不正",IF(INDEX('07_スキル辞書'!$D$4:$D$109,MATCH(B37,'07_スキル辞書'!$A$4:$A$109,0))="","",INDEX('07_スキル辞書'!$D$4:$D$109,MATCH(B37,'07_スキル辞書'!$A$4:$A$109,0)))))</f>
        <v>CI/CD・MLOps/LLMOpsパイプライン構築</v>
      </c>
      <c r="D37" s="6"/>
      <c r="E37" s="6"/>
      <c r="F37" s="6"/>
      <c r="G37" s="6"/>
      <c r="H37" s="6"/>
      <c r="I37" s="28" t="str">
        <f t="shared" si="3"/>
        <v/>
      </c>
      <c r="J37" s="6"/>
      <c r="K37" s="6"/>
      <c r="L37" s="5"/>
      <c r="M37" s="6"/>
      <c r="N37" s="5"/>
      <c r="O37" s="6"/>
      <c r="P37" s="28" t="str">
        <f t="shared" si="4"/>
        <v>未割当</v>
      </c>
      <c r="Q37" s="29"/>
      <c r="R37" s="29"/>
      <c r="S37" s="28" t="str">
        <f t="shared" si="5"/>
        <v>ID一意</v>
      </c>
    </row>
    <row r="38" spans="1:19" ht="38" customHeight="1" x14ac:dyDescent="0.2">
      <c r="A38" s="2" t="s">
        <v>4792</v>
      </c>
      <c r="B38" s="2" t="s">
        <v>2237</v>
      </c>
      <c r="C38" s="28" t="str">
        <f>IF(B38="","",IF(COUNTIF('07_スキル辞書'!$A$4:$A$109,B38)&lt;&gt;1,"参照ID不正",IF(INDEX('07_スキル辞書'!$D$4:$D$109,MATCH(B38,'07_スキル辞書'!$A$4:$A$109,0))="","",INDEX('07_スキル辞書'!$D$4:$D$109,MATCH(B38,'07_スキル辞書'!$A$4:$A$109,0)))))</f>
        <v>モデルサービングとコンテナ化</v>
      </c>
      <c r="D38" s="6"/>
      <c r="E38" s="6"/>
      <c r="F38" s="6"/>
      <c r="G38" s="6"/>
      <c r="H38" s="6"/>
      <c r="I38" s="28" t="str">
        <f t="shared" si="3"/>
        <v/>
      </c>
      <c r="J38" s="6"/>
      <c r="K38" s="6"/>
      <c r="L38" s="5"/>
      <c r="M38" s="6"/>
      <c r="N38" s="5"/>
      <c r="O38" s="6"/>
      <c r="P38" s="28" t="str">
        <f t="shared" si="4"/>
        <v>未割当</v>
      </c>
      <c r="Q38" s="29"/>
      <c r="R38" s="29"/>
      <c r="S38" s="28" t="str">
        <f t="shared" si="5"/>
        <v>ID一意</v>
      </c>
    </row>
    <row r="39" spans="1:19" ht="38" customHeight="1" x14ac:dyDescent="0.2">
      <c r="A39" s="4" t="s">
        <v>4793</v>
      </c>
      <c r="B39" s="4" t="s">
        <v>2246</v>
      </c>
      <c r="C39" s="28" t="str">
        <f>IF(B39="","",IF(COUNTIF('07_スキル辞書'!$A$4:$A$109,B39)&lt;&gt;1,"参照ID不正",IF(INDEX('07_スキル辞書'!$D$4:$D$109,MATCH(B39,'07_スキル辞書'!$A$4:$A$109,0))="","",INDEX('07_スキル辞書'!$D$4:$D$109,MATCH(B39,'07_スキル辞書'!$A$4:$A$109,0)))))</f>
        <v>データベース構築とバックアップ・リストア</v>
      </c>
      <c r="D39" s="6"/>
      <c r="E39" s="6"/>
      <c r="F39" s="6"/>
      <c r="G39" s="6"/>
      <c r="H39" s="6"/>
      <c r="I39" s="28" t="str">
        <f t="shared" si="3"/>
        <v/>
      </c>
      <c r="J39" s="6"/>
      <c r="K39" s="6"/>
      <c r="L39" s="5"/>
      <c r="M39" s="6"/>
      <c r="N39" s="5"/>
      <c r="O39" s="6"/>
      <c r="P39" s="28" t="str">
        <f t="shared" si="4"/>
        <v>未割当</v>
      </c>
      <c r="Q39" s="29"/>
      <c r="R39" s="29"/>
      <c r="S39" s="28" t="str">
        <f t="shared" si="5"/>
        <v>ID一意</v>
      </c>
    </row>
    <row r="40" spans="1:19" ht="38" customHeight="1" x14ac:dyDescent="0.2">
      <c r="A40" s="2" t="s">
        <v>4794</v>
      </c>
      <c r="B40" s="2" t="s">
        <v>2255</v>
      </c>
      <c r="C40" s="28" t="str">
        <f>IF(B40="","",IF(COUNTIF('07_スキル辞書'!$A$4:$A$109,B40)&lt;&gt;1,"参照ID不正",IF(INDEX('07_スキル辞書'!$D$4:$D$109,MATCH(B40,'07_スキル辞書'!$A$4:$A$109,0))="","",INDEX('07_スキル辞書'!$D$4:$D$109,MATCH(B40,'07_スキル辞書'!$A$4:$A$109,0)))))</f>
        <v>API設計・実装と認証認可</v>
      </c>
      <c r="D40" s="6"/>
      <c r="E40" s="6"/>
      <c r="F40" s="6"/>
      <c r="G40" s="6"/>
      <c r="H40" s="6"/>
      <c r="I40" s="28" t="str">
        <f t="shared" si="3"/>
        <v/>
      </c>
      <c r="J40" s="6"/>
      <c r="K40" s="6"/>
      <c r="L40" s="5"/>
      <c r="M40" s="6"/>
      <c r="N40" s="5"/>
      <c r="O40" s="6"/>
      <c r="P40" s="28" t="str">
        <f t="shared" si="4"/>
        <v>未割当</v>
      </c>
      <c r="Q40" s="29"/>
      <c r="R40" s="29"/>
      <c r="S40" s="28" t="str">
        <f t="shared" si="5"/>
        <v>ID一意</v>
      </c>
    </row>
    <row r="41" spans="1:19" ht="38" customHeight="1" x14ac:dyDescent="0.2">
      <c r="A41" s="4" t="s">
        <v>4795</v>
      </c>
      <c r="B41" s="4" t="s">
        <v>2265</v>
      </c>
      <c r="C41" s="28" t="str">
        <f>IF(B41="","",IF(COUNTIF('07_スキル辞書'!$A$4:$A$109,B41)&lt;&gt;1,"参照ID不正",IF(INDEX('07_スキル辞書'!$D$4:$D$109,MATCH(B41,'07_スキル辞書'!$A$4:$A$109,0))="","",INDEX('07_スキル辞書'!$D$4:$D$109,MATCH(B41,'07_スキル辞書'!$A$4:$A$109,0)))))</f>
        <v>LLMアプリケーション層の実装</v>
      </c>
      <c r="D41" s="6"/>
      <c r="E41" s="6"/>
      <c r="F41" s="6"/>
      <c r="G41" s="6"/>
      <c r="H41" s="6"/>
      <c r="I41" s="28" t="str">
        <f t="shared" si="3"/>
        <v/>
      </c>
      <c r="J41" s="6"/>
      <c r="K41" s="6"/>
      <c r="L41" s="5"/>
      <c r="M41" s="6"/>
      <c r="N41" s="5"/>
      <c r="O41" s="6"/>
      <c r="P41" s="28" t="str">
        <f t="shared" si="4"/>
        <v>未割当</v>
      </c>
      <c r="Q41" s="29"/>
      <c r="R41" s="29"/>
      <c r="S41" s="28" t="str">
        <f t="shared" si="5"/>
        <v>ID一意</v>
      </c>
    </row>
    <row r="42" spans="1:19" ht="38" customHeight="1" x14ac:dyDescent="0.2">
      <c r="A42" s="2" t="s">
        <v>4796</v>
      </c>
      <c r="B42" s="2" t="s">
        <v>2273</v>
      </c>
      <c r="C42" s="28" t="str">
        <f>IF(B42="","",IF(COUNTIF('07_スキル辞書'!$A$4:$A$109,B42)&lt;&gt;1,"参照ID不正",IF(INDEX('07_スキル辞書'!$D$4:$D$109,MATCH(B42,'07_スキル辞書'!$A$4:$A$109,0))="","",INDEX('07_スキル辞書'!$D$4:$D$109,MATCH(B42,'07_スキル辞書'!$A$4:$A$109,0)))))</f>
        <v>AI機能の統合とフォールバック設計</v>
      </c>
      <c r="D42" s="6"/>
      <c r="E42" s="6"/>
      <c r="F42" s="6"/>
      <c r="G42" s="6"/>
      <c r="H42" s="6"/>
      <c r="I42" s="28" t="str">
        <f t="shared" si="3"/>
        <v/>
      </c>
      <c r="J42" s="6"/>
      <c r="K42" s="6"/>
      <c r="L42" s="5"/>
      <c r="M42" s="6"/>
      <c r="N42" s="5"/>
      <c r="O42" s="6"/>
      <c r="P42" s="28" t="str">
        <f t="shared" si="4"/>
        <v>未割当</v>
      </c>
      <c r="Q42" s="29"/>
      <c r="R42" s="29"/>
      <c r="S42" s="28" t="str">
        <f t="shared" si="5"/>
        <v>ID一意</v>
      </c>
    </row>
    <row r="43" spans="1:19" ht="38" customHeight="1" x14ac:dyDescent="0.2">
      <c r="A43" s="4" t="s">
        <v>4797</v>
      </c>
      <c r="B43" s="4" t="s">
        <v>2282</v>
      </c>
      <c r="C43" s="28" t="str">
        <f>IF(B43="","",IF(COUNTIF('07_スキル辞書'!$A$4:$A$109,B43)&lt;&gt;1,"参照ID不正",IF(INDEX('07_スキル辞書'!$D$4:$D$109,MATCH(B43,'07_スキル辞書'!$A$4:$A$109,0))="","",INDEX('07_スキル辞書'!$D$4:$D$109,MATCH(B43,'07_スキル辞書'!$A$4:$A$109,0)))))</f>
        <v>フロントエンド実装</v>
      </c>
      <c r="D43" s="6"/>
      <c r="E43" s="6"/>
      <c r="F43" s="6"/>
      <c r="G43" s="6"/>
      <c r="H43" s="6"/>
      <c r="I43" s="28" t="str">
        <f t="shared" si="3"/>
        <v/>
      </c>
      <c r="J43" s="6"/>
      <c r="K43" s="6"/>
      <c r="L43" s="5"/>
      <c r="M43" s="6"/>
      <c r="N43" s="5"/>
      <c r="O43" s="6"/>
      <c r="P43" s="28" t="str">
        <f t="shared" si="4"/>
        <v>未割当</v>
      </c>
      <c r="Q43" s="29"/>
      <c r="R43" s="29"/>
      <c r="S43" s="28" t="str">
        <f t="shared" si="5"/>
        <v>ID一意</v>
      </c>
    </row>
    <row r="44" spans="1:19" ht="38" customHeight="1" x14ac:dyDescent="0.2">
      <c r="A44" s="2" t="s">
        <v>4798</v>
      </c>
      <c r="B44" s="2" t="s">
        <v>2290</v>
      </c>
      <c r="C44" s="28" t="str">
        <f>IF(B44="","",IF(COUNTIF('07_スキル辞書'!$A$4:$A$109,B44)&lt;&gt;1,"参照ID不正",IF(INDEX('07_スキル辞書'!$D$4:$D$109,MATCH(B44,'07_スキル辞書'!$A$4:$A$109,0))="","",INDEX('07_スキル辞書'!$D$4:$D$109,MATCH(B44,'07_スキル辞書'!$A$4:$A$109,0)))))</f>
        <v>監査ログ・意思決定ログの設計と実装</v>
      </c>
      <c r="D44" s="6"/>
      <c r="E44" s="6"/>
      <c r="F44" s="6"/>
      <c r="G44" s="6"/>
      <c r="H44" s="6"/>
      <c r="I44" s="28" t="str">
        <f t="shared" si="3"/>
        <v/>
      </c>
      <c r="J44" s="6"/>
      <c r="K44" s="6"/>
      <c r="L44" s="5"/>
      <c r="M44" s="6"/>
      <c r="N44" s="5"/>
      <c r="O44" s="6"/>
      <c r="P44" s="28" t="str">
        <f t="shared" si="4"/>
        <v>未割当</v>
      </c>
      <c r="Q44" s="29"/>
      <c r="R44" s="29"/>
      <c r="S44" s="28" t="str">
        <f t="shared" si="5"/>
        <v>ID一意</v>
      </c>
    </row>
    <row r="45" spans="1:19" ht="38" customHeight="1" x14ac:dyDescent="0.2">
      <c r="A45" s="4" t="s">
        <v>4799</v>
      </c>
      <c r="B45" s="4" t="s">
        <v>2299</v>
      </c>
      <c r="C45" s="28" t="str">
        <f>IF(B45="","",IF(COUNTIF('07_スキル辞書'!$A$4:$A$109,B45)&lt;&gt;1,"参照ID不正",IF(INDEX('07_スキル辞書'!$D$4:$D$109,MATCH(B45,'07_スキル辞書'!$A$4:$A$109,0))="","",INDEX('07_スキル辞書'!$D$4:$D$109,MATCH(B45,'07_スキル辞書'!$A$4:$A$109,0)))))</f>
        <v>テスト設計と自動テスト</v>
      </c>
      <c r="D45" s="6"/>
      <c r="E45" s="6"/>
      <c r="F45" s="6"/>
      <c r="G45" s="6"/>
      <c r="H45" s="6"/>
      <c r="I45" s="28" t="str">
        <f t="shared" si="3"/>
        <v/>
      </c>
      <c r="J45" s="6"/>
      <c r="K45" s="6"/>
      <c r="L45" s="5"/>
      <c r="M45" s="6"/>
      <c r="N45" s="5"/>
      <c r="O45" s="6"/>
      <c r="P45" s="28" t="str">
        <f t="shared" si="4"/>
        <v>未割当</v>
      </c>
      <c r="Q45" s="29"/>
      <c r="R45" s="29"/>
      <c r="S45" s="28" t="str">
        <f t="shared" si="5"/>
        <v>ID一意</v>
      </c>
    </row>
    <row r="46" spans="1:19" ht="38" customHeight="1" x14ac:dyDescent="0.2">
      <c r="A46" s="2" t="s">
        <v>4800</v>
      </c>
      <c r="B46" s="2" t="s">
        <v>2309</v>
      </c>
      <c r="C46" s="28" t="str">
        <f>IF(B46="","",IF(COUNTIF('07_スキル辞書'!$A$4:$A$109,B46)&lt;&gt;1,"参照ID不正",IF(INDEX('07_スキル辞書'!$D$4:$D$109,MATCH(B46,'07_スキル辞書'!$A$4:$A$109,0))="","",INDEX('07_スキル辞書'!$D$4:$D$109,MATCH(B46,'07_スキル辞書'!$A$4:$A$109,0)))))</f>
        <v>脅威モデリングとセキュリティ設計</v>
      </c>
      <c r="D46" s="6"/>
      <c r="E46" s="6"/>
      <c r="F46" s="6"/>
      <c r="G46" s="6"/>
      <c r="H46" s="6"/>
      <c r="I46" s="28" t="str">
        <f t="shared" si="3"/>
        <v/>
      </c>
      <c r="J46" s="6"/>
      <c r="K46" s="6"/>
      <c r="L46" s="5"/>
      <c r="M46" s="6"/>
      <c r="N46" s="5"/>
      <c r="O46" s="6"/>
      <c r="P46" s="28" t="str">
        <f t="shared" si="4"/>
        <v>未割当</v>
      </c>
      <c r="Q46" s="29"/>
      <c r="R46" s="29"/>
      <c r="S46" s="28" t="str">
        <f t="shared" si="5"/>
        <v>ID一意</v>
      </c>
    </row>
    <row r="47" spans="1:19" ht="38" customHeight="1" x14ac:dyDescent="0.2">
      <c r="A47" s="4" t="s">
        <v>4801</v>
      </c>
      <c r="B47" s="4" t="s">
        <v>2318</v>
      </c>
      <c r="C47" s="28" t="str">
        <f>IF(B47="","",IF(COUNTIF('07_スキル辞書'!$A$4:$A$109,B47)&lt;&gt;1,"参照ID不正",IF(INDEX('07_スキル辞書'!$D$4:$D$109,MATCH(B47,'07_スキル辞書'!$A$4:$A$109,0))="","",INDEX('07_スキル辞書'!$D$4:$D$109,MATCH(B47,'07_スキル辞書'!$A$4:$A$109,0)))))</f>
        <v>AIセキュリティ評価とレッドチーミング</v>
      </c>
      <c r="D47" s="6"/>
      <c r="E47" s="6"/>
      <c r="F47" s="6"/>
      <c r="G47" s="6"/>
      <c r="H47" s="6"/>
      <c r="I47" s="28" t="str">
        <f t="shared" si="3"/>
        <v/>
      </c>
      <c r="J47" s="6"/>
      <c r="K47" s="6"/>
      <c r="L47" s="5"/>
      <c r="M47" s="6"/>
      <c r="N47" s="5"/>
      <c r="O47" s="6"/>
      <c r="P47" s="28" t="str">
        <f t="shared" si="4"/>
        <v>未割当</v>
      </c>
      <c r="Q47" s="29"/>
      <c r="R47" s="29"/>
      <c r="S47" s="28" t="str">
        <f t="shared" si="5"/>
        <v>ID一意</v>
      </c>
    </row>
    <row r="48" spans="1:19" ht="38" customHeight="1" x14ac:dyDescent="0.2">
      <c r="A48" s="2" t="s">
        <v>4802</v>
      </c>
      <c r="B48" s="2" t="s">
        <v>2327</v>
      </c>
      <c r="C48" s="28" t="str">
        <f>IF(B48="","",IF(COUNTIF('07_スキル辞書'!$A$4:$A$109,B48)&lt;&gt;1,"参照ID不正",IF(INDEX('07_スキル辞書'!$D$4:$D$109,MATCH(B48,'07_スキル辞書'!$A$4:$A$109,0))="","",INDEX('07_スキル辞書'!$D$4:$D$109,MATCH(B48,'07_スキル辞書'!$A$4:$A$109,0)))))</f>
        <v>監視設計と可観測性</v>
      </c>
      <c r="D48" s="6"/>
      <c r="E48" s="6"/>
      <c r="F48" s="6"/>
      <c r="G48" s="6"/>
      <c r="H48" s="6"/>
      <c r="I48" s="28" t="str">
        <f t="shared" si="3"/>
        <v/>
      </c>
      <c r="J48" s="6"/>
      <c r="K48" s="6"/>
      <c r="L48" s="5"/>
      <c r="M48" s="6"/>
      <c r="N48" s="5"/>
      <c r="O48" s="6"/>
      <c r="P48" s="28" t="str">
        <f t="shared" si="4"/>
        <v>未割当</v>
      </c>
      <c r="Q48" s="29"/>
      <c r="R48" s="29"/>
      <c r="S48" s="28" t="str">
        <f t="shared" si="5"/>
        <v>ID一意</v>
      </c>
    </row>
    <row r="49" spans="1:19" ht="38" customHeight="1" x14ac:dyDescent="0.2">
      <c r="A49" s="4" t="s">
        <v>4803</v>
      </c>
      <c r="B49" s="4" t="s">
        <v>2336</v>
      </c>
      <c r="C49" s="28" t="str">
        <f>IF(B49="","",IF(COUNTIF('07_スキル辞書'!$A$4:$A$109,B49)&lt;&gt;1,"参照ID不正",IF(INDEX('07_スキル辞書'!$D$4:$D$109,MATCH(B49,'07_スキル辞書'!$A$4:$A$109,0))="","",INDEX('07_スキル辞書'!$D$4:$D$109,MATCH(B49,'07_スキル辞書'!$A$4:$A$109,0)))))</f>
        <v>インシデント管理とエスカレーション運営</v>
      </c>
      <c r="D49" s="6"/>
      <c r="E49" s="6"/>
      <c r="F49" s="6"/>
      <c r="G49" s="6"/>
      <c r="H49" s="6"/>
      <c r="I49" s="28" t="str">
        <f t="shared" si="3"/>
        <v/>
      </c>
      <c r="J49" s="6"/>
      <c r="K49" s="6"/>
      <c r="L49" s="5"/>
      <c r="M49" s="6"/>
      <c r="N49" s="5"/>
      <c r="O49" s="6"/>
      <c r="P49" s="28" t="str">
        <f t="shared" si="4"/>
        <v>未割当</v>
      </c>
      <c r="Q49" s="29"/>
      <c r="R49" s="29"/>
      <c r="S49" s="28" t="str">
        <f t="shared" si="5"/>
        <v>ID一意</v>
      </c>
    </row>
    <row r="50" spans="1:19" ht="38" customHeight="1" x14ac:dyDescent="0.2">
      <c r="A50" s="2" t="s">
        <v>4804</v>
      </c>
      <c r="B50" s="2" t="s">
        <v>2345</v>
      </c>
      <c r="C50" s="28" t="str">
        <f>IF(B50="","",IF(COUNTIF('07_スキル辞書'!$A$4:$A$109,B50)&lt;&gt;1,"参照ID不正",IF(INDEX('07_スキル辞書'!$D$4:$D$109,MATCH(B50,'07_スキル辞書'!$A$4:$A$109,0))="","",INDEX('07_スキル辞書'!$D$4:$D$109,MATCH(B50,'07_スキル辞書'!$A$4:$A$109,0)))))</f>
        <v>根本原因分析とトラブルシューティング</v>
      </c>
      <c r="D50" s="6"/>
      <c r="E50" s="6"/>
      <c r="F50" s="6"/>
      <c r="G50" s="6"/>
      <c r="H50" s="6"/>
      <c r="I50" s="28" t="str">
        <f t="shared" si="3"/>
        <v/>
      </c>
      <c r="J50" s="6"/>
      <c r="K50" s="6"/>
      <c r="L50" s="5"/>
      <c r="M50" s="6"/>
      <c r="N50" s="5"/>
      <c r="O50" s="6"/>
      <c r="P50" s="28" t="str">
        <f t="shared" si="4"/>
        <v>未割当</v>
      </c>
      <c r="Q50" s="29"/>
      <c r="R50" s="29"/>
      <c r="S50" s="28" t="str">
        <f t="shared" si="5"/>
        <v>ID一意</v>
      </c>
    </row>
    <row r="51" spans="1:19" ht="38" customHeight="1" x14ac:dyDescent="0.2">
      <c r="A51" s="4" t="s">
        <v>4805</v>
      </c>
      <c r="B51" s="4" t="s">
        <v>2353</v>
      </c>
      <c r="C51" s="28" t="str">
        <f>IF(B51="","",IF(COUNTIF('07_スキル辞書'!$A$4:$A$109,B51)&lt;&gt;1,"参照ID不正",IF(INDEX('07_スキル辞書'!$D$4:$D$109,MATCH(B51,'07_スキル辞書'!$A$4:$A$109,0))="","",INDEX('07_スキル辞書'!$D$4:$D$109,MATCH(B51,'07_スキル辞書'!$A$4:$A$109,0)))))</f>
        <v>リリース・デプロイ戦略とロールバック</v>
      </c>
      <c r="D51" s="6"/>
      <c r="E51" s="6"/>
      <c r="F51" s="6"/>
      <c r="G51" s="6"/>
      <c r="H51" s="6"/>
      <c r="I51" s="28" t="str">
        <f t="shared" si="3"/>
        <v/>
      </c>
      <c r="J51" s="6"/>
      <c r="K51" s="6"/>
      <c r="L51" s="5"/>
      <c r="M51" s="6"/>
      <c r="N51" s="5"/>
      <c r="O51" s="6"/>
      <c r="P51" s="28" t="str">
        <f t="shared" si="4"/>
        <v>未割当</v>
      </c>
      <c r="Q51" s="29"/>
      <c r="R51" s="29"/>
      <c r="S51" s="28" t="str">
        <f t="shared" si="5"/>
        <v>ID一意</v>
      </c>
    </row>
    <row r="52" spans="1:19" ht="38" customHeight="1" x14ac:dyDescent="0.2">
      <c r="A52" s="2" t="s">
        <v>4806</v>
      </c>
      <c r="B52" s="2" t="s">
        <v>2362</v>
      </c>
      <c r="C52" s="28" t="str">
        <f>IF(B52="","",IF(COUNTIF('07_スキル辞書'!$A$4:$A$109,B52)&lt;&gt;1,"参照ID不正",IF(INDEX('07_スキル辞書'!$D$4:$D$109,MATCH(B52,'07_スキル辞書'!$A$4:$A$109,0))="","",INDEX('07_スキル辞書'!$D$4:$D$109,MATCH(B52,'07_スキル辞書'!$A$4:$A$109,0)))))</f>
        <v>従来型保守・パッチ管理・DR/BCP</v>
      </c>
      <c r="D52" s="6"/>
      <c r="E52" s="6"/>
      <c r="F52" s="6"/>
      <c r="G52" s="6"/>
      <c r="H52" s="6"/>
      <c r="I52" s="28" t="str">
        <f t="shared" si="3"/>
        <v/>
      </c>
      <c r="J52" s="6"/>
      <c r="K52" s="6"/>
      <c r="L52" s="5"/>
      <c r="M52" s="6"/>
      <c r="N52" s="5"/>
      <c r="O52" s="6"/>
      <c r="P52" s="28" t="str">
        <f t="shared" si="4"/>
        <v>未割当</v>
      </c>
      <c r="Q52" s="29"/>
      <c r="R52" s="29"/>
      <c r="S52" s="28" t="str">
        <f t="shared" si="5"/>
        <v>ID一意</v>
      </c>
    </row>
    <row r="53" spans="1:19" ht="38" customHeight="1" x14ac:dyDescent="0.2">
      <c r="A53" s="4" t="s">
        <v>4807</v>
      </c>
      <c r="B53" s="4" t="s">
        <v>2371</v>
      </c>
      <c r="C53" s="28" t="str">
        <f>IF(B53="","",IF(COUNTIF('07_スキル辞書'!$A$4:$A$109,B53)&lt;&gt;1,"参照ID不正",IF(INDEX('07_スキル辞書'!$D$4:$D$109,MATCH(B53,'07_スキル辞書'!$A$4:$A$109,0))="","",INDEX('07_スキル辞書'!$D$4:$D$109,MATCH(B53,'07_スキル辞書'!$A$4:$A$109,0)))))</f>
        <v>トークンコスト・レイテンシ設計とコスト監視</v>
      </c>
      <c r="D53" s="6"/>
      <c r="E53" s="6"/>
      <c r="F53" s="6"/>
      <c r="G53" s="6"/>
      <c r="H53" s="6"/>
      <c r="I53" s="28" t="str">
        <f t="shared" si="3"/>
        <v/>
      </c>
      <c r="J53" s="6"/>
      <c r="K53" s="6"/>
      <c r="L53" s="5"/>
      <c r="M53" s="6"/>
      <c r="N53" s="5"/>
      <c r="O53" s="6"/>
      <c r="P53" s="28" t="str">
        <f t="shared" si="4"/>
        <v>未割当</v>
      </c>
      <c r="Q53" s="29"/>
      <c r="R53" s="29"/>
      <c r="S53" s="28" t="str">
        <f t="shared" si="5"/>
        <v>ID一意</v>
      </c>
    </row>
    <row r="54" spans="1:19" ht="38" customHeight="1" x14ac:dyDescent="0.2">
      <c r="A54" s="2" t="s">
        <v>4808</v>
      </c>
      <c r="B54" s="2" t="s">
        <v>2380</v>
      </c>
      <c r="C54" s="28" t="str">
        <f>IF(B54="","",IF(COUNTIF('07_スキル辞書'!$A$4:$A$109,B54)&lt;&gt;1,"参照ID不正",IF(INDEX('07_スキル辞書'!$D$4:$D$109,MATCH(B54,'07_スキル辞書'!$A$4:$A$109,0))="","",INDEX('07_スキル辞書'!$D$4:$D$109,MATCH(B54,'07_スキル辞書'!$A$4:$A$109,0)))))</f>
        <v>テクニカルドキュメンテーションと引継ぎ</v>
      </c>
      <c r="D54" s="6"/>
      <c r="E54" s="6"/>
      <c r="F54" s="6"/>
      <c r="G54" s="6"/>
      <c r="H54" s="6"/>
      <c r="I54" s="28" t="str">
        <f t="shared" si="3"/>
        <v/>
      </c>
      <c r="J54" s="6"/>
      <c r="K54" s="6"/>
      <c r="L54" s="5"/>
      <c r="M54" s="6"/>
      <c r="N54" s="5"/>
      <c r="O54" s="6"/>
      <c r="P54" s="28" t="str">
        <f t="shared" si="4"/>
        <v>未割当</v>
      </c>
      <c r="Q54" s="29"/>
      <c r="R54" s="29"/>
      <c r="S54" s="28" t="str">
        <f t="shared" si="5"/>
        <v>ID一意</v>
      </c>
    </row>
    <row r="55" spans="1:19" ht="38" customHeight="1" x14ac:dyDescent="0.2">
      <c r="A55" s="4" t="s">
        <v>4809</v>
      </c>
      <c r="B55" s="4" t="s">
        <v>2389</v>
      </c>
      <c r="C55" s="28" t="str">
        <f>IF(B55="","",IF(COUNTIF('07_スキル辞書'!$A$4:$A$109,B55)&lt;&gt;1,"参照ID不正",IF(INDEX('07_スキル辞書'!$D$4:$D$109,MATCH(B55,'07_スキル辞書'!$A$4:$A$109,0))="","",INDEX('07_スキル辞書'!$D$4:$D$109,MATCH(B55,'07_スキル辞書'!$A$4:$A$109,0)))))</f>
        <v>統計学の基礎</v>
      </c>
      <c r="D55" s="6"/>
      <c r="E55" s="6"/>
      <c r="F55" s="6"/>
      <c r="G55" s="6"/>
      <c r="H55" s="6"/>
      <c r="I55" s="28" t="str">
        <f t="shared" si="3"/>
        <v/>
      </c>
      <c r="J55" s="6"/>
      <c r="K55" s="6"/>
      <c r="L55" s="5"/>
      <c r="M55" s="6"/>
      <c r="N55" s="5"/>
      <c r="O55" s="6"/>
      <c r="P55" s="28" t="str">
        <f t="shared" si="4"/>
        <v>未割当</v>
      </c>
      <c r="Q55" s="29"/>
      <c r="R55" s="29"/>
      <c r="S55" s="28" t="str">
        <f t="shared" si="5"/>
        <v>ID一意</v>
      </c>
    </row>
    <row r="56" spans="1:19" ht="38" customHeight="1" x14ac:dyDescent="0.2">
      <c r="A56" s="2" t="s">
        <v>4810</v>
      </c>
      <c r="B56" s="2" t="s">
        <v>2399</v>
      </c>
      <c r="C56" s="28" t="str">
        <f>IF(B56="","",IF(COUNTIF('07_スキル辞書'!$A$4:$A$109,B56)&lt;&gt;1,"参照ID不正",IF(INDEX('07_スキル辞書'!$D$4:$D$109,MATCH(B56,'07_スキル辞書'!$A$4:$A$109,0))="","",INDEX('07_スキル辞書'!$D$4:$D$109,MATCH(B56,'07_スキル辞書'!$A$4:$A$109,0)))))</f>
        <v>機械学習の基礎</v>
      </c>
      <c r="D56" s="6"/>
      <c r="E56" s="6"/>
      <c r="F56" s="6"/>
      <c r="G56" s="6"/>
      <c r="H56" s="6"/>
      <c r="I56" s="28" t="str">
        <f t="shared" si="3"/>
        <v/>
      </c>
      <c r="J56" s="6"/>
      <c r="K56" s="6"/>
      <c r="L56" s="5"/>
      <c r="M56" s="6"/>
      <c r="N56" s="5"/>
      <c r="O56" s="6"/>
      <c r="P56" s="28" t="str">
        <f t="shared" si="4"/>
        <v>未割当</v>
      </c>
      <c r="Q56" s="29"/>
      <c r="R56" s="29"/>
      <c r="S56" s="28" t="str">
        <f t="shared" si="5"/>
        <v>ID一意</v>
      </c>
    </row>
    <row r="57" spans="1:19" ht="38" customHeight="1" x14ac:dyDescent="0.2">
      <c r="A57" s="4" t="s">
        <v>4811</v>
      </c>
      <c r="B57" s="4" t="s">
        <v>2408</v>
      </c>
      <c r="C57" s="28" t="str">
        <f>IF(B57="","",IF(COUNTIF('07_スキル辞書'!$A$4:$A$109,B57)&lt;&gt;1,"参照ID不正",IF(INDEX('07_スキル辞書'!$D$4:$D$109,MATCH(B57,'07_スキル辞書'!$A$4:$A$109,0))="","",INDEX('07_スキル辞書'!$D$4:$D$109,MATCH(B57,'07_スキル辞書'!$A$4:$A$109,0)))))</f>
        <v>生成AI・基盤モデルの基礎</v>
      </c>
      <c r="D57" s="6"/>
      <c r="E57" s="6"/>
      <c r="F57" s="6"/>
      <c r="G57" s="6"/>
      <c r="H57" s="6"/>
      <c r="I57" s="28" t="str">
        <f t="shared" si="3"/>
        <v/>
      </c>
      <c r="J57" s="6"/>
      <c r="K57" s="6"/>
      <c r="L57" s="5"/>
      <c r="M57" s="6"/>
      <c r="N57" s="5"/>
      <c r="O57" s="6"/>
      <c r="P57" s="28" t="str">
        <f t="shared" si="4"/>
        <v>未割当</v>
      </c>
      <c r="Q57" s="29"/>
      <c r="R57" s="29"/>
      <c r="S57" s="28" t="str">
        <f t="shared" si="5"/>
        <v>ID一意</v>
      </c>
    </row>
    <row r="58" spans="1:19" ht="38" customHeight="1" x14ac:dyDescent="0.2">
      <c r="A58" s="2" t="s">
        <v>4812</v>
      </c>
      <c r="B58" s="2" t="s">
        <v>2417</v>
      </c>
      <c r="C58" s="28" t="str">
        <f>IF(B58="","",IF(COUNTIF('07_スキル辞書'!$A$4:$A$109,B58)&lt;&gt;1,"参照ID不正",IF(INDEX('07_スキル辞書'!$D$4:$D$109,MATCH(B58,'07_スキル辞書'!$A$4:$A$109,0))="","",INDEX('07_スキル辞書'!$D$4:$D$109,MATCH(B58,'07_スキル辞書'!$A$4:$A$109,0)))))</f>
        <v>データアセスメントと探索的データ分析（EDA）</v>
      </c>
      <c r="D58" s="6"/>
      <c r="E58" s="6"/>
      <c r="F58" s="6"/>
      <c r="G58" s="6"/>
      <c r="H58" s="6"/>
      <c r="I58" s="28" t="str">
        <f t="shared" si="3"/>
        <v/>
      </c>
      <c r="J58" s="6"/>
      <c r="K58" s="6"/>
      <c r="L58" s="5"/>
      <c r="M58" s="6"/>
      <c r="N58" s="5"/>
      <c r="O58" s="6"/>
      <c r="P58" s="28" t="str">
        <f t="shared" si="4"/>
        <v>未割当</v>
      </c>
      <c r="Q58" s="29"/>
      <c r="R58" s="29"/>
      <c r="S58" s="28" t="str">
        <f t="shared" si="5"/>
        <v>ID一意</v>
      </c>
    </row>
    <row r="59" spans="1:19" ht="38" customHeight="1" x14ac:dyDescent="0.2">
      <c r="A59" s="4" t="s">
        <v>4813</v>
      </c>
      <c r="B59" s="4" t="s">
        <v>2426</v>
      </c>
      <c r="C59" s="28" t="str">
        <f>IF(B59="","",IF(COUNTIF('07_スキル辞書'!$A$4:$A$109,B59)&lt;&gt;1,"参照ID不正",IF(INDEX('07_スキル辞書'!$D$4:$D$109,MATCH(B59,'07_スキル辞書'!$A$4:$A$109,0))="","",INDEX('07_スキル辞書'!$D$4:$D$109,MATCH(B59,'07_スキル辞書'!$A$4:$A$109,0)))))</f>
        <v>データ品質管理とクレンジング設計</v>
      </c>
      <c r="D59" s="6"/>
      <c r="E59" s="6"/>
      <c r="F59" s="6"/>
      <c r="G59" s="6"/>
      <c r="H59" s="6"/>
      <c r="I59" s="28" t="str">
        <f t="shared" si="3"/>
        <v/>
      </c>
      <c r="J59" s="6"/>
      <c r="K59" s="6"/>
      <c r="L59" s="5"/>
      <c r="M59" s="6"/>
      <c r="N59" s="5"/>
      <c r="O59" s="6"/>
      <c r="P59" s="28" t="str">
        <f t="shared" si="4"/>
        <v>未割当</v>
      </c>
      <c r="Q59" s="29"/>
      <c r="R59" s="29"/>
      <c r="S59" s="28" t="str">
        <f t="shared" si="5"/>
        <v>ID一意</v>
      </c>
    </row>
    <row r="60" spans="1:19" ht="38" customHeight="1" x14ac:dyDescent="0.2">
      <c r="A60" s="2" t="s">
        <v>4814</v>
      </c>
      <c r="B60" s="2" t="s">
        <v>2435</v>
      </c>
      <c r="C60" s="28" t="str">
        <f>IF(B60="","",IF(COUNTIF('07_スキル辞書'!$A$4:$A$109,B60)&lt;&gt;1,"参照ID不正",IF(INDEX('07_スキル辞書'!$D$4:$D$109,MATCH(B60,'07_スキル辞書'!$A$4:$A$109,0))="","",INDEX('07_スキル辞書'!$D$4:$D$109,MATCH(B60,'07_スキル辞書'!$A$4:$A$109,0)))))</f>
        <v>データ分割設計とリーク防止</v>
      </c>
      <c r="D60" s="6"/>
      <c r="E60" s="6"/>
      <c r="F60" s="6"/>
      <c r="G60" s="6"/>
      <c r="H60" s="6"/>
      <c r="I60" s="28" t="str">
        <f t="shared" si="3"/>
        <v/>
      </c>
      <c r="J60" s="6"/>
      <c r="K60" s="6"/>
      <c r="L60" s="5"/>
      <c r="M60" s="6"/>
      <c r="N60" s="5"/>
      <c r="O60" s="6"/>
      <c r="P60" s="28" t="str">
        <f t="shared" si="4"/>
        <v>未割当</v>
      </c>
      <c r="Q60" s="29"/>
      <c r="R60" s="29"/>
      <c r="S60" s="28" t="str">
        <f t="shared" si="5"/>
        <v>ID一意</v>
      </c>
    </row>
    <row r="61" spans="1:19" ht="38" customHeight="1" x14ac:dyDescent="0.2">
      <c r="A61" s="4" t="s">
        <v>4815</v>
      </c>
      <c r="B61" s="4" t="s">
        <v>2444</v>
      </c>
      <c r="C61" s="28" t="str">
        <f>IF(B61="","",IF(COUNTIF('07_スキル辞書'!$A$4:$A$109,B61)&lt;&gt;1,"参照ID不正",IF(INDEX('07_スキル辞書'!$D$4:$D$109,MATCH(B61,'07_スキル辞書'!$A$4:$A$109,0))="","",INDEX('07_スキル辞書'!$D$4:$D$109,MATCH(B61,'07_スキル辞書'!$A$4:$A$109,0)))))</f>
        <v>アノテーション設計と一致度管理</v>
      </c>
      <c r="D61" s="6"/>
      <c r="E61" s="6"/>
      <c r="F61" s="6"/>
      <c r="G61" s="6"/>
      <c r="H61" s="6"/>
      <c r="I61" s="28" t="str">
        <f t="shared" si="3"/>
        <v/>
      </c>
      <c r="J61" s="6"/>
      <c r="K61" s="6"/>
      <c r="L61" s="5"/>
      <c r="M61" s="6"/>
      <c r="N61" s="5"/>
      <c r="O61" s="6"/>
      <c r="P61" s="28" t="str">
        <f t="shared" si="4"/>
        <v>未割当</v>
      </c>
      <c r="Q61" s="29"/>
      <c r="R61" s="29"/>
      <c r="S61" s="28" t="str">
        <f t="shared" si="5"/>
        <v>ID一意</v>
      </c>
    </row>
    <row r="62" spans="1:19" ht="38" customHeight="1" x14ac:dyDescent="0.2">
      <c r="A62" s="2" t="s">
        <v>4816</v>
      </c>
      <c r="B62" s="2" t="s">
        <v>2453</v>
      </c>
      <c r="C62" s="28" t="str">
        <f>IF(B62="","",IF(COUNTIF('07_スキル辞書'!$A$4:$A$109,B62)&lt;&gt;1,"参照ID不正",IF(INDEX('07_スキル辞書'!$D$4:$D$109,MATCH(B62,'07_スキル辞書'!$A$4:$A$109,0))="","",INDEX('07_スキル辞書'!$D$4:$D$109,MATCH(B62,'07_スキル辞書'!$A$4:$A$109,0)))))</f>
        <v>評価セット構築（生成AI案件）</v>
      </c>
      <c r="D62" s="6"/>
      <c r="E62" s="6"/>
      <c r="F62" s="6"/>
      <c r="G62" s="6"/>
      <c r="H62" s="6"/>
      <c r="I62" s="28" t="str">
        <f t="shared" si="3"/>
        <v/>
      </c>
      <c r="J62" s="6"/>
      <c r="K62" s="6"/>
      <c r="L62" s="5"/>
      <c r="M62" s="6"/>
      <c r="N62" s="5"/>
      <c r="O62" s="6"/>
      <c r="P62" s="28" t="str">
        <f t="shared" si="4"/>
        <v>未割当</v>
      </c>
      <c r="Q62" s="29"/>
      <c r="R62" s="29"/>
      <c r="S62" s="28" t="str">
        <f t="shared" si="5"/>
        <v>ID一意</v>
      </c>
    </row>
    <row r="63" spans="1:19" ht="38" customHeight="1" x14ac:dyDescent="0.2">
      <c r="A63" s="4" t="s">
        <v>4817</v>
      </c>
      <c r="B63" s="4" t="s">
        <v>2462</v>
      </c>
      <c r="C63" s="28" t="str">
        <f>IF(B63="","",IF(COUNTIF('07_スキル辞書'!$A$4:$A$109,B63)&lt;&gt;1,"参照ID不正",IF(INDEX('07_スキル辞書'!$D$4:$D$109,MATCH(B63,'07_スキル辞書'!$A$4:$A$109,0))="","",INDEX('07_スキル辞書'!$D$4:$D$109,MATCH(B63,'07_スキル辞書'!$A$4:$A$109,0)))))</f>
        <v>特徴量エンジニアリング</v>
      </c>
      <c r="D63" s="6"/>
      <c r="E63" s="6"/>
      <c r="F63" s="6"/>
      <c r="G63" s="6"/>
      <c r="H63" s="6"/>
      <c r="I63" s="28" t="str">
        <f t="shared" si="3"/>
        <v/>
      </c>
      <c r="J63" s="6"/>
      <c r="K63" s="6"/>
      <c r="L63" s="5"/>
      <c r="M63" s="6"/>
      <c r="N63" s="5"/>
      <c r="O63" s="6"/>
      <c r="P63" s="28" t="str">
        <f t="shared" si="4"/>
        <v>未割当</v>
      </c>
      <c r="Q63" s="29"/>
      <c r="R63" s="29"/>
      <c r="S63" s="28" t="str">
        <f t="shared" si="5"/>
        <v>ID一意</v>
      </c>
    </row>
    <row r="64" spans="1:19" ht="38" customHeight="1" x14ac:dyDescent="0.2">
      <c r="A64" s="2" t="s">
        <v>4818</v>
      </c>
      <c r="B64" s="2" t="s">
        <v>2471</v>
      </c>
      <c r="C64" s="28" t="str">
        <f>IF(B64="","",IF(COUNTIF('07_スキル辞書'!$A$4:$A$109,B64)&lt;&gt;1,"参照ID不正",IF(INDEX('07_スキル辞書'!$D$4:$D$109,MATCH(B64,'07_スキル辞書'!$A$4:$A$109,0))="","",INDEX('07_スキル辞書'!$D$4:$D$109,MATCH(B64,'07_スキル辞書'!$A$4:$A$109,0)))))</f>
        <v>RAG設計と検索評価</v>
      </c>
      <c r="D64" s="6"/>
      <c r="E64" s="6"/>
      <c r="F64" s="6"/>
      <c r="G64" s="6"/>
      <c r="H64" s="6"/>
      <c r="I64" s="28" t="str">
        <f t="shared" si="3"/>
        <v/>
      </c>
      <c r="J64" s="6"/>
      <c r="K64" s="6"/>
      <c r="L64" s="5"/>
      <c r="M64" s="6"/>
      <c r="N64" s="5"/>
      <c r="O64" s="6"/>
      <c r="P64" s="28" t="str">
        <f t="shared" si="4"/>
        <v>未割当</v>
      </c>
      <c r="Q64" s="29"/>
      <c r="R64" s="29"/>
      <c r="S64" s="28" t="str">
        <f t="shared" si="5"/>
        <v>ID一意</v>
      </c>
    </row>
    <row r="65" spans="1:19" ht="38" customHeight="1" x14ac:dyDescent="0.2">
      <c r="A65" s="4" t="s">
        <v>4819</v>
      </c>
      <c r="B65" s="4" t="s">
        <v>2480</v>
      </c>
      <c r="C65" s="28" t="str">
        <f>IF(B65="","",IF(COUNTIF('07_スキル辞書'!$A$4:$A$109,B65)&lt;&gt;1,"参照ID不正",IF(INDEX('07_スキル辞書'!$D$4:$D$109,MATCH(B65,'07_スキル辞書'!$A$4:$A$109,0))="","",INDEX('07_スキル辞書'!$D$4:$D$109,MATCH(B65,'07_スキル辞書'!$A$4:$A$109,0)))))</f>
        <v>ベースライン設計と実験管理</v>
      </c>
      <c r="D65" s="6"/>
      <c r="E65" s="6"/>
      <c r="F65" s="6"/>
      <c r="G65" s="6"/>
      <c r="H65" s="6"/>
      <c r="I65" s="28" t="str">
        <f t="shared" si="3"/>
        <v/>
      </c>
      <c r="J65" s="6"/>
      <c r="K65" s="6"/>
      <c r="L65" s="5"/>
      <c r="M65" s="6"/>
      <c r="N65" s="5"/>
      <c r="O65" s="6"/>
      <c r="P65" s="28" t="str">
        <f t="shared" si="4"/>
        <v>未割当</v>
      </c>
      <c r="Q65" s="29"/>
      <c r="R65" s="29"/>
      <c r="S65" s="28" t="str">
        <f t="shared" si="5"/>
        <v>ID一意</v>
      </c>
    </row>
    <row r="66" spans="1:19" ht="38" customHeight="1" x14ac:dyDescent="0.2">
      <c r="A66" s="2" t="s">
        <v>4820</v>
      </c>
      <c r="B66" s="2" t="s">
        <v>2490</v>
      </c>
      <c r="C66" s="28" t="str">
        <f>IF(B66="","",IF(COUNTIF('07_スキル辞書'!$A$4:$A$109,B66)&lt;&gt;1,"参照ID不正",IF(INDEX('07_スキル辞書'!$D$4:$D$109,MATCH(B66,'07_スキル辞書'!$A$4:$A$109,0))="","",INDEX('07_スキル辞書'!$D$4:$D$109,MATCH(B66,'07_スキル辞書'!$A$4:$A$109,0)))))</f>
        <v>モデル構築とハイパーパラメータ最適化</v>
      </c>
      <c r="D66" s="6"/>
      <c r="E66" s="6"/>
      <c r="F66" s="6"/>
      <c r="G66" s="6"/>
      <c r="H66" s="6"/>
      <c r="I66" s="28" t="str">
        <f t="shared" si="3"/>
        <v/>
      </c>
      <c r="J66" s="6"/>
      <c r="K66" s="6"/>
      <c r="L66" s="5"/>
      <c r="M66" s="6"/>
      <c r="N66" s="5"/>
      <c r="O66" s="6"/>
      <c r="P66" s="28" t="str">
        <f t="shared" si="4"/>
        <v>未割当</v>
      </c>
      <c r="Q66" s="29"/>
      <c r="R66" s="29"/>
      <c r="S66" s="28" t="str">
        <f t="shared" si="5"/>
        <v>ID一意</v>
      </c>
    </row>
    <row r="67" spans="1:19" ht="38" customHeight="1" x14ac:dyDescent="0.2">
      <c r="A67" s="4" t="s">
        <v>4821</v>
      </c>
      <c r="B67" s="4" t="s">
        <v>2498</v>
      </c>
      <c r="C67" s="28" t="str">
        <f>IF(B67="","",IF(COUNTIF('07_スキル辞書'!$A$4:$A$109,B67)&lt;&gt;1,"参照ID不正",IF(INDEX('07_スキル辞書'!$D$4:$D$109,MATCH(B67,'07_スキル辞書'!$A$4:$A$109,0))="","",INDEX('07_スキル辞書'!$D$4:$D$109,MATCH(B67,'07_スキル辞書'!$A$4:$A$109,0)))))</f>
        <v>プロンプト設計と構造化出力</v>
      </c>
      <c r="D67" s="6"/>
      <c r="E67" s="6"/>
      <c r="F67" s="6"/>
      <c r="G67" s="6"/>
      <c r="H67" s="6"/>
      <c r="I67" s="28" t="str">
        <f t="shared" si="3"/>
        <v/>
      </c>
      <c r="J67" s="6"/>
      <c r="K67" s="6"/>
      <c r="L67" s="5"/>
      <c r="M67" s="6"/>
      <c r="N67" s="5"/>
      <c r="O67" s="6"/>
      <c r="P67" s="28" t="str">
        <f t="shared" si="4"/>
        <v>未割当</v>
      </c>
      <c r="Q67" s="29"/>
      <c r="R67" s="29"/>
      <c r="S67" s="28" t="str">
        <f t="shared" si="5"/>
        <v>ID一意</v>
      </c>
    </row>
    <row r="68" spans="1:19" ht="38" customHeight="1" x14ac:dyDescent="0.2">
      <c r="A68" s="2" t="s">
        <v>4822</v>
      </c>
      <c r="B68" s="2" t="s">
        <v>2506</v>
      </c>
      <c r="C68" s="28" t="str">
        <f>IF(B68="","",IF(COUNTIF('07_スキル辞書'!$A$4:$A$109,B68)&lt;&gt;1,"参照ID不正",IF(INDEX('07_スキル辞書'!$D$4:$D$109,MATCH(B68,'07_スキル辞書'!$A$4:$A$109,0))="","",INDEX('07_スキル辞書'!$D$4:$D$109,MATCH(B68,'07_スキル辞書'!$A$4:$A$109,0)))))</f>
        <v>エージェント設計と安全制御</v>
      </c>
      <c r="D68" s="6"/>
      <c r="E68" s="6"/>
      <c r="F68" s="6"/>
      <c r="G68" s="6"/>
      <c r="H68" s="6"/>
      <c r="I68" s="28" t="str">
        <f t="shared" ref="I68:I99" si="6">IF(OR(COUNT(G68:H68)&lt;2,IFERROR(MIN(G68:H68)&lt;0,TRUE),IFERROR(MAX(G68:H68)&gt;3,TRUE),IFERROR(MOD(G68,1)&lt;&gt;0,TRUE),IFERROR(MOD(H68,1)&lt;&gt;0,TRUE)),"",MAX(0,G68-H68))</f>
        <v/>
      </c>
      <c r="J68" s="6"/>
      <c r="K68" s="6"/>
      <c r="L68" s="5"/>
      <c r="M68" s="6"/>
      <c r="N68" s="5"/>
      <c r="O68" s="6"/>
      <c r="P68" s="28" t="str">
        <f t="shared" ref="P68:P99" si="7">IF(AND(D68="",Q68=""),"未割当",IF(OR(COUNTIF(SkillIDs,B68)&lt;&gt;1,COUNTIF(RoleIDs,E68)&lt;&gt;1,S68&lt;&gt;"ID一意"),"Skill／Role／記録ID不正",IF(OR(COUNT(G68:H68)&lt;2,IFERROR(MIN(G68:H68)&lt;0,TRUE),IFERROR(MAX(G68:H68)&gt;3,TRUE),IFERROR(MOD(G68,1)&lt;&gt;0,TRUE),IFERROR(MOD(H68,1)&lt;&gt;0,TRUE)),"習熟度不正",IF(OR(OR(D68="",F68="",J68="",K68="",Q68="",R68=""),NOT(ISNUMBER(L68))),"評価証拠不足",IF(OR(AND(L68&lt;&gt;"",OR(NOT(ISNUMBER(L68)),IFERROR(L68&lt;1,TRUE),IFERROR(INT(L68)&gt;INT(AsOfDate),TRUE)))),"評価日不正",IF(OR(Q68=R68,D68=K68),"自己申告・第三者確認前","第三者評価記録あり"))))))</f>
        <v>未割当</v>
      </c>
      <c r="Q68" s="29"/>
      <c r="R68" s="29"/>
      <c r="S68" s="28" t="str">
        <f t="shared" ref="S68:S99" si="8">IF(A68="","",IF(COUNTIF($A$4:$A$203,A68)&lt;&gt;1,"評価記録ID重複","ID一意"))</f>
        <v>ID一意</v>
      </c>
    </row>
    <row r="69" spans="1:19" ht="38" customHeight="1" x14ac:dyDescent="0.2">
      <c r="A69" s="4" t="s">
        <v>4823</v>
      </c>
      <c r="B69" s="4" t="s">
        <v>2515</v>
      </c>
      <c r="C69" s="28" t="str">
        <f>IF(B69="","",IF(COUNTIF('07_スキル辞書'!$A$4:$A$109,B69)&lt;&gt;1,"参照ID不正",IF(INDEX('07_スキル辞書'!$D$4:$D$109,MATCH(B69,'07_スキル辞書'!$A$4:$A$109,0))="","",INDEX('07_スキル辞書'!$D$4:$D$109,MATCH(B69,'07_スキル辞書'!$A$4:$A$109,0)))))</f>
        <v>本番モデルの最適化と再学習</v>
      </c>
      <c r="D69" s="6"/>
      <c r="E69" s="6"/>
      <c r="F69" s="6"/>
      <c r="G69" s="6"/>
      <c r="H69" s="6"/>
      <c r="I69" s="28" t="str">
        <f t="shared" si="6"/>
        <v/>
      </c>
      <c r="J69" s="6"/>
      <c r="K69" s="6"/>
      <c r="L69" s="5"/>
      <c r="M69" s="6"/>
      <c r="N69" s="5"/>
      <c r="O69" s="6"/>
      <c r="P69" s="28" t="str">
        <f t="shared" si="7"/>
        <v>未割当</v>
      </c>
      <c r="Q69" s="29"/>
      <c r="R69" s="29"/>
      <c r="S69" s="28" t="str">
        <f t="shared" si="8"/>
        <v>ID一意</v>
      </c>
    </row>
    <row r="70" spans="1:19" ht="38" customHeight="1" x14ac:dyDescent="0.2">
      <c r="A70" s="2" t="s">
        <v>4824</v>
      </c>
      <c r="B70" s="2" t="s">
        <v>2524</v>
      </c>
      <c r="C70" s="28" t="str">
        <f>IF(B70="","",IF(COUNTIF('07_スキル辞書'!$A$4:$A$109,B70)&lt;&gt;1,"参照ID不正",IF(INDEX('07_スキル辞書'!$D$4:$D$109,MATCH(B70,'07_スキル辞書'!$A$4:$A$109,0))="","",INDEX('07_スキル辞書'!$D$4:$D$109,MATCH(B70,'07_スキル辞書'!$A$4:$A$109,0)))))</f>
        <v>評価指標の選定と目標値設定</v>
      </c>
      <c r="D70" s="6"/>
      <c r="E70" s="6"/>
      <c r="F70" s="6"/>
      <c r="G70" s="6"/>
      <c r="H70" s="6"/>
      <c r="I70" s="28" t="str">
        <f t="shared" si="6"/>
        <v/>
      </c>
      <c r="J70" s="6"/>
      <c r="K70" s="6"/>
      <c r="L70" s="5"/>
      <c r="M70" s="6"/>
      <c r="N70" s="5"/>
      <c r="O70" s="6"/>
      <c r="P70" s="28" t="str">
        <f t="shared" si="7"/>
        <v>未割当</v>
      </c>
      <c r="Q70" s="29"/>
      <c r="R70" s="29"/>
      <c r="S70" s="28" t="str">
        <f t="shared" si="8"/>
        <v>ID一意</v>
      </c>
    </row>
    <row r="71" spans="1:19" ht="38" customHeight="1" x14ac:dyDescent="0.2">
      <c r="A71" s="4" t="s">
        <v>4825</v>
      </c>
      <c r="B71" s="4" t="s">
        <v>2533</v>
      </c>
      <c r="C71" s="28" t="str">
        <f>IF(B71="","",IF(COUNTIF('07_スキル辞書'!$A$4:$A$109,B71)&lt;&gt;1,"参照ID不正",IF(INDEX('07_スキル辞書'!$D$4:$D$109,MATCH(B71,'07_スキル辞書'!$A$4:$A$109,0))="","",INDEX('07_スキル辞書'!$D$4:$D$109,MATCH(B71,'07_スキル辞書'!$A$4:$A$109,0)))))</f>
        <v>モデル評価とエラー分析</v>
      </c>
      <c r="D71" s="6"/>
      <c r="E71" s="6"/>
      <c r="F71" s="6"/>
      <c r="G71" s="6"/>
      <c r="H71" s="6"/>
      <c r="I71" s="28" t="str">
        <f t="shared" si="6"/>
        <v/>
      </c>
      <c r="J71" s="6"/>
      <c r="K71" s="6"/>
      <c r="L71" s="5"/>
      <c r="M71" s="6"/>
      <c r="N71" s="5"/>
      <c r="O71" s="6"/>
      <c r="P71" s="28" t="str">
        <f t="shared" si="7"/>
        <v>未割当</v>
      </c>
      <c r="Q71" s="29"/>
      <c r="R71" s="29"/>
      <c r="S71" s="28" t="str">
        <f t="shared" si="8"/>
        <v>ID一意</v>
      </c>
    </row>
    <row r="72" spans="1:19" ht="38" customHeight="1" x14ac:dyDescent="0.2">
      <c r="A72" s="2" t="s">
        <v>4826</v>
      </c>
      <c r="B72" s="2" t="s">
        <v>2542</v>
      </c>
      <c r="C72" s="28" t="str">
        <f>IF(B72="","",IF(COUNTIF('07_スキル辞書'!$A$4:$A$109,B72)&lt;&gt;1,"参照ID不正",IF(INDEX('07_スキル辞書'!$D$4:$D$109,MATCH(B72,'07_スキル辞書'!$A$4:$A$109,0))="","",INDEX('07_スキル辞書'!$D$4:$D$109,MATCH(B72,'07_スキル辞書'!$A$4:$A$109,0)))))</f>
        <v>キャリブレーションと運用閾値設計</v>
      </c>
      <c r="D72" s="6"/>
      <c r="E72" s="6"/>
      <c r="F72" s="6"/>
      <c r="G72" s="6"/>
      <c r="H72" s="6"/>
      <c r="I72" s="28" t="str">
        <f t="shared" si="6"/>
        <v/>
      </c>
      <c r="J72" s="6"/>
      <c r="K72" s="6"/>
      <c r="L72" s="5"/>
      <c r="M72" s="6"/>
      <c r="N72" s="5"/>
      <c r="O72" s="6"/>
      <c r="P72" s="28" t="str">
        <f t="shared" si="7"/>
        <v>未割当</v>
      </c>
      <c r="Q72" s="29"/>
      <c r="R72" s="29"/>
      <c r="S72" s="28" t="str">
        <f t="shared" si="8"/>
        <v>ID一意</v>
      </c>
    </row>
    <row r="73" spans="1:19" ht="38" customHeight="1" x14ac:dyDescent="0.2">
      <c r="A73" s="4" t="s">
        <v>4827</v>
      </c>
      <c r="B73" s="4" t="s">
        <v>2551</v>
      </c>
      <c r="C73" s="28" t="str">
        <f>IF(B73="","",IF(COUNTIF('07_スキル辞書'!$A$4:$A$109,B73)&lt;&gt;1,"参照ID不正",IF(INDEX('07_スキル辞書'!$D$4:$D$109,MATCH(B73,'07_スキル辞書'!$A$4:$A$109,0))="","",INDEX('07_スキル辞書'!$D$4:$D$109,MATCH(B73,'07_スキル辞書'!$A$4:$A$109,0)))))</f>
        <v>LLM評価設計</v>
      </c>
      <c r="D73" s="6"/>
      <c r="E73" s="6"/>
      <c r="F73" s="6"/>
      <c r="G73" s="6"/>
      <c r="H73" s="6"/>
      <c r="I73" s="28" t="str">
        <f t="shared" si="6"/>
        <v/>
      </c>
      <c r="J73" s="6"/>
      <c r="K73" s="6"/>
      <c r="L73" s="5"/>
      <c r="M73" s="6"/>
      <c r="N73" s="5"/>
      <c r="O73" s="6"/>
      <c r="P73" s="28" t="str">
        <f t="shared" si="7"/>
        <v>未割当</v>
      </c>
      <c r="Q73" s="29"/>
      <c r="R73" s="29"/>
      <c r="S73" s="28" t="str">
        <f t="shared" si="8"/>
        <v>ID一意</v>
      </c>
    </row>
    <row r="74" spans="1:19" ht="38" customHeight="1" x14ac:dyDescent="0.2">
      <c r="A74" s="2" t="s">
        <v>4828</v>
      </c>
      <c r="B74" s="2" t="s">
        <v>2560</v>
      </c>
      <c r="C74" s="28" t="str">
        <f>IF(B74="","",IF(COUNTIF('07_スキル辞書'!$A$4:$A$109,B74)&lt;&gt;1,"参照ID不正",IF(INDEX('07_スキル辞書'!$D$4:$D$109,MATCH(B74,'07_スキル辞書'!$A$4:$A$109,0))="","",INDEX('07_スキル辞書'!$D$4:$D$109,MATCH(B74,'07_スキル辞書'!$A$4:$A$109,0)))))</f>
        <v>責任あるAI評価（公平性・説明可能性・透明性）</v>
      </c>
      <c r="D74" s="6"/>
      <c r="E74" s="6"/>
      <c r="F74" s="6"/>
      <c r="G74" s="6"/>
      <c r="H74" s="6"/>
      <c r="I74" s="28" t="str">
        <f t="shared" si="6"/>
        <v/>
      </c>
      <c r="J74" s="6"/>
      <c r="K74" s="6"/>
      <c r="L74" s="5"/>
      <c r="M74" s="6"/>
      <c r="N74" s="5"/>
      <c r="O74" s="6"/>
      <c r="P74" s="28" t="str">
        <f t="shared" si="7"/>
        <v>未割当</v>
      </c>
      <c r="Q74" s="29"/>
      <c r="R74" s="29"/>
      <c r="S74" s="28" t="str">
        <f t="shared" si="8"/>
        <v>ID一意</v>
      </c>
    </row>
    <row r="75" spans="1:19" ht="38" customHeight="1" x14ac:dyDescent="0.2">
      <c r="A75" s="4" t="s">
        <v>4829</v>
      </c>
      <c r="B75" s="4" t="s">
        <v>2569</v>
      </c>
      <c r="C75" s="28" t="str">
        <f>IF(B75="","",IF(COUNTIF('07_スキル辞書'!$A$4:$A$109,B75)&lt;&gt;1,"参照ID不正",IF(INDEX('07_スキル辞書'!$D$4:$D$109,MATCH(B75,'07_スキル辞書'!$A$4:$A$109,0))="","",INDEX('07_スキル辞書'!$D$4:$D$109,MATCH(B75,'07_スキル辞書'!$A$4:$A$109,0)))))</f>
        <v>AI特化テスト設計</v>
      </c>
      <c r="D75" s="6"/>
      <c r="E75" s="6"/>
      <c r="F75" s="6"/>
      <c r="G75" s="6"/>
      <c r="H75" s="6"/>
      <c r="I75" s="28" t="str">
        <f t="shared" si="6"/>
        <v/>
      </c>
      <c r="J75" s="6"/>
      <c r="K75" s="6"/>
      <c r="L75" s="5"/>
      <c r="M75" s="6"/>
      <c r="N75" s="5"/>
      <c r="O75" s="6"/>
      <c r="P75" s="28" t="str">
        <f t="shared" si="7"/>
        <v>未割当</v>
      </c>
      <c r="Q75" s="29"/>
      <c r="R75" s="29"/>
      <c r="S75" s="28" t="str">
        <f t="shared" si="8"/>
        <v>ID一意</v>
      </c>
    </row>
    <row r="76" spans="1:19" ht="38" customHeight="1" x14ac:dyDescent="0.2">
      <c r="A76" s="2" t="s">
        <v>4830</v>
      </c>
      <c r="B76" s="2" t="s">
        <v>2578</v>
      </c>
      <c r="C76" s="28" t="str">
        <f>IF(B76="","",IF(COUNTIF('07_スキル辞書'!$A$4:$A$109,B76)&lt;&gt;1,"参照ID不正",IF(INDEX('07_スキル辞書'!$D$4:$D$109,MATCH(B76,'07_スキル辞書'!$A$4:$A$109,0))="","",INDEX('07_スキル辞書'!$D$4:$D$109,MATCH(B76,'07_スキル辞書'!$A$4:$A$109,0)))))</f>
        <v>ドリフト検知と更新トリガー設計</v>
      </c>
      <c r="D76" s="6"/>
      <c r="E76" s="6"/>
      <c r="F76" s="6"/>
      <c r="G76" s="6"/>
      <c r="H76" s="6"/>
      <c r="I76" s="28" t="str">
        <f t="shared" si="6"/>
        <v/>
      </c>
      <c r="J76" s="6"/>
      <c r="K76" s="6"/>
      <c r="L76" s="5"/>
      <c r="M76" s="6"/>
      <c r="N76" s="5"/>
      <c r="O76" s="6"/>
      <c r="P76" s="28" t="str">
        <f t="shared" si="7"/>
        <v>未割当</v>
      </c>
      <c r="Q76" s="29"/>
      <c r="R76" s="29"/>
      <c r="S76" s="28" t="str">
        <f t="shared" si="8"/>
        <v>ID一意</v>
      </c>
    </row>
    <row r="77" spans="1:19" ht="38" customHeight="1" x14ac:dyDescent="0.2">
      <c r="A77" s="4" t="s">
        <v>4831</v>
      </c>
      <c r="B77" s="4" t="s">
        <v>2587</v>
      </c>
      <c r="C77" s="28" t="str">
        <f>IF(B77="","",IF(COUNTIF('07_スキル辞書'!$A$4:$A$109,B77)&lt;&gt;1,"参照ID不正",IF(INDEX('07_スキル辞書'!$D$4:$D$109,MATCH(B77,'07_スキル辞書'!$A$4:$A$109,0))="","",INDEX('07_スキル辞書'!$D$4:$D$109,MATCH(B77,'07_スキル辞書'!$A$4:$A$109,0)))))</f>
        <v>チャンピオン・チャレンジャー評価設計</v>
      </c>
      <c r="D77" s="6"/>
      <c r="E77" s="6"/>
      <c r="F77" s="6"/>
      <c r="G77" s="6"/>
      <c r="H77" s="6"/>
      <c r="I77" s="28" t="str">
        <f t="shared" si="6"/>
        <v/>
      </c>
      <c r="J77" s="6"/>
      <c r="K77" s="6"/>
      <c r="L77" s="5"/>
      <c r="M77" s="6"/>
      <c r="N77" s="5"/>
      <c r="O77" s="6"/>
      <c r="P77" s="28" t="str">
        <f t="shared" si="7"/>
        <v>未割当</v>
      </c>
      <c r="Q77" s="29"/>
      <c r="R77" s="29"/>
      <c r="S77" s="28" t="str">
        <f t="shared" si="8"/>
        <v>ID一意</v>
      </c>
    </row>
    <row r="78" spans="1:19" ht="38" customHeight="1" x14ac:dyDescent="0.2">
      <c r="A78" s="2" t="s">
        <v>4832</v>
      </c>
      <c r="B78" s="2" t="s">
        <v>2596</v>
      </c>
      <c r="C78" s="28" t="str">
        <f>IF(B78="","",IF(COUNTIF('07_スキル辞書'!$A$4:$A$109,B78)&lt;&gt;1,"参照ID不正",IF(INDEX('07_スキル辞書'!$D$4:$D$109,MATCH(B78,'07_スキル辞書'!$A$4:$A$109,0))="","",INDEX('07_スキル辞書'!$D$4:$D$109,MATCH(B78,'07_スキル辞書'!$A$4:$A$109,0)))))</f>
        <v>モデルカード・データシートの作成</v>
      </c>
      <c r="D78" s="6"/>
      <c r="E78" s="6"/>
      <c r="F78" s="6"/>
      <c r="G78" s="6"/>
      <c r="H78" s="6"/>
      <c r="I78" s="28" t="str">
        <f t="shared" si="6"/>
        <v/>
      </c>
      <c r="J78" s="6"/>
      <c r="K78" s="6"/>
      <c r="L78" s="5"/>
      <c r="M78" s="6"/>
      <c r="N78" s="5"/>
      <c r="O78" s="6"/>
      <c r="P78" s="28" t="str">
        <f t="shared" si="7"/>
        <v>未割当</v>
      </c>
      <c r="Q78" s="29"/>
      <c r="R78" s="29"/>
      <c r="S78" s="28" t="str">
        <f t="shared" si="8"/>
        <v>ID一意</v>
      </c>
    </row>
    <row r="79" spans="1:19" ht="38" customHeight="1" x14ac:dyDescent="0.2">
      <c r="A79" s="4" t="s">
        <v>4833</v>
      </c>
      <c r="B79" s="4" t="s">
        <v>2604</v>
      </c>
      <c r="C79" s="28" t="str">
        <f>IF(B79="","",IF(COUNTIF('07_スキル辞書'!$A$4:$A$109,B79)&lt;&gt;1,"参照ID不正",IF(INDEX('07_スキル辞書'!$D$4:$D$109,MATCH(B79,'07_スキル辞書'!$A$4:$A$109,0))="","",INDEX('07_スキル辞書'!$D$4:$D$109,MATCH(B79,'07_スキル辞書'!$A$4:$A$109,0)))))</f>
        <v>仕様・正本リポジトリ・開発ハーネス</v>
      </c>
      <c r="D79" s="6"/>
      <c r="E79" s="6"/>
      <c r="F79" s="6"/>
      <c r="G79" s="6"/>
      <c r="H79" s="6"/>
      <c r="I79" s="28" t="str">
        <f t="shared" si="6"/>
        <v/>
      </c>
      <c r="J79" s="6"/>
      <c r="K79" s="6"/>
      <c r="L79" s="5"/>
      <c r="M79" s="6"/>
      <c r="N79" s="5"/>
      <c r="O79" s="6"/>
      <c r="P79" s="28" t="str">
        <f t="shared" si="7"/>
        <v>未割当</v>
      </c>
      <c r="Q79" s="29"/>
      <c r="R79" s="29"/>
      <c r="S79" s="28" t="str">
        <f t="shared" si="8"/>
        <v>ID一意</v>
      </c>
    </row>
    <row r="80" spans="1:19" ht="38" customHeight="1" x14ac:dyDescent="0.2">
      <c r="A80" s="2" t="s">
        <v>4834</v>
      </c>
      <c r="B80" s="2" t="s">
        <v>2614</v>
      </c>
      <c r="C80" s="28" t="str">
        <f>IF(B80="","",IF(COUNTIF('07_スキル辞書'!$A$4:$A$109,B80)&lt;&gt;1,"参照ID不正",IF(INDEX('07_スキル辞書'!$D$4:$D$109,MATCH(B80,'07_スキル辞書'!$A$4:$A$109,0))="","",INDEX('07_スキル辞書'!$D$4:$D$109,MATCH(B80,'07_スキル辞書'!$A$4:$A$109,0)))))</f>
        <v>独立評価・採点較正・品質承認証拠</v>
      </c>
      <c r="D80" s="6"/>
      <c r="E80" s="6"/>
      <c r="F80" s="6"/>
      <c r="G80" s="6"/>
      <c r="H80" s="6"/>
      <c r="I80" s="28" t="str">
        <f t="shared" si="6"/>
        <v/>
      </c>
      <c r="J80" s="6"/>
      <c r="K80" s="6"/>
      <c r="L80" s="5"/>
      <c r="M80" s="6"/>
      <c r="N80" s="5"/>
      <c r="O80" s="6"/>
      <c r="P80" s="28" t="str">
        <f t="shared" si="7"/>
        <v>未割当</v>
      </c>
      <c r="Q80" s="29"/>
      <c r="R80" s="29"/>
      <c r="S80" s="28" t="str">
        <f t="shared" si="8"/>
        <v>ID一意</v>
      </c>
    </row>
    <row r="81" spans="1:19" ht="38" customHeight="1" x14ac:dyDescent="0.2">
      <c r="A81" s="4" t="s">
        <v>4835</v>
      </c>
      <c r="B81" s="4" t="s">
        <v>2623</v>
      </c>
      <c r="C81" s="28" t="str">
        <f>IF(B81="","",IF(COUNTIF('07_スキル辞書'!$A$4:$A$109,B81)&lt;&gt;1,"参照ID不正",IF(INDEX('07_スキル辞書'!$D$4:$D$109,MATCH(B81,'07_スキル辞書'!$A$4:$A$109,0))="","",INDEX('07_スキル辞書'!$D$4:$D$109,MATCH(B81,'07_スキル辞書'!$A$4:$A$109,0)))))</f>
        <v>開発エージェントの権限・通信・供給網統制</v>
      </c>
      <c r="D81" s="6"/>
      <c r="E81" s="6"/>
      <c r="F81" s="6"/>
      <c r="G81" s="6"/>
      <c r="H81" s="6"/>
      <c r="I81" s="28" t="str">
        <f t="shared" si="6"/>
        <v/>
      </c>
      <c r="J81" s="6"/>
      <c r="K81" s="6"/>
      <c r="L81" s="5"/>
      <c r="M81" s="6"/>
      <c r="N81" s="5"/>
      <c r="O81" s="6"/>
      <c r="P81" s="28" t="str">
        <f t="shared" si="7"/>
        <v>未割当</v>
      </c>
      <c r="Q81" s="29"/>
      <c r="R81" s="29"/>
      <c r="S81" s="28" t="str">
        <f t="shared" si="8"/>
        <v>ID一意</v>
      </c>
    </row>
    <row r="82" spans="1:19" ht="38" customHeight="1" x14ac:dyDescent="0.2">
      <c r="A82" s="2" t="s">
        <v>4836</v>
      </c>
      <c r="B82" s="2" t="s">
        <v>2632</v>
      </c>
      <c r="C82" s="28" t="str">
        <f>IF(B82="","",IF(COUNTIF('07_スキル辞書'!$A$4:$A$109,B82)&lt;&gt;1,"参照ID不正",IF(INDEX('07_スキル辞書'!$D$4:$D$109,MATCH(B82,'07_スキル辞書'!$A$4:$A$109,0))="","",INDEX('07_スキル辞書'!$D$4:$D$109,MATCH(B82,'07_スキル辞書'!$A$4:$A$109,0)))))</f>
        <v>AI開発効果の実測と段階見積</v>
      </c>
      <c r="D82" s="6"/>
      <c r="E82" s="6"/>
      <c r="F82" s="6"/>
      <c r="G82" s="6"/>
      <c r="H82" s="6"/>
      <c r="I82" s="28" t="str">
        <f t="shared" si="6"/>
        <v/>
      </c>
      <c r="J82" s="6"/>
      <c r="K82" s="6"/>
      <c r="L82" s="5"/>
      <c r="M82" s="6"/>
      <c r="N82" s="5"/>
      <c r="O82" s="6"/>
      <c r="P82" s="28" t="str">
        <f t="shared" si="7"/>
        <v>未割当</v>
      </c>
      <c r="Q82" s="29"/>
      <c r="R82" s="29"/>
      <c r="S82" s="28" t="str">
        <f t="shared" si="8"/>
        <v>ID一意</v>
      </c>
    </row>
    <row r="83" spans="1:19" ht="38" customHeight="1" x14ac:dyDescent="0.2">
      <c r="A83" s="4" t="s">
        <v>4837</v>
      </c>
      <c r="B83" s="4" t="s">
        <v>2641</v>
      </c>
      <c r="C83" s="28" t="str">
        <f>IF(B83="","",IF(COUNTIF('07_スキル辞書'!$A$4:$A$109,B83)&lt;&gt;1,"参照ID不正",IF(INDEX('07_スキル辞書'!$D$4:$D$109,MATCH(B83,'07_スキル辞書'!$A$4:$A$109,0))="","",INDEX('07_スキル辞書'!$D$4:$D$109,MATCH(B83,'07_スキル辞書'!$A$4:$A$109,0)))))</f>
        <v>AI構成一式の更新・復旧・終了管理</v>
      </c>
      <c r="D83" s="6"/>
      <c r="E83" s="6"/>
      <c r="F83" s="6"/>
      <c r="G83" s="6"/>
      <c r="H83" s="6"/>
      <c r="I83" s="28" t="str">
        <f t="shared" si="6"/>
        <v/>
      </c>
      <c r="J83" s="6"/>
      <c r="K83" s="6"/>
      <c r="L83" s="5"/>
      <c r="M83" s="6"/>
      <c r="N83" s="5"/>
      <c r="O83" s="6"/>
      <c r="P83" s="28" t="str">
        <f t="shared" si="7"/>
        <v>未割当</v>
      </c>
      <c r="Q83" s="29"/>
      <c r="R83" s="29"/>
      <c r="S83" s="28" t="str">
        <f t="shared" si="8"/>
        <v>ID一意</v>
      </c>
    </row>
    <row r="84" spans="1:19" ht="38" customHeight="1" x14ac:dyDescent="0.2">
      <c r="A84" s="2" t="s">
        <v>4838</v>
      </c>
      <c r="B84" s="2" t="s">
        <v>2651</v>
      </c>
      <c r="C84" s="28" t="str">
        <f>IF(B84="","",IF(COUNTIF('07_スキル辞書'!$A$4:$A$109,B84)&lt;&gt;1,"参照ID不正",IF(INDEX('07_スキル辞書'!$D$4:$D$109,MATCH(B84,'07_スキル辞書'!$A$4:$A$109,0))="","",INDEX('07_スキル辞書'!$D$4:$D$109,MATCH(B84,'07_スキル辞書'!$A$4:$A$109,0)))))</f>
        <v>リスク比例の投資・公開・継続・変更判断</v>
      </c>
      <c r="D84" s="6"/>
      <c r="E84" s="6"/>
      <c r="F84" s="6"/>
      <c r="G84" s="6"/>
      <c r="H84" s="6"/>
      <c r="I84" s="28" t="str">
        <f t="shared" si="6"/>
        <v/>
      </c>
      <c r="J84" s="6"/>
      <c r="K84" s="6"/>
      <c r="L84" s="5"/>
      <c r="M84" s="6"/>
      <c r="N84" s="5"/>
      <c r="O84" s="6"/>
      <c r="P84" s="28" t="str">
        <f t="shared" si="7"/>
        <v>未割当</v>
      </c>
      <c r="Q84" s="29"/>
      <c r="R84" s="29"/>
      <c r="S84" s="28" t="str">
        <f t="shared" si="8"/>
        <v>ID一意</v>
      </c>
    </row>
    <row r="85" spans="1:19" ht="38" customHeight="1" x14ac:dyDescent="0.2">
      <c r="A85" s="4" t="s">
        <v>4839</v>
      </c>
      <c r="B85" s="4" t="s">
        <v>2661</v>
      </c>
      <c r="C85" s="28" t="str">
        <f>IF(B85="","",IF(COUNTIF('07_スキル辞書'!$A$4:$A$109,B85)&lt;&gt;1,"参照ID不正",IF(INDEX('07_スキル辞書'!$D$4:$D$109,MATCH(B85,'07_スキル辞書'!$A$4:$A$109,0))="","",INDEX('07_スキル辞書'!$D$4:$D$109,MATCH(B85,'07_スキル辞書'!$A$4:$A$109,0)))))</f>
        <v>課題発見と需要の反証</v>
      </c>
      <c r="D85" s="6"/>
      <c r="E85" s="6"/>
      <c r="F85" s="6"/>
      <c r="G85" s="6"/>
      <c r="H85" s="6"/>
      <c r="I85" s="28" t="str">
        <f t="shared" si="6"/>
        <v/>
      </c>
      <c r="J85" s="6"/>
      <c r="K85" s="6"/>
      <c r="L85" s="5"/>
      <c r="M85" s="6"/>
      <c r="N85" s="5"/>
      <c r="O85" s="6"/>
      <c r="P85" s="28" t="str">
        <f t="shared" si="7"/>
        <v>未割当</v>
      </c>
      <c r="Q85" s="29"/>
      <c r="R85" s="29"/>
      <c r="S85" s="28" t="str">
        <f t="shared" si="8"/>
        <v>ID一意</v>
      </c>
    </row>
    <row r="86" spans="1:19" ht="38" customHeight="1" x14ac:dyDescent="0.2">
      <c r="A86" s="2" t="s">
        <v>4840</v>
      </c>
      <c r="B86" s="2" t="s">
        <v>2672</v>
      </c>
      <c r="C86" s="28" t="str">
        <f>IF(B86="","",IF(COUNTIF('07_スキル辞書'!$A$4:$A$109,B86)&lt;&gt;1,"参照ID不正",IF(INDEX('07_スキル辞書'!$D$4:$D$109,MATCH(B86,'07_スキル辞書'!$A$4:$A$109,0))="","",INDEX('07_スキル辞書'!$D$4:$D$109,MATCH(B86,'07_スキル辞書'!$A$4:$A$109,0)))))</f>
        <v>価格・支払意思・パッケージ</v>
      </c>
      <c r="D86" s="6"/>
      <c r="E86" s="6"/>
      <c r="F86" s="6"/>
      <c r="G86" s="6"/>
      <c r="H86" s="6"/>
      <c r="I86" s="28" t="str">
        <f t="shared" si="6"/>
        <v/>
      </c>
      <c r="J86" s="6"/>
      <c r="K86" s="6"/>
      <c r="L86" s="5"/>
      <c r="M86" s="6"/>
      <c r="N86" s="5"/>
      <c r="O86" s="6"/>
      <c r="P86" s="28" t="str">
        <f t="shared" si="7"/>
        <v>未割当</v>
      </c>
      <c r="Q86" s="29"/>
      <c r="R86" s="29"/>
      <c r="S86" s="28" t="str">
        <f t="shared" si="8"/>
        <v>ID一意</v>
      </c>
    </row>
    <row r="87" spans="1:19" ht="38" customHeight="1" x14ac:dyDescent="0.2">
      <c r="A87" s="4" t="s">
        <v>4841</v>
      </c>
      <c r="B87" s="4" t="s">
        <v>2680</v>
      </c>
      <c r="C87" s="28" t="str">
        <f>IF(B87="","",IF(COUNTIF('07_スキル辞書'!$A$4:$A$109,B87)&lt;&gt;1,"参照ID不正",IF(INDEX('07_スキル辞書'!$D$4:$D$109,MATCH(B87,'07_スキル辞書'!$A$4:$A$109,0))="","",INDEX('07_スキル辞書'!$D$4:$D$109,MATCH(B87,'07_スキル辞書'!$A$4:$A$109,0)))))</f>
        <v>収益・価値交換モデル</v>
      </c>
      <c r="D87" s="6"/>
      <c r="E87" s="6"/>
      <c r="F87" s="6"/>
      <c r="G87" s="6"/>
      <c r="H87" s="6"/>
      <c r="I87" s="28" t="str">
        <f t="shared" si="6"/>
        <v/>
      </c>
      <c r="J87" s="6"/>
      <c r="K87" s="6"/>
      <c r="L87" s="5"/>
      <c r="M87" s="6"/>
      <c r="N87" s="5"/>
      <c r="O87" s="6"/>
      <c r="P87" s="28" t="str">
        <f t="shared" si="7"/>
        <v>未割当</v>
      </c>
      <c r="Q87" s="29"/>
      <c r="R87" s="29"/>
      <c r="S87" s="28" t="str">
        <f t="shared" si="8"/>
        <v>ID一意</v>
      </c>
    </row>
    <row r="88" spans="1:19" ht="38" customHeight="1" x14ac:dyDescent="0.2">
      <c r="A88" s="2" t="s">
        <v>4842</v>
      </c>
      <c r="B88" s="2" t="s">
        <v>2688</v>
      </c>
      <c r="C88" s="28" t="str">
        <f>IF(B88="","",IF(COUNTIF('07_スキル辞書'!$A$4:$A$109,B88)&lt;&gt;1,"参照ID不正",IF(INDEX('07_スキル辞書'!$D$4:$D$109,MATCH(B88,'07_スキル辞書'!$A$4:$A$109,0))="","",INDEX('07_スキル辞書'!$D$4:$D$109,MATCH(B88,'07_スキル辞書'!$A$4:$A$109,0)))))</f>
        <v>市場投入・販売・導入設計</v>
      </c>
      <c r="D88" s="6"/>
      <c r="E88" s="6"/>
      <c r="F88" s="6"/>
      <c r="G88" s="6"/>
      <c r="H88" s="6"/>
      <c r="I88" s="28" t="str">
        <f t="shared" si="6"/>
        <v/>
      </c>
      <c r="J88" s="6"/>
      <c r="K88" s="6"/>
      <c r="L88" s="5"/>
      <c r="M88" s="6"/>
      <c r="N88" s="5"/>
      <c r="O88" s="6"/>
      <c r="P88" s="28" t="str">
        <f t="shared" si="7"/>
        <v>未割当</v>
      </c>
      <c r="Q88" s="29"/>
      <c r="R88" s="29"/>
      <c r="S88" s="28" t="str">
        <f t="shared" si="8"/>
        <v>ID一意</v>
      </c>
    </row>
    <row r="89" spans="1:19" ht="38" customHeight="1" x14ac:dyDescent="0.2">
      <c r="A89" s="4" t="s">
        <v>4843</v>
      </c>
      <c r="B89" s="4" t="s">
        <v>2697</v>
      </c>
      <c r="C89" s="28" t="str">
        <f>IF(B89="","",IF(COUNTIF('07_スキル辞書'!$A$4:$A$109,B89)&lt;&gt;1,"参照ID不正",IF(INDEX('07_スキル辞書'!$D$4:$D$109,MATCH(B89,'07_スキル辞書'!$A$4:$A$109,0))="","",INDEX('07_スキル辞書'!$D$4:$D$109,MATCH(B89,'07_スキル辞書'!$A$4:$A$109,0)))))</f>
        <v>ファネル・コホート・継続改善</v>
      </c>
      <c r="D89" s="6"/>
      <c r="E89" s="6"/>
      <c r="F89" s="6"/>
      <c r="G89" s="6"/>
      <c r="H89" s="6"/>
      <c r="I89" s="28" t="str">
        <f t="shared" si="6"/>
        <v/>
      </c>
      <c r="J89" s="6"/>
      <c r="K89" s="6"/>
      <c r="L89" s="5"/>
      <c r="M89" s="6"/>
      <c r="N89" s="5"/>
      <c r="O89" s="6"/>
      <c r="P89" s="28" t="str">
        <f t="shared" si="7"/>
        <v>未割当</v>
      </c>
      <c r="Q89" s="29"/>
      <c r="R89" s="29"/>
      <c r="S89" s="28" t="str">
        <f t="shared" si="8"/>
        <v>ID一意</v>
      </c>
    </row>
    <row r="90" spans="1:19" ht="38" customHeight="1" x14ac:dyDescent="0.2">
      <c r="A90" s="2" t="s">
        <v>4844</v>
      </c>
      <c r="B90" s="2" t="s">
        <v>2705</v>
      </c>
      <c r="C90" s="28" t="str">
        <f>IF(B90="","",IF(COUNTIF('07_スキル辞書'!$A$4:$A$109,B90)&lt;&gt;1,"参照ID不正",IF(INDEX('07_スキル辞書'!$D$4:$D$109,MATCH(B90,'07_スキル辞書'!$A$4:$A$109,0))="","",INDEX('07_スキル辞書'!$D$4:$D$109,MATCH(B90,'07_スキル辞書'!$A$4:$A$109,0)))))</f>
        <v>仮説・実験・反証・意思決定</v>
      </c>
      <c r="D90" s="6"/>
      <c r="E90" s="6"/>
      <c r="F90" s="6"/>
      <c r="G90" s="6"/>
      <c r="H90" s="6"/>
      <c r="I90" s="28" t="str">
        <f t="shared" si="6"/>
        <v/>
      </c>
      <c r="J90" s="6"/>
      <c r="K90" s="6"/>
      <c r="L90" s="5"/>
      <c r="M90" s="6"/>
      <c r="N90" s="5"/>
      <c r="O90" s="6"/>
      <c r="P90" s="28" t="str">
        <f t="shared" si="7"/>
        <v>未割当</v>
      </c>
      <c r="Q90" s="29"/>
      <c r="R90" s="29"/>
      <c r="S90" s="28" t="str">
        <f t="shared" si="8"/>
        <v>ID一意</v>
      </c>
    </row>
    <row r="91" spans="1:19" ht="38" customHeight="1" x14ac:dyDescent="0.2">
      <c r="A91" s="4" t="s">
        <v>4845</v>
      </c>
      <c r="B91" s="4" t="s">
        <v>2714</v>
      </c>
      <c r="C91" s="28" t="str">
        <f>IF(B91="","",IF(COUNTIF('07_スキル辞書'!$A$4:$A$109,B91)&lt;&gt;1,"参照ID不正",IF(INDEX('07_スキル辞書'!$D$4:$D$109,MATCH(B91,'07_スキル辞書'!$A$4:$A$109,0))="","",INDEX('07_スキル辞書'!$D$4:$D$109,MATCH(B91,'07_スキル辞書'!$A$4:$A$109,0)))))</f>
        <v>スキルギャップ・兼務・要員設計</v>
      </c>
      <c r="D91" s="6"/>
      <c r="E91" s="6"/>
      <c r="F91" s="6"/>
      <c r="G91" s="6"/>
      <c r="H91" s="6"/>
      <c r="I91" s="28" t="str">
        <f t="shared" si="6"/>
        <v/>
      </c>
      <c r="J91" s="6"/>
      <c r="K91" s="6"/>
      <c r="L91" s="5"/>
      <c r="M91" s="6"/>
      <c r="N91" s="5"/>
      <c r="O91" s="6"/>
      <c r="P91" s="28" t="str">
        <f t="shared" si="7"/>
        <v>未割当</v>
      </c>
      <c r="Q91" s="29"/>
      <c r="R91" s="29"/>
      <c r="S91" s="28" t="str">
        <f t="shared" si="8"/>
        <v>ID一意</v>
      </c>
    </row>
    <row r="92" spans="1:19" ht="38" customHeight="1" x14ac:dyDescent="0.2">
      <c r="A92" s="2" t="s">
        <v>4846</v>
      </c>
      <c r="B92" s="2" t="s">
        <v>2723</v>
      </c>
      <c r="C92" s="28" t="str">
        <f>IF(B92="","",IF(COUNTIF('07_スキル辞書'!$A$4:$A$109,B92)&lt;&gt;1,"参照ID不正",IF(INDEX('07_スキル辞書'!$D$4:$D$109,MATCH(B92,'07_スキル辞書'!$A$4:$A$109,0))="","",INDEX('07_スキル辞書'!$D$4:$D$109,MATCH(B92,'07_スキル辞書'!$A$4:$A$109,0)))))</f>
        <v>導入・顧客成功・救済</v>
      </c>
      <c r="D92" s="6"/>
      <c r="E92" s="6"/>
      <c r="F92" s="6"/>
      <c r="G92" s="6"/>
      <c r="H92" s="6"/>
      <c r="I92" s="28" t="str">
        <f t="shared" si="6"/>
        <v/>
      </c>
      <c r="J92" s="6"/>
      <c r="K92" s="6"/>
      <c r="L92" s="5"/>
      <c r="M92" s="6"/>
      <c r="N92" s="5"/>
      <c r="O92" s="6"/>
      <c r="P92" s="28" t="str">
        <f t="shared" si="7"/>
        <v>未割当</v>
      </c>
      <c r="Q92" s="29"/>
      <c r="R92" s="29"/>
      <c r="S92" s="28" t="str">
        <f t="shared" si="8"/>
        <v>ID一意</v>
      </c>
    </row>
    <row r="93" spans="1:19" ht="38" customHeight="1" x14ac:dyDescent="0.2">
      <c r="A93" s="4" t="s">
        <v>4847</v>
      </c>
      <c r="B93" s="4" t="s">
        <v>2732</v>
      </c>
      <c r="C93" s="28" t="str">
        <f>IF(B93="","",IF(COUNTIF('07_スキル辞書'!$A$4:$A$109,B93)&lt;&gt;1,"参照ID不正",IF(INDEX('07_スキル辞書'!$D$4:$D$109,MATCH(B93,'07_スキル辞書'!$A$4:$A$109,0))="","",INDEX('07_スキル辞書'!$D$4:$D$109,MATCH(B93,'07_スキル辞書'!$A$4:$A$109,0)))))</f>
        <v>価値指標・計測・意思決定分析</v>
      </c>
      <c r="D93" s="6"/>
      <c r="E93" s="6"/>
      <c r="F93" s="6"/>
      <c r="G93" s="6"/>
      <c r="H93" s="6"/>
      <c r="I93" s="28" t="str">
        <f t="shared" si="6"/>
        <v/>
      </c>
      <c r="J93" s="6"/>
      <c r="K93" s="6"/>
      <c r="L93" s="5"/>
      <c r="M93" s="6"/>
      <c r="N93" s="5"/>
      <c r="O93" s="6"/>
      <c r="P93" s="28" t="str">
        <f t="shared" si="7"/>
        <v>未割当</v>
      </c>
      <c r="Q93" s="29"/>
      <c r="R93" s="29"/>
      <c r="S93" s="28" t="str">
        <f t="shared" si="8"/>
        <v>ID一意</v>
      </c>
    </row>
    <row r="94" spans="1:19" ht="38" customHeight="1" x14ac:dyDescent="0.2">
      <c r="A94" s="2" t="s">
        <v>4848</v>
      </c>
      <c r="B94" s="2" t="s">
        <v>2742</v>
      </c>
      <c r="C94" s="28" t="str">
        <f>IF(B94="","",IF(COUNTIF('07_スキル辞書'!$A$4:$A$109,B94)&lt;&gt;1,"参照ID不正",IF(INDEX('07_スキル辞書'!$D$4:$D$109,MATCH(B94,'07_スキル辞書'!$A$4:$A$109,0))="","",INDEX('07_スキル辞書'!$D$4:$D$109,MATCH(B94,'07_スキル辞書'!$A$4:$A$109,0)))))</f>
        <v>利用量計測・課金・返金</v>
      </c>
      <c r="D94" s="6"/>
      <c r="E94" s="6"/>
      <c r="F94" s="6"/>
      <c r="G94" s="6"/>
      <c r="H94" s="6"/>
      <c r="I94" s="28" t="str">
        <f t="shared" si="6"/>
        <v/>
      </c>
      <c r="J94" s="6"/>
      <c r="K94" s="6"/>
      <c r="L94" s="5"/>
      <c r="M94" s="6"/>
      <c r="N94" s="5"/>
      <c r="O94" s="6"/>
      <c r="P94" s="28" t="str">
        <f t="shared" si="7"/>
        <v>未割当</v>
      </c>
      <c r="Q94" s="29"/>
      <c r="R94" s="29"/>
      <c r="S94" s="28" t="str">
        <f t="shared" si="8"/>
        <v>ID一意</v>
      </c>
    </row>
    <row r="95" spans="1:19" ht="38" customHeight="1" x14ac:dyDescent="0.2">
      <c r="A95" s="4" t="s">
        <v>4849</v>
      </c>
      <c r="B95" s="4" t="s">
        <v>2753</v>
      </c>
      <c r="C95" s="28" t="str">
        <f>IF(B95="","",IF(COUNTIF('07_スキル辞書'!$A$4:$A$109,B95)&lt;&gt;1,"参照ID不正",IF(INDEX('07_スキル辞書'!$D$4:$D$109,MATCH(B95,'07_スキル辞書'!$A$4:$A$109,0))="","",INDEX('07_スキル辞書'!$D$4:$D$109,MATCH(B95,'07_スキル辞書'!$A$4:$A$109,0)))))</f>
        <v>Build/Buy/Partnerと調達判断</v>
      </c>
      <c r="D95" s="6"/>
      <c r="E95" s="6"/>
      <c r="F95" s="6"/>
      <c r="G95" s="6"/>
      <c r="H95" s="6"/>
      <c r="I95" s="28" t="str">
        <f t="shared" si="6"/>
        <v/>
      </c>
      <c r="J95" s="6"/>
      <c r="K95" s="6"/>
      <c r="L95" s="5"/>
      <c r="M95" s="6"/>
      <c r="N95" s="5"/>
      <c r="O95" s="6"/>
      <c r="P95" s="28" t="str">
        <f t="shared" si="7"/>
        <v>未割当</v>
      </c>
      <c r="Q95" s="29"/>
      <c r="R95" s="29"/>
      <c r="S95" s="28" t="str">
        <f t="shared" si="8"/>
        <v>ID一意</v>
      </c>
    </row>
    <row r="96" spans="1:19" ht="38" customHeight="1" x14ac:dyDescent="0.2">
      <c r="A96" s="2" t="s">
        <v>4850</v>
      </c>
      <c r="B96" s="2" t="s">
        <v>2761</v>
      </c>
      <c r="C96" s="28" t="str">
        <f>IF(B96="","",IF(COUNTIF('07_スキル辞書'!$A$4:$A$109,B96)&lt;&gt;1,"参照ID不正",IF(INDEX('07_スキル辞書'!$D$4:$D$109,MATCH(B96,'07_スキル辞書'!$A$4:$A$109,0))="","",INDEX('07_スキル辞書'!$D$4:$D$109,MATCH(B96,'07_スキル辞書'!$A$4:$A$109,0)))))</f>
        <v>成功単位原価・限界利益・費用境界</v>
      </c>
      <c r="D96" s="6"/>
      <c r="E96" s="6"/>
      <c r="F96" s="6"/>
      <c r="G96" s="6"/>
      <c r="H96" s="6"/>
      <c r="I96" s="28" t="str">
        <f t="shared" si="6"/>
        <v/>
      </c>
      <c r="J96" s="6"/>
      <c r="K96" s="6"/>
      <c r="L96" s="5"/>
      <c r="M96" s="6"/>
      <c r="N96" s="5"/>
      <c r="O96" s="6"/>
      <c r="P96" s="28" t="str">
        <f t="shared" si="7"/>
        <v>未割当</v>
      </c>
      <c r="Q96" s="29"/>
      <c r="R96" s="29"/>
      <c r="S96" s="28" t="str">
        <f t="shared" si="8"/>
        <v>ID一意</v>
      </c>
    </row>
    <row r="97" spans="1:19" ht="38" customHeight="1" x14ac:dyDescent="0.2">
      <c r="A97" s="4" t="s">
        <v>4851</v>
      </c>
      <c r="B97" s="4" t="s">
        <v>2771</v>
      </c>
      <c r="C97" s="28" t="str">
        <f>IF(B97="","",IF(COUNTIF('07_スキル辞書'!$A$4:$A$109,B97)&lt;&gt;1,"参照ID不正",IF(INDEX('07_スキル辞書'!$D$4:$D$109,MATCH(B97,'07_スキル辞書'!$A$4:$A$109,0))="","",INDEX('07_スキル辞書'!$D$4:$D$109,MATCH(B97,'07_スキル辞書'!$A$4:$A$109,0)))))</f>
        <v>モデル・Provider・処理条件・EOL管理</v>
      </c>
      <c r="D97" s="6"/>
      <c r="E97" s="6"/>
      <c r="F97" s="6"/>
      <c r="G97" s="6"/>
      <c r="H97" s="6"/>
      <c r="I97" s="28" t="str">
        <f t="shared" si="6"/>
        <v/>
      </c>
      <c r="J97" s="6"/>
      <c r="K97" s="6"/>
      <c r="L97" s="5"/>
      <c r="M97" s="6"/>
      <c r="N97" s="5"/>
      <c r="O97" s="6"/>
      <c r="P97" s="28" t="str">
        <f t="shared" si="7"/>
        <v>未割当</v>
      </c>
      <c r="Q97" s="29"/>
      <c r="R97" s="29"/>
      <c r="S97" s="28" t="str">
        <f t="shared" si="8"/>
        <v>ID一意</v>
      </c>
    </row>
    <row r="98" spans="1:19" ht="38" customHeight="1" x14ac:dyDescent="0.2">
      <c r="A98" s="2" t="s">
        <v>4852</v>
      </c>
      <c r="B98" s="2" t="s">
        <v>2780</v>
      </c>
      <c r="C98" s="28" t="str">
        <f>IF(B98="","",IF(COUNTIF('07_スキル辞書'!$A$4:$A$109,B98)&lt;&gt;1,"参照ID不正",IF(INDEX('07_スキル辞書'!$D$4:$D$109,MATCH(B98,'07_スキル辞書'!$A$4:$A$109,0))="","",INDEX('07_スキル辞書'!$D$4:$D$109,MATCH(B98,'07_スキル辞書'!$A$4:$A$109,0)))))</f>
        <v>適切な信頼・説明・介入UX</v>
      </c>
      <c r="D98" s="6"/>
      <c r="E98" s="6"/>
      <c r="F98" s="6"/>
      <c r="G98" s="6"/>
      <c r="H98" s="6"/>
      <c r="I98" s="28" t="str">
        <f t="shared" si="6"/>
        <v/>
      </c>
      <c r="J98" s="6"/>
      <c r="K98" s="6"/>
      <c r="L98" s="5"/>
      <c r="M98" s="6"/>
      <c r="N98" s="5"/>
      <c r="O98" s="6"/>
      <c r="P98" s="28" t="str">
        <f t="shared" si="7"/>
        <v>未割当</v>
      </c>
      <c r="Q98" s="29"/>
      <c r="R98" s="29"/>
      <c r="S98" s="28" t="str">
        <f t="shared" si="8"/>
        <v>ID一意</v>
      </c>
    </row>
    <row r="99" spans="1:19" ht="38" customHeight="1" x14ac:dyDescent="0.2">
      <c r="A99" s="4" t="s">
        <v>4853</v>
      </c>
      <c r="B99" s="4" t="s">
        <v>2790</v>
      </c>
      <c r="C99" s="28" t="str">
        <f>IF(B99="","",IF(COUNTIF('07_スキル辞書'!$A$4:$A$109,B99)&lt;&gt;1,"参照ID不正",IF(INDEX('07_スキル辞書'!$D$4:$D$109,MATCH(B99,'07_スキル辞書'!$A$4:$A$109,0))="","",INDEX('07_スキル辞書'!$D$4:$D$109,MATCH(B99,'07_スキル辞書'!$A$4:$A$109,0)))))</f>
        <v>包摂的なAIサービス設計</v>
      </c>
      <c r="D99" s="6"/>
      <c r="E99" s="6"/>
      <c r="F99" s="6"/>
      <c r="G99" s="6"/>
      <c r="H99" s="6"/>
      <c r="I99" s="28" t="str">
        <f t="shared" si="6"/>
        <v/>
      </c>
      <c r="J99" s="6"/>
      <c r="K99" s="6"/>
      <c r="L99" s="5"/>
      <c r="M99" s="6"/>
      <c r="N99" s="5"/>
      <c r="O99" s="6"/>
      <c r="P99" s="28" t="str">
        <f t="shared" si="7"/>
        <v>未割当</v>
      </c>
      <c r="Q99" s="29"/>
      <c r="R99" s="29"/>
      <c r="S99" s="28" t="str">
        <f t="shared" si="8"/>
        <v>ID一意</v>
      </c>
    </row>
    <row r="100" spans="1:19" ht="38" customHeight="1" x14ac:dyDescent="0.2">
      <c r="A100" s="2" t="s">
        <v>4854</v>
      </c>
      <c r="B100" s="2" t="s">
        <v>2799</v>
      </c>
      <c r="C100" s="28" t="str">
        <f>IF(B100="","",IF(COUNTIF('07_スキル辞書'!$A$4:$A$109,B100)&lt;&gt;1,"参照ID不正",IF(INDEX('07_スキル辞書'!$D$4:$D$109,MATCH(B100,'07_スキル辞書'!$A$4:$A$109,0))="","",INDEX('07_スキル辞書'!$D$4:$D$109,MATCH(B100,'07_スキル辞書'!$A$4:$A$109,0)))))</f>
        <v>Agent Skillの設計・審査・ライフサイクル</v>
      </c>
      <c r="D100" s="6"/>
      <c r="E100" s="6"/>
      <c r="F100" s="6"/>
      <c r="G100" s="6"/>
      <c r="H100" s="6"/>
      <c r="I100" s="28" t="str">
        <f t="shared" ref="I100:I131" si="9">IF(OR(COUNT(G100:H100)&lt;2,IFERROR(MIN(G100:H100)&lt;0,TRUE),IFERROR(MAX(G100:H100)&gt;3,TRUE),IFERROR(MOD(G100,1)&lt;&gt;0,TRUE),IFERROR(MOD(H100,1)&lt;&gt;0,TRUE)),"",MAX(0,G100-H100))</f>
        <v/>
      </c>
      <c r="J100" s="6"/>
      <c r="K100" s="6"/>
      <c r="L100" s="5"/>
      <c r="M100" s="6"/>
      <c r="N100" s="5"/>
      <c r="O100" s="6"/>
      <c r="P100" s="28" t="str">
        <f t="shared" ref="P100:P131" si="10">IF(AND(D100="",Q100=""),"未割当",IF(OR(COUNTIF(SkillIDs,B100)&lt;&gt;1,COUNTIF(RoleIDs,E100)&lt;&gt;1,S100&lt;&gt;"ID一意"),"Skill／Role／記録ID不正",IF(OR(COUNT(G100:H100)&lt;2,IFERROR(MIN(G100:H100)&lt;0,TRUE),IFERROR(MAX(G100:H100)&gt;3,TRUE),IFERROR(MOD(G100,1)&lt;&gt;0,TRUE),IFERROR(MOD(H100,1)&lt;&gt;0,TRUE)),"習熟度不正",IF(OR(OR(D100="",F100="",J100="",K100="",Q100="",R100=""),NOT(ISNUMBER(L100))),"評価証拠不足",IF(OR(AND(L100&lt;&gt;"",OR(NOT(ISNUMBER(L100)),IFERROR(L100&lt;1,TRUE),IFERROR(INT(L100)&gt;INT(AsOfDate),TRUE)))),"評価日不正",IF(OR(Q100=R100,D100=K100),"自己申告・第三者確認前","第三者評価記録あり"))))))</f>
        <v>未割当</v>
      </c>
      <c r="Q100" s="29"/>
      <c r="R100" s="29"/>
      <c r="S100" s="28" t="str">
        <f t="shared" ref="S100:S131" si="11">IF(A100="","",IF(COUNTIF($A$4:$A$203,A100)&lt;&gt;1,"評価記録ID重複","ID一意"))</f>
        <v>ID一意</v>
      </c>
    </row>
    <row r="101" spans="1:19" ht="38" customHeight="1" x14ac:dyDescent="0.2">
      <c r="A101" s="4" t="s">
        <v>4855</v>
      </c>
      <c r="B101" s="4" t="s">
        <v>2809</v>
      </c>
      <c r="C101" s="28" t="str">
        <f>IF(B101="","",IF(COUNTIF('07_スキル辞書'!$A$4:$A$109,B101)&lt;&gt;1,"参照ID不正",IF(INDEX('07_スキル辞書'!$D$4:$D$109,MATCH(B101,'07_スキル辞書'!$A$4:$A$109,0))="","",INDEX('07_スキル辞書'!$D$4:$D$109,MATCH(B101,'07_スキル辞書'!$A$4:$A$109,0)))))</f>
        <v>正本文脈・鮮度・段階読込</v>
      </c>
      <c r="D101" s="6"/>
      <c r="E101" s="6"/>
      <c r="F101" s="6"/>
      <c r="G101" s="6"/>
      <c r="H101" s="6"/>
      <c r="I101" s="28" t="str">
        <f t="shared" si="9"/>
        <v/>
      </c>
      <c r="J101" s="6"/>
      <c r="K101" s="6"/>
      <c r="L101" s="5"/>
      <c r="M101" s="6"/>
      <c r="N101" s="5"/>
      <c r="O101" s="6"/>
      <c r="P101" s="28" t="str">
        <f t="shared" si="10"/>
        <v>未割当</v>
      </c>
      <c r="Q101" s="29"/>
      <c r="R101" s="29"/>
      <c r="S101" s="28" t="str">
        <f t="shared" si="11"/>
        <v>ID一意</v>
      </c>
    </row>
    <row r="102" spans="1:19" ht="38" customHeight="1" x14ac:dyDescent="0.2">
      <c r="A102" s="2" t="s">
        <v>4856</v>
      </c>
      <c r="B102" s="2" t="s">
        <v>2818</v>
      </c>
      <c r="C102" s="28" t="str">
        <f>IF(B102="","",IF(COUNTIF('07_スキル辞書'!$A$4:$A$109,B102)&lt;&gt;1,"参照ID不正",IF(INDEX('07_スキル辞書'!$D$4:$D$109,MATCH(B102,'07_スキル辞書'!$A$4:$A$109,0))="","",INDEX('07_スキル辞書'!$D$4:$D$109,MATCH(B102,'07_スキル辞書'!$A$4:$A$109,0)))))</f>
        <v>Tool/MCP認可・副作用・実行制御</v>
      </c>
      <c r="D102" s="6"/>
      <c r="E102" s="6"/>
      <c r="F102" s="6"/>
      <c r="G102" s="6"/>
      <c r="H102" s="6"/>
      <c r="I102" s="28" t="str">
        <f t="shared" si="9"/>
        <v/>
      </c>
      <c r="J102" s="6"/>
      <c r="K102" s="6"/>
      <c r="L102" s="5"/>
      <c r="M102" s="6"/>
      <c r="N102" s="5"/>
      <c r="O102" s="6"/>
      <c r="P102" s="28" t="str">
        <f t="shared" si="10"/>
        <v>未割当</v>
      </c>
      <c r="Q102" s="29"/>
      <c r="R102" s="29"/>
      <c r="S102" s="28" t="str">
        <f t="shared" si="11"/>
        <v>ID一意</v>
      </c>
    </row>
    <row r="103" spans="1:19" ht="38" customHeight="1" x14ac:dyDescent="0.2">
      <c r="A103" s="4" t="s">
        <v>4857</v>
      </c>
      <c r="B103" s="4" t="s">
        <v>2827</v>
      </c>
      <c r="C103" s="28" t="str">
        <f>IF(B103="","",IF(COUNTIF('07_スキル辞書'!$A$4:$A$109,B103)&lt;&gt;1,"参照ID不正",IF(INDEX('07_スキル辞書'!$D$4:$D$109,MATCH(B103,'07_スキル辞書'!$A$4:$A$109,0))="","",INDEX('07_スキル辞書'!$D$4:$D$109,MATCH(B103,'07_スキル辞書'!$A$4:$A$109,0)))))</f>
        <v>有界ループ・実行環境・検証設計</v>
      </c>
      <c r="D103" s="6"/>
      <c r="E103" s="6"/>
      <c r="F103" s="6"/>
      <c r="G103" s="6"/>
      <c r="H103" s="6"/>
      <c r="I103" s="28" t="str">
        <f t="shared" si="9"/>
        <v/>
      </c>
      <c r="J103" s="6"/>
      <c r="K103" s="6"/>
      <c r="L103" s="5"/>
      <c r="M103" s="6"/>
      <c r="N103" s="5"/>
      <c r="O103" s="6"/>
      <c r="P103" s="28" t="str">
        <f t="shared" si="10"/>
        <v>未割当</v>
      </c>
      <c r="Q103" s="29"/>
      <c r="R103" s="29"/>
      <c r="S103" s="28" t="str">
        <f t="shared" si="11"/>
        <v>ID一意</v>
      </c>
    </row>
    <row r="104" spans="1:19" ht="38" customHeight="1" x14ac:dyDescent="0.2">
      <c r="A104" s="2" t="s">
        <v>4858</v>
      </c>
      <c r="B104" s="2" t="s">
        <v>2836</v>
      </c>
      <c r="C104" s="28" t="str">
        <f>IF(B104="","",IF(COUNTIF('07_スキル辞書'!$A$4:$A$109,B104)&lt;&gt;1,"参照ID不正",IF(INDEX('07_スキル辞書'!$D$4:$D$109,MATCH(B104,'07_スキル辞書'!$A$4:$A$109,0))="","",INDEX('07_スキル辞書'!$D$4:$D$109,MATCH(B104,'07_スキル辞書'!$A$4:$A$109,0)))))</f>
        <v>並列Agent・checkpoint・handoff</v>
      </c>
      <c r="D104" s="6"/>
      <c r="E104" s="6"/>
      <c r="F104" s="6"/>
      <c r="G104" s="6"/>
      <c r="H104" s="6"/>
      <c r="I104" s="28" t="str">
        <f t="shared" si="9"/>
        <v/>
      </c>
      <c r="J104" s="6"/>
      <c r="K104" s="6"/>
      <c r="L104" s="5"/>
      <c r="M104" s="6"/>
      <c r="N104" s="5"/>
      <c r="O104" s="6"/>
      <c r="P104" s="28" t="str">
        <f t="shared" si="10"/>
        <v>未割当</v>
      </c>
      <c r="Q104" s="29"/>
      <c r="R104" s="29"/>
      <c r="S104" s="28" t="str">
        <f t="shared" si="11"/>
        <v>ID一意</v>
      </c>
    </row>
    <row r="105" spans="1:19" ht="38" customHeight="1" x14ac:dyDescent="0.2">
      <c r="A105" s="4" t="s">
        <v>4859</v>
      </c>
      <c r="B105" s="4" t="s">
        <v>2845</v>
      </c>
      <c r="C105" s="28" t="str">
        <f>IF(B105="","",IF(COUNTIF('07_スキル辞書'!$A$4:$A$109,B105)&lt;&gt;1,"参照ID不正",IF(INDEX('07_スキル辞書'!$D$4:$D$109,MATCH(B105,'07_スキル辞書'!$A$4:$A$109,0))="","",INDEX('07_スキル辞書'!$D$4:$D$109,MATCH(B105,'07_スキル辞書'!$A$4:$A$109,0)))))</f>
        <v>顧客通知・重大度・救済の連携</v>
      </c>
      <c r="D105" s="6"/>
      <c r="E105" s="6"/>
      <c r="F105" s="6"/>
      <c r="G105" s="6"/>
      <c r="H105" s="6"/>
      <c r="I105" s="28" t="str">
        <f t="shared" si="9"/>
        <v/>
      </c>
      <c r="J105" s="6"/>
      <c r="K105" s="6"/>
      <c r="L105" s="5"/>
      <c r="M105" s="6"/>
      <c r="N105" s="5"/>
      <c r="O105" s="6"/>
      <c r="P105" s="28" t="str">
        <f t="shared" si="10"/>
        <v>未割当</v>
      </c>
      <c r="Q105" s="29"/>
      <c r="R105" s="29"/>
      <c r="S105" s="28" t="str">
        <f t="shared" si="11"/>
        <v>ID一意</v>
      </c>
    </row>
    <row r="106" spans="1:19" ht="38" customHeight="1" x14ac:dyDescent="0.2">
      <c r="A106" s="2" t="s">
        <v>4860</v>
      </c>
      <c r="B106" s="2" t="s">
        <v>2854</v>
      </c>
      <c r="C106" s="28" t="str">
        <f>IF(B106="","",IF(COUNTIF('07_スキル辞書'!$A$4:$A$109,B106)&lt;&gt;1,"参照ID不正",IF(INDEX('07_スキル辞書'!$D$4:$D$109,MATCH(B106,'07_スキル辞書'!$A$4:$A$109,0))="","",INDEX('07_スキル辞書'!$D$4:$D$109,MATCH(B106,'07_スキル辞書'!$A$4:$A$109,0)))))</f>
        <v>移管・削除・権限失効・請求終了</v>
      </c>
      <c r="D106" s="6"/>
      <c r="E106" s="6"/>
      <c r="F106" s="6"/>
      <c r="G106" s="6"/>
      <c r="H106" s="6"/>
      <c r="I106" s="28" t="str">
        <f t="shared" si="9"/>
        <v/>
      </c>
      <c r="J106" s="6"/>
      <c r="K106" s="6"/>
      <c r="L106" s="5"/>
      <c r="M106" s="6"/>
      <c r="N106" s="5"/>
      <c r="O106" s="6"/>
      <c r="P106" s="28" t="str">
        <f t="shared" si="10"/>
        <v>未割当</v>
      </c>
      <c r="Q106" s="29"/>
      <c r="R106" s="29"/>
      <c r="S106" s="28" t="str">
        <f t="shared" si="11"/>
        <v>ID一意</v>
      </c>
    </row>
    <row r="107" spans="1:19" ht="38" customHeight="1" x14ac:dyDescent="0.2">
      <c r="A107" s="4" t="s">
        <v>4861</v>
      </c>
      <c r="B107" s="4" t="s">
        <v>2863</v>
      </c>
      <c r="C107" s="28" t="str">
        <f>IF(B107="","",IF(COUNTIF('07_スキル辞書'!$A$4:$A$109,B107)&lt;&gt;1,"参照ID不正",IF(INDEX('07_スキル辞書'!$D$4:$D$109,MATCH(B107,'07_スキル辞書'!$A$4:$A$109,0))="","",INDEX('07_スキル辞書'!$D$4:$D$109,MATCH(B107,'07_スキル辞書'!$A$4:$A$109,0)))))</f>
        <v>段階投資・学習価値・Pivot/Stop</v>
      </c>
      <c r="D107" s="6"/>
      <c r="E107" s="6"/>
      <c r="F107" s="6"/>
      <c r="G107" s="6"/>
      <c r="H107" s="6"/>
      <c r="I107" s="28" t="str">
        <f t="shared" si="9"/>
        <v/>
      </c>
      <c r="J107" s="6"/>
      <c r="K107" s="6"/>
      <c r="L107" s="5"/>
      <c r="M107" s="6"/>
      <c r="N107" s="5"/>
      <c r="O107" s="6"/>
      <c r="P107" s="28" t="str">
        <f t="shared" si="10"/>
        <v>未割当</v>
      </c>
      <c r="Q107" s="29"/>
      <c r="R107" s="29"/>
      <c r="S107" s="28" t="str">
        <f t="shared" si="11"/>
        <v>ID一意</v>
      </c>
    </row>
    <row r="108" spans="1:19" ht="38" customHeight="1" x14ac:dyDescent="0.2">
      <c r="A108" s="2" t="s">
        <v>4862</v>
      </c>
      <c r="B108" s="2" t="s">
        <v>2873</v>
      </c>
      <c r="C108" s="28" t="str">
        <f>IF(B108="","",IF(COUNTIF('07_スキル辞書'!$A$4:$A$109,B108)&lt;&gt;1,"参照ID不正",IF(INDEX('07_スキル辞書'!$D$4:$D$109,MATCH(B108,'07_スキル辞書'!$A$4:$A$109,0))="","",INDEX('07_スキル辞書'!$D$4:$D$109,MATCH(B108,'07_スキル辞書'!$A$4:$A$109,0)))))</f>
        <v>AI生成物・依存・成果物の来歴</v>
      </c>
      <c r="D108" s="6"/>
      <c r="E108" s="6"/>
      <c r="F108" s="6"/>
      <c r="G108" s="6"/>
      <c r="H108" s="6"/>
      <c r="I108" s="28" t="str">
        <f t="shared" si="9"/>
        <v/>
      </c>
      <c r="J108" s="6"/>
      <c r="K108" s="6"/>
      <c r="L108" s="5"/>
      <c r="M108" s="6"/>
      <c r="N108" s="5"/>
      <c r="O108" s="6"/>
      <c r="P108" s="28" t="str">
        <f t="shared" si="10"/>
        <v>未割当</v>
      </c>
      <c r="Q108" s="29"/>
      <c r="R108" s="29"/>
      <c r="S108" s="28" t="str">
        <f t="shared" si="11"/>
        <v>ID一意</v>
      </c>
    </row>
    <row r="109" spans="1:19" ht="38" customHeight="1" x14ac:dyDescent="0.2">
      <c r="A109" s="4" t="s">
        <v>4863</v>
      </c>
      <c r="B109" s="4" t="s">
        <v>2883</v>
      </c>
      <c r="C109" s="28" t="str">
        <f>IF(B109="","",IF(COUNTIF('07_スキル辞書'!$A$4:$A$109,B109)&lt;&gt;1,"参照ID不正",IF(INDEX('07_スキル辞書'!$D$4:$D$109,MATCH(B109,'07_スキル辞書'!$A$4:$A$109,0))="","",INDEX('07_スキル辞書'!$D$4:$D$109,MATCH(B109,'07_スキル辞書'!$A$4:$A$109,0)))))</f>
        <v>レビュー容量・WIP・品質調整済み速度</v>
      </c>
      <c r="D109" s="6"/>
      <c r="E109" s="6"/>
      <c r="F109" s="6"/>
      <c r="G109" s="6"/>
      <c r="H109" s="6"/>
      <c r="I109" s="28" t="str">
        <f t="shared" si="9"/>
        <v/>
      </c>
      <c r="J109" s="6"/>
      <c r="K109" s="6"/>
      <c r="L109" s="5"/>
      <c r="M109" s="6"/>
      <c r="N109" s="5"/>
      <c r="O109" s="6"/>
      <c r="P109" s="28" t="str">
        <f t="shared" si="10"/>
        <v>未割当</v>
      </c>
      <c r="Q109" s="29"/>
      <c r="R109" s="29"/>
      <c r="S109" s="28" t="str">
        <f t="shared" si="11"/>
        <v>ID一意</v>
      </c>
    </row>
    <row r="110" spans="1:19" ht="13.5" x14ac:dyDescent="0.2">
      <c r="A110" s="29"/>
      <c r="B110" s="29"/>
      <c r="C110" s="28" t="str">
        <f>IF(B110="","",IF(COUNTIF('07_スキル辞書'!$A$4:$A$109,B110)&lt;&gt;1,"参照ID不正",IF(INDEX('07_スキル辞書'!$D$4:$D$109,MATCH(B110,'07_スキル辞書'!$A$4:$A$109,0))="","",INDEX('07_スキル辞書'!$D$4:$D$109,MATCH(B110,'07_スキル辞書'!$A$4:$A$109,0)))))</f>
        <v/>
      </c>
      <c r="D110" s="29"/>
      <c r="E110" s="29"/>
      <c r="F110" s="29"/>
      <c r="G110" s="29"/>
      <c r="H110" s="29"/>
      <c r="I110" s="28" t="str">
        <f t="shared" si="9"/>
        <v/>
      </c>
      <c r="J110" s="29"/>
      <c r="K110" s="29"/>
      <c r="L110" s="32"/>
      <c r="M110" s="29"/>
      <c r="N110" s="32"/>
      <c r="O110" s="29"/>
      <c r="P110" s="28" t="str">
        <f t="shared" si="10"/>
        <v>未割当</v>
      </c>
      <c r="Q110" s="29"/>
      <c r="R110" s="29"/>
      <c r="S110" s="28" t="str">
        <f t="shared" si="11"/>
        <v/>
      </c>
    </row>
    <row r="111" spans="1:19" ht="13.5" x14ac:dyDescent="0.2">
      <c r="A111" s="29"/>
      <c r="B111" s="29"/>
      <c r="C111" s="28" t="str">
        <f>IF(B111="","",IF(COUNTIF('07_スキル辞書'!$A$4:$A$109,B111)&lt;&gt;1,"参照ID不正",IF(INDEX('07_スキル辞書'!$D$4:$D$109,MATCH(B111,'07_スキル辞書'!$A$4:$A$109,0))="","",INDEX('07_スキル辞書'!$D$4:$D$109,MATCH(B111,'07_スキル辞書'!$A$4:$A$109,0)))))</f>
        <v/>
      </c>
      <c r="D111" s="29"/>
      <c r="E111" s="29"/>
      <c r="F111" s="29"/>
      <c r="G111" s="29"/>
      <c r="H111" s="29"/>
      <c r="I111" s="28" t="str">
        <f t="shared" si="9"/>
        <v/>
      </c>
      <c r="J111" s="29"/>
      <c r="K111" s="29"/>
      <c r="L111" s="32"/>
      <c r="M111" s="29"/>
      <c r="N111" s="32"/>
      <c r="O111" s="29"/>
      <c r="P111" s="28" t="str">
        <f t="shared" si="10"/>
        <v>未割当</v>
      </c>
      <c r="Q111" s="29"/>
      <c r="R111" s="29"/>
      <c r="S111" s="28" t="str">
        <f t="shared" si="11"/>
        <v/>
      </c>
    </row>
    <row r="112" spans="1:19" ht="13.5" x14ac:dyDescent="0.2">
      <c r="A112" s="29"/>
      <c r="B112" s="29"/>
      <c r="C112" s="28" t="str">
        <f>IF(B112="","",IF(COUNTIF('07_スキル辞書'!$A$4:$A$109,B112)&lt;&gt;1,"参照ID不正",IF(INDEX('07_スキル辞書'!$D$4:$D$109,MATCH(B112,'07_スキル辞書'!$A$4:$A$109,0))="","",INDEX('07_スキル辞書'!$D$4:$D$109,MATCH(B112,'07_スキル辞書'!$A$4:$A$109,0)))))</f>
        <v/>
      </c>
      <c r="D112" s="29"/>
      <c r="E112" s="29"/>
      <c r="F112" s="29"/>
      <c r="G112" s="29"/>
      <c r="H112" s="29"/>
      <c r="I112" s="28" t="str">
        <f t="shared" si="9"/>
        <v/>
      </c>
      <c r="J112" s="29"/>
      <c r="K112" s="29"/>
      <c r="L112" s="32"/>
      <c r="M112" s="29"/>
      <c r="N112" s="32"/>
      <c r="O112" s="29"/>
      <c r="P112" s="28" t="str">
        <f t="shared" si="10"/>
        <v>未割当</v>
      </c>
      <c r="Q112" s="29"/>
      <c r="R112" s="29"/>
      <c r="S112" s="28" t="str">
        <f t="shared" si="11"/>
        <v/>
      </c>
    </row>
    <row r="113" spans="1:19" ht="13.5" x14ac:dyDescent="0.2">
      <c r="A113" s="29"/>
      <c r="B113" s="29"/>
      <c r="C113" s="28" t="str">
        <f>IF(B113="","",IF(COUNTIF('07_スキル辞書'!$A$4:$A$109,B113)&lt;&gt;1,"参照ID不正",IF(INDEX('07_スキル辞書'!$D$4:$D$109,MATCH(B113,'07_スキル辞書'!$A$4:$A$109,0))="","",INDEX('07_スキル辞書'!$D$4:$D$109,MATCH(B113,'07_スキル辞書'!$A$4:$A$109,0)))))</f>
        <v/>
      </c>
      <c r="D113" s="29"/>
      <c r="E113" s="29"/>
      <c r="F113" s="29"/>
      <c r="G113" s="29"/>
      <c r="H113" s="29"/>
      <c r="I113" s="28" t="str">
        <f t="shared" si="9"/>
        <v/>
      </c>
      <c r="J113" s="29"/>
      <c r="K113" s="29"/>
      <c r="L113" s="32"/>
      <c r="M113" s="29"/>
      <c r="N113" s="32"/>
      <c r="O113" s="29"/>
      <c r="P113" s="28" t="str">
        <f t="shared" si="10"/>
        <v>未割当</v>
      </c>
      <c r="Q113" s="29"/>
      <c r="R113" s="29"/>
      <c r="S113" s="28" t="str">
        <f t="shared" si="11"/>
        <v/>
      </c>
    </row>
    <row r="114" spans="1:19" ht="13.5" x14ac:dyDescent="0.2">
      <c r="A114" s="29"/>
      <c r="B114" s="29"/>
      <c r="C114" s="28" t="str">
        <f>IF(B114="","",IF(COUNTIF('07_スキル辞書'!$A$4:$A$109,B114)&lt;&gt;1,"参照ID不正",IF(INDEX('07_スキル辞書'!$D$4:$D$109,MATCH(B114,'07_スキル辞書'!$A$4:$A$109,0))="","",INDEX('07_スキル辞書'!$D$4:$D$109,MATCH(B114,'07_スキル辞書'!$A$4:$A$109,0)))))</f>
        <v/>
      </c>
      <c r="D114" s="29"/>
      <c r="E114" s="29"/>
      <c r="F114" s="29"/>
      <c r="G114" s="29"/>
      <c r="H114" s="29"/>
      <c r="I114" s="28" t="str">
        <f t="shared" si="9"/>
        <v/>
      </c>
      <c r="J114" s="29"/>
      <c r="K114" s="29"/>
      <c r="L114" s="32"/>
      <c r="M114" s="29"/>
      <c r="N114" s="32"/>
      <c r="O114" s="29"/>
      <c r="P114" s="28" t="str">
        <f t="shared" si="10"/>
        <v>未割当</v>
      </c>
      <c r="Q114" s="29"/>
      <c r="R114" s="29"/>
      <c r="S114" s="28" t="str">
        <f t="shared" si="11"/>
        <v/>
      </c>
    </row>
    <row r="115" spans="1:19" ht="13.5" x14ac:dyDescent="0.2">
      <c r="A115" s="29"/>
      <c r="B115" s="29"/>
      <c r="C115" s="28" t="str">
        <f>IF(B115="","",IF(COUNTIF('07_スキル辞書'!$A$4:$A$109,B115)&lt;&gt;1,"参照ID不正",IF(INDEX('07_スキル辞書'!$D$4:$D$109,MATCH(B115,'07_スキル辞書'!$A$4:$A$109,0))="","",INDEX('07_スキル辞書'!$D$4:$D$109,MATCH(B115,'07_スキル辞書'!$A$4:$A$109,0)))))</f>
        <v/>
      </c>
      <c r="D115" s="29"/>
      <c r="E115" s="29"/>
      <c r="F115" s="29"/>
      <c r="G115" s="29"/>
      <c r="H115" s="29"/>
      <c r="I115" s="28" t="str">
        <f t="shared" si="9"/>
        <v/>
      </c>
      <c r="J115" s="29"/>
      <c r="K115" s="29"/>
      <c r="L115" s="32"/>
      <c r="M115" s="29"/>
      <c r="N115" s="32"/>
      <c r="O115" s="29"/>
      <c r="P115" s="28" t="str">
        <f t="shared" si="10"/>
        <v>未割当</v>
      </c>
      <c r="Q115" s="29"/>
      <c r="R115" s="29"/>
      <c r="S115" s="28" t="str">
        <f t="shared" si="11"/>
        <v/>
      </c>
    </row>
    <row r="116" spans="1:19" ht="13.5" x14ac:dyDescent="0.2">
      <c r="A116" s="29"/>
      <c r="B116" s="29"/>
      <c r="C116" s="28" t="str">
        <f>IF(B116="","",IF(COUNTIF('07_スキル辞書'!$A$4:$A$109,B116)&lt;&gt;1,"参照ID不正",IF(INDEX('07_スキル辞書'!$D$4:$D$109,MATCH(B116,'07_スキル辞書'!$A$4:$A$109,0))="","",INDEX('07_スキル辞書'!$D$4:$D$109,MATCH(B116,'07_スキル辞書'!$A$4:$A$109,0)))))</f>
        <v/>
      </c>
      <c r="D116" s="29"/>
      <c r="E116" s="29"/>
      <c r="F116" s="29"/>
      <c r="G116" s="29"/>
      <c r="H116" s="29"/>
      <c r="I116" s="28" t="str">
        <f t="shared" si="9"/>
        <v/>
      </c>
      <c r="J116" s="29"/>
      <c r="K116" s="29"/>
      <c r="L116" s="32"/>
      <c r="M116" s="29"/>
      <c r="N116" s="32"/>
      <c r="O116" s="29"/>
      <c r="P116" s="28" t="str">
        <f t="shared" si="10"/>
        <v>未割当</v>
      </c>
      <c r="Q116" s="29"/>
      <c r="R116" s="29"/>
      <c r="S116" s="28" t="str">
        <f t="shared" si="11"/>
        <v/>
      </c>
    </row>
    <row r="117" spans="1:19" ht="13.5" x14ac:dyDescent="0.2">
      <c r="A117" s="29"/>
      <c r="B117" s="29"/>
      <c r="C117" s="28" t="str">
        <f>IF(B117="","",IF(COUNTIF('07_スキル辞書'!$A$4:$A$109,B117)&lt;&gt;1,"参照ID不正",IF(INDEX('07_スキル辞書'!$D$4:$D$109,MATCH(B117,'07_スキル辞書'!$A$4:$A$109,0))="","",INDEX('07_スキル辞書'!$D$4:$D$109,MATCH(B117,'07_スキル辞書'!$A$4:$A$109,0)))))</f>
        <v/>
      </c>
      <c r="D117" s="29"/>
      <c r="E117" s="29"/>
      <c r="F117" s="29"/>
      <c r="G117" s="29"/>
      <c r="H117" s="29"/>
      <c r="I117" s="28" t="str">
        <f t="shared" si="9"/>
        <v/>
      </c>
      <c r="J117" s="29"/>
      <c r="K117" s="29"/>
      <c r="L117" s="32"/>
      <c r="M117" s="29"/>
      <c r="N117" s="32"/>
      <c r="O117" s="29"/>
      <c r="P117" s="28" t="str">
        <f t="shared" si="10"/>
        <v>未割当</v>
      </c>
      <c r="Q117" s="29"/>
      <c r="R117" s="29"/>
      <c r="S117" s="28" t="str">
        <f t="shared" si="11"/>
        <v/>
      </c>
    </row>
    <row r="118" spans="1:19" ht="13.5" x14ac:dyDescent="0.2">
      <c r="A118" s="29"/>
      <c r="B118" s="29"/>
      <c r="C118" s="28" t="str">
        <f>IF(B118="","",IF(COUNTIF('07_スキル辞書'!$A$4:$A$109,B118)&lt;&gt;1,"参照ID不正",IF(INDEX('07_スキル辞書'!$D$4:$D$109,MATCH(B118,'07_スキル辞書'!$A$4:$A$109,0))="","",INDEX('07_スキル辞書'!$D$4:$D$109,MATCH(B118,'07_スキル辞書'!$A$4:$A$109,0)))))</f>
        <v/>
      </c>
      <c r="D118" s="29"/>
      <c r="E118" s="29"/>
      <c r="F118" s="29"/>
      <c r="G118" s="29"/>
      <c r="H118" s="29"/>
      <c r="I118" s="28" t="str">
        <f t="shared" si="9"/>
        <v/>
      </c>
      <c r="J118" s="29"/>
      <c r="K118" s="29"/>
      <c r="L118" s="32"/>
      <c r="M118" s="29"/>
      <c r="N118" s="32"/>
      <c r="O118" s="29"/>
      <c r="P118" s="28" t="str">
        <f t="shared" si="10"/>
        <v>未割当</v>
      </c>
      <c r="Q118" s="29"/>
      <c r="R118" s="29"/>
      <c r="S118" s="28" t="str">
        <f t="shared" si="11"/>
        <v/>
      </c>
    </row>
    <row r="119" spans="1:19" ht="13.5" x14ac:dyDescent="0.2">
      <c r="A119" s="29"/>
      <c r="B119" s="29"/>
      <c r="C119" s="28" t="str">
        <f>IF(B119="","",IF(COUNTIF('07_スキル辞書'!$A$4:$A$109,B119)&lt;&gt;1,"参照ID不正",IF(INDEX('07_スキル辞書'!$D$4:$D$109,MATCH(B119,'07_スキル辞書'!$A$4:$A$109,0))="","",INDEX('07_スキル辞書'!$D$4:$D$109,MATCH(B119,'07_スキル辞書'!$A$4:$A$109,0)))))</f>
        <v/>
      </c>
      <c r="D119" s="29"/>
      <c r="E119" s="29"/>
      <c r="F119" s="29"/>
      <c r="G119" s="29"/>
      <c r="H119" s="29"/>
      <c r="I119" s="28" t="str">
        <f t="shared" si="9"/>
        <v/>
      </c>
      <c r="J119" s="29"/>
      <c r="K119" s="29"/>
      <c r="L119" s="32"/>
      <c r="M119" s="29"/>
      <c r="N119" s="32"/>
      <c r="O119" s="29"/>
      <c r="P119" s="28" t="str">
        <f t="shared" si="10"/>
        <v>未割当</v>
      </c>
      <c r="Q119" s="29"/>
      <c r="R119" s="29"/>
      <c r="S119" s="28" t="str">
        <f t="shared" si="11"/>
        <v/>
      </c>
    </row>
    <row r="120" spans="1:19" ht="13.5" x14ac:dyDescent="0.2">
      <c r="A120" s="29"/>
      <c r="B120" s="29"/>
      <c r="C120" s="28" t="str">
        <f>IF(B120="","",IF(COUNTIF('07_スキル辞書'!$A$4:$A$109,B120)&lt;&gt;1,"参照ID不正",IF(INDEX('07_スキル辞書'!$D$4:$D$109,MATCH(B120,'07_スキル辞書'!$A$4:$A$109,0))="","",INDEX('07_スキル辞書'!$D$4:$D$109,MATCH(B120,'07_スキル辞書'!$A$4:$A$109,0)))))</f>
        <v/>
      </c>
      <c r="D120" s="29"/>
      <c r="E120" s="29"/>
      <c r="F120" s="29"/>
      <c r="G120" s="29"/>
      <c r="H120" s="29"/>
      <c r="I120" s="28" t="str">
        <f t="shared" si="9"/>
        <v/>
      </c>
      <c r="J120" s="29"/>
      <c r="K120" s="29"/>
      <c r="L120" s="32"/>
      <c r="M120" s="29"/>
      <c r="N120" s="32"/>
      <c r="O120" s="29"/>
      <c r="P120" s="28" t="str">
        <f t="shared" si="10"/>
        <v>未割当</v>
      </c>
      <c r="Q120" s="29"/>
      <c r="R120" s="29"/>
      <c r="S120" s="28" t="str">
        <f t="shared" si="11"/>
        <v/>
      </c>
    </row>
    <row r="121" spans="1:19" ht="13.5" x14ac:dyDescent="0.2">
      <c r="A121" s="29"/>
      <c r="B121" s="29"/>
      <c r="C121" s="28" t="str">
        <f>IF(B121="","",IF(COUNTIF('07_スキル辞書'!$A$4:$A$109,B121)&lt;&gt;1,"参照ID不正",IF(INDEX('07_スキル辞書'!$D$4:$D$109,MATCH(B121,'07_スキル辞書'!$A$4:$A$109,0))="","",INDEX('07_スキル辞書'!$D$4:$D$109,MATCH(B121,'07_スキル辞書'!$A$4:$A$109,0)))))</f>
        <v/>
      </c>
      <c r="D121" s="29"/>
      <c r="E121" s="29"/>
      <c r="F121" s="29"/>
      <c r="G121" s="29"/>
      <c r="H121" s="29"/>
      <c r="I121" s="28" t="str">
        <f t="shared" si="9"/>
        <v/>
      </c>
      <c r="J121" s="29"/>
      <c r="K121" s="29"/>
      <c r="L121" s="32"/>
      <c r="M121" s="29"/>
      <c r="N121" s="32"/>
      <c r="O121" s="29"/>
      <c r="P121" s="28" t="str">
        <f t="shared" si="10"/>
        <v>未割当</v>
      </c>
      <c r="Q121" s="29"/>
      <c r="R121" s="29"/>
      <c r="S121" s="28" t="str">
        <f t="shared" si="11"/>
        <v/>
      </c>
    </row>
    <row r="122" spans="1:19" ht="13.5" x14ac:dyDescent="0.2">
      <c r="A122" s="29"/>
      <c r="B122" s="29"/>
      <c r="C122" s="28" t="str">
        <f>IF(B122="","",IF(COUNTIF('07_スキル辞書'!$A$4:$A$109,B122)&lt;&gt;1,"参照ID不正",IF(INDEX('07_スキル辞書'!$D$4:$D$109,MATCH(B122,'07_スキル辞書'!$A$4:$A$109,0))="","",INDEX('07_スキル辞書'!$D$4:$D$109,MATCH(B122,'07_スキル辞書'!$A$4:$A$109,0)))))</f>
        <v/>
      </c>
      <c r="D122" s="29"/>
      <c r="E122" s="29"/>
      <c r="F122" s="29"/>
      <c r="G122" s="29"/>
      <c r="H122" s="29"/>
      <c r="I122" s="28" t="str">
        <f t="shared" si="9"/>
        <v/>
      </c>
      <c r="J122" s="29"/>
      <c r="K122" s="29"/>
      <c r="L122" s="32"/>
      <c r="M122" s="29"/>
      <c r="N122" s="32"/>
      <c r="O122" s="29"/>
      <c r="P122" s="28" t="str">
        <f t="shared" si="10"/>
        <v>未割当</v>
      </c>
      <c r="Q122" s="29"/>
      <c r="R122" s="29"/>
      <c r="S122" s="28" t="str">
        <f t="shared" si="11"/>
        <v/>
      </c>
    </row>
    <row r="123" spans="1:19" ht="13.5" x14ac:dyDescent="0.2">
      <c r="A123" s="29"/>
      <c r="B123" s="29"/>
      <c r="C123" s="28" t="str">
        <f>IF(B123="","",IF(COUNTIF('07_スキル辞書'!$A$4:$A$109,B123)&lt;&gt;1,"参照ID不正",IF(INDEX('07_スキル辞書'!$D$4:$D$109,MATCH(B123,'07_スキル辞書'!$A$4:$A$109,0))="","",INDEX('07_スキル辞書'!$D$4:$D$109,MATCH(B123,'07_スキル辞書'!$A$4:$A$109,0)))))</f>
        <v/>
      </c>
      <c r="D123" s="29"/>
      <c r="E123" s="29"/>
      <c r="F123" s="29"/>
      <c r="G123" s="29"/>
      <c r="H123" s="29"/>
      <c r="I123" s="28" t="str">
        <f t="shared" si="9"/>
        <v/>
      </c>
      <c r="J123" s="29"/>
      <c r="K123" s="29"/>
      <c r="L123" s="32"/>
      <c r="M123" s="29"/>
      <c r="N123" s="32"/>
      <c r="O123" s="29"/>
      <c r="P123" s="28" t="str">
        <f t="shared" si="10"/>
        <v>未割当</v>
      </c>
      <c r="Q123" s="29"/>
      <c r="R123" s="29"/>
      <c r="S123" s="28" t="str">
        <f t="shared" si="11"/>
        <v/>
      </c>
    </row>
    <row r="124" spans="1:19" ht="13.5" x14ac:dyDescent="0.2">
      <c r="A124" s="29"/>
      <c r="B124" s="29"/>
      <c r="C124" s="28" t="str">
        <f>IF(B124="","",IF(COUNTIF('07_スキル辞書'!$A$4:$A$109,B124)&lt;&gt;1,"参照ID不正",IF(INDEX('07_スキル辞書'!$D$4:$D$109,MATCH(B124,'07_スキル辞書'!$A$4:$A$109,0))="","",INDEX('07_スキル辞書'!$D$4:$D$109,MATCH(B124,'07_スキル辞書'!$A$4:$A$109,0)))))</f>
        <v/>
      </c>
      <c r="D124" s="29"/>
      <c r="E124" s="29"/>
      <c r="F124" s="29"/>
      <c r="G124" s="29"/>
      <c r="H124" s="29"/>
      <c r="I124" s="28" t="str">
        <f t="shared" si="9"/>
        <v/>
      </c>
      <c r="J124" s="29"/>
      <c r="K124" s="29"/>
      <c r="L124" s="32"/>
      <c r="M124" s="29"/>
      <c r="N124" s="32"/>
      <c r="O124" s="29"/>
      <c r="P124" s="28" t="str">
        <f t="shared" si="10"/>
        <v>未割当</v>
      </c>
      <c r="Q124" s="29"/>
      <c r="R124" s="29"/>
      <c r="S124" s="28" t="str">
        <f t="shared" si="11"/>
        <v/>
      </c>
    </row>
    <row r="125" spans="1:19" ht="13.5" x14ac:dyDescent="0.2">
      <c r="A125" s="29"/>
      <c r="B125" s="29"/>
      <c r="C125" s="28" t="str">
        <f>IF(B125="","",IF(COUNTIF('07_スキル辞書'!$A$4:$A$109,B125)&lt;&gt;1,"参照ID不正",IF(INDEX('07_スキル辞書'!$D$4:$D$109,MATCH(B125,'07_スキル辞書'!$A$4:$A$109,0))="","",INDEX('07_スキル辞書'!$D$4:$D$109,MATCH(B125,'07_スキル辞書'!$A$4:$A$109,0)))))</f>
        <v/>
      </c>
      <c r="D125" s="29"/>
      <c r="E125" s="29"/>
      <c r="F125" s="29"/>
      <c r="G125" s="29"/>
      <c r="H125" s="29"/>
      <c r="I125" s="28" t="str">
        <f t="shared" si="9"/>
        <v/>
      </c>
      <c r="J125" s="29"/>
      <c r="K125" s="29"/>
      <c r="L125" s="32"/>
      <c r="M125" s="29"/>
      <c r="N125" s="32"/>
      <c r="O125" s="29"/>
      <c r="P125" s="28" t="str">
        <f t="shared" si="10"/>
        <v>未割当</v>
      </c>
      <c r="Q125" s="29"/>
      <c r="R125" s="29"/>
      <c r="S125" s="28" t="str">
        <f t="shared" si="11"/>
        <v/>
      </c>
    </row>
    <row r="126" spans="1:19" ht="13.5" x14ac:dyDescent="0.2">
      <c r="A126" s="29"/>
      <c r="B126" s="29"/>
      <c r="C126" s="28" t="str">
        <f>IF(B126="","",IF(COUNTIF('07_スキル辞書'!$A$4:$A$109,B126)&lt;&gt;1,"参照ID不正",IF(INDEX('07_スキル辞書'!$D$4:$D$109,MATCH(B126,'07_スキル辞書'!$A$4:$A$109,0))="","",INDEX('07_スキル辞書'!$D$4:$D$109,MATCH(B126,'07_スキル辞書'!$A$4:$A$109,0)))))</f>
        <v/>
      </c>
      <c r="D126" s="29"/>
      <c r="E126" s="29"/>
      <c r="F126" s="29"/>
      <c r="G126" s="29"/>
      <c r="H126" s="29"/>
      <c r="I126" s="28" t="str">
        <f t="shared" si="9"/>
        <v/>
      </c>
      <c r="J126" s="29"/>
      <c r="K126" s="29"/>
      <c r="L126" s="32"/>
      <c r="M126" s="29"/>
      <c r="N126" s="32"/>
      <c r="O126" s="29"/>
      <c r="P126" s="28" t="str">
        <f t="shared" si="10"/>
        <v>未割当</v>
      </c>
      <c r="Q126" s="29"/>
      <c r="R126" s="29"/>
      <c r="S126" s="28" t="str">
        <f t="shared" si="11"/>
        <v/>
      </c>
    </row>
    <row r="127" spans="1:19" ht="13.5" x14ac:dyDescent="0.2">
      <c r="A127" s="29"/>
      <c r="B127" s="29"/>
      <c r="C127" s="28" t="str">
        <f>IF(B127="","",IF(COUNTIF('07_スキル辞書'!$A$4:$A$109,B127)&lt;&gt;1,"参照ID不正",IF(INDEX('07_スキル辞書'!$D$4:$D$109,MATCH(B127,'07_スキル辞書'!$A$4:$A$109,0))="","",INDEX('07_スキル辞書'!$D$4:$D$109,MATCH(B127,'07_スキル辞書'!$A$4:$A$109,0)))))</f>
        <v/>
      </c>
      <c r="D127" s="29"/>
      <c r="E127" s="29"/>
      <c r="F127" s="29"/>
      <c r="G127" s="29"/>
      <c r="H127" s="29"/>
      <c r="I127" s="28" t="str">
        <f t="shared" si="9"/>
        <v/>
      </c>
      <c r="J127" s="29"/>
      <c r="K127" s="29"/>
      <c r="L127" s="32"/>
      <c r="M127" s="29"/>
      <c r="N127" s="32"/>
      <c r="O127" s="29"/>
      <c r="P127" s="28" t="str">
        <f t="shared" si="10"/>
        <v>未割当</v>
      </c>
      <c r="Q127" s="29"/>
      <c r="R127" s="29"/>
      <c r="S127" s="28" t="str">
        <f t="shared" si="11"/>
        <v/>
      </c>
    </row>
    <row r="128" spans="1:19" ht="13.5" x14ac:dyDescent="0.2">
      <c r="A128" s="29"/>
      <c r="B128" s="29"/>
      <c r="C128" s="28" t="str">
        <f>IF(B128="","",IF(COUNTIF('07_スキル辞書'!$A$4:$A$109,B128)&lt;&gt;1,"参照ID不正",IF(INDEX('07_スキル辞書'!$D$4:$D$109,MATCH(B128,'07_スキル辞書'!$A$4:$A$109,0))="","",INDEX('07_スキル辞書'!$D$4:$D$109,MATCH(B128,'07_スキル辞書'!$A$4:$A$109,0)))))</f>
        <v/>
      </c>
      <c r="D128" s="29"/>
      <c r="E128" s="29"/>
      <c r="F128" s="29"/>
      <c r="G128" s="29"/>
      <c r="H128" s="29"/>
      <c r="I128" s="28" t="str">
        <f t="shared" si="9"/>
        <v/>
      </c>
      <c r="J128" s="29"/>
      <c r="K128" s="29"/>
      <c r="L128" s="32"/>
      <c r="M128" s="29"/>
      <c r="N128" s="32"/>
      <c r="O128" s="29"/>
      <c r="P128" s="28" t="str">
        <f t="shared" si="10"/>
        <v>未割当</v>
      </c>
      <c r="Q128" s="29"/>
      <c r="R128" s="29"/>
      <c r="S128" s="28" t="str">
        <f t="shared" si="11"/>
        <v/>
      </c>
    </row>
    <row r="129" spans="1:19" ht="13.5" x14ac:dyDescent="0.2">
      <c r="A129" s="29"/>
      <c r="B129" s="29"/>
      <c r="C129" s="28" t="str">
        <f>IF(B129="","",IF(COUNTIF('07_スキル辞書'!$A$4:$A$109,B129)&lt;&gt;1,"参照ID不正",IF(INDEX('07_スキル辞書'!$D$4:$D$109,MATCH(B129,'07_スキル辞書'!$A$4:$A$109,0))="","",INDEX('07_スキル辞書'!$D$4:$D$109,MATCH(B129,'07_スキル辞書'!$A$4:$A$109,0)))))</f>
        <v/>
      </c>
      <c r="D129" s="29"/>
      <c r="E129" s="29"/>
      <c r="F129" s="29"/>
      <c r="G129" s="29"/>
      <c r="H129" s="29"/>
      <c r="I129" s="28" t="str">
        <f t="shared" si="9"/>
        <v/>
      </c>
      <c r="J129" s="29"/>
      <c r="K129" s="29"/>
      <c r="L129" s="32"/>
      <c r="M129" s="29"/>
      <c r="N129" s="32"/>
      <c r="O129" s="29"/>
      <c r="P129" s="28" t="str">
        <f t="shared" si="10"/>
        <v>未割当</v>
      </c>
      <c r="Q129" s="29"/>
      <c r="R129" s="29"/>
      <c r="S129" s="28" t="str">
        <f t="shared" si="11"/>
        <v/>
      </c>
    </row>
    <row r="130" spans="1:19" ht="13.5" x14ac:dyDescent="0.2">
      <c r="A130" s="29"/>
      <c r="B130" s="29"/>
      <c r="C130" s="28" t="str">
        <f>IF(B130="","",IF(COUNTIF('07_スキル辞書'!$A$4:$A$109,B130)&lt;&gt;1,"参照ID不正",IF(INDEX('07_スキル辞書'!$D$4:$D$109,MATCH(B130,'07_スキル辞書'!$A$4:$A$109,0))="","",INDEX('07_スキル辞書'!$D$4:$D$109,MATCH(B130,'07_スキル辞書'!$A$4:$A$109,0)))))</f>
        <v/>
      </c>
      <c r="D130" s="29"/>
      <c r="E130" s="29"/>
      <c r="F130" s="29"/>
      <c r="G130" s="29"/>
      <c r="H130" s="29"/>
      <c r="I130" s="28" t="str">
        <f t="shared" si="9"/>
        <v/>
      </c>
      <c r="J130" s="29"/>
      <c r="K130" s="29"/>
      <c r="L130" s="32"/>
      <c r="M130" s="29"/>
      <c r="N130" s="32"/>
      <c r="O130" s="29"/>
      <c r="P130" s="28" t="str">
        <f t="shared" si="10"/>
        <v>未割当</v>
      </c>
      <c r="Q130" s="29"/>
      <c r="R130" s="29"/>
      <c r="S130" s="28" t="str">
        <f t="shared" si="11"/>
        <v/>
      </c>
    </row>
    <row r="131" spans="1:19" ht="13.5" x14ac:dyDescent="0.2">
      <c r="A131" s="29"/>
      <c r="B131" s="29"/>
      <c r="C131" s="28" t="str">
        <f>IF(B131="","",IF(COUNTIF('07_スキル辞書'!$A$4:$A$109,B131)&lt;&gt;1,"参照ID不正",IF(INDEX('07_スキル辞書'!$D$4:$D$109,MATCH(B131,'07_スキル辞書'!$A$4:$A$109,0))="","",INDEX('07_スキル辞書'!$D$4:$D$109,MATCH(B131,'07_スキル辞書'!$A$4:$A$109,0)))))</f>
        <v/>
      </c>
      <c r="D131" s="29"/>
      <c r="E131" s="29"/>
      <c r="F131" s="29"/>
      <c r="G131" s="29"/>
      <c r="H131" s="29"/>
      <c r="I131" s="28" t="str">
        <f t="shared" si="9"/>
        <v/>
      </c>
      <c r="J131" s="29"/>
      <c r="K131" s="29"/>
      <c r="L131" s="32"/>
      <c r="M131" s="29"/>
      <c r="N131" s="32"/>
      <c r="O131" s="29"/>
      <c r="P131" s="28" t="str">
        <f t="shared" si="10"/>
        <v>未割当</v>
      </c>
      <c r="Q131" s="29"/>
      <c r="R131" s="29"/>
      <c r="S131" s="28" t="str">
        <f t="shared" si="11"/>
        <v/>
      </c>
    </row>
    <row r="132" spans="1:19" ht="13.5" x14ac:dyDescent="0.2">
      <c r="A132" s="29"/>
      <c r="B132" s="29"/>
      <c r="C132" s="28" t="str">
        <f>IF(B132="","",IF(COUNTIF('07_スキル辞書'!$A$4:$A$109,B132)&lt;&gt;1,"参照ID不正",IF(INDEX('07_スキル辞書'!$D$4:$D$109,MATCH(B132,'07_スキル辞書'!$A$4:$A$109,0))="","",INDEX('07_スキル辞書'!$D$4:$D$109,MATCH(B132,'07_スキル辞書'!$A$4:$A$109,0)))))</f>
        <v/>
      </c>
      <c r="D132" s="29"/>
      <c r="E132" s="29"/>
      <c r="F132" s="29"/>
      <c r="G132" s="29"/>
      <c r="H132" s="29"/>
      <c r="I132" s="28" t="str">
        <f t="shared" ref="I132:I163" si="12">IF(OR(COUNT(G132:H132)&lt;2,IFERROR(MIN(G132:H132)&lt;0,TRUE),IFERROR(MAX(G132:H132)&gt;3,TRUE),IFERROR(MOD(G132,1)&lt;&gt;0,TRUE),IFERROR(MOD(H132,1)&lt;&gt;0,TRUE)),"",MAX(0,G132-H132))</f>
        <v/>
      </c>
      <c r="J132" s="29"/>
      <c r="K132" s="29"/>
      <c r="L132" s="32"/>
      <c r="M132" s="29"/>
      <c r="N132" s="32"/>
      <c r="O132" s="29"/>
      <c r="P132" s="28" t="str">
        <f t="shared" ref="P132:P163" si="13">IF(AND(D132="",Q132=""),"未割当",IF(OR(COUNTIF(SkillIDs,B132)&lt;&gt;1,COUNTIF(RoleIDs,E132)&lt;&gt;1,S132&lt;&gt;"ID一意"),"Skill／Role／記録ID不正",IF(OR(COUNT(G132:H132)&lt;2,IFERROR(MIN(G132:H132)&lt;0,TRUE),IFERROR(MAX(G132:H132)&gt;3,TRUE),IFERROR(MOD(G132,1)&lt;&gt;0,TRUE),IFERROR(MOD(H132,1)&lt;&gt;0,TRUE)),"習熟度不正",IF(OR(OR(D132="",F132="",J132="",K132="",Q132="",R132=""),NOT(ISNUMBER(L132))),"評価証拠不足",IF(OR(AND(L132&lt;&gt;"",OR(NOT(ISNUMBER(L132)),IFERROR(L132&lt;1,TRUE),IFERROR(INT(L132)&gt;INT(AsOfDate),TRUE)))),"評価日不正",IF(OR(Q132=R132,D132=K132),"自己申告・第三者確認前","第三者評価記録あり"))))))</f>
        <v>未割当</v>
      </c>
      <c r="Q132" s="29"/>
      <c r="R132" s="29"/>
      <c r="S132" s="28" t="str">
        <f t="shared" ref="S132:S163" si="14">IF(A132="","",IF(COUNTIF($A$4:$A$203,A132)&lt;&gt;1,"評価記録ID重複","ID一意"))</f>
        <v/>
      </c>
    </row>
    <row r="133" spans="1:19" ht="13.5" x14ac:dyDescent="0.2">
      <c r="A133" s="29"/>
      <c r="B133" s="29"/>
      <c r="C133" s="28" t="str">
        <f>IF(B133="","",IF(COUNTIF('07_スキル辞書'!$A$4:$A$109,B133)&lt;&gt;1,"参照ID不正",IF(INDEX('07_スキル辞書'!$D$4:$D$109,MATCH(B133,'07_スキル辞書'!$A$4:$A$109,0))="","",INDEX('07_スキル辞書'!$D$4:$D$109,MATCH(B133,'07_スキル辞書'!$A$4:$A$109,0)))))</f>
        <v/>
      </c>
      <c r="D133" s="29"/>
      <c r="E133" s="29"/>
      <c r="F133" s="29"/>
      <c r="G133" s="29"/>
      <c r="H133" s="29"/>
      <c r="I133" s="28" t="str">
        <f t="shared" si="12"/>
        <v/>
      </c>
      <c r="J133" s="29"/>
      <c r="K133" s="29"/>
      <c r="L133" s="32"/>
      <c r="M133" s="29"/>
      <c r="N133" s="32"/>
      <c r="O133" s="29"/>
      <c r="P133" s="28" t="str">
        <f t="shared" si="13"/>
        <v>未割当</v>
      </c>
      <c r="Q133" s="29"/>
      <c r="R133" s="29"/>
      <c r="S133" s="28" t="str">
        <f t="shared" si="14"/>
        <v/>
      </c>
    </row>
    <row r="134" spans="1:19" ht="13.5" x14ac:dyDescent="0.2">
      <c r="A134" s="29"/>
      <c r="B134" s="29"/>
      <c r="C134" s="28" t="str">
        <f>IF(B134="","",IF(COUNTIF('07_スキル辞書'!$A$4:$A$109,B134)&lt;&gt;1,"参照ID不正",IF(INDEX('07_スキル辞書'!$D$4:$D$109,MATCH(B134,'07_スキル辞書'!$A$4:$A$109,0))="","",INDEX('07_スキル辞書'!$D$4:$D$109,MATCH(B134,'07_スキル辞書'!$A$4:$A$109,0)))))</f>
        <v/>
      </c>
      <c r="D134" s="29"/>
      <c r="E134" s="29"/>
      <c r="F134" s="29"/>
      <c r="G134" s="29"/>
      <c r="H134" s="29"/>
      <c r="I134" s="28" t="str">
        <f t="shared" si="12"/>
        <v/>
      </c>
      <c r="J134" s="29"/>
      <c r="K134" s="29"/>
      <c r="L134" s="32"/>
      <c r="M134" s="29"/>
      <c r="N134" s="32"/>
      <c r="O134" s="29"/>
      <c r="P134" s="28" t="str">
        <f t="shared" si="13"/>
        <v>未割当</v>
      </c>
      <c r="Q134" s="29"/>
      <c r="R134" s="29"/>
      <c r="S134" s="28" t="str">
        <f t="shared" si="14"/>
        <v/>
      </c>
    </row>
    <row r="135" spans="1:19" ht="13.5" x14ac:dyDescent="0.2">
      <c r="A135" s="29"/>
      <c r="B135" s="29"/>
      <c r="C135" s="28" t="str">
        <f>IF(B135="","",IF(COUNTIF('07_スキル辞書'!$A$4:$A$109,B135)&lt;&gt;1,"参照ID不正",IF(INDEX('07_スキル辞書'!$D$4:$D$109,MATCH(B135,'07_スキル辞書'!$A$4:$A$109,0))="","",INDEX('07_スキル辞書'!$D$4:$D$109,MATCH(B135,'07_スキル辞書'!$A$4:$A$109,0)))))</f>
        <v/>
      </c>
      <c r="D135" s="29"/>
      <c r="E135" s="29"/>
      <c r="F135" s="29"/>
      <c r="G135" s="29"/>
      <c r="H135" s="29"/>
      <c r="I135" s="28" t="str">
        <f t="shared" si="12"/>
        <v/>
      </c>
      <c r="J135" s="29"/>
      <c r="K135" s="29"/>
      <c r="L135" s="32"/>
      <c r="M135" s="29"/>
      <c r="N135" s="32"/>
      <c r="O135" s="29"/>
      <c r="P135" s="28" t="str">
        <f t="shared" si="13"/>
        <v>未割当</v>
      </c>
      <c r="Q135" s="29"/>
      <c r="R135" s="29"/>
      <c r="S135" s="28" t="str">
        <f t="shared" si="14"/>
        <v/>
      </c>
    </row>
    <row r="136" spans="1:19" ht="13.5" x14ac:dyDescent="0.2">
      <c r="A136" s="29"/>
      <c r="B136" s="29"/>
      <c r="C136" s="28" t="str">
        <f>IF(B136="","",IF(COUNTIF('07_スキル辞書'!$A$4:$A$109,B136)&lt;&gt;1,"参照ID不正",IF(INDEX('07_スキル辞書'!$D$4:$D$109,MATCH(B136,'07_スキル辞書'!$A$4:$A$109,0))="","",INDEX('07_スキル辞書'!$D$4:$D$109,MATCH(B136,'07_スキル辞書'!$A$4:$A$109,0)))))</f>
        <v/>
      </c>
      <c r="D136" s="29"/>
      <c r="E136" s="29"/>
      <c r="F136" s="29"/>
      <c r="G136" s="29"/>
      <c r="H136" s="29"/>
      <c r="I136" s="28" t="str">
        <f t="shared" si="12"/>
        <v/>
      </c>
      <c r="J136" s="29"/>
      <c r="K136" s="29"/>
      <c r="L136" s="32"/>
      <c r="M136" s="29"/>
      <c r="N136" s="32"/>
      <c r="O136" s="29"/>
      <c r="P136" s="28" t="str">
        <f t="shared" si="13"/>
        <v>未割当</v>
      </c>
      <c r="Q136" s="29"/>
      <c r="R136" s="29"/>
      <c r="S136" s="28" t="str">
        <f t="shared" si="14"/>
        <v/>
      </c>
    </row>
    <row r="137" spans="1:19" ht="13.5" x14ac:dyDescent="0.2">
      <c r="A137" s="29"/>
      <c r="B137" s="29"/>
      <c r="C137" s="28" t="str">
        <f>IF(B137="","",IF(COUNTIF('07_スキル辞書'!$A$4:$A$109,B137)&lt;&gt;1,"参照ID不正",IF(INDEX('07_スキル辞書'!$D$4:$D$109,MATCH(B137,'07_スキル辞書'!$A$4:$A$109,0))="","",INDEX('07_スキル辞書'!$D$4:$D$109,MATCH(B137,'07_スキル辞書'!$A$4:$A$109,0)))))</f>
        <v/>
      </c>
      <c r="D137" s="29"/>
      <c r="E137" s="29"/>
      <c r="F137" s="29"/>
      <c r="G137" s="29"/>
      <c r="H137" s="29"/>
      <c r="I137" s="28" t="str">
        <f t="shared" si="12"/>
        <v/>
      </c>
      <c r="J137" s="29"/>
      <c r="K137" s="29"/>
      <c r="L137" s="32"/>
      <c r="M137" s="29"/>
      <c r="N137" s="32"/>
      <c r="O137" s="29"/>
      <c r="P137" s="28" t="str">
        <f t="shared" si="13"/>
        <v>未割当</v>
      </c>
      <c r="Q137" s="29"/>
      <c r="R137" s="29"/>
      <c r="S137" s="28" t="str">
        <f t="shared" si="14"/>
        <v/>
      </c>
    </row>
    <row r="138" spans="1:19" ht="13.5" x14ac:dyDescent="0.2">
      <c r="A138" s="29"/>
      <c r="B138" s="29"/>
      <c r="C138" s="28" t="str">
        <f>IF(B138="","",IF(COUNTIF('07_スキル辞書'!$A$4:$A$109,B138)&lt;&gt;1,"参照ID不正",IF(INDEX('07_スキル辞書'!$D$4:$D$109,MATCH(B138,'07_スキル辞書'!$A$4:$A$109,0))="","",INDEX('07_スキル辞書'!$D$4:$D$109,MATCH(B138,'07_スキル辞書'!$A$4:$A$109,0)))))</f>
        <v/>
      </c>
      <c r="D138" s="29"/>
      <c r="E138" s="29"/>
      <c r="F138" s="29"/>
      <c r="G138" s="29"/>
      <c r="H138" s="29"/>
      <c r="I138" s="28" t="str">
        <f t="shared" si="12"/>
        <v/>
      </c>
      <c r="J138" s="29"/>
      <c r="K138" s="29"/>
      <c r="L138" s="32"/>
      <c r="M138" s="29"/>
      <c r="N138" s="32"/>
      <c r="O138" s="29"/>
      <c r="P138" s="28" t="str">
        <f t="shared" si="13"/>
        <v>未割当</v>
      </c>
      <c r="Q138" s="29"/>
      <c r="R138" s="29"/>
      <c r="S138" s="28" t="str">
        <f t="shared" si="14"/>
        <v/>
      </c>
    </row>
    <row r="139" spans="1:19" ht="13.5" x14ac:dyDescent="0.2">
      <c r="A139" s="29"/>
      <c r="B139" s="29"/>
      <c r="C139" s="28" t="str">
        <f>IF(B139="","",IF(COUNTIF('07_スキル辞書'!$A$4:$A$109,B139)&lt;&gt;1,"参照ID不正",IF(INDEX('07_スキル辞書'!$D$4:$D$109,MATCH(B139,'07_スキル辞書'!$A$4:$A$109,0))="","",INDEX('07_スキル辞書'!$D$4:$D$109,MATCH(B139,'07_スキル辞書'!$A$4:$A$109,0)))))</f>
        <v/>
      </c>
      <c r="D139" s="29"/>
      <c r="E139" s="29"/>
      <c r="F139" s="29"/>
      <c r="G139" s="29"/>
      <c r="H139" s="29"/>
      <c r="I139" s="28" t="str">
        <f t="shared" si="12"/>
        <v/>
      </c>
      <c r="J139" s="29"/>
      <c r="K139" s="29"/>
      <c r="L139" s="32"/>
      <c r="M139" s="29"/>
      <c r="N139" s="32"/>
      <c r="O139" s="29"/>
      <c r="P139" s="28" t="str">
        <f t="shared" si="13"/>
        <v>未割当</v>
      </c>
      <c r="Q139" s="29"/>
      <c r="R139" s="29"/>
      <c r="S139" s="28" t="str">
        <f t="shared" si="14"/>
        <v/>
      </c>
    </row>
    <row r="140" spans="1:19" ht="13.5" x14ac:dyDescent="0.2">
      <c r="A140" s="29"/>
      <c r="B140" s="29"/>
      <c r="C140" s="28" t="str">
        <f>IF(B140="","",IF(COUNTIF('07_スキル辞書'!$A$4:$A$109,B140)&lt;&gt;1,"参照ID不正",IF(INDEX('07_スキル辞書'!$D$4:$D$109,MATCH(B140,'07_スキル辞書'!$A$4:$A$109,0))="","",INDEX('07_スキル辞書'!$D$4:$D$109,MATCH(B140,'07_スキル辞書'!$A$4:$A$109,0)))))</f>
        <v/>
      </c>
      <c r="D140" s="29"/>
      <c r="E140" s="29"/>
      <c r="F140" s="29"/>
      <c r="G140" s="29"/>
      <c r="H140" s="29"/>
      <c r="I140" s="28" t="str">
        <f t="shared" si="12"/>
        <v/>
      </c>
      <c r="J140" s="29"/>
      <c r="K140" s="29"/>
      <c r="L140" s="32"/>
      <c r="M140" s="29"/>
      <c r="N140" s="32"/>
      <c r="O140" s="29"/>
      <c r="P140" s="28" t="str">
        <f t="shared" si="13"/>
        <v>未割当</v>
      </c>
      <c r="Q140" s="29"/>
      <c r="R140" s="29"/>
      <c r="S140" s="28" t="str">
        <f t="shared" si="14"/>
        <v/>
      </c>
    </row>
    <row r="141" spans="1:19" ht="13.5" x14ac:dyDescent="0.2">
      <c r="A141" s="29"/>
      <c r="B141" s="29"/>
      <c r="C141" s="28" t="str">
        <f>IF(B141="","",IF(COUNTIF('07_スキル辞書'!$A$4:$A$109,B141)&lt;&gt;1,"参照ID不正",IF(INDEX('07_スキル辞書'!$D$4:$D$109,MATCH(B141,'07_スキル辞書'!$A$4:$A$109,0))="","",INDEX('07_スキル辞書'!$D$4:$D$109,MATCH(B141,'07_スキル辞書'!$A$4:$A$109,0)))))</f>
        <v/>
      </c>
      <c r="D141" s="29"/>
      <c r="E141" s="29"/>
      <c r="F141" s="29"/>
      <c r="G141" s="29"/>
      <c r="H141" s="29"/>
      <c r="I141" s="28" t="str">
        <f t="shared" si="12"/>
        <v/>
      </c>
      <c r="J141" s="29"/>
      <c r="K141" s="29"/>
      <c r="L141" s="32"/>
      <c r="M141" s="29"/>
      <c r="N141" s="32"/>
      <c r="O141" s="29"/>
      <c r="P141" s="28" t="str">
        <f t="shared" si="13"/>
        <v>未割当</v>
      </c>
      <c r="Q141" s="29"/>
      <c r="R141" s="29"/>
      <c r="S141" s="28" t="str">
        <f t="shared" si="14"/>
        <v/>
      </c>
    </row>
    <row r="142" spans="1:19" ht="13.5" x14ac:dyDescent="0.2">
      <c r="A142" s="29"/>
      <c r="B142" s="29"/>
      <c r="C142" s="28" t="str">
        <f>IF(B142="","",IF(COUNTIF('07_スキル辞書'!$A$4:$A$109,B142)&lt;&gt;1,"参照ID不正",IF(INDEX('07_スキル辞書'!$D$4:$D$109,MATCH(B142,'07_スキル辞書'!$A$4:$A$109,0))="","",INDEX('07_スキル辞書'!$D$4:$D$109,MATCH(B142,'07_スキル辞書'!$A$4:$A$109,0)))))</f>
        <v/>
      </c>
      <c r="D142" s="29"/>
      <c r="E142" s="29"/>
      <c r="F142" s="29"/>
      <c r="G142" s="29"/>
      <c r="H142" s="29"/>
      <c r="I142" s="28" t="str">
        <f t="shared" si="12"/>
        <v/>
      </c>
      <c r="J142" s="29"/>
      <c r="K142" s="29"/>
      <c r="L142" s="32"/>
      <c r="M142" s="29"/>
      <c r="N142" s="32"/>
      <c r="O142" s="29"/>
      <c r="P142" s="28" t="str">
        <f t="shared" si="13"/>
        <v>未割当</v>
      </c>
      <c r="Q142" s="29"/>
      <c r="R142" s="29"/>
      <c r="S142" s="28" t="str">
        <f t="shared" si="14"/>
        <v/>
      </c>
    </row>
    <row r="143" spans="1:19" ht="13.5" x14ac:dyDescent="0.2">
      <c r="A143" s="29"/>
      <c r="B143" s="29"/>
      <c r="C143" s="28" t="str">
        <f>IF(B143="","",IF(COUNTIF('07_スキル辞書'!$A$4:$A$109,B143)&lt;&gt;1,"参照ID不正",IF(INDEX('07_スキル辞書'!$D$4:$D$109,MATCH(B143,'07_スキル辞書'!$A$4:$A$109,0))="","",INDEX('07_スキル辞書'!$D$4:$D$109,MATCH(B143,'07_スキル辞書'!$A$4:$A$109,0)))))</f>
        <v/>
      </c>
      <c r="D143" s="29"/>
      <c r="E143" s="29"/>
      <c r="F143" s="29"/>
      <c r="G143" s="29"/>
      <c r="H143" s="29"/>
      <c r="I143" s="28" t="str">
        <f t="shared" si="12"/>
        <v/>
      </c>
      <c r="J143" s="29"/>
      <c r="K143" s="29"/>
      <c r="L143" s="32"/>
      <c r="M143" s="29"/>
      <c r="N143" s="32"/>
      <c r="O143" s="29"/>
      <c r="P143" s="28" t="str">
        <f t="shared" si="13"/>
        <v>未割当</v>
      </c>
      <c r="Q143" s="29"/>
      <c r="R143" s="29"/>
      <c r="S143" s="28" t="str">
        <f t="shared" si="14"/>
        <v/>
      </c>
    </row>
    <row r="144" spans="1:19" ht="13.5" x14ac:dyDescent="0.2">
      <c r="A144" s="29"/>
      <c r="B144" s="29"/>
      <c r="C144" s="28" t="str">
        <f>IF(B144="","",IF(COUNTIF('07_スキル辞書'!$A$4:$A$109,B144)&lt;&gt;1,"参照ID不正",IF(INDEX('07_スキル辞書'!$D$4:$D$109,MATCH(B144,'07_スキル辞書'!$A$4:$A$109,0))="","",INDEX('07_スキル辞書'!$D$4:$D$109,MATCH(B144,'07_スキル辞書'!$A$4:$A$109,0)))))</f>
        <v/>
      </c>
      <c r="D144" s="29"/>
      <c r="E144" s="29"/>
      <c r="F144" s="29"/>
      <c r="G144" s="29"/>
      <c r="H144" s="29"/>
      <c r="I144" s="28" t="str">
        <f t="shared" si="12"/>
        <v/>
      </c>
      <c r="J144" s="29"/>
      <c r="K144" s="29"/>
      <c r="L144" s="32"/>
      <c r="M144" s="29"/>
      <c r="N144" s="32"/>
      <c r="O144" s="29"/>
      <c r="P144" s="28" t="str">
        <f t="shared" si="13"/>
        <v>未割当</v>
      </c>
      <c r="Q144" s="29"/>
      <c r="R144" s="29"/>
      <c r="S144" s="28" t="str">
        <f t="shared" si="14"/>
        <v/>
      </c>
    </row>
    <row r="145" spans="1:19" ht="13.5" x14ac:dyDescent="0.2">
      <c r="A145" s="29"/>
      <c r="B145" s="29"/>
      <c r="C145" s="28" t="str">
        <f>IF(B145="","",IF(COUNTIF('07_スキル辞書'!$A$4:$A$109,B145)&lt;&gt;1,"参照ID不正",IF(INDEX('07_スキル辞書'!$D$4:$D$109,MATCH(B145,'07_スキル辞書'!$A$4:$A$109,0))="","",INDEX('07_スキル辞書'!$D$4:$D$109,MATCH(B145,'07_スキル辞書'!$A$4:$A$109,0)))))</f>
        <v/>
      </c>
      <c r="D145" s="29"/>
      <c r="E145" s="29"/>
      <c r="F145" s="29"/>
      <c r="G145" s="29"/>
      <c r="H145" s="29"/>
      <c r="I145" s="28" t="str">
        <f t="shared" si="12"/>
        <v/>
      </c>
      <c r="J145" s="29"/>
      <c r="K145" s="29"/>
      <c r="L145" s="32"/>
      <c r="M145" s="29"/>
      <c r="N145" s="32"/>
      <c r="O145" s="29"/>
      <c r="P145" s="28" t="str">
        <f t="shared" si="13"/>
        <v>未割当</v>
      </c>
      <c r="Q145" s="29"/>
      <c r="R145" s="29"/>
      <c r="S145" s="28" t="str">
        <f t="shared" si="14"/>
        <v/>
      </c>
    </row>
    <row r="146" spans="1:19" ht="13.5" x14ac:dyDescent="0.2">
      <c r="A146" s="29"/>
      <c r="B146" s="29"/>
      <c r="C146" s="28" t="str">
        <f>IF(B146="","",IF(COUNTIF('07_スキル辞書'!$A$4:$A$109,B146)&lt;&gt;1,"参照ID不正",IF(INDEX('07_スキル辞書'!$D$4:$D$109,MATCH(B146,'07_スキル辞書'!$A$4:$A$109,0))="","",INDEX('07_スキル辞書'!$D$4:$D$109,MATCH(B146,'07_スキル辞書'!$A$4:$A$109,0)))))</f>
        <v/>
      </c>
      <c r="D146" s="29"/>
      <c r="E146" s="29"/>
      <c r="F146" s="29"/>
      <c r="G146" s="29"/>
      <c r="H146" s="29"/>
      <c r="I146" s="28" t="str">
        <f t="shared" si="12"/>
        <v/>
      </c>
      <c r="J146" s="29"/>
      <c r="K146" s="29"/>
      <c r="L146" s="32"/>
      <c r="M146" s="29"/>
      <c r="N146" s="32"/>
      <c r="O146" s="29"/>
      <c r="P146" s="28" t="str">
        <f t="shared" si="13"/>
        <v>未割当</v>
      </c>
      <c r="Q146" s="29"/>
      <c r="R146" s="29"/>
      <c r="S146" s="28" t="str">
        <f t="shared" si="14"/>
        <v/>
      </c>
    </row>
    <row r="147" spans="1:19" ht="13.5" x14ac:dyDescent="0.2">
      <c r="A147" s="29"/>
      <c r="B147" s="29"/>
      <c r="C147" s="28" t="str">
        <f>IF(B147="","",IF(COUNTIF('07_スキル辞書'!$A$4:$A$109,B147)&lt;&gt;1,"参照ID不正",IF(INDEX('07_スキル辞書'!$D$4:$D$109,MATCH(B147,'07_スキル辞書'!$A$4:$A$109,0))="","",INDEX('07_スキル辞書'!$D$4:$D$109,MATCH(B147,'07_スキル辞書'!$A$4:$A$109,0)))))</f>
        <v/>
      </c>
      <c r="D147" s="29"/>
      <c r="E147" s="29"/>
      <c r="F147" s="29"/>
      <c r="G147" s="29"/>
      <c r="H147" s="29"/>
      <c r="I147" s="28" t="str">
        <f t="shared" si="12"/>
        <v/>
      </c>
      <c r="J147" s="29"/>
      <c r="K147" s="29"/>
      <c r="L147" s="32"/>
      <c r="M147" s="29"/>
      <c r="N147" s="32"/>
      <c r="O147" s="29"/>
      <c r="P147" s="28" t="str">
        <f t="shared" si="13"/>
        <v>未割当</v>
      </c>
      <c r="Q147" s="29"/>
      <c r="R147" s="29"/>
      <c r="S147" s="28" t="str">
        <f t="shared" si="14"/>
        <v/>
      </c>
    </row>
    <row r="148" spans="1:19" ht="13.5" x14ac:dyDescent="0.2">
      <c r="A148" s="29"/>
      <c r="B148" s="29"/>
      <c r="C148" s="28" t="str">
        <f>IF(B148="","",IF(COUNTIF('07_スキル辞書'!$A$4:$A$109,B148)&lt;&gt;1,"参照ID不正",IF(INDEX('07_スキル辞書'!$D$4:$D$109,MATCH(B148,'07_スキル辞書'!$A$4:$A$109,0))="","",INDEX('07_スキル辞書'!$D$4:$D$109,MATCH(B148,'07_スキル辞書'!$A$4:$A$109,0)))))</f>
        <v/>
      </c>
      <c r="D148" s="29"/>
      <c r="E148" s="29"/>
      <c r="F148" s="29"/>
      <c r="G148" s="29"/>
      <c r="H148" s="29"/>
      <c r="I148" s="28" t="str">
        <f t="shared" si="12"/>
        <v/>
      </c>
      <c r="J148" s="29"/>
      <c r="K148" s="29"/>
      <c r="L148" s="32"/>
      <c r="M148" s="29"/>
      <c r="N148" s="32"/>
      <c r="O148" s="29"/>
      <c r="P148" s="28" t="str">
        <f t="shared" si="13"/>
        <v>未割当</v>
      </c>
      <c r="Q148" s="29"/>
      <c r="R148" s="29"/>
      <c r="S148" s="28" t="str">
        <f t="shared" si="14"/>
        <v/>
      </c>
    </row>
    <row r="149" spans="1:19" ht="13.5" x14ac:dyDescent="0.2">
      <c r="A149" s="29"/>
      <c r="B149" s="29"/>
      <c r="C149" s="28" t="str">
        <f>IF(B149="","",IF(COUNTIF('07_スキル辞書'!$A$4:$A$109,B149)&lt;&gt;1,"参照ID不正",IF(INDEX('07_スキル辞書'!$D$4:$D$109,MATCH(B149,'07_スキル辞書'!$A$4:$A$109,0))="","",INDEX('07_スキル辞書'!$D$4:$D$109,MATCH(B149,'07_スキル辞書'!$A$4:$A$109,0)))))</f>
        <v/>
      </c>
      <c r="D149" s="29"/>
      <c r="E149" s="29"/>
      <c r="F149" s="29"/>
      <c r="G149" s="29"/>
      <c r="H149" s="29"/>
      <c r="I149" s="28" t="str">
        <f t="shared" si="12"/>
        <v/>
      </c>
      <c r="J149" s="29"/>
      <c r="K149" s="29"/>
      <c r="L149" s="32"/>
      <c r="M149" s="29"/>
      <c r="N149" s="32"/>
      <c r="O149" s="29"/>
      <c r="P149" s="28" t="str">
        <f t="shared" si="13"/>
        <v>未割当</v>
      </c>
      <c r="Q149" s="29"/>
      <c r="R149" s="29"/>
      <c r="S149" s="28" t="str">
        <f t="shared" si="14"/>
        <v/>
      </c>
    </row>
    <row r="150" spans="1:19" ht="13.5" x14ac:dyDescent="0.2">
      <c r="A150" s="29"/>
      <c r="B150" s="29"/>
      <c r="C150" s="28" t="str">
        <f>IF(B150="","",IF(COUNTIF('07_スキル辞書'!$A$4:$A$109,B150)&lt;&gt;1,"参照ID不正",IF(INDEX('07_スキル辞書'!$D$4:$D$109,MATCH(B150,'07_スキル辞書'!$A$4:$A$109,0))="","",INDEX('07_スキル辞書'!$D$4:$D$109,MATCH(B150,'07_スキル辞書'!$A$4:$A$109,0)))))</f>
        <v/>
      </c>
      <c r="D150" s="29"/>
      <c r="E150" s="29"/>
      <c r="F150" s="29"/>
      <c r="G150" s="29"/>
      <c r="H150" s="29"/>
      <c r="I150" s="28" t="str">
        <f t="shared" si="12"/>
        <v/>
      </c>
      <c r="J150" s="29"/>
      <c r="K150" s="29"/>
      <c r="L150" s="32"/>
      <c r="M150" s="29"/>
      <c r="N150" s="32"/>
      <c r="O150" s="29"/>
      <c r="P150" s="28" t="str">
        <f t="shared" si="13"/>
        <v>未割当</v>
      </c>
      <c r="Q150" s="29"/>
      <c r="R150" s="29"/>
      <c r="S150" s="28" t="str">
        <f t="shared" si="14"/>
        <v/>
      </c>
    </row>
    <row r="151" spans="1:19" ht="13.5" x14ac:dyDescent="0.2">
      <c r="A151" s="29"/>
      <c r="B151" s="29"/>
      <c r="C151" s="28" t="str">
        <f>IF(B151="","",IF(COUNTIF('07_スキル辞書'!$A$4:$A$109,B151)&lt;&gt;1,"参照ID不正",IF(INDEX('07_スキル辞書'!$D$4:$D$109,MATCH(B151,'07_スキル辞書'!$A$4:$A$109,0))="","",INDEX('07_スキル辞書'!$D$4:$D$109,MATCH(B151,'07_スキル辞書'!$A$4:$A$109,0)))))</f>
        <v/>
      </c>
      <c r="D151" s="29"/>
      <c r="E151" s="29"/>
      <c r="F151" s="29"/>
      <c r="G151" s="29"/>
      <c r="H151" s="29"/>
      <c r="I151" s="28" t="str">
        <f t="shared" si="12"/>
        <v/>
      </c>
      <c r="J151" s="29"/>
      <c r="K151" s="29"/>
      <c r="L151" s="32"/>
      <c r="M151" s="29"/>
      <c r="N151" s="32"/>
      <c r="O151" s="29"/>
      <c r="P151" s="28" t="str">
        <f t="shared" si="13"/>
        <v>未割当</v>
      </c>
      <c r="Q151" s="29"/>
      <c r="R151" s="29"/>
      <c r="S151" s="28" t="str">
        <f t="shared" si="14"/>
        <v/>
      </c>
    </row>
    <row r="152" spans="1:19" ht="13.5" x14ac:dyDescent="0.2">
      <c r="A152" s="29"/>
      <c r="B152" s="29"/>
      <c r="C152" s="28" t="str">
        <f>IF(B152="","",IF(COUNTIF('07_スキル辞書'!$A$4:$A$109,B152)&lt;&gt;1,"参照ID不正",IF(INDEX('07_スキル辞書'!$D$4:$D$109,MATCH(B152,'07_スキル辞書'!$A$4:$A$109,0))="","",INDEX('07_スキル辞書'!$D$4:$D$109,MATCH(B152,'07_スキル辞書'!$A$4:$A$109,0)))))</f>
        <v/>
      </c>
      <c r="D152" s="29"/>
      <c r="E152" s="29"/>
      <c r="F152" s="29"/>
      <c r="G152" s="29"/>
      <c r="H152" s="29"/>
      <c r="I152" s="28" t="str">
        <f t="shared" si="12"/>
        <v/>
      </c>
      <c r="J152" s="29"/>
      <c r="K152" s="29"/>
      <c r="L152" s="32"/>
      <c r="M152" s="29"/>
      <c r="N152" s="32"/>
      <c r="O152" s="29"/>
      <c r="P152" s="28" t="str">
        <f t="shared" si="13"/>
        <v>未割当</v>
      </c>
      <c r="Q152" s="29"/>
      <c r="R152" s="29"/>
      <c r="S152" s="28" t="str">
        <f t="shared" si="14"/>
        <v/>
      </c>
    </row>
    <row r="153" spans="1:19" ht="13.5" x14ac:dyDescent="0.2">
      <c r="A153" s="29"/>
      <c r="B153" s="29"/>
      <c r="C153" s="28" t="str">
        <f>IF(B153="","",IF(COUNTIF('07_スキル辞書'!$A$4:$A$109,B153)&lt;&gt;1,"参照ID不正",IF(INDEX('07_スキル辞書'!$D$4:$D$109,MATCH(B153,'07_スキル辞書'!$A$4:$A$109,0))="","",INDEX('07_スキル辞書'!$D$4:$D$109,MATCH(B153,'07_スキル辞書'!$A$4:$A$109,0)))))</f>
        <v/>
      </c>
      <c r="D153" s="29"/>
      <c r="E153" s="29"/>
      <c r="F153" s="29"/>
      <c r="G153" s="29"/>
      <c r="H153" s="29"/>
      <c r="I153" s="28" t="str">
        <f t="shared" si="12"/>
        <v/>
      </c>
      <c r="J153" s="29"/>
      <c r="K153" s="29"/>
      <c r="L153" s="32"/>
      <c r="M153" s="29"/>
      <c r="N153" s="32"/>
      <c r="O153" s="29"/>
      <c r="P153" s="28" t="str">
        <f t="shared" si="13"/>
        <v>未割当</v>
      </c>
      <c r="Q153" s="29"/>
      <c r="R153" s="29"/>
      <c r="S153" s="28" t="str">
        <f t="shared" si="14"/>
        <v/>
      </c>
    </row>
    <row r="154" spans="1:19" ht="13.5" x14ac:dyDescent="0.2">
      <c r="A154" s="29"/>
      <c r="B154" s="29"/>
      <c r="C154" s="28" t="str">
        <f>IF(B154="","",IF(COUNTIF('07_スキル辞書'!$A$4:$A$109,B154)&lt;&gt;1,"参照ID不正",IF(INDEX('07_スキル辞書'!$D$4:$D$109,MATCH(B154,'07_スキル辞書'!$A$4:$A$109,0))="","",INDEX('07_スキル辞書'!$D$4:$D$109,MATCH(B154,'07_スキル辞書'!$A$4:$A$109,0)))))</f>
        <v/>
      </c>
      <c r="D154" s="29"/>
      <c r="E154" s="29"/>
      <c r="F154" s="29"/>
      <c r="G154" s="29"/>
      <c r="H154" s="29"/>
      <c r="I154" s="28" t="str">
        <f t="shared" si="12"/>
        <v/>
      </c>
      <c r="J154" s="29"/>
      <c r="K154" s="29"/>
      <c r="L154" s="32"/>
      <c r="M154" s="29"/>
      <c r="N154" s="32"/>
      <c r="O154" s="29"/>
      <c r="P154" s="28" t="str">
        <f t="shared" si="13"/>
        <v>未割当</v>
      </c>
      <c r="Q154" s="29"/>
      <c r="R154" s="29"/>
      <c r="S154" s="28" t="str">
        <f t="shared" si="14"/>
        <v/>
      </c>
    </row>
    <row r="155" spans="1:19" ht="13.5" x14ac:dyDescent="0.2">
      <c r="A155" s="29"/>
      <c r="B155" s="29"/>
      <c r="C155" s="28" t="str">
        <f>IF(B155="","",IF(COUNTIF('07_スキル辞書'!$A$4:$A$109,B155)&lt;&gt;1,"参照ID不正",IF(INDEX('07_スキル辞書'!$D$4:$D$109,MATCH(B155,'07_スキル辞書'!$A$4:$A$109,0))="","",INDEX('07_スキル辞書'!$D$4:$D$109,MATCH(B155,'07_スキル辞書'!$A$4:$A$109,0)))))</f>
        <v/>
      </c>
      <c r="D155" s="29"/>
      <c r="E155" s="29"/>
      <c r="F155" s="29"/>
      <c r="G155" s="29"/>
      <c r="H155" s="29"/>
      <c r="I155" s="28" t="str">
        <f t="shared" si="12"/>
        <v/>
      </c>
      <c r="J155" s="29"/>
      <c r="K155" s="29"/>
      <c r="L155" s="32"/>
      <c r="M155" s="29"/>
      <c r="N155" s="32"/>
      <c r="O155" s="29"/>
      <c r="P155" s="28" t="str">
        <f t="shared" si="13"/>
        <v>未割当</v>
      </c>
      <c r="Q155" s="29"/>
      <c r="R155" s="29"/>
      <c r="S155" s="28" t="str">
        <f t="shared" si="14"/>
        <v/>
      </c>
    </row>
    <row r="156" spans="1:19" ht="13.5" x14ac:dyDescent="0.2">
      <c r="A156" s="29"/>
      <c r="B156" s="29"/>
      <c r="C156" s="28" t="str">
        <f>IF(B156="","",IF(COUNTIF('07_スキル辞書'!$A$4:$A$109,B156)&lt;&gt;1,"参照ID不正",IF(INDEX('07_スキル辞書'!$D$4:$D$109,MATCH(B156,'07_スキル辞書'!$A$4:$A$109,0))="","",INDEX('07_スキル辞書'!$D$4:$D$109,MATCH(B156,'07_スキル辞書'!$A$4:$A$109,0)))))</f>
        <v/>
      </c>
      <c r="D156" s="29"/>
      <c r="E156" s="29"/>
      <c r="F156" s="29"/>
      <c r="G156" s="29"/>
      <c r="H156" s="29"/>
      <c r="I156" s="28" t="str">
        <f t="shared" si="12"/>
        <v/>
      </c>
      <c r="J156" s="29"/>
      <c r="K156" s="29"/>
      <c r="L156" s="32"/>
      <c r="M156" s="29"/>
      <c r="N156" s="32"/>
      <c r="O156" s="29"/>
      <c r="P156" s="28" t="str">
        <f t="shared" si="13"/>
        <v>未割当</v>
      </c>
      <c r="Q156" s="29"/>
      <c r="R156" s="29"/>
      <c r="S156" s="28" t="str">
        <f t="shared" si="14"/>
        <v/>
      </c>
    </row>
    <row r="157" spans="1:19" ht="13.5" x14ac:dyDescent="0.2">
      <c r="A157" s="29"/>
      <c r="B157" s="29"/>
      <c r="C157" s="28" t="str">
        <f>IF(B157="","",IF(COUNTIF('07_スキル辞書'!$A$4:$A$109,B157)&lt;&gt;1,"参照ID不正",IF(INDEX('07_スキル辞書'!$D$4:$D$109,MATCH(B157,'07_スキル辞書'!$A$4:$A$109,0))="","",INDEX('07_スキル辞書'!$D$4:$D$109,MATCH(B157,'07_スキル辞書'!$A$4:$A$109,0)))))</f>
        <v/>
      </c>
      <c r="D157" s="29"/>
      <c r="E157" s="29"/>
      <c r="F157" s="29"/>
      <c r="G157" s="29"/>
      <c r="H157" s="29"/>
      <c r="I157" s="28" t="str">
        <f t="shared" si="12"/>
        <v/>
      </c>
      <c r="J157" s="29"/>
      <c r="K157" s="29"/>
      <c r="L157" s="32"/>
      <c r="M157" s="29"/>
      <c r="N157" s="32"/>
      <c r="O157" s="29"/>
      <c r="P157" s="28" t="str">
        <f t="shared" si="13"/>
        <v>未割当</v>
      </c>
      <c r="Q157" s="29"/>
      <c r="R157" s="29"/>
      <c r="S157" s="28" t="str">
        <f t="shared" si="14"/>
        <v/>
      </c>
    </row>
    <row r="158" spans="1:19" ht="13.5" x14ac:dyDescent="0.2">
      <c r="A158" s="29"/>
      <c r="B158" s="29"/>
      <c r="C158" s="28" t="str">
        <f>IF(B158="","",IF(COUNTIF('07_スキル辞書'!$A$4:$A$109,B158)&lt;&gt;1,"参照ID不正",IF(INDEX('07_スキル辞書'!$D$4:$D$109,MATCH(B158,'07_スキル辞書'!$A$4:$A$109,0))="","",INDEX('07_スキル辞書'!$D$4:$D$109,MATCH(B158,'07_スキル辞書'!$A$4:$A$109,0)))))</f>
        <v/>
      </c>
      <c r="D158" s="29"/>
      <c r="E158" s="29"/>
      <c r="F158" s="29"/>
      <c r="G158" s="29"/>
      <c r="H158" s="29"/>
      <c r="I158" s="28" t="str">
        <f t="shared" si="12"/>
        <v/>
      </c>
      <c r="J158" s="29"/>
      <c r="K158" s="29"/>
      <c r="L158" s="32"/>
      <c r="M158" s="29"/>
      <c r="N158" s="32"/>
      <c r="O158" s="29"/>
      <c r="P158" s="28" t="str">
        <f t="shared" si="13"/>
        <v>未割当</v>
      </c>
      <c r="Q158" s="29"/>
      <c r="R158" s="29"/>
      <c r="S158" s="28" t="str">
        <f t="shared" si="14"/>
        <v/>
      </c>
    </row>
    <row r="159" spans="1:19" ht="13.5" x14ac:dyDescent="0.2">
      <c r="A159" s="29"/>
      <c r="B159" s="29"/>
      <c r="C159" s="28" t="str">
        <f>IF(B159="","",IF(COUNTIF('07_スキル辞書'!$A$4:$A$109,B159)&lt;&gt;1,"参照ID不正",IF(INDEX('07_スキル辞書'!$D$4:$D$109,MATCH(B159,'07_スキル辞書'!$A$4:$A$109,0))="","",INDEX('07_スキル辞書'!$D$4:$D$109,MATCH(B159,'07_スキル辞書'!$A$4:$A$109,0)))))</f>
        <v/>
      </c>
      <c r="D159" s="29"/>
      <c r="E159" s="29"/>
      <c r="F159" s="29"/>
      <c r="G159" s="29"/>
      <c r="H159" s="29"/>
      <c r="I159" s="28" t="str">
        <f t="shared" si="12"/>
        <v/>
      </c>
      <c r="J159" s="29"/>
      <c r="K159" s="29"/>
      <c r="L159" s="32"/>
      <c r="M159" s="29"/>
      <c r="N159" s="32"/>
      <c r="O159" s="29"/>
      <c r="P159" s="28" t="str">
        <f t="shared" si="13"/>
        <v>未割当</v>
      </c>
      <c r="Q159" s="29"/>
      <c r="R159" s="29"/>
      <c r="S159" s="28" t="str">
        <f t="shared" si="14"/>
        <v/>
      </c>
    </row>
    <row r="160" spans="1:19" ht="13.5" x14ac:dyDescent="0.2">
      <c r="A160" s="29"/>
      <c r="B160" s="29"/>
      <c r="C160" s="28" t="str">
        <f>IF(B160="","",IF(COUNTIF('07_スキル辞書'!$A$4:$A$109,B160)&lt;&gt;1,"参照ID不正",IF(INDEX('07_スキル辞書'!$D$4:$D$109,MATCH(B160,'07_スキル辞書'!$A$4:$A$109,0))="","",INDEX('07_スキル辞書'!$D$4:$D$109,MATCH(B160,'07_スキル辞書'!$A$4:$A$109,0)))))</f>
        <v/>
      </c>
      <c r="D160" s="29"/>
      <c r="E160" s="29"/>
      <c r="F160" s="29"/>
      <c r="G160" s="29"/>
      <c r="H160" s="29"/>
      <c r="I160" s="28" t="str">
        <f t="shared" si="12"/>
        <v/>
      </c>
      <c r="J160" s="29"/>
      <c r="K160" s="29"/>
      <c r="L160" s="32"/>
      <c r="M160" s="29"/>
      <c r="N160" s="32"/>
      <c r="O160" s="29"/>
      <c r="P160" s="28" t="str">
        <f t="shared" si="13"/>
        <v>未割当</v>
      </c>
      <c r="Q160" s="29"/>
      <c r="R160" s="29"/>
      <c r="S160" s="28" t="str">
        <f t="shared" si="14"/>
        <v/>
      </c>
    </row>
    <row r="161" spans="1:19" ht="13.5" x14ac:dyDescent="0.2">
      <c r="A161" s="29"/>
      <c r="B161" s="29"/>
      <c r="C161" s="28" t="str">
        <f>IF(B161="","",IF(COUNTIF('07_スキル辞書'!$A$4:$A$109,B161)&lt;&gt;1,"参照ID不正",IF(INDEX('07_スキル辞書'!$D$4:$D$109,MATCH(B161,'07_スキル辞書'!$A$4:$A$109,0))="","",INDEX('07_スキル辞書'!$D$4:$D$109,MATCH(B161,'07_スキル辞書'!$A$4:$A$109,0)))))</f>
        <v/>
      </c>
      <c r="D161" s="29"/>
      <c r="E161" s="29"/>
      <c r="F161" s="29"/>
      <c r="G161" s="29"/>
      <c r="H161" s="29"/>
      <c r="I161" s="28" t="str">
        <f t="shared" si="12"/>
        <v/>
      </c>
      <c r="J161" s="29"/>
      <c r="K161" s="29"/>
      <c r="L161" s="32"/>
      <c r="M161" s="29"/>
      <c r="N161" s="32"/>
      <c r="O161" s="29"/>
      <c r="P161" s="28" t="str">
        <f t="shared" si="13"/>
        <v>未割当</v>
      </c>
      <c r="Q161" s="29"/>
      <c r="R161" s="29"/>
      <c r="S161" s="28" t="str">
        <f t="shared" si="14"/>
        <v/>
      </c>
    </row>
    <row r="162" spans="1:19" ht="13.5" x14ac:dyDescent="0.2">
      <c r="A162" s="29"/>
      <c r="B162" s="29"/>
      <c r="C162" s="28" t="str">
        <f>IF(B162="","",IF(COUNTIF('07_スキル辞書'!$A$4:$A$109,B162)&lt;&gt;1,"参照ID不正",IF(INDEX('07_スキル辞書'!$D$4:$D$109,MATCH(B162,'07_スキル辞書'!$A$4:$A$109,0))="","",INDEX('07_スキル辞書'!$D$4:$D$109,MATCH(B162,'07_スキル辞書'!$A$4:$A$109,0)))))</f>
        <v/>
      </c>
      <c r="D162" s="29"/>
      <c r="E162" s="29"/>
      <c r="F162" s="29"/>
      <c r="G162" s="29"/>
      <c r="H162" s="29"/>
      <c r="I162" s="28" t="str">
        <f t="shared" si="12"/>
        <v/>
      </c>
      <c r="J162" s="29"/>
      <c r="K162" s="29"/>
      <c r="L162" s="32"/>
      <c r="M162" s="29"/>
      <c r="N162" s="32"/>
      <c r="O162" s="29"/>
      <c r="P162" s="28" t="str">
        <f t="shared" si="13"/>
        <v>未割当</v>
      </c>
      <c r="Q162" s="29"/>
      <c r="R162" s="29"/>
      <c r="S162" s="28" t="str">
        <f t="shared" si="14"/>
        <v/>
      </c>
    </row>
    <row r="163" spans="1:19" ht="13.5" x14ac:dyDescent="0.2">
      <c r="A163" s="29"/>
      <c r="B163" s="29"/>
      <c r="C163" s="28" t="str">
        <f>IF(B163="","",IF(COUNTIF('07_スキル辞書'!$A$4:$A$109,B163)&lt;&gt;1,"参照ID不正",IF(INDEX('07_スキル辞書'!$D$4:$D$109,MATCH(B163,'07_スキル辞書'!$A$4:$A$109,0))="","",INDEX('07_スキル辞書'!$D$4:$D$109,MATCH(B163,'07_スキル辞書'!$A$4:$A$109,0)))))</f>
        <v/>
      </c>
      <c r="D163" s="29"/>
      <c r="E163" s="29"/>
      <c r="F163" s="29"/>
      <c r="G163" s="29"/>
      <c r="H163" s="29"/>
      <c r="I163" s="28" t="str">
        <f t="shared" si="12"/>
        <v/>
      </c>
      <c r="J163" s="29"/>
      <c r="K163" s="29"/>
      <c r="L163" s="32"/>
      <c r="M163" s="29"/>
      <c r="N163" s="32"/>
      <c r="O163" s="29"/>
      <c r="P163" s="28" t="str">
        <f t="shared" si="13"/>
        <v>未割当</v>
      </c>
      <c r="Q163" s="29"/>
      <c r="R163" s="29"/>
      <c r="S163" s="28" t="str">
        <f t="shared" si="14"/>
        <v/>
      </c>
    </row>
    <row r="164" spans="1:19" ht="13.5" x14ac:dyDescent="0.2">
      <c r="A164" s="29"/>
      <c r="B164" s="29"/>
      <c r="C164" s="28" t="str">
        <f>IF(B164="","",IF(COUNTIF('07_スキル辞書'!$A$4:$A$109,B164)&lt;&gt;1,"参照ID不正",IF(INDEX('07_スキル辞書'!$D$4:$D$109,MATCH(B164,'07_スキル辞書'!$A$4:$A$109,0))="","",INDEX('07_スキル辞書'!$D$4:$D$109,MATCH(B164,'07_スキル辞書'!$A$4:$A$109,0)))))</f>
        <v/>
      </c>
      <c r="D164" s="29"/>
      <c r="E164" s="29"/>
      <c r="F164" s="29"/>
      <c r="G164" s="29"/>
      <c r="H164" s="29"/>
      <c r="I164" s="28" t="str">
        <f t="shared" ref="I164:I195" si="15">IF(OR(COUNT(G164:H164)&lt;2,IFERROR(MIN(G164:H164)&lt;0,TRUE),IFERROR(MAX(G164:H164)&gt;3,TRUE),IFERROR(MOD(G164,1)&lt;&gt;0,TRUE),IFERROR(MOD(H164,1)&lt;&gt;0,TRUE)),"",MAX(0,G164-H164))</f>
        <v/>
      </c>
      <c r="J164" s="29"/>
      <c r="K164" s="29"/>
      <c r="L164" s="32"/>
      <c r="M164" s="29"/>
      <c r="N164" s="32"/>
      <c r="O164" s="29"/>
      <c r="P164" s="28" t="str">
        <f t="shared" ref="P164:P195" si="16">IF(AND(D164="",Q164=""),"未割当",IF(OR(COUNTIF(SkillIDs,B164)&lt;&gt;1,COUNTIF(RoleIDs,E164)&lt;&gt;1,S164&lt;&gt;"ID一意"),"Skill／Role／記録ID不正",IF(OR(COUNT(G164:H164)&lt;2,IFERROR(MIN(G164:H164)&lt;0,TRUE),IFERROR(MAX(G164:H164)&gt;3,TRUE),IFERROR(MOD(G164,1)&lt;&gt;0,TRUE),IFERROR(MOD(H164,1)&lt;&gt;0,TRUE)),"習熟度不正",IF(OR(OR(D164="",F164="",J164="",K164="",Q164="",R164=""),NOT(ISNUMBER(L164))),"評価証拠不足",IF(OR(AND(L164&lt;&gt;"",OR(NOT(ISNUMBER(L164)),IFERROR(L164&lt;1,TRUE),IFERROR(INT(L164)&gt;INT(AsOfDate),TRUE)))),"評価日不正",IF(OR(Q164=R164,D164=K164),"自己申告・第三者確認前","第三者評価記録あり"))))))</f>
        <v>未割当</v>
      </c>
      <c r="Q164" s="29"/>
      <c r="R164" s="29"/>
      <c r="S164" s="28" t="str">
        <f t="shared" ref="S164:S195" si="17">IF(A164="","",IF(COUNTIF($A$4:$A$203,A164)&lt;&gt;1,"評価記録ID重複","ID一意"))</f>
        <v/>
      </c>
    </row>
    <row r="165" spans="1:19" ht="13.5" x14ac:dyDescent="0.2">
      <c r="A165" s="29"/>
      <c r="B165" s="29"/>
      <c r="C165" s="28" t="str">
        <f>IF(B165="","",IF(COUNTIF('07_スキル辞書'!$A$4:$A$109,B165)&lt;&gt;1,"参照ID不正",IF(INDEX('07_スキル辞書'!$D$4:$D$109,MATCH(B165,'07_スキル辞書'!$A$4:$A$109,0))="","",INDEX('07_スキル辞書'!$D$4:$D$109,MATCH(B165,'07_スキル辞書'!$A$4:$A$109,0)))))</f>
        <v/>
      </c>
      <c r="D165" s="29"/>
      <c r="E165" s="29"/>
      <c r="F165" s="29"/>
      <c r="G165" s="29"/>
      <c r="H165" s="29"/>
      <c r="I165" s="28" t="str">
        <f t="shared" si="15"/>
        <v/>
      </c>
      <c r="J165" s="29"/>
      <c r="K165" s="29"/>
      <c r="L165" s="32"/>
      <c r="M165" s="29"/>
      <c r="N165" s="32"/>
      <c r="O165" s="29"/>
      <c r="P165" s="28" t="str">
        <f t="shared" si="16"/>
        <v>未割当</v>
      </c>
      <c r="Q165" s="29"/>
      <c r="R165" s="29"/>
      <c r="S165" s="28" t="str">
        <f t="shared" si="17"/>
        <v/>
      </c>
    </row>
    <row r="166" spans="1:19" ht="13.5" x14ac:dyDescent="0.2">
      <c r="A166" s="29"/>
      <c r="B166" s="29"/>
      <c r="C166" s="28" t="str">
        <f>IF(B166="","",IF(COUNTIF('07_スキル辞書'!$A$4:$A$109,B166)&lt;&gt;1,"参照ID不正",IF(INDEX('07_スキル辞書'!$D$4:$D$109,MATCH(B166,'07_スキル辞書'!$A$4:$A$109,0))="","",INDEX('07_スキル辞書'!$D$4:$D$109,MATCH(B166,'07_スキル辞書'!$A$4:$A$109,0)))))</f>
        <v/>
      </c>
      <c r="D166" s="29"/>
      <c r="E166" s="29"/>
      <c r="F166" s="29"/>
      <c r="G166" s="29"/>
      <c r="H166" s="29"/>
      <c r="I166" s="28" t="str">
        <f t="shared" si="15"/>
        <v/>
      </c>
      <c r="J166" s="29"/>
      <c r="K166" s="29"/>
      <c r="L166" s="32"/>
      <c r="M166" s="29"/>
      <c r="N166" s="32"/>
      <c r="O166" s="29"/>
      <c r="P166" s="28" t="str">
        <f t="shared" si="16"/>
        <v>未割当</v>
      </c>
      <c r="Q166" s="29"/>
      <c r="R166" s="29"/>
      <c r="S166" s="28" t="str">
        <f t="shared" si="17"/>
        <v/>
      </c>
    </row>
    <row r="167" spans="1:19" ht="13.5" x14ac:dyDescent="0.2">
      <c r="A167" s="29"/>
      <c r="B167" s="29"/>
      <c r="C167" s="28" t="str">
        <f>IF(B167="","",IF(COUNTIF('07_スキル辞書'!$A$4:$A$109,B167)&lt;&gt;1,"参照ID不正",IF(INDEX('07_スキル辞書'!$D$4:$D$109,MATCH(B167,'07_スキル辞書'!$A$4:$A$109,0))="","",INDEX('07_スキル辞書'!$D$4:$D$109,MATCH(B167,'07_スキル辞書'!$A$4:$A$109,0)))))</f>
        <v/>
      </c>
      <c r="D167" s="29"/>
      <c r="E167" s="29"/>
      <c r="F167" s="29"/>
      <c r="G167" s="29"/>
      <c r="H167" s="29"/>
      <c r="I167" s="28" t="str">
        <f t="shared" si="15"/>
        <v/>
      </c>
      <c r="J167" s="29"/>
      <c r="K167" s="29"/>
      <c r="L167" s="32"/>
      <c r="M167" s="29"/>
      <c r="N167" s="32"/>
      <c r="O167" s="29"/>
      <c r="P167" s="28" t="str">
        <f t="shared" si="16"/>
        <v>未割当</v>
      </c>
      <c r="Q167" s="29"/>
      <c r="R167" s="29"/>
      <c r="S167" s="28" t="str">
        <f t="shared" si="17"/>
        <v/>
      </c>
    </row>
    <row r="168" spans="1:19" ht="13.5" x14ac:dyDescent="0.2">
      <c r="A168" s="29"/>
      <c r="B168" s="29"/>
      <c r="C168" s="28" t="str">
        <f>IF(B168="","",IF(COUNTIF('07_スキル辞書'!$A$4:$A$109,B168)&lt;&gt;1,"参照ID不正",IF(INDEX('07_スキル辞書'!$D$4:$D$109,MATCH(B168,'07_スキル辞書'!$A$4:$A$109,0))="","",INDEX('07_スキル辞書'!$D$4:$D$109,MATCH(B168,'07_スキル辞書'!$A$4:$A$109,0)))))</f>
        <v/>
      </c>
      <c r="D168" s="29"/>
      <c r="E168" s="29"/>
      <c r="F168" s="29"/>
      <c r="G168" s="29"/>
      <c r="H168" s="29"/>
      <c r="I168" s="28" t="str">
        <f t="shared" si="15"/>
        <v/>
      </c>
      <c r="J168" s="29"/>
      <c r="K168" s="29"/>
      <c r="L168" s="32"/>
      <c r="M168" s="29"/>
      <c r="N168" s="32"/>
      <c r="O168" s="29"/>
      <c r="P168" s="28" t="str">
        <f t="shared" si="16"/>
        <v>未割当</v>
      </c>
      <c r="Q168" s="29"/>
      <c r="R168" s="29"/>
      <c r="S168" s="28" t="str">
        <f t="shared" si="17"/>
        <v/>
      </c>
    </row>
    <row r="169" spans="1:19" ht="13.5" x14ac:dyDescent="0.2">
      <c r="A169" s="29"/>
      <c r="B169" s="29"/>
      <c r="C169" s="28" t="str">
        <f>IF(B169="","",IF(COUNTIF('07_スキル辞書'!$A$4:$A$109,B169)&lt;&gt;1,"参照ID不正",IF(INDEX('07_スキル辞書'!$D$4:$D$109,MATCH(B169,'07_スキル辞書'!$A$4:$A$109,0))="","",INDEX('07_スキル辞書'!$D$4:$D$109,MATCH(B169,'07_スキル辞書'!$A$4:$A$109,0)))))</f>
        <v/>
      </c>
      <c r="D169" s="29"/>
      <c r="E169" s="29"/>
      <c r="F169" s="29"/>
      <c r="G169" s="29"/>
      <c r="H169" s="29"/>
      <c r="I169" s="28" t="str">
        <f t="shared" si="15"/>
        <v/>
      </c>
      <c r="J169" s="29"/>
      <c r="K169" s="29"/>
      <c r="L169" s="32"/>
      <c r="M169" s="29"/>
      <c r="N169" s="32"/>
      <c r="O169" s="29"/>
      <c r="P169" s="28" t="str">
        <f t="shared" si="16"/>
        <v>未割当</v>
      </c>
      <c r="Q169" s="29"/>
      <c r="R169" s="29"/>
      <c r="S169" s="28" t="str">
        <f t="shared" si="17"/>
        <v/>
      </c>
    </row>
    <row r="170" spans="1:19" ht="13.5" x14ac:dyDescent="0.2">
      <c r="A170" s="29"/>
      <c r="B170" s="29"/>
      <c r="C170" s="28" t="str">
        <f>IF(B170="","",IF(COUNTIF('07_スキル辞書'!$A$4:$A$109,B170)&lt;&gt;1,"参照ID不正",IF(INDEX('07_スキル辞書'!$D$4:$D$109,MATCH(B170,'07_スキル辞書'!$A$4:$A$109,0))="","",INDEX('07_スキル辞書'!$D$4:$D$109,MATCH(B170,'07_スキル辞書'!$A$4:$A$109,0)))))</f>
        <v/>
      </c>
      <c r="D170" s="29"/>
      <c r="E170" s="29"/>
      <c r="F170" s="29"/>
      <c r="G170" s="29"/>
      <c r="H170" s="29"/>
      <c r="I170" s="28" t="str">
        <f t="shared" si="15"/>
        <v/>
      </c>
      <c r="J170" s="29"/>
      <c r="K170" s="29"/>
      <c r="L170" s="32"/>
      <c r="M170" s="29"/>
      <c r="N170" s="32"/>
      <c r="O170" s="29"/>
      <c r="P170" s="28" t="str">
        <f t="shared" si="16"/>
        <v>未割当</v>
      </c>
      <c r="Q170" s="29"/>
      <c r="R170" s="29"/>
      <c r="S170" s="28" t="str">
        <f t="shared" si="17"/>
        <v/>
      </c>
    </row>
    <row r="171" spans="1:19" ht="13.5" x14ac:dyDescent="0.2">
      <c r="A171" s="29"/>
      <c r="B171" s="29"/>
      <c r="C171" s="28" t="str">
        <f>IF(B171="","",IF(COUNTIF('07_スキル辞書'!$A$4:$A$109,B171)&lt;&gt;1,"参照ID不正",IF(INDEX('07_スキル辞書'!$D$4:$D$109,MATCH(B171,'07_スキル辞書'!$A$4:$A$109,0))="","",INDEX('07_スキル辞書'!$D$4:$D$109,MATCH(B171,'07_スキル辞書'!$A$4:$A$109,0)))))</f>
        <v/>
      </c>
      <c r="D171" s="29"/>
      <c r="E171" s="29"/>
      <c r="F171" s="29"/>
      <c r="G171" s="29"/>
      <c r="H171" s="29"/>
      <c r="I171" s="28" t="str">
        <f t="shared" si="15"/>
        <v/>
      </c>
      <c r="J171" s="29"/>
      <c r="K171" s="29"/>
      <c r="L171" s="32"/>
      <c r="M171" s="29"/>
      <c r="N171" s="32"/>
      <c r="O171" s="29"/>
      <c r="P171" s="28" t="str">
        <f t="shared" si="16"/>
        <v>未割当</v>
      </c>
      <c r="Q171" s="29"/>
      <c r="R171" s="29"/>
      <c r="S171" s="28" t="str">
        <f t="shared" si="17"/>
        <v/>
      </c>
    </row>
    <row r="172" spans="1:19" ht="13.5" x14ac:dyDescent="0.2">
      <c r="A172" s="29"/>
      <c r="B172" s="29"/>
      <c r="C172" s="28" t="str">
        <f>IF(B172="","",IF(COUNTIF('07_スキル辞書'!$A$4:$A$109,B172)&lt;&gt;1,"参照ID不正",IF(INDEX('07_スキル辞書'!$D$4:$D$109,MATCH(B172,'07_スキル辞書'!$A$4:$A$109,0))="","",INDEX('07_スキル辞書'!$D$4:$D$109,MATCH(B172,'07_スキル辞書'!$A$4:$A$109,0)))))</f>
        <v/>
      </c>
      <c r="D172" s="29"/>
      <c r="E172" s="29"/>
      <c r="F172" s="29"/>
      <c r="G172" s="29"/>
      <c r="H172" s="29"/>
      <c r="I172" s="28" t="str">
        <f t="shared" si="15"/>
        <v/>
      </c>
      <c r="J172" s="29"/>
      <c r="K172" s="29"/>
      <c r="L172" s="32"/>
      <c r="M172" s="29"/>
      <c r="N172" s="32"/>
      <c r="O172" s="29"/>
      <c r="P172" s="28" t="str">
        <f t="shared" si="16"/>
        <v>未割当</v>
      </c>
      <c r="Q172" s="29"/>
      <c r="R172" s="29"/>
      <c r="S172" s="28" t="str">
        <f t="shared" si="17"/>
        <v/>
      </c>
    </row>
    <row r="173" spans="1:19" ht="13.5" x14ac:dyDescent="0.2">
      <c r="A173" s="29"/>
      <c r="B173" s="29"/>
      <c r="C173" s="28" t="str">
        <f>IF(B173="","",IF(COUNTIF('07_スキル辞書'!$A$4:$A$109,B173)&lt;&gt;1,"参照ID不正",IF(INDEX('07_スキル辞書'!$D$4:$D$109,MATCH(B173,'07_スキル辞書'!$A$4:$A$109,0))="","",INDEX('07_スキル辞書'!$D$4:$D$109,MATCH(B173,'07_スキル辞書'!$A$4:$A$109,0)))))</f>
        <v/>
      </c>
      <c r="D173" s="29"/>
      <c r="E173" s="29"/>
      <c r="F173" s="29"/>
      <c r="G173" s="29"/>
      <c r="H173" s="29"/>
      <c r="I173" s="28" t="str">
        <f t="shared" si="15"/>
        <v/>
      </c>
      <c r="J173" s="29"/>
      <c r="K173" s="29"/>
      <c r="L173" s="32"/>
      <c r="M173" s="29"/>
      <c r="N173" s="32"/>
      <c r="O173" s="29"/>
      <c r="P173" s="28" t="str">
        <f t="shared" si="16"/>
        <v>未割当</v>
      </c>
      <c r="Q173" s="29"/>
      <c r="R173" s="29"/>
      <c r="S173" s="28" t="str">
        <f t="shared" si="17"/>
        <v/>
      </c>
    </row>
    <row r="174" spans="1:19" ht="13.5" x14ac:dyDescent="0.2">
      <c r="A174" s="29"/>
      <c r="B174" s="29"/>
      <c r="C174" s="28" t="str">
        <f>IF(B174="","",IF(COUNTIF('07_スキル辞書'!$A$4:$A$109,B174)&lt;&gt;1,"参照ID不正",IF(INDEX('07_スキル辞書'!$D$4:$D$109,MATCH(B174,'07_スキル辞書'!$A$4:$A$109,0))="","",INDEX('07_スキル辞書'!$D$4:$D$109,MATCH(B174,'07_スキル辞書'!$A$4:$A$109,0)))))</f>
        <v/>
      </c>
      <c r="D174" s="29"/>
      <c r="E174" s="29"/>
      <c r="F174" s="29"/>
      <c r="G174" s="29"/>
      <c r="H174" s="29"/>
      <c r="I174" s="28" t="str">
        <f t="shared" si="15"/>
        <v/>
      </c>
      <c r="J174" s="29"/>
      <c r="K174" s="29"/>
      <c r="L174" s="32"/>
      <c r="M174" s="29"/>
      <c r="N174" s="32"/>
      <c r="O174" s="29"/>
      <c r="P174" s="28" t="str">
        <f t="shared" si="16"/>
        <v>未割当</v>
      </c>
      <c r="Q174" s="29"/>
      <c r="R174" s="29"/>
      <c r="S174" s="28" t="str">
        <f t="shared" si="17"/>
        <v/>
      </c>
    </row>
    <row r="175" spans="1:19" ht="13.5" x14ac:dyDescent="0.2">
      <c r="A175" s="29"/>
      <c r="B175" s="29"/>
      <c r="C175" s="28" t="str">
        <f>IF(B175="","",IF(COUNTIF('07_スキル辞書'!$A$4:$A$109,B175)&lt;&gt;1,"参照ID不正",IF(INDEX('07_スキル辞書'!$D$4:$D$109,MATCH(B175,'07_スキル辞書'!$A$4:$A$109,0))="","",INDEX('07_スキル辞書'!$D$4:$D$109,MATCH(B175,'07_スキル辞書'!$A$4:$A$109,0)))))</f>
        <v/>
      </c>
      <c r="D175" s="29"/>
      <c r="E175" s="29"/>
      <c r="F175" s="29"/>
      <c r="G175" s="29"/>
      <c r="H175" s="29"/>
      <c r="I175" s="28" t="str">
        <f t="shared" si="15"/>
        <v/>
      </c>
      <c r="J175" s="29"/>
      <c r="K175" s="29"/>
      <c r="L175" s="32"/>
      <c r="M175" s="29"/>
      <c r="N175" s="32"/>
      <c r="O175" s="29"/>
      <c r="P175" s="28" t="str">
        <f t="shared" si="16"/>
        <v>未割当</v>
      </c>
      <c r="Q175" s="29"/>
      <c r="R175" s="29"/>
      <c r="S175" s="28" t="str">
        <f t="shared" si="17"/>
        <v/>
      </c>
    </row>
    <row r="176" spans="1:19" ht="13.5" x14ac:dyDescent="0.2">
      <c r="A176" s="29"/>
      <c r="B176" s="29"/>
      <c r="C176" s="28" t="str">
        <f>IF(B176="","",IF(COUNTIF('07_スキル辞書'!$A$4:$A$109,B176)&lt;&gt;1,"参照ID不正",IF(INDEX('07_スキル辞書'!$D$4:$D$109,MATCH(B176,'07_スキル辞書'!$A$4:$A$109,0))="","",INDEX('07_スキル辞書'!$D$4:$D$109,MATCH(B176,'07_スキル辞書'!$A$4:$A$109,0)))))</f>
        <v/>
      </c>
      <c r="D176" s="29"/>
      <c r="E176" s="29"/>
      <c r="F176" s="29"/>
      <c r="G176" s="29"/>
      <c r="H176" s="29"/>
      <c r="I176" s="28" t="str">
        <f t="shared" si="15"/>
        <v/>
      </c>
      <c r="J176" s="29"/>
      <c r="K176" s="29"/>
      <c r="L176" s="32"/>
      <c r="M176" s="29"/>
      <c r="N176" s="32"/>
      <c r="O176" s="29"/>
      <c r="P176" s="28" t="str">
        <f t="shared" si="16"/>
        <v>未割当</v>
      </c>
      <c r="Q176" s="29"/>
      <c r="R176" s="29"/>
      <c r="S176" s="28" t="str">
        <f t="shared" si="17"/>
        <v/>
      </c>
    </row>
    <row r="177" spans="1:19" ht="13.5" x14ac:dyDescent="0.2">
      <c r="A177" s="29"/>
      <c r="B177" s="29"/>
      <c r="C177" s="28" t="str">
        <f>IF(B177="","",IF(COUNTIF('07_スキル辞書'!$A$4:$A$109,B177)&lt;&gt;1,"参照ID不正",IF(INDEX('07_スキル辞書'!$D$4:$D$109,MATCH(B177,'07_スキル辞書'!$A$4:$A$109,0))="","",INDEX('07_スキル辞書'!$D$4:$D$109,MATCH(B177,'07_スキル辞書'!$A$4:$A$109,0)))))</f>
        <v/>
      </c>
      <c r="D177" s="29"/>
      <c r="E177" s="29"/>
      <c r="F177" s="29"/>
      <c r="G177" s="29"/>
      <c r="H177" s="29"/>
      <c r="I177" s="28" t="str">
        <f t="shared" si="15"/>
        <v/>
      </c>
      <c r="J177" s="29"/>
      <c r="K177" s="29"/>
      <c r="L177" s="32"/>
      <c r="M177" s="29"/>
      <c r="N177" s="32"/>
      <c r="O177" s="29"/>
      <c r="P177" s="28" t="str">
        <f t="shared" si="16"/>
        <v>未割当</v>
      </c>
      <c r="Q177" s="29"/>
      <c r="R177" s="29"/>
      <c r="S177" s="28" t="str">
        <f t="shared" si="17"/>
        <v/>
      </c>
    </row>
    <row r="178" spans="1:19" ht="13.5" x14ac:dyDescent="0.2">
      <c r="A178" s="29"/>
      <c r="B178" s="29"/>
      <c r="C178" s="28" t="str">
        <f>IF(B178="","",IF(COUNTIF('07_スキル辞書'!$A$4:$A$109,B178)&lt;&gt;1,"参照ID不正",IF(INDEX('07_スキル辞書'!$D$4:$D$109,MATCH(B178,'07_スキル辞書'!$A$4:$A$109,0))="","",INDEX('07_スキル辞書'!$D$4:$D$109,MATCH(B178,'07_スキル辞書'!$A$4:$A$109,0)))))</f>
        <v/>
      </c>
      <c r="D178" s="29"/>
      <c r="E178" s="29"/>
      <c r="F178" s="29"/>
      <c r="G178" s="29"/>
      <c r="H178" s="29"/>
      <c r="I178" s="28" t="str">
        <f t="shared" si="15"/>
        <v/>
      </c>
      <c r="J178" s="29"/>
      <c r="K178" s="29"/>
      <c r="L178" s="32"/>
      <c r="M178" s="29"/>
      <c r="N178" s="32"/>
      <c r="O178" s="29"/>
      <c r="P178" s="28" t="str">
        <f t="shared" si="16"/>
        <v>未割当</v>
      </c>
      <c r="Q178" s="29"/>
      <c r="R178" s="29"/>
      <c r="S178" s="28" t="str">
        <f t="shared" si="17"/>
        <v/>
      </c>
    </row>
    <row r="179" spans="1:19" ht="13.5" x14ac:dyDescent="0.2">
      <c r="A179" s="29"/>
      <c r="B179" s="29"/>
      <c r="C179" s="28" t="str">
        <f>IF(B179="","",IF(COUNTIF('07_スキル辞書'!$A$4:$A$109,B179)&lt;&gt;1,"参照ID不正",IF(INDEX('07_スキル辞書'!$D$4:$D$109,MATCH(B179,'07_スキル辞書'!$A$4:$A$109,0))="","",INDEX('07_スキル辞書'!$D$4:$D$109,MATCH(B179,'07_スキル辞書'!$A$4:$A$109,0)))))</f>
        <v/>
      </c>
      <c r="D179" s="29"/>
      <c r="E179" s="29"/>
      <c r="F179" s="29"/>
      <c r="G179" s="29"/>
      <c r="H179" s="29"/>
      <c r="I179" s="28" t="str">
        <f t="shared" si="15"/>
        <v/>
      </c>
      <c r="J179" s="29"/>
      <c r="K179" s="29"/>
      <c r="L179" s="32"/>
      <c r="M179" s="29"/>
      <c r="N179" s="32"/>
      <c r="O179" s="29"/>
      <c r="P179" s="28" t="str">
        <f t="shared" si="16"/>
        <v>未割当</v>
      </c>
      <c r="Q179" s="29"/>
      <c r="R179" s="29"/>
      <c r="S179" s="28" t="str">
        <f t="shared" si="17"/>
        <v/>
      </c>
    </row>
    <row r="180" spans="1:19" ht="13.5" x14ac:dyDescent="0.2">
      <c r="A180" s="29"/>
      <c r="B180" s="29"/>
      <c r="C180" s="28" t="str">
        <f>IF(B180="","",IF(COUNTIF('07_スキル辞書'!$A$4:$A$109,B180)&lt;&gt;1,"参照ID不正",IF(INDEX('07_スキル辞書'!$D$4:$D$109,MATCH(B180,'07_スキル辞書'!$A$4:$A$109,0))="","",INDEX('07_スキル辞書'!$D$4:$D$109,MATCH(B180,'07_スキル辞書'!$A$4:$A$109,0)))))</f>
        <v/>
      </c>
      <c r="D180" s="29"/>
      <c r="E180" s="29"/>
      <c r="F180" s="29"/>
      <c r="G180" s="29"/>
      <c r="H180" s="29"/>
      <c r="I180" s="28" t="str">
        <f t="shared" si="15"/>
        <v/>
      </c>
      <c r="J180" s="29"/>
      <c r="K180" s="29"/>
      <c r="L180" s="32"/>
      <c r="M180" s="29"/>
      <c r="N180" s="32"/>
      <c r="O180" s="29"/>
      <c r="P180" s="28" t="str">
        <f t="shared" si="16"/>
        <v>未割当</v>
      </c>
      <c r="Q180" s="29"/>
      <c r="R180" s="29"/>
      <c r="S180" s="28" t="str">
        <f t="shared" si="17"/>
        <v/>
      </c>
    </row>
    <row r="181" spans="1:19" ht="13.5" x14ac:dyDescent="0.2">
      <c r="A181" s="29"/>
      <c r="B181" s="29"/>
      <c r="C181" s="28" t="str">
        <f>IF(B181="","",IF(COUNTIF('07_スキル辞書'!$A$4:$A$109,B181)&lt;&gt;1,"参照ID不正",IF(INDEX('07_スキル辞書'!$D$4:$D$109,MATCH(B181,'07_スキル辞書'!$A$4:$A$109,0))="","",INDEX('07_スキル辞書'!$D$4:$D$109,MATCH(B181,'07_スキル辞書'!$A$4:$A$109,0)))))</f>
        <v/>
      </c>
      <c r="D181" s="29"/>
      <c r="E181" s="29"/>
      <c r="F181" s="29"/>
      <c r="G181" s="29"/>
      <c r="H181" s="29"/>
      <c r="I181" s="28" t="str">
        <f t="shared" si="15"/>
        <v/>
      </c>
      <c r="J181" s="29"/>
      <c r="K181" s="29"/>
      <c r="L181" s="32"/>
      <c r="M181" s="29"/>
      <c r="N181" s="32"/>
      <c r="O181" s="29"/>
      <c r="P181" s="28" t="str">
        <f t="shared" si="16"/>
        <v>未割当</v>
      </c>
      <c r="Q181" s="29"/>
      <c r="R181" s="29"/>
      <c r="S181" s="28" t="str">
        <f t="shared" si="17"/>
        <v/>
      </c>
    </row>
    <row r="182" spans="1:19" ht="13.5" x14ac:dyDescent="0.2">
      <c r="A182" s="29"/>
      <c r="B182" s="29"/>
      <c r="C182" s="28" t="str">
        <f>IF(B182="","",IF(COUNTIF('07_スキル辞書'!$A$4:$A$109,B182)&lt;&gt;1,"参照ID不正",IF(INDEX('07_スキル辞書'!$D$4:$D$109,MATCH(B182,'07_スキル辞書'!$A$4:$A$109,0))="","",INDEX('07_スキル辞書'!$D$4:$D$109,MATCH(B182,'07_スキル辞書'!$A$4:$A$109,0)))))</f>
        <v/>
      </c>
      <c r="D182" s="29"/>
      <c r="E182" s="29"/>
      <c r="F182" s="29"/>
      <c r="G182" s="29"/>
      <c r="H182" s="29"/>
      <c r="I182" s="28" t="str">
        <f t="shared" si="15"/>
        <v/>
      </c>
      <c r="J182" s="29"/>
      <c r="K182" s="29"/>
      <c r="L182" s="32"/>
      <c r="M182" s="29"/>
      <c r="N182" s="32"/>
      <c r="O182" s="29"/>
      <c r="P182" s="28" t="str">
        <f t="shared" si="16"/>
        <v>未割当</v>
      </c>
      <c r="Q182" s="29"/>
      <c r="R182" s="29"/>
      <c r="S182" s="28" t="str">
        <f t="shared" si="17"/>
        <v/>
      </c>
    </row>
    <row r="183" spans="1:19" ht="13.5" x14ac:dyDescent="0.2">
      <c r="A183" s="29"/>
      <c r="B183" s="29"/>
      <c r="C183" s="28" t="str">
        <f>IF(B183="","",IF(COUNTIF('07_スキル辞書'!$A$4:$A$109,B183)&lt;&gt;1,"参照ID不正",IF(INDEX('07_スキル辞書'!$D$4:$D$109,MATCH(B183,'07_スキル辞書'!$A$4:$A$109,0))="","",INDEX('07_スキル辞書'!$D$4:$D$109,MATCH(B183,'07_スキル辞書'!$A$4:$A$109,0)))))</f>
        <v/>
      </c>
      <c r="D183" s="29"/>
      <c r="E183" s="29"/>
      <c r="F183" s="29"/>
      <c r="G183" s="29"/>
      <c r="H183" s="29"/>
      <c r="I183" s="28" t="str">
        <f t="shared" si="15"/>
        <v/>
      </c>
      <c r="J183" s="29"/>
      <c r="K183" s="29"/>
      <c r="L183" s="32"/>
      <c r="M183" s="29"/>
      <c r="N183" s="32"/>
      <c r="O183" s="29"/>
      <c r="P183" s="28" t="str">
        <f t="shared" si="16"/>
        <v>未割当</v>
      </c>
      <c r="Q183" s="29"/>
      <c r="R183" s="29"/>
      <c r="S183" s="28" t="str">
        <f t="shared" si="17"/>
        <v/>
      </c>
    </row>
    <row r="184" spans="1:19" ht="13.5" x14ac:dyDescent="0.2">
      <c r="A184" s="29"/>
      <c r="B184" s="29"/>
      <c r="C184" s="28" t="str">
        <f>IF(B184="","",IF(COUNTIF('07_スキル辞書'!$A$4:$A$109,B184)&lt;&gt;1,"参照ID不正",IF(INDEX('07_スキル辞書'!$D$4:$D$109,MATCH(B184,'07_スキル辞書'!$A$4:$A$109,0))="","",INDEX('07_スキル辞書'!$D$4:$D$109,MATCH(B184,'07_スキル辞書'!$A$4:$A$109,0)))))</f>
        <v/>
      </c>
      <c r="D184" s="29"/>
      <c r="E184" s="29"/>
      <c r="F184" s="29"/>
      <c r="G184" s="29"/>
      <c r="H184" s="29"/>
      <c r="I184" s="28" t="str">
        <f t="shared" si="15"/>
        <v/>
      </c>
      <c r="J184" s="29"/>
      <c r="K184" s="29"/>
      <c r="L184" s="32"/>
      <c r="M184" s="29"/>
      <c r="N184" s="32"/>
      <c r="O184" s="29"/>
      <c r="P184" s="28" t="str">
        <f t="shared" si="16"/>
        <v>未割当</v>
      </c>
      <c r="Q184" s="29"/>
      <c r="R184" s="29"/>
      <c r="S184" s="28" t="str">
        <f t="shared" si="17"/>
        <v/>
      </c>
    </row>
    <row r="185" spans="1:19" ht="13.5" x14ac:dyDescent="0.2">
      <c r="A185" s="29"/>
      <c r="B185" s="29"/>
      <c r="C185" s="28" t="str">
        <f>IF(B185="","",IF(COUNTIF('07_スキル辞書'!$A$4:$A$109,B185)&lt;&gt;1,"参照ID不正",IF(INDEX('07_スキル辞書'!$D$4:$D$109,MATCH(B185,'07_スキル辞書'!$A$4:$A$109,0))="","",INDEX('07_スキル辞書'!$D$4:$D$109,MATCH(B185,'07_スキル辞書'!$A$4:$A$109,0)))))</f>
        <v/>
      </c>
      <c r="D185" s="29"/>
      <c r="E185" s="29"/>
      <c r="F185" s="29"/>
      <c r="G185" s="29"/>
      <c r="H185" s="29"/>
      <c r="I185" s="28" t="str">
        <f t="shared" si="15"/>
        <v/>
      </c>
      <c r="J185" s="29"/>
      <c r="K185" s="29"/>
      <c r="L185" s="32"/>
      <c r="M185" s="29"/>
      <c r="N185" s="32"/>
      <c r="O185" s="29"/>
      <c r="P185" s="28" t="str">
        <f t="shared" si="16"/>
        <v>未割当</v>
      </c>
      <c r="Q185" s="29"/>
      <c r="R185" s="29"/>
      <c r="S185" s="28" t="str">
        <f t="shared" si="17"/>
        <v/>
      </c>
    </row>
    <row r="186" spans="1:19" ht="13.5" x14ac:dyDescent="0.2">
      <c r="A186" s="29"/>
      <c r="B186" s="29"/>
      <c r="C186" s="28" t="str">
        <f>IF(B186="","",IF(COUNTIF('07_スキル辞書'!$A$4:$A$109,B186)&lt;&gt;1,"参照ID不正",IF(INDEX('07_スキル辞書'!$D$4:$D$109,MATCH(B186,'07_スキル辞書'!$A$4:$A$109,0))="","",INDEX('07_スキル辞書'!$D$4:$D$109,MATCH(B186,'07_スキル辞書'!$A$4:$A$109,0)))))</f>
        <v/>
      </c>
      <c r="D186" s="29"/>
      <c r="E186" s="29"/>
      <c r="F186" s="29"/>
      <c r="G186" s="29"/>
      <c r="H186" s="29"/>
      <c r="I186" s="28" t="str">
        <f t="shared" si="15"/>
        <v/>
      </c>
      <c r="J186" s="29"/>
      <c r="K186" s="29"/>
      <c r="L186" s="32"/>
      <c r="M186" s="29"/>
      <c r="N186" s="32"/>
      <c r="O186" s="29"/>
      <c r="P186" s="28" t="str">
        <f t="shared" si="16"/>
        <v>未割当</v>
      </c>
      <c r="Q186" s="29"/>
      <c r="R186" s="29"/>
      <c r="S186" s="28" t="str">
        <f t="shared" si="17"/>
        <v/>
      </c>
    </row>
    <row r="187" spans="1:19" ht="13.5" x14ac:dyDescent="0.2">
      <c r="A187" s="29"/>
      <c r="B187" s="29"/>
      <c r="C187" s="28" t="str">
        <f>IF(B187="","",IF(COUNTIF('07_スキル辞書'!$A$4:$A$109,B187)&lt;&gt;1,"参照ID不正",IF(INDEX('07_スキル辞書'!$D$4:$D$109,MATCH(B187,'07_スキル辞書'!$A$4:$A$109,0))="","",INDEX('07_スキル辞書'!$D$4:$D$109,MATCH(B187,'07_スキル辞書'!$A$4:$A$109,0)))))</f>
        <v/>
      </c>
      <c r="D187" s="29"/>
      <c r="E187" s="29"/>
      <c r="F187" s="29"/>
      <c r="G187" s="29"/>
      <c r="H187" s="29"/>
      <c r="I187" s="28" t="str">
        <f t="shared" si="15"/>
        <v/>
      </c>
      <c r="J187" s="29"/>
      <c r="K187" s="29"/>
      <c r="L187" s="32"/>
      <c r="M187" s="29"/>
      <c r="N187" s="32"/>
      <c r="O187" s="29"/>
      <c r="P187" s="28" t="str">
        <f t="shared" si="16"/>
        <v>未割当</v>
      </c>
      <c r="Q187" s="29"/>
      <c r="R187" s="29"/>
      <c r="S187" s="28" t="str">
        <f t="shared" si="17"/>
        <v/>
      </c>
    </row>
    <row r="188" spans="1:19" ht="13.5" x14ac:dyDescent="0.2">
      <c r="A188" s="29"/>
      <c r="B188" s="29"/>
      <c r="C188" s="28" t="str">
        <f>IF(B188="","",IF(COUNTIF('07_スキル辞書'!$A$4:$A$109,B188)&lt;&gt;1,"参照ID不正",IF(INDEX('07_スキル辞書'!$D$4:$D$109,MATCH(B188,'07_スキル辞書'!$A$4:$A$109,0))="","",INDEX('07_スキル辞書'!$D$4:$D$109,MATCH(B188,'07_スキル辞書'!$A$4:$A$109,0)))))</f>
        <v/>
      </c>
      <c r="D188" s="29"/>
      <c r="E188" s="29"/>
      <c r="F188" s="29"/>
      <c r="G188" s="29"/>
      <c r="H188" s="29"/>
      <c r="I188" s="28" t="str">
        <f t="shared" si="15"/>
        <v/>
      </c>
      <c r="J188" s="29"/>
      <c r="K188" s="29"/>
      <c r="L188" s="32"/>
      <c r="M188" s="29"/>
      <c r="N188" s="32"/>
      <c r="O188" s="29"/>
      <c r="P188" s="28" t="str">
        <f t="shared" si="16"/>
        <v>未割当</v>
      </c>
      <c r="Q188" s="29"/>
      <c r="R188" s="29"/>
      <c r="S188" s="28" t="str">
        <f t="shared" si="17"/>
        <v/>
      </c>
    </row>
    <row r="189" spans="1:19" ht="13.5" x14ac:dyDescent="0.2">
      <c r="A189" s="29"/>
      <c r="B189" s="29"/>
      <c r="C189" s="28" t="str">
        <f>IF(B189="","",IF(COUNTIF('07_スキル辞書'!$A$4:$A$109,B189)&lt;&gt;1,"参照ID不正",IF(INDEX('07_スキル辞書'!$D$4:$D$109,MATCH(B189,'07_スキル辞書'!$A$4:$A$109,0))="","",INDEX('07_スキル辞書'!$D$4:$D$109,MATCH(B189,'07_スキル辞書'!$A$4:$A$109,0)))))</f>
        <v/>
      </c>
      <c r="D189" s="29"/>
      <c r="E189" s="29"/>
      <c r="F189" s="29"/>
      <c r="G189" s="29"/>
      <c r="H189" s="29"/>
      <c r="I189" s="28" t="str">
        <f t="shared" si="15"/>
        <v/>
      </c>
      <c r="J189" s="29"/>
      <c r="K189" s="29"/>
      <c r="L189" s="32"/>
      <c r="M189" s="29"/>
      <c r="N189" s="32"/>
      <c r="O189" s="29"/>
      <c r="P189" s="28" t="str">
        <f t="shared" si="16"/>
        <v>未割当</v>
      </c>
      <c r="Q189" s="29"/>
      <c r="R189" s="29"/>
      <c r="S189" s="28" t="str">
        <f t="shared" si="17"/>
        <v/>
      </c>
    </row>
    <row r="190" spans="1:19" ht="13.5" x14ac:dyDescent="0.2">
      <c r="A190" s="29"/>
      <c r="B190" s="29"/>
      <c r="C190" s="28" t="str">
        <f>IF(B190="","",IF(COUNTIF('07_スキル辞書'!$A$4:$A$109,B190)&lt;&gt;1,"参照ID不正",IF(INDEX('07_スキル辞書'!$D$4:$D$109,MATCH(B190,'07_スキル辞書'!$A$4:$A$109,0))="","",INDEX('07_スキル辞書'!$D$4:$D$109,MATCH(B190,'07_スキル辞書'!$A$4:$A$109,0)))))</f>
        <v/>
      </c>
      <c r="D190" s="29"/>
      <c r="E190" s="29"/>
      <c r="F190" s="29"/>
      <c r="G190" s="29"/>
      <c r="H190" s="29"/>
      <c r="I190" s="28" t="str">
        <f t="shared" si="15"/>
        <v/>
      </c>
      <c r="J190" s="29"/>
      <c r="K190" s="29"/>
      <c r="L190" s="32"/>
      <c r="M190" s="29"/>
      <c r="N190" s="32"/>
      <c r="O190" s="29"/>
      <c r="P190" s="28" t="str">
        <f t="shared" si="16"/>
        <v>未割当</v>
      </c>
      <c r="Q190" s="29"/>
      <c r="R190" s="29"/>
      <c r="S190" s="28" t="str">
        <f t="shared" si="17"/>
        <v/>
      </c>
    </row>
    <row r="191" spans="1:19" ht="13.5" x14ac:dyDescent="0.2">
      <c r="A191" s="29"/>
      <c r="B191" s="29"/>
      <c r="C191" s="28" t="str">
        <f>IF(B191="","",IF(COUNTIF('07_スキル辞書'!$A$4:$A$109,B191)&lt;&gt;1,"参照ID不正",IF(INDEX('07_スキル辞書'!$D$4:$D$109,MATCH(B191,'07_スキル辞書'!$A$4:$A$109,0))="","",INDEX('07_スキル辞書'!$D$4:$D$109,MATCH(B191,'07_スキル辞書'!$A$4:$A$109,0)))))</f>
        <v/>
      </c>
      <c r="D191" s="29"/>
      <c r="E191" s="29"/>
      <c r="F191" s="29"/>
      <c r="G191" s="29"/>
      <c r="H191" s="29"/>
      <c r="I191" s="28" t="str">
        <f t="shared" si="15"/>
        <v/>
      </c>
      <c r="J191" s="29"/>
      <c r="K191" s="29"/>
      <c r="L191" s="32"/>
      <c r="M191" s="29"/>
      <c r="N191" s="32"/>
      <c r="O191" s="29"/>
      <c r="P191" s="28" t="str">
        <f t="shared" si="16"/>
        <v>未割当</v>
      </c>
      <c r="Q191" s="29"/>
      <c r="R191" s="29"/>
      <c r="S191" s="28" t="str">
        <f t="shared" si="17"/>
        <v/>
      </c>
    </row>
    <row r="192" spans="1:19" ht="13.5" x14ac:dyDescent="0.2">
      <c r="A192" s="29"/>
      <c r="B192" s="29"/>
      <c r="C192" s="28" t="str">
        <f>IF(B192="","",IF(COUNTIF('07_スキル辞書'!$A$4:$A$109,B192)&lt;&gt;1,"参照ID不正",IF(INDEX('07_スキル辞書'!$D$4:$D$109,MATCH(B192,'07_スキル辞書'!$A$4:$A$109,0))="","",INDEX('07_スキル辞書'!$D$4:$D$109,MATCH(B192,'07_スキル辞書'!$A$4:$A$109,0)))))</f>
        <v/>
      </c>
      <c r="D192" s="29"/>
      <c r="E192" s="29"/>
      <c r="F192" s="29"/>
      <c r="G192" s="29"/>
      <c r="H192" s="29"/>
      <c r="I192" s="28" t="str">
        <f t="shared" si="15"/>
        <v/>
      </c>
      <c r="J192" s="29"/>
      <c r="K192" s="29"/>
      <c r="L192" s="32"/>
      <c r="M192" s="29"/>
      <c r="N192" s="32"/>
      <c r="O192" s="29"/>
      <c r="P192" s="28" t="str">
        <f t="shared" si="16"/>
        <v>未割当</v>
      </c>
      <c r="Q192" s="29"/>
      <c r="R192" s="29"/>
      <c r="S192" s="28" t="str">
        <f t="shared" si="17"/>
        <v/>
      </c>
    </row>
    <row r="193" spans="1:19" ht="13.5" x14ac:dyDescent="0.2">
      <c r="A193" s="29"/>
      <c r="B193" s="29"/>
      <c r="C193" s="28" t="str">
        <f>IF(B193="","",IF(COUNTIF('07_スキル辞書'!$A$4:$A$109,B193)&lt;&gt;1,"参照ID不正",IF(INDEX('07_スキル辞書'!$D$4:$D$109,MATCH(B193,'07_スキル辞書'!$A$4:$A$109,0))="","",INDEX('07_スキル辞書'!$D$4:$D$109,MATCH(B193,'07_スキル辞書'!$A$4:$A$109,0)))))</f>
        <v/>
      </c>
      <c r="D193" s="29"/>
      <c r="E193" s="29"/>
      <c r="F193" s="29"/>
      <c r="G193" s="29"/>
      <c r="H193" s="29"/>
      <c r="I193" s="28" t="str">
        <f t="shared" si="15"/>
        <v/>
      </c>
      <c r="J193" s="29"/>
      <c r="K193" s="29"/>
      <c r="L193" s="32"/>
      <c r="M193" s="29"/>
      <c r="N193" s="32"/>
      <c r="O193" s="29"/>
      <c r="P193" s="28" t="str">
        <f t="shared" si="16"/>
        <v>未割当</v>
      </c>
      <c r="Q193" s="29"/>
      <c r="R193" s="29"/>
      <c r="S193" s="28" t="str">
        <f t="shared" si="17"/>
        <v/>
      </c>
    </row>
    <row r="194" spans="1:19" ht="13.5" x14ac:dyDescent="0.2">
      <c r="A194" s="29"/>
      <c r="B194" s="29"/>
      <c r="C194" s="28" t="str">
        <f>IF(B194="","",IF(COUNTIF('07_スキル辞書'!$A$4:$A$109,B194)&lt;&gt;1,"参照ID不正",IF(INDEX('07_スキル辞書'!$D$4:$D$109,MATCH(B194,'07_スキル辞書'!$A$4:$A$109,0))="","",INDEX('07_スキル辞書'!$D$4:$D$109,MATCH(B194,'07_スキル辞書'!$A$4:$A$109,0)))))</f>
        <v/>
      </c>
      <c r="D194" s="29"/>
      <c r="E194" s="29"/>
      <c r="F194" s="29"/>
      <c r="G194" s="29"/>
      <c r="H194" s="29"/>
      <c r="I194" s="28" t="str">
        <f t="shared" si="15"/>
        <v/>
      </c>
      <c r="J194" s="29"/>
      <c r="K194" s="29"/>
      <c r="L194" s="32"/>
      <c r="M194" s="29"/>
      <c r="N194" s="32"/>
      <c r="O194" s="29"/>
      <c r="P194" s="28" t="str">
        <f t="shared" si="16"/>
        <v>未割当</v>
      </c>
      <c r="Q194" s="29"/>
      <c r="R194" s="29"/>
      <c r="S194" s="28" t="str">
        <f t="shared" si="17"/>
        <v/>
      </c>
    </row>
    <row r="195" spans="1:19" ht="13.5" x14ac:dyDescent="0.2">
      <c r="A195" s="29"/>
      <c r="B195" s="29"/>
      <c r="C195" s="28" t="str">
        <f>IF(B195="","",IF(COUNTIF('07_スキル辞書'!$A$4:$A$109,B195)&lt;&gt;1,"参照ID不正",IF(INDEX('07_スキル辞書'!$D$4:$D$109,MATCH(B195,'07_スキル辞書'!$A$4:$A$109,0))="","",INDEX('07_スキル辞書'!$D$4:$D$109,MATCH(B195,'07_スキル辞書'!$A$4:$A$109,0)))))</f>
        <v/>
      </c>
      <c r="D195" s="29"/>
      <c r="E195" s="29"/>
      <c r="F195" s="29"/>
      <c r="G195" s="29"/>
      <c r="H195" s="29"/>
      <c r="I195" s="28" t="str">
        <f t="shared" si="15"/>
        <v/>
      </c>
      <c r="J195" s="29"/>
      <c r="K195" s="29"/>
      <c r="L195" s="32"/>
      <c r="M195" s="29"/>
      <c r="N195" s="32"/>
      <c r="O195" s="29"/>
      <c r="P195" s="28" t="str">
        <f t="shared" si="16"/>
        <v>未割当</v>
      </c>
      <c r="Q195" s="29"/>
      <c r="R195" s="29"/>
      <c r="S195" s="28" t="str">
        <f t="shared" si="17"/>
        <v/>
      </c>
    </row>
    <row r="196" spans="1:19" ht="13.5" x14ac:dyDescent="0.2">
      <c r="A196" s="29"/>
      <c r="B196" s="29"/>
      <c r="C196" s="28" t="str">
        <f>IF(B196="","",IF(COUNTIF('07_スキル辞書'!$A$4:$A$109,B196)&lt;&gt;1,"参照ID不正",IF(INDEX('07_スキル辞書'!$D$4:$D$109,MATCH(B196,'07_スキル辞書'!$A$4:$A$109,0))="","",INDEX('07_スキル辞書'!$D$4:$D$109,MATCH(B196,'07_スキル辞書'!$A$4:$A$109,0)))))</f>
        <v/>
      </c>
      <c r="D196" s="29"/>
      <c r="E196" s="29"/>
      <c r="F196" s="29"/>
      <c r="G196" s="29"/>
      <c r="H196" s="29"/>
      <c r="I196" s="28" t="str">
        <f t="shared" ref="I196:I227" si="18">IF(OR(COUNT(G196:H196)&lt;2,IFERROR(MIN(G196:H196)&lt;0,TRUE),IFERROR(MAX(G196:H196)&gt;3,TRUE),IFERROR(MOD(G196,1)&lt;&gt;0,TRUE),IFERROR(MOD(H196,1)&lt;&gt;0,TRUE)),"",MAX(0,G196-H196))</f>
        <v/>
      </c>
      <c r="J196" s="29"/>
      <c r="K196" s="29"/>
      <c r="L196" s="32"/>
      <c r="M196" s="29"/>
      <c r="N196" s="32"/>
      <c r="O196" s="29"/>
      <c r="P196" s="28" t="str">
        <f t="shared" ref="P196:P227" si="19">IF(AND(D196="",Q196=""),"未割当",IF(OR(COUNTIF(SkillIDs,B196)&lt;&gt;1,COUNTIF(RoleIDs,E196)&lt;&gt;1,S196&lt;&gt;"ID一意"),"Skill／Role／記録ID不正",IF(OR(COUNT(G196:H196)&lt;2,IFERROR(MIN(G196:H196)&lt;0,TRUE),IFERROR(MAX(G196:H196)&gt;3,TRUE),IFERROR(MOD(G196,1)&lt;&gt;0,TRUE),IFERROR(MOD(H196,1)&lt;&gt;0,TRUE)),"習熟度不正",IF(OR(OR(D196="",F196="",J196="",K196="",Q196="",R196=""),NOT(ISNUMBER(L196))),"評価証拠不足",IF(OR(AND(L196&lt;&gt;"",OR(NOT(ISNUMBER(L196)),IFERROR(L196&lt;1,TRUE),IFERROR(INT(L196)&gt;INT(AsOfDate),TRUE)))),"評価日不正",IF(OR(Q196=R196,D196=K196),"自己申告・第三者確認前","第三者評価記録あり"))))))</f>
        <v>未割当</v>
      </c>
      <c r="Q196" s="29"/>
      <c r="R196" s="29"/>
      <c r="S196" s="28" t="str">
        <f t="shared" ref="S196:S203" si="20">IF(A196="","",IF(COUNTIF($A$4:$A$203,A196)&lt;&gt;1,"評価記録ID重複","ID一意"))</f>
        <v/>
      </c>
    </row>
    <row r="197" spans="1:19" ht="13.5" x14ac:dyDescent="0.2">
      <c r="A197" s="29"/>
      <c r="B197" s="29"/>
      <c r="C197" s="28" t="str">
        <f>IF(B197="","",IF(COUNTIF('07_スキル辞書'!$A$4:$A$109,B197)&lt;&gt;1,"参照ID不正",IF(INDEX('07_スキル辞書'!$D$4:$D$109,MATCH(B197,'07_スキル辞書'!$A$4:$A$109,0))="","",INDEX('07_スキル辞書'!$D$4:$D$109,MATCH(B197,'07_スキル辞書'!$A$4:$A$109,0)))))</f>
        <v/>
      </c>
      <c r="D197" s="29"/>
      <c r="E197" s="29"/>
      <c r="F197" s="29"/>
      <c r="G197" s="29"/>
      <c r="H197" s="29"/>
      <c r="I197" s="28" t="str">
        <f t="shared" si="18"/>
        <v/>
      </c>
      <c r="J197" s="29"/>
      <c r="K197" s="29"/>
      <c r="L197" s="32"/>
      <c r="M197" s="29"/>
      <c r="N197" s="32"/>
      <c r="O197" s="29"/>
      <c r="P197" s="28" t="str">
        <f t="shared" si="19"/>
        <v>未割当</v>
      </c>
      <c r="Q197" s="29"/>
      <c r="R197" s="29"/>
      <c r="S197" s="28" t="str">
        <f t="shared" si="20"/>
        <v/>
      </c>
    </row>
    <row r="198" spans="1:19" ht="13.5" x14ac:dyDescent="0.2">
      <c r="A198" s="29"/>
      <c r="B198" s="29"/>
      <c r="C198" s="28" t="str">
        <f>IF(B198="","",IF(COUNTIF('07_スキル辞書'!$A$4:$A$109,B198)&lt;&gt;1,"参照ID不正",IF(INDEX('07_スキル辞書'!$D$4:$D$109,MATCH(B198,'07_スキル辞書'!$A$4:$A$109,0))="","",INDEX('07_スキル辞書'!$D$4:$D$109,MATCH(B198,'07_スキル辞書'!$A$4:$A$109,0)))))</f>
        <v/>
      </c>
      <c r="D198" s="29"/>
      <c r="E198" s="29"/>
      <c r="F198" s="29"/>
      <c r="G198" s="29"/>
      <c r="H198" s="29"/>
      <c r="I198" s="28" t="str">
        <f t="shared" si="18"/>
        <v/>
      </c>
      <c r="J198" s="29"/>
      <c r="K198" s="29"/>
      <c r="L198" s="32"/>
      <c r="M198" s="29"/>
      <c r="N198" s="32"/>
      <c r="O198" s="29"/>
      <c r="P198" s="28" t="str">
        <f t="shared" si="19"/>
        <v>未割当</v>
      </c>
      <c r="Q198" s="29"/>
      <c r="R198" s="29"/>
      <c r="S198" s="28" t="str">
        <f t="shared" si="20"/>
        <v/>
      </c>
    </row>
    <row r="199" spans="1:19" ht="13.5" x14ac:dyDescent="0.2">
      <c r="A199" s="29"/>
      <c r="B199" s="29"/>
      <c r="C199" s="28" t="str">
        <f>IF(B199="","",IF(COUNTIF('07_スキル辞書'!$A$4:$A$109,B199)&lt;&gt;1,"参照ID不正",IF(INDEX('07_スキル辞書'!$D$4:$D$109,MATCH(B199,'07_スキル辞書'!$A$4:$A$109,0))="","",INDEX('07_スキル辞書'!$D$4:$D$109,MATCH(B199,'07_スキル辞書'!$A$4:$A$109,0)))))</f>
        <v/>
      </c>
      <c r="D199" s="29"/>
      <c r="E199" s="29"/>
      <c r="F199" s="29"/>
      <c r="G199" s="29"/>
      <c r="H199" s="29"/>
      <c r="I199" s="28" t="str">
        <f t="shared" si="18"/>
        <v/>
      </c>
      <c r="J199" s="29"/>
      <c r="K199" s="29"/>
      <c r="L199" s="32"/>
      <c r="M199" s="29"/>
      <c r="N199" s="32"/>
      <c r="O199" s="29"/>
      <c r="P199" s="28" t="str">
        <f t="shared" si="19"/>
        <v>未割当</v>
      </c>
      <c r="Q199" s="29"/>
      <c r="R199" s="29"/>
      <c r="S199" s="28" t="str">
        <f t="shared" si="20"/>
        <v/>
      </c>
    </row>
    <row r="200" spans="1:19" ht="13.5" x14ac:dyDescent="0.2">
      <c r="A200" s="29"/>
      <c r="B200" s="29"/>
      <c r="C200" s="28" t="str">
        <f>IF(B200="","",IF(COUNTIF('07_スキル辞書'!$A$4:$A$109,B200)&lt;&gt;1,"参照ID不正",IF(INDEX('07_スキル辞書'!$D$4:$D$109,MATCH(B200,'07_スキル辞書'!$A$4:$A$109,0))="","",INDEX('07_スキル辞書'!$D$4:$D$109,MATCH(B200,'07_スキル辞書'!$A$4:$A$109,0)))))</f>
        <v/>
      </c>
      <c r="D200" s="29"/>
      <c r="E200" s="29"/>
      <c r="F200" s="29"/>
      <c r="G200" s="29"/>
      <c r="H200" s="29"/>
      <c r="I200" s="28" t="str">
        <f t="shared" si="18"/>
        <v/>
      </c>
      <c r="J200" s="29"/>
      <c r="K200" s="29"/>
      <c r="L200" s="32"/>
      <c r="M200" s="29"/>
      <c r="N200" s="32"/>
      <c r="O200" s="29"/>
      <c r="P200" s="28" t="str">
        <f t="shared" si="19"/>
        <v>未割当</v>
      </c>
      <c r="Q200" s="29"/>
      <c r="R200" s="29"/>
      <c r="S200" s="28" t="str">
        <f t="shared" si="20"/>
        <v/>
      </c>
    </row>
    <row r="201" spans="1:19" ht="13.5" x14ac:dyDescent="0.2">
      <c r="A201" s="29"/>
      <c r="B201" s="29"/>
      <c r="C201" s="28" t="str">
        <f>IF(B201="","",IF(COUNTIF('07_スキル辞書'!$A$4:$A$109,B201)&lt;&gt;1,"参照ID不正",IF(INDEX('07_スキル辞書'!$D$4:$D$109,MATCH(B201,'07_スキル辞書'!$A$4:$A$109,0))="","",INDEX('07_スキル辞書'!$D$4:$D$109,MATCH(B201,'07_スキル辞書'!$A$4:$A$109,0)))))</f>
        <v/>
      </c>
      <c r="D201" s="29"/>
      <c r="E201" s="29"/>
      <c r="F201" s="29"/>
      <c r="G201" s="29"/>
      <c r="H201" s="29"/>
      <c r="I201" s="28" t="str">
        <f t="shared" si="18"/>
        <v/>
      </c>
      <c r="J201" s="29"/>
      <c r="K201" s="29"/>
      <c r="L201" s="32"/>
      <c r="M201" s="29"/>
      <c r="N201" s="32"/>
      <c r="O201" s="29"/>
      <c r="P201" s="28" t="str">
        <f t="shared" si="19"/>
        <v>未割当</v>
      </c>
      <c r="Q201" s="29"/>
      <c r="R201" s="29"/>
      <c r="S201" s="28" t="str">
        <f t="shared" si="20"/>
        <v/>
      </c>
    </row>
    <row r="202" spans="1:19" ht="13.5" x14ac:dyDescent="0.2">
      <c r="A202" s="29"/>
      <c r="B202" s="29"/>
      <c r="C202" s="28" t="str">
        <f>IF(B202="","",IF(COUNTIF('07_スキル辞書'!$A$4:$A$109,B202)&lt;&gt;1,"参照ID不正",IF(INDEX('07_スキル辞書'!$D$4:$D$109,MATCH(B202,'07_スキル辞書'!$A$4:$A$109,0))="","",INDEX('07_スキル辞書'!$D$4:$D$109,MATCH(B202,'07_スキル辞書'!$A$4:$A$109,0)))))</f>
        <v/>
      </c>
      <c r="D202" s="29"/>
      <c r="E202" s="29"/>
      <c r="F202" s="29"/>
      <c r="G202" s="29"/>
      <c r="H202" s="29"/>
      <c r="I202" s="28" t="str">
        <f t="shared" si="18"/>
        <v/>
      </c>
      <c r="J202" s="29"/>
      <c r="K202" s="29"/>
      <c r="L202" s="32"/>
      <c r="M202" s="29"/>
      <c r="N202" s="32"/>
      <c r="O202" s="29"/>
      <c r="P202" s="28" t="str">
        <f t="shared" si="19"/>
        <v>未割当</v>
      </c>
      <c r="Q202" s="29"/>
      <c r="R202" s="29"/>
      <c r="S202" s="28" t="str">
        <f t="shared" si="20"/>
        <v/>
      </c>
    </row>
    <row r="203" spans="1:19" ht="13.5" x14ac:dyDescent="0.2">
      <c r="A203" s="29"/>
      <c r="B203" s="29"/>
      <c r="C203" s="28" t="str">
        <f>IF(B203="","",IF(COUNTIF('07_スキル辞書'!$A$4:$A$109,B203)&lt;&gt;1,"参照ID不正",IF(INDEX('07_スキル辞書'!$D$4:$D$109,MATCH(B203,'07_スキル辞書'!$A$4:$A$109,0))="","",INDEX('07_スキル辞書'!$D$4:$D$109,MATCH(B203,'07_スキル辞書'!$A$4:$A$109,0)))))</f>
        <v/>
      </c>
      <c r="D203" s="29"/>
      <c r="E203" s="29"/>
      <c r="F203" s="29"/>
      <c r="G203" s="29"/>
      <c r="H203" s="29"/>
      <c r="I203" s="28" t="str">
        <f t="shared" si="18"/>
        <v/>
      </c>
      <c r="J203" s="29"/>
      <c r="K203" s="29"/>
      <c r="L203" s="32"/>
      <c r="M203" s="29"/>
      <c r="N203" s="32"/>
      <c r="O203" s="29"/>
      <c r="P203" s="28" t="str">
        <f t="shared" si="19"/>
        <v>未割当</v>
      </c>
      <c r="Q203" s="29"/>
      <c r="R203" s="29"/>
      <c r="S203" s="28" t="str">
        <f t="shared" si="20"/>
        <v/>
      </c>
    </row>
  </sheetData>
  <autoFilter ref="A3:S203" xr:uid="{00000000-0009-0000-0000-00001C000000}"/>
  <mergeCells count="2">
    <mergeCell ref="A2:I2"/>
    <mergeCell ref="A1:G1"/>
  </mergeCells>
  <phoneticPr fontId="12"/>
  <conditionalFormatting sqref="P4:P109">
    <cfRule type="expression" dxfId="19" priority="1">
      <formula>ISNUMBER(SEARCH("不足",P4))</formula>
    </cfRule>
    <cfRule type="expression" dxfId="18" priority="2">
      <formula>ISNUMBER(SEARCH("不正",P4))</formula>
    </cfRule>
    <cfRule type="expression" dxfId="17" priority="3">
      <formula>ISNUMBER(SEARCH("未判定",P4))</formula>
    </cfRule>
    <cfRule type="expression" dxfId="16" priority="4">
      <formula>ISNUMBER(SEARCH("未承認",P4))</formula>
    </cfRule>
    <cfRule type="expression" dxfId="15" priority="5">
      <formula>ISNUMBER(SEARCH("超過",P4))</formula>
    </cfRule>
    <cfRule type="expression" dxfId="14" priority="6">
      <formula>ISNUMBER(SEARCH("要確認",P4))</formula>
    </cfRule>
  </conditionalFormatting>
  <conditionalFormatting sqref="P4:P203">
    <cfRule type="expression" dxfId="13" priority="7">
      <formula>OR(ISNUMBER(SEARCH("不正",P4)),ISNUMBER(SEARCH("不足",P4)),ISNUMBER(SEARCH("超過",P4)),ISNUMBER(SEARCH("不一致",P4)),ISNUMBER(SEARCH("失効",P4)),ISNUMBER(SEARCH("矛盾",P4)))</formula>
    </cfRule>
  </conditionalFormatting>
  <conditionalFormatting sqref="S4:S203">
    <cfRule type="expression" dxfId="12" priority="8">
      <formula>OR(ISNUMBER(SEARCH("不正",S4)),ISNUMBER(SEARCH("不足",S4)),ISNUMBER(SEARCH("超過",S4)),ISNUMBER(SEARCH("不一致",S4)),ISNUMBER(SEARCH("失効",S4)),ISNUMBER(SEARCH("矛盾",S4)))</formula>
    </cfRule>
  </conditionalFormatting>
  <dataValidations count="3">
    <dataValidation type="list" allowBlank="1" showErrorMessage="1" errorTitle="入力値を確認" error="候補・値域を確認してください。貼付や外部取込後も点検が必要です。" sqref="B4:B203" xr:uid="{00000000-0002-0000-1C00-000000000000}">
      <formula1>SkillIDs</formula1>
    </dataValidation>
    <dataValidation type="list" allowBlank="1" showErrorMessage="1" errorTitle="入力値を確認" error="候補・値域を確認してください。貼付や外部取込後も点検が必要です。" sqref="E4:E203" xr:uid="{00000000-0002-0000-1C00-000001000000}">
      <formula1>RoleIDs</formula1>
    </dataValidation>
    <dataValidation type="list" allowBlank="1" showErrorMessage="1" errorTitle="入力値を確認" error="候補・値域を確認してください。貼付や外部取込後も点検が必要です。" sqref="G4:H203" xr:uid="{00000000-0002-0000-1C00-000002000000}">
      <formula1>"0,1,2,3"</formula1>
    </dataValidation>
  </dataValidations>
  <pageMargins left="0.25" right="0.25" top="0.4" bottom="0.4" header="0.5" footer="0.5"/>
  <pageSetup paperSize="8" fitToHeight="0" orientation="landscape"/>
  <headerFooter>
    <oddFooter>&amp;CAI自社事業PJ v1.0 | &amp;A&amp;R&amp;P / &amp;N</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4B5E"/>
    <outlinePr summaryRight="0"/>
    <pageSetUpPr fitToPage="1"/>
  </sheetPr>
  <dimension ref="A1:AG83"/>
  <sheetViews>
    <sheetView showGridLines="0" zoomScale="80" workbookViewId="0">
      <pane xSplit="3" ySplit="3" topLeftCell="D4" activePane="bottomRight" state="frozen"/>
      <selection pane="topRight"/>
      <selection pane="bottomLeft"/>
      <selection pane="bottomRight"/>
    </sheetView>
  </sheetViews>
  <sheetFormatPr defaultRowHeight="13" x14ac:dyDescent="0.2"/>
  <cols>
    <col min="1" max="1" width="12" customWidth="1"/>
    <col min="2" max="2" width="47" customWidth="1"/>
    <col min="3" max="4" width="17" customWidth="1"/>
    <col min="5" max="5" width="105" customWidth="1"/>
    <col min="6" max="6" width="30" customWidth="1"/>
    <col min="7" max="7" width="60" customWidth="1"/>
    <col min="8" max="10" width="70" customWidth="1"/>
    <col min="11" max="11" width="64" customWidth="1"/>
    <col min="12" max="12" width="26" customWidth="1"/>
    <col min="13" max="13" width="65" customWidth="1"/>
    <col min="14" max="14" width="20" customWidth="1"/>
    <col min="15" max="15" width="26" customWidth="1"/>
    <col min="16" max="16" width="20" customWidth="1"/>
    <col min="17" max="17" width="41" customWidth="1"/>
    <col min="18" max="18" width="65" customWidth="1"/>
    <col min="19" max="19" width="35" customWidth="1"/>
    <col min="20" max="22" width="21" customWidth="1"/>
    <col min="23" max="23" width="26" customWidth="1"/>
    <col min="24" max="27" width="21" customWidth="1"/>
    <col min="28" max="31" width="26" customWidth="1"/>
    <col min="32" max="33" width="21" customWidth="1"/>
  </cols>
  <sheetData>
    <row r="1" spans="1:33" ht="34" customHeight="1" x14ac:dyDescent="0.55000000000000004">
      <c r="A1" s="44" t="s">
        <v>4864</v>
      </c>
      <c r="B1" s="45"/>
      <c r="C1" s="45"/>
      <c r="D1" s="45"/>
      <c r="E1" s="45"/>
      <c r="F1" s="45"/>
      <c r="G1" s="45"/>
    </row>
    <row r="2" spans="1:33" ht="43" customHeight="1" x14ac:dyDescent="0.2">
      <c r="A2" s="47" t="s">
        <v>4865</v>
      </c>
      <c r="B2" s="45"/>
      <c r="C2" s="45"/>
      <c r="D2" s="45"/>
      <c r="E2" s="45"/>
      <c r="F2" s="45"/>
      <c r="G2" s="45"/>
      <c r="H2" s="45"/>
      <c r="I2" s="45"/>
    </row>
    <row r="3" spans="1:33" ht="34" customHeight="1" x14ac:dyDescent="0.2">
      <c r="A3" s="1" t="s">
        <v>156</v>
      </c>
      <c r="B3" s="1" t="s">
        <v>1696</v>
      </c>
      <c r="C3" s="1" t="s">
        <v>4866</v>
      </c>
      <c r="D3" s="1" t="s">
        <v>4867</v>
      </c>
      <c r="E3" s="1" t="s">
        <v>4868</v>
      </c>
      <c r="F3" s="1" t="s">
        <v>4869</v>
      </c>
      <c r="G3" s="1" t="s">
        <v>4870</v>
      </c>
      <c r="H3" s="1" t="s">
        <v>4871</v>
      </c>
      <c r="I3" s="1" t="s">
        <v>4872</v>
      </c>
      <c r="J3" s="1" t="s">
        <v>4873</v>
      </c>
      <c r="K3" s="1" t="s">
        <v>4874</v>
      </c>
      <c r="L3" s="1" t="s">
        <v>4875</v>
      </c>
      <c r="M3" s="1" t="s">
        <v>4876</v>
      </c>
      <c r="N3" s="1" t="s">
        <v>4877</v>
      </c>
      <c r="O3" s="1" t="s">
        <v>4878</v>
      </c>
      <c r="P3" s="1" t="s">
        <v>3135</v>
      </c>
      <c r="Q3" s="1" t="s">
        <v>4879</v>
      </c>
      <c r="R3" s="1" t="s">
        <v>4880</v>
      </c>
      <c r="S3" s="1" t="s">
        <v>3075</v>
      </c>
      <c r="T3" s="1" t="s">
        <v>4881</v>
      </c>
      <c r="U3" s="1" t="s">
        <v>3570</v>
      </c>
      <c r="V3" s="1" t="s">
        <v>4882</v>
      </c>
      <c r="W3" s="1" t="s">
        <v>4883</v>
      </c>
      <c r="X3" s="1" t="s">
        <v>4884</v>
      </c>
      <c r="Y3" s="1" t="s">
        <v>4885</v>
      </c>
      <c r="Z3" s="1" t="s">
        <v>4886</v>
      </c>
      <c r="AA3" s="1" t="s">
        <v>4887</v>
      </c>
      <c r="AB3" s="1" t="s">
        <v>4888</v>
      </c>
      <c r="AC3" s="1" t="s">
        <v>4889</v>
      </c>
      <c r="AD3" s="1" t="s">
        <v>4890</v>
      </c>
      <c r="AE3" s="1" t="s">
        <v>4891</v>
      </c>
      <c r="AF3" s="1" t="s">
        <v>4892</v>
      </c>
      <c r="AG3" s="1" t="s">
        <v>4893</v>
      </c>
    </row>
    <row r="4" spans="1:33" ht="78" customHeight="1" x14ac:dyDescent="0.2">
      <c r="A4" s="2" t="s">
        <v>165</v>
      </c>
      <c r="B4" s="28" t="str">
        <f>IF(A4="","",IF(COUNTIF('32_定義マスター'!$A$4:$A$9,A4)&lt;&gt;1,"参照ID不正",IF(INDEX('32_定義マスター'!$B$4:$B$9,MATCH(A4,'32_定義マスター'!$A$4:$A$9,0))="","",INDEX('32_定義マスター'!$B$4:$B$9,MATCH(A4,'32_定義マスター'!$A$4:$A$9,0)))))</f>
        <v>事業探索・予算枠</v>
      </c>
      <c r="C4" s="28" t="str">
        <f>IF(A4="","",IF(COUNTIF('32_定義マスター'!$A$4:$A$9,A4)&lt;&gt;1,"参照ID不正",IF(INDEX('32_定義マスター'!$C$4:$C$9,MATCH(A4,'32_定義マスター'!$A$4:$A$9,0))="","",INDEX('32_定義マスター'!$C$4:$C$9,MATCH(A4,'32_定義マスター'!$A$4:$A$9,0)))))</f>
        <v>B0-18</v>
      </c>
      <c r="D4" s="28" t="str">
        <f>IF(A4="","",IF(COUNTIF('32_定義マスター'!$A$4:$A$9,A4)&lt;&gt;1,"参照ID不正",IF(INDEX('32_定義マスター'!$D$4:$D$9,MATCH(A4,'32_定義マスター'!$A$4:$A$9,0))="","",INDEX('32_定義マスター'!$D$4:$D$9,MATCH(A4,'32_定義マスター'!$A$4:$A$9,0)))))</f>
        <v>R01</v>
      </c>
      <c r="E4" s="28" t="str">
        <f>IF(A4="","",IF(COUNTIF('32_定義マスター'!$A$4:$A$9,A4)&lt;&gt;1,"参照ID不正",IF(INDEX('32_定義マスター'!$E$4:$E$9,MATCH(A4,'32_定義マスター'!$A$4:$A$9,0))="","",INDEX('32_定義マスター'!$E$4:$E$9,MATCH(A4,'32_定義マスター'!$A$4:$A$9,0)))))</f>
        <v>仮説/非AI比較/リスク/Owner/探索証拠/予算・期限・停止条件</v>
      </c>
      <c r="F4" s="6"/>
      <c r="G4" s="6"/>
      <c r="H4" s="6"/>
      <c r="I4" s="6" t="s">
        <v>1598</v>
      </c>
      <c r="J4" s="6" t="s">
        <v>1598</v>
      </c>
      <c r="K4" s="6"/>
      <c r="L4" s="6" t="s">
        <v>4894</v>
      </c>
      <c r="M4" s="6"/>
      <c r="N4" s="5"/>
      <c r="O4" s="6"/>
      <c r="P4" s="5"/>
      <c r="Q4" s="6"/>
      <c r="R4" s="6"/>
      <c r="S4" s="28" t="str">
        <f>IF(A4="","",IF(COUNTIF('32_定義マスター'!$A$4:$A$9,A4)&lt;&gt;1,"Gate ID不正",IF(OR(L4="",L4="未審査"),"未承認",IF(OR(OR(F4="",G4="",H4="",I4="",J4="",K4="",O4="",AE4="",AF4=""),NOT(ISNUMBER(P4))),"判断証拠不足",IF(COUNTIF($F$4:$F$83,F4)&lt;&gt;1,"判断Run ID重複",IF(OR(AND(P4&lt;&gt;"",OR(NOT(ISNUMBER(P4)),IFERROR(P4&lt;1,TRUE),IFERROR(INT(P4)&gt;INT(AsOfDate),TRUE)))),"判断日不正",IF(AND(A4="G3",OR(T4="",U4="",V4="",W4="",X4="")),"公開対象・集合不足","判断記録あり・内容審査別")))))))</f>
        <v>未承認</v>
      </c>
      <c r="T4" s="29"/>
      <c r="U4" s="29"/>
      <c r="V4" s="29" t="s">
        <v>1598</v>
      </c>
      <c r="W4" s="29"/>
      <c r="X4" s="29"/>
      <c r="Y4" s="32"/>
      <c r="Z4" s="29"/>
      <c r="AA4" s="28" t="str">
        <f>IF(A4="","",IF(NOT(IFERROR(ISNUMBER(SEARCH("|"&amp;L4&amp;"|",IF(COUNTIF('32_定義マスター'!$A$4:$A$9,A4)&lt;&gt;1,"参照ID不正",IF(INDEX('32_定義マスター'!$F$4:$F$9,MATCH(A4,'32_定義マスター'!$A$4:$A$9,0))="","",INDEX('32_定義マスター'!$F$4:$F$9,MATCH(A4,'32_定義マスター'!$A$4:$A$9,0)))))),FALSE)),"Gate判断不適合",IF(AND(OR(L4="承認",L4="条件付承認",L4="Scale",L4="Continue",L4="廃止完了承認"),OR(I4="不合格",J4="不合格",V4="不合格",I4="FAIL",J4="FAIL",V4="FAIL")),"停止判定と承認が矛盾",IF(AND(OR(L4="承認",L4="条件付承認",L4="Scale",L4="Continue",L4="廃止完了承認"),OR(I4="未判定",J4="未判定",AND(A4="G3",V4="未判定"))),"必要判定未確定",IF(AND(OR(L4="承認",L4="条件付承認",L4="Scale",L4="Continue",L4="廃止完了承認"),OR(AND(I4&lt;&gt;"合格",I4&lt;&gt;"対象外承認"),AND(J4&lt;&gt;"合格",J4&lt;&gt;"対象外承認"),AND(A4="G3",V4&lt;&gt;"合格",V4&lt;&gt;"対象外承認"))),"判定値不正",IF(AND(A4="G4",L4="Scale",OR(COUNTIF('25_事業仮説・実験・GTM'!$Q$4:$Q$15,F4)=0,COUNTIFS('25_事業仮説・実験・GTM'!$Q$4:$Q$15,F4,'25_事業仮説・実験・GTM'!$AF$4:$AF$15,"&lt;&gt;充足")&gt;0,COUNTIFS('25_事業仮説・実験・GTM'!$Q$4:$Q$15,F4,'25_事業仮説・実験・GTM'!$AD$4:$AD$15,"&lt;&gt;拡大可能")&gt;0)),"拡大の行動証拠不足","判定整合"))))))</f>
        <v>判定整合</v>
      </c>
      <c r="AB4" s="28" t="str">
        <f>IF(A4="","",IF(A4&lt;&gt;"G3",IF(A4="G0",IF(OR(COUNTIF('25_事業仮説・実験・GTM'!$Q$4:$Q$15,F4)=0,COUNTIFS('25_事業仮説・実験・GTM'!$Q$4:$Q$15,F4,'25_事業仮説・実験・GTM'!$AE$4:$AE$15,"&lt;&gt;仮説記録あり")&gt;0),"仮説・持越し確認不足","G0仮説記録接続"),IF(A4="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4="",U4="",W4="",X4="",OR(COUNTIFS('30_必須評価セット'!$B$4:$B$153,T4,'30_必須評価セット'!$C$4:$C$153,U4,'30_必須評価セット'!$E$4:$E$153,"E01")=0,COUNTIFS('30_必須評価セット'!$B$4:$B$153,T4,'30_必須評価セット'!$C$4:$C$153,U4,'30_必須評価セット'!$E$4:$E$153,"E02")=0,COUNTIFS('30_必須評価セット'!$B$4:$B$153,T4,'30_必須評価セット'!$C$4:$C$153,U4,'30_必須評価セット'!$E$4:$E$153,"E03")=0,COUNTIFS('30_必須評価セット'!$B$4:$B$153,T4,'30_必須評価セット'!$C$4:$C$153,U4,'30_必須評価セット'!$E$4:$E$153,"E04")=0,COUNTIFS('30_必須評価セット'!$B$4:$B$153,T4,'30_必須評価セット'!$C$4:$C$153,U4,'30_必須評価セット'!$E$4:$E$153,"E05")=0,COUNTIFS('30_必須評価セット'!$B$4:$B$153,T4,'30_必須評価セット'!$C$4:$C$153,U4,'30_必須評価セット'!$E$4:$E$153,"E06")=0,COUNTIFS('30_必須評価セット'!$B$4:$B$153,T4,'30_必須評価セット'!$C$4:$C$153,U4,'30_必須評価セット'!$E$4:$E$153,"E07")=0,COUNTIFS('30_必須評価セット'!$B$4:$B$153,T4,'30_必須評価セット'!$C$4:$C$153,U4,'30_必須評価セット'!$E$4:$E$153,"E08")=0,COUNTIFS('30_必須評価セット'!$B$4:$B$153,T4,'30_必須評価セット'!$C$4:$C$153,U4,'30_必須評価セット'!$E$4:$E$153,"E09")=0,COUNTIFS('30_必須評価セット'!$B$4:$B$153,T4,'30_必須評価セット'!$C$4:$C$153,U4,'30_必須評価セット'!$E$4:$E$153,"E10")=0,COUNTIFS('30_必須評価セット'!$B$4:$B$153,T4,'30_必須評価セット'!$C$4:$C$153,U4,'30_必須評価セット'!$E$4:$E$153,"E11")=0,COUNTIFS('30_必須評価セット'!$B$4:$B$153,T4,'30_必須評価セット'!$C$4:$C$153,U4,'30_必須評価セット'!$E$4:$E$153,"E12")=0,COUNTIFS('30_必須評価セット'!$B$4:$B$153,T4,'30_必須評価セット'!$C$4:$C$153,U4,'30_必須評価セット'!$E$4:$E$153,"E13")=0,COUNTIFS('30_必須評価セット'!$B$4:$B$153,T4,'30_必須評価セット'!$C$4:$C$153,U4,'30_必須評価セット'!$E$4:$E$153,"E14")=0,COUNTIFS('30_必須評価セット'!$B$4:$B$153,T4,'30_必須評価セット'!$C$4:$C$153,U4,'30_必須評価セット'!$E$4:$E$153,"E15")=0,COUNTIFS('30_必須評価セット'!$B$4:$B$153,T4,'30_必須評価セット'!$C$4:$C$153,U4,'30_必須評価セット'!$E$4:$E$153,"E16")=0,COUNTIFS('30_必須評価セット'!$B$4:$B$153,T4,'30_必須評価セット'!$C$4:$C$153,U4,'30_必須評価セット'!$E$4:$E$153,"E17")=0,COUNTIFS('30_必須評価セット'!$B$4:$B$153,T4,'30_必須評価セット'!$C$4:$C$153,U4,'30_必須評価セット'!$E$4:$E$153,"E18")=0)),"必須分類・集合不足",IF(OR(AND('03_AIリスクTier・適用判定'!$B$27="使用",OR('17_ロードマップ・案件実行管理'!$AA$86&lt;&gt;1,NOT(AND(COUNTIFS('30_必須評価セット'!$B$4:$B$153,T4,'30_必須評価セット'!$C$4:$C$153,U4,'30_必須評価セット'!$E$4:$E$153,"E03",'30_必須評価セット'!$F$4:$F$153,"必須")&gt;0,COUNTIFS('30_必須評価セット'!$B$4:$B$153,T4,'30_必須評価セット'!$C$4:$C$153,U4,'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4,'30_必須評価セット'!$C$4:$C$153,U4,'30_必須評価セット'!$E$4:$E$153,"E05",'30_必須評価セット'!$F$4:$F$153,"必須")&gt;0)))),AND('03_AIリスクTier・適用判定'!$B$28="不使用",'17_ロードマップ・案件実行管理'!$W$87&lt;&gt;"除外記録済")),"機能別評価・対象外未完",IF(COUNTIFS('30_必須評価セット'!$B$4:$B$153,T4,'30_必須評価セット'!$C$4:$C$153,U4)&lt;&gt;SUMIFS('30_必須評価セット'!$N$4:$N$153,'30_必須評価セット'!$B$4:$B$153,T4,'30_必須評価セット'!$C$4:$C$153,U4),"必須評価セット未充足","必須評価セット充足"))))))</f>
        <v>仮説・持越し確認不足</v>
      </c>
      <c r="AC4" s="28" t="str">
        <f>IF(F4="","",IF(OR(AG4="",AG4="未判定"),"条件有無未判定",IF(AND(AG4="なし",OR(L4="条件付承認",COUNTIF('31_条件・有効性'!$B$4:$B$83,F4)&gt;0)),"条件有無不一致",IF(AND(AG4="条件あり",COUNTIF('31_条件・有効性'!$B$4:$B$83,F4)=0),"Condition未登録",IF(AND(AG4="条件あり",COUNTIF('31_条件・有効性'!$B$4:$B$83,F4)&lt;&gt;(COUNTIFS('31_条件・有効性'!$B$4:$B$83,F4,'31_条件・有効性'!$Q$4:$Q$83,"解消確認済")+COUNTIFS('31_条件・有効性'!$B$4:$B$83,F4,'31_条件・有効性'!$Q$4:$Q$83,"期限内・制約継続"))),"条件失効・定義不備",IF(AND(AG4&lt;&gt;"なし",AG4&lt;&gt;"条件あり"),"条件有無不正","条件整合"))))))</f>
        <v/>
      </c>
      <c r="AD4" s="28" t="str">
        <f t="shared" ref="AD4:AD35" si="0">IF(A4="","",IF(S4&lt;&gt;"判断記録あり・内容審査別",S4,IF(AA4&lt;&gt;"判定整合",AA4,IF(Z4&lt;&gt;"","取消・置換済",IF(AND(Y4&lt;&gt;"",OR(NOT(ISNUMBER(Y4)),IFERROR(Y4&lt;AsOfDate,TRUE),IFERROR(Y4&lt;P4,TRUE))),"決裁期限失効・不正",IF(AC4&lt;&gt;"条件整合",AC4,IF(AND(A4="G3",AB4&lt;&gt;"必須評価セット充足"),AB4,IF(AND(A4="G0",AB4&lt;&gt;"G0仮説記録接続"),AB4,IF(NOT(OR(L4="承認",L4="条件付承認",L4="Scale",L4="Continue",L4="廃止完了承認")),"進行許可ではない判断",IF(AND(A4="G5",AB4&lt;&gt;"資産処理決定充足"),AB4,"整合済・正本決裁要確認"))))))))))</f>
        <v>未承認</v>
      </c>
      <c r="AE4" s="29"/>
      <c r="AF4" s="29"/>
      <c r="AG4" s="29" t="s">
        <v>1598</v>
      </c>
    </row>
    <row r="5" spans="1:33" ht="78" customHeight="1" x14ac:dyDescent="0.2">
      <c r="A5" s="4" t="s">
        <v>174</v>
      </c>
      <c r="B5" s="28" t="str">
        <f>IF(A5="","",IF(COUNTIF('32_定義マスター'!$A$4:$A$9,A5)&lt;&gt;1,"参照ID不正",IF(INDEX('32_定義マスター'!$B$4:$B$9,MATCH(A5,'32_定義マスター'!$A$4:$A$9,0))="","",INDEX('32_定義マスター'!$B$4:$B$9,MATCH(A5,'32_定義マスター'!$A$4:$A$9,0)))))</f>
        <v>スコープ・Evidence Plan</v>
      </c>
      <c r="C5" s="28" t="str">
        <f>IF(A5="","",IF(COUNTIF('32_定義マスター'!$A$4:$A$9,A5)&lt;&gt;1,"参照ID不正",IF(INDEX('32_定義マスター'!$C$4:$C$9,MATCH(A5,'32_定義マスター'!$A$4:$A$9,0))="","",INDEX('32_定義マスター'!$C$4:$C$9,MATCH(A5,'32_定義マスター'!$A$4:$A$9,0)))))</f>
        <v>B1-19</v>
      </c>
      <c r="D5" s="28" t="str">
        <f>IF(A5="","",IF(COUNTIF('32_定義マスター'!$A$4:$A$9,A5)&lt;&gt;1,"参照ID不正",IF(INDEX('32_定義マスター'!$D$4:$D$9,MATCH(A5,'32_定義マスター'!$A$4:$A$9,0))="","",INDEX('32_定義マスター'!$D$4:$D$9,MATCH(A5,'32_定義マスター'!$A$4:$A$9,0)))))</f>
        <v>R01</v>
      </c>
      <c r="E5" s="28" t="str">
        <f>IF(A5="","",IF(COUNTIF('32_定義マスター'!$A$4:$A$9,A5)&lt;&gt;1,"参照ID不正",IF(INDEX('32_定義マスター'!$E$4:$E$9,MATCH(A5,'32_定義マスター'!$A$4:$A$9,0))="","",INDEX('32_定義マスター'!$E$4:$E$9,MATCH(A5,'32_定義マスター'!$A$4:$A$9,0)))))</f>
        <v>用途/対象/禁止/データ利用/評価計画/Tier/ロードマップ</v>
      </c>
      <c r="F5" s="6"/>
      <c r="G5" s="6"/>
      <c r="H5" s="6"/>
      <c r="I5" s="6" t="s">
        <v>1598</v>
      </c>
      <c r="J5" s="6" t="s">
        <v>1598</v>
      </c>
      <c r="K5" s="6"/>
      <c r="L5" s="6" t="s">
        <v>4894</v>
      </c>
      <c r="M5" s="6"/>
      <c r="N5" s="5"/>
      <c r="O5" s="6"/>
      <c r="P5" s="5"/>
      <c r="Q5" s="6"/>
      <c r="R5" s="6"/>
      <c r="S5" s="28" t="str">
        <f>IF(A5="","",IF(COUNTIF('32_定義マスター'!$A$4:$A$9,A5)&lt;&gt;1,"Gate ID不正",IF(OR(L5="",L5="未審査"),"未承認",IF(OR(OR(F5="",G5="",H5="",I5="",J5="",K5="",O5="",AE5="",AF5=""),NOT(ISNUMBER(P5))),"判断証拠不足",IF(COUNTIF($F$4:$F$83,F5)&lt;&gt;1,"判断Run ID重複",IF(OR(AND(P5&lt;&gt;"",OR(NOT(ISNUMBER(P5)),IFERROR(P5&lt;1,TRUE),IFERROR(INT(P5)&gt;INT(AsOfDate),TRUE)))),"判断日不正",IF(AND(A5="G3",OR(T5="",U5="",V5="",W5="",X5="")),"公開対象・集合不足","判断記録あり・内容審査別")))))))</f>
        <v>未承認</v>
      </c>
      <c r="T5" s="29"/>
      <c r="U5" s="29"/>
      <c r="V5" s="29" t="s">
        <v>1598</v>
      </c>
      <c r="W5" s="29"/>
      <c r="X5" s="29"/>
      <c r="Y5" s="32"/>
      <c r="Z5" s="29"/>
      <c r="AA5" s="28" t="str">
        <f>IF(A5="","",IF(NOT(IFERROR(ISNUMBER(SEARCH("|"&amp;L5&amp;"|",IF(COUNTIF('32_定義マスター'!$A$4:$A$9,A5)&lt;&gt;1,"参照ID不正",IF(INDEX('32_定義マスター'!$F$4:$F$9,MATCH(A5,'32_定義マスター'!$A$4:$A$9,0))="","",INDEX('32_定義マスター'!$F$4:$F$9,MATCH(A5,'32_定義マスター'!$A$4:$A$9,0)))))),FALSE)),"Gate判断不適合",IF(AND(OR(L5="承認",L5="条件付承認",L5="Scale",L5="Continue",L5="廃止完了承認"),OR(I5="不合格",J5="不合格",V5="不合格",I5="FAIL",J5="FAIL",V5="FAIL")),"停止判定と承認が矛盾",IF(AND(OR(L5="承認",L5="条件付承認",L5="Scale",L5="Continue",L5="廃止完了承認"),OR(I5="未判定",J5="未判定",AND(A5="G3",V5="未判定"))),"必要判定未確定",IF(AND(OR(L5="承認",L5="条件付承認",L5="Scale",L5="Continue",L5="廃止完了承認"),OR(AND(I5&lt;&gt;"合格",I5&lt;&gt;"対象外承認"),AND(J5&lt;&gt;"合格",J5&lt;&gt;"対象外承認"),AND(A5="G3",V5&lt;&gt;"合格",V5&lt;&gt;"対象外承認"))),"判定値不正",IF(AND(A5="G4",L5="Scale",OR(COUNTIF('25_事業仮説・実験・GTM'!$Q$4:$Q$15,F5)=0,COUNTIFS('25_事業仮説・実験・GTM'!$Q$4:$Q$15,F5,'25_事業仮説・実験・GTM'!$AF$4:$AF$15,"&lt;&gt;充足")&gt;0,COUNTIFS('25_事業仮説・実験・GTM'!$Q$4:$Q$15,F5,'25_事業仮説・実験・GTM'!$AD$4:$AD$15,"&lt;&gt;拡大可能")&gt;0)),"拡大の行動証拠不足","判定整合"))))))</f>
        <v>判定整合</v>
      </c>
      <c r="AB5" s="28" t="str">
        <f>IF(A5="","",IF(A5&lt;&gt;"G3",IF(A5="G0",IF(OR(COUNTIF('25_事業仮説・実験・GTM'!$Q$4:$Q$15,F5)=0,COUNTIFS('25_事業仮説・実験・GTM'!$Q$4:$Q$15,F5,'25_事業仮説・実験・GTM'!$AE$4:$AE$15,"&lt;&gt;仮説記録あり")&gt;0),"仮説・持越し確認不足","G0仮説記録接続"),IF(A5="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5="",U5="",W5="",X5="",OR(COUNTIFS('30_必須評価セット'!$B$4:$B$153,T5,'30_必須評価セット'!$C$4:$C$153,U5,'30_必須評価セット'!$E$4:$E$153,"E01")=0,COUNTIFS('30_必須評価セット'!$B$4:$B$153,T5,'30_必須評価セット'!$C$4:$C$153,U5,'30_必須評価セット'!$E$4:$E$153,"E02")=0,COUNTIFS('30_必須評価セット'!$B$4:$B$153,T5,'30_必須評価セット'!$C$4:$C$153,U5,'30_必須評価セット'!$E$4:$E$153,"E03")=0,COUNTIFS('30_必須評価セット'!$B$4:$B$153,T5,'30_必須評価セット'!$C$4:$C$153,U5,'30_必須評価セット'!$E$4:$E$153,"E04")=0,COUNTIFS('30_必須評価セット'!$B$4:$B$153,T5,'30_必須評価セット'!$C$4:$C$153,U5,'30_必須評価セット'!$E$4:$E$153,"E05")=0,COUNTIFS('30_必須評価セット'!$B$4:$B$153,T5,'30_必須評価セット'!$C$4:$C$153,U5,'30_必須評価セット'!$E$4:$E$153,"E06")=0,COUNTIFS('30_必須評価セット'!$B$4:$B$153,T5,'30_必須評価セット'!$C$4:$C$153,U5,'30_必須評価セット'!$E$4:$E$153,"E07")=0,COUNTIFS('30_必須評価セット'!$B$4:$B$153,T5,'30_必須評価セット'!$C$4:$C$153,U5,'30_必須評価セット'!$E$4:$E$153,"E08")=0,COUNTIFS('30_必須評価セット'!$B$4:$B$153,T5,'30_必須評価セット'!$C$4:$C$153,U5,'30_必須評価セット'!$E$4:$E$153,"E09")=0,COUNTIFS('30_必須評価セット'!$B$4:$B$153,T5,'30_必須評価セット'!$C$4:$C$153,U5,'30_必須評価セット'!$E$4:$E$153,"E10")=0,COUNTIFS('30_必須評価セット'!$B$4:$B$153,T5,'30_必須評価セット'!$C$4:$C$153,U5,'30_必須評価セット'!$E$4:$E$153,"E11")=0,COUNTIFS('30_必須評価セット'!$B$4:$B$153,T5,'30_必須評価セット'!$C$4:$C$153,U5,'30_必須評価セット'!$E$4:$E$153,"E12")=0,COUNTIFS('30_必須評価セット'!$B$4:$B$153,T5,'30_必須評価セット'!$C$4:$C$153,U5,'30_必須評価セット'!$E$4:$E$153,"E13")=0,COUNTIFS('30_必須評価セット'!$B$4:$B$153,T5,'30_必須評価セット'!$C$4:$C$153,U5,'30_必須評価セット'!$E$4:$E$153,"E14")=0,COUNTIFS('30_必須評価セット'!$B$4:$B$153,T5,'30_必須評価セット'!$C$4:$C$153,U5,'30_必須評価セット'!$E$4:$E$153,"E15")=0,COUNTIFS('30_必須評価セット'!$B$4:$B$153,T5,'30_必須評価セット'!$C$4:$C$153,U5,'30_必須評価セット'!$E$4:$E$153,"E16")=0,COUNTIFS('30_必須評価セット'!$B$4:$B$153,T5,'30_必須評価セット'!$C$4:$C$153,U5,'30_必須評価セット'!$E$4:$E$153,"E17")=0,COUNTIFS('30_必須評価セット'!$B$4:$B$153,T5,'30_必須評価セット'!$C$4:$C$153,U5,'30_必須評価セット'!$E$4:$E$153,"E18")=0)),"必須分類・集合不足",IF(OR(AND('03_AIリスクTier・適用判定'!$B$27="使用",OR('17_ロードマップ・案件実行管理'!$AA$86&lt;&gt;1,NOT(AND(COUNTIFS('30_必須評価セット'!$B$4:$B$153,T5,'30_必須評価セット'!$C$4:$C$153,U5,'30_必須評価セット'!$E$4:$E$153,"E03",'30_必須評価セット'!$F$4:$F$153,"必須")&gt;0,COUNTIFS('30_必須評価セット'!$B$4:$B$153,T5,'30_必須評価セット'!$C$4:$C$153,U5,'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5,'30_必須評価セット'!$C$4:$C$153,U5,'30_必須評価セット'!$E$4:$E$153,"E05",'30_必須評価セット'!$F$4:$F$153,"必須")&gt;0)))),AND('03_AIリスクTier・適用判定'!$B$28="不使用",'17_ロードマップ・案件実行管理'!$W$87&lt;&gt;"除外記録済")),"機能別評価・対象外未完",IF(COUNTIFS('30_必須評価セット'!$B$4:$B$153,T5,'30_必須評価セット'!$C$4:$C$153,U5)&lt;&gt;SUMIFS('30_必須評価セット'!$N$4:$N$153,'30_必須評価セット'!$B$4:$B$153,T5,'30_必須評価セット'!$C$4:$C$153,U5),"必須評価セット未充足","必須評価セット充足"))))))</f>
        <v>対象Gate証拠を正本審査</v>
      </c>
      <c r="AC5" s="28" t="str">
        <f>IF(F5="","",IF(OR(AG5="",AG5="未判定"),"条件有無未判定",IF(AND(AG5="なし",OR(L5="条件付承認",COUNTIF('31_条件・有効性'!$B$4:$B$83,F5)&gt;0)),"条件有無不一致",IF(AND(AG5="条件あり",COUNTIF('31_条件・有効性'!$B$4:$B$83,F5)=0),"Condition未登録",IF(AND(AG5="条件あり",COUNTIF('31_条件・有効性'!$B$4:$B$83,F5)&lt;&gt;(COUNTIFS('31_条件・有効性'!$B$4:$B$83,F5,'31_条件・有効性'!$Q$4:$Q$83,"解消確認済")+COUNTIFS('31_条件・有効性'!$B$4:$B$83,F5,'31_条件・有効性'!$Q$4:$Q$83,"期限内・制約継続"))),"条件失効・定義不備",IF(AND(AG5&lt;&gt;"なし",AG5&lt;&gt;"条件あり"),"条件有無不正","条件整合"))))))</f>
        <v/>
      </c>
      <c r="AD5" s="28" t="str">
        <f t="shared" si="0"/>
        <v>未承認</v>
      </c>
      <c r="AE5" s="29"/>
      <c r="AF5" s="29"/>
      <c r="AG5" s="29" t="s">
        <v>1598</v>
      </c>
    </row>
    <row r="6" spans="1:33" ht="78" customHeight="1" x14ac:dyDescent="0.2">
      <c r="A6" s="2" t="s">
        <v>181</v>
      </c>
      <c r="B6" s="28" t="str">
        <f>IF(A6="","",IF(COUNTIF('32_定義マスター'!$A$4:$A$9,A6)&lt;&gt;1,"参照ID不正",IF(INDEX('32_定義マスター'!$B$4:$B$9,MATCH(A6,'32_定義マスター'!$A$4:$A$9,0))="","",INDEX('32_定義マスター'!$B$4:$B$9,MATCH(A6,'32_定義マスター'!$A$4:$A$9,0)))))</f>
        <v>Architecture/Build</v>
      </c>
      <c r="C6" s="28" t="str">
        <f>IF(A6="","",IF(COUNTIF('32_定義マスター'!$A$4:$A$9,A6)&lt;&gt;1,"参照ID不正",IF(INDEX('32_定義マスター'!$C$4:$C$9,MATCH(A6,'32_定義マスター'!$A$4:$A$9,0))="","",INDEX('32_定義マスター'!$C$4:$C$9,MATCH(A6,'32_定義マスター'!$A$4:$A$9,0)))))</f>
        <v>B2-20</v>
      </c>
      <c r="D6" s="28" t="str">
        <f>IF(A6="","",IF(COUNTIF('32_定義マスター'!$A$4:$A$9,A6)&lt;&gt;1,"参照ID不正",IF(INDEX('32_定義マスター'!$D$4:$D$9,MATCH(A6,'32_定義マスター'!$A$4:$A$9,0))="","",INDEX('32_定義マスター'!$D$4:$D$9,MATCH(A6,'32_定義マスター'!$A$4:$A$9,0)))))</f>
        <v>R01</v>
      </c>
      <c r="E6" s="28" t="str">
        <f>IF(A6="","",IF(COUNTIF('32_定義マスター'!$A$4:$A$9,A6)&lt;&gt;1,"参照ID不正",IF(INDEX('32_定義マスター'!$E$4:$E$9,MATCH(A6,'32_定義マスター'!$A$4:$A$9,0))="","",INDEX('32_定義マスター'!$E$4:$E$9,MATCH(A6,'32_定義マスター'!$A$4:$A$9,0)))))</f>
        <v>R06技術勧告、AI/Data/権限/運用/復旧/原価/実装投資枠</v>
      </c>
      <c r="F6" s="6"/>
      <c r="G6" s="6"/>
      <c r="H6" s="6"/>
      <c r="I6" s="6" t="s">
        <v>1598</v>
      </c>
      <c r="J6" s="6" t="s">
        <v>1598</v>
      </c>
      <c r="K6" s="6"/>
      <c r="L6" s="6" t="s">
        <v>4894</v>
      </c>
      <c r="M6" s="6"/>
      <c r="N6" s="5"/>
      <c r="O6" s="6"/>
      <c r="P6" s="5"/>
      <c r="Q6" s="6"/>
      <c r="R6" s="6"/>
      <c r="S6" s="28" t="str">
        <f>IF(A6="","",IF(COUNTIF('32_定義マスター'!$A$4:$A$9,A6)&lt;&gt;1,"Gate ID不正",IF(OR(L6="",L6="未審査"),"未承認",IF(OR(OR(F6="",G6="",H6="",I6="",J6="",K6="",O6="",AE6="",AF6=""),NOT(ISNUMBER(P6))),"判断証拠不足",IF(COUNTIF($F$4:$F$83,F6)&lt;&gt;1,"判断Run ID重複",IF(OR(AND(P6&lt;&gt;"",OR(NOT(ISNUMBER(P6)),IFERROR(P6&lt;1,TRUE),IFERROR(INT(P6)&gt;INT(AsOfDate),TRUE)))),"判断日不正",IF(AND(A6="G3",OR(T6="",U6="",V6="",W6="",X6="")),"公開対象・集合不足","判断記録あり・内容審査別")))))))</f>
        <v>未承認</v>
      </c>
      <c r="T6" s="29"/>
      <c r="U6" s="29"/>
      <c r="V6" s="29" t="s">
        <v>1598</v>
      </c>
      <c r="W6" s="29"/>
      <c r="X6" s="29"/>
      <c r="Y6" s="32"/>
      <c r="Z6" s="29"/>
      <c r="AA6" s="28" t="str">
        <f>IF(A6="","",IF(NOT(IFERROR(ISNUMBER(SEARCH("|"&amp;L6&amp;"|",IF(COUNTIF('32_定義マスター'!$A$4:$A$9,A6)&lt;&gt;1,"参照ID不正",IF(INDEX('32_定義マスター'!$F$4:$F$9,MATCH(A6,'32_定義マスター'!$A$4:$A$9,0))="","",INDEX('32_定義マスター'!$F$4:$F$9,MATCH(A6,'32_定義マスター'!$A$4:$A$9,0)))))),FALSE)),"Gate判断不適合",IF(AND(OR(L6="承認",L6="条件付承認",L6="Scale",L6="Continue",L6="廃止完了承認"),OR(I6="不合格",J6="不合格",V6="不合格",I6="FAIL",J6="FAIL",V6="FAIL")),"停止判定と承認が矛盾",IF(AND(OR(L6="承認",L6="条件付承認",L6="Scale",L6="Continue",L6="廃止完了承認"),OR(I6="未判定",J6="未判定",AND(A6="G3",V6="未判定"))),"必要判定未確定",IF(AND(OR(L6="承認",L6="条件付承認",L6="Scale",L6="Continue",L6="廃止完了承認"),OR(AND(I6&lt;&gt;"合格",I6&lt;&gt;"対象外承認"),AND(J6&lt;&gt;"合格",J6&lt;&gt;"対象外承認"),AND(A6="G3",V6&lt;&gt;"合格",V6&lt;&gt;"対象外承認"))),"判定値不正",IF(AND(A6="G4",L6="Scale",OR(COUNTIF('25_事業仮説・実験・GTM'!$Q$4:$Q$15,F6)=0,COUNTIFS('25_事業仮説・実験・GTM'!$Q$4:$Q$15,F6,'25_事業仮説・実験・GTM'!$AF$4:$AF$15,"&lt;&gt;充足")&gt;0,COUNTIFS('25_事業仮説・実験・GTM'!$Q$4:$Q$15,F6,'25_事業仮説・実験・GTM'!$AD$4:$AD$15,"&lt;&gt;拡大可能")&gt;0)),"拡大の行動証拠不足","判定整合"))))))</f>
        <v>判定整合</v>
      </c>
      <c r="AB6" s="28" t="str">
        <f>IF(A6="","",IF(A6&lt;&gt;"G3",IF(A6="G0",IF(OR(COUNTIF('25_事業仮説・実験・GTM'!$Q$4:$Q$15,F6)=0,COUNTIFS('25_事業仮説・実験・GTM'!$Q$4:$Q$15,F6,'25_事業仮説・実験・GTM'!$AE$4:$AE$15,"&lt;&gt;仮説記録あり")&gt;0),"仮説・持越し確認不足","G0仮説記録接続"),IF(A6="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6="",U6="",W6="",X6="",OR(COUNTIFS('30_必須評価セット'!$B$4:$B$153,T6,'30_必須評価セット'!$C$4:$C$153,U6,'30_必須評価セット'!$E$4:$E$153,"E01")=0,COUNTIFS('30_必須評価セット'!$B$4:$B$153,T6,'30_必須評価セット'!$C$4:$C$153,U6,'30_必須評価セット'!$E$4:$E$153,"E02")=0,COUNTIFS('30_必須評価セット'!$B$4:$B$153,T6,'30_必須評価セット'!$C$4:$C$153,U6,'30_必須評価セット'!$E$4:$E$153,"E03")=0,COUNTIFS('30_必須評価セット'!$B$4:$B$153,T6,'30_必須評価セット'!$C$4:$C$153,U6,'30_必須評価セット'!$E$4:$E$153,"E04")=0,COUNTIFS('30_必須評価セット'!$B$4:$B$153,T6,'30_必須評価セット'!$C$4:$C$153,U6,'30_必須評価セット'!$E$4:$E$153,"E05")=0,COUNTIFS('30_必須評価セット'!$B$4:$B$153,T6,'30_必須評価セット'!$C$4:$C$153,U6,'30_必須評価セット'!$E$4:$E$153,"E06")=0,COUNTIFS('30_必須評価セット'!$B$4:$B$153,T6,'30_必須評価セット'!$C$4:$C$153,U6,'30_必須評価セット'!$E$4:$E$153,"E07")=0,COUNTIFS('30_必須評価セット'!$B$4:$B$153,T6,'30_必須評価セット'!$C$4:$C$153,U6,'30_必須評価セット'!$E$4:$E$153,"E08")=0,COUNTIFS('30_必須評価セット'!$B$4:$B$153,T6,'30_必須評価セット'!$C$4:$C$153,U6,'30_必須評価セット'!$E$4:$E$153,"E09")=0,COUNTIFS('30_必須評価セット'!$B$4:$B$153,T6,'30_必須評価セット'!$C$4:$C$153,U6,'30_必須評価セット'!$E$4:$E$153,"E10")=0,COUNTIFS('30_必須評価セット'!$B$4:$B$153,T6,'30_必須評価セット'!$C$4:$C$153,U6,'30_必須評価セット'!$E$4:$E$153,"E11")=0,COUNTIFS('30_必須評価セット'!$B$4:$B$153,T6,'30_必須評価セット'!$C$4:$C$153,U6,'30_必須評価セット'!$E$4:$E$153,"E12")=0,COUNTIFS('30_必須評価セット'!$B$4:$B$153,T6,'30_必須評価セット'!$C$4:$C$153,U6,'30_必須評価セット'!$E$4:$E$153,"E13")=0,COUNTIFS('30_必須評価セット'!$B$4:$B$153,T6,'30_必須評価セット'!$C$4:$C$153,U6,'30_必須評価セット'!$E$4:$E$153,"E14")=0,COUNTIFS('30_必須評価セット'!$B$4:$B$153,T6,'30_必須評価セット'!$C$4:$C$153,U6,'30_必須評価セット'!$E$4:$E$153,"E15")=0,COUNTIFS('30_必須評価セット'!$B$4:$B$153,T6,'30_必須評価セット'!$C$4:$C$153,U6,'30_必須評価セット'!$E$4:$E$153,"E16")=0,COUNTIFS('30_必須評価セット'!$B$4:$B$153,T6,'30_必須評価セット'!$C$4:$C$153,U6,'30_必須評価セット'!$E$4:$E$153,"E17")=0,COUNTIFS('30_必須評価セット'!$B$4:$B$153,T6,'30_必須評価セット'!$C$4:$C$153,U6,'30_必須評価セット'!$E$4:$E$153,"E18")=0)),"必須分類・集合不足",IF(OR(AND('03_AIリスクTier・適用判定'!$B$27="使用",OR('17_ロードマップ・案件実行管理'!$AA$86&lt;&gt;1,NOT(AND(COUNTIFS('30_必須評価セット'!$B$4:$B$153,T6,'30_必須評価セット'!$C$4:$C$153,U6,'30_必須評価セット'!$E$4:$E$153,"E03",'30_必須評価セット'!$F$4:$F$153,"必須")&gt;0,COUNTIFS('30_必須評価セット'!$B$4:$B$153,T6,'30_必須評価セット'!$C$4:$C$153,U6,'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6,'30_必須評価セット'!$C$4:$C$153,U6,'30_必須評価セット'!$E$4:$E$153,"E05",'30_必須評価セット'!$F$4:$F$153,"必須")&gt;0)))),AND('03_AIリスクTier・適用判定'!$B$28="不使用",'17_ロードマップ・案件実行管理'!$W$87&lt;&gt;"除外記録済")),"機能別評価・対象外未完",IF(COUNTIFS('30_必須評価セット'!$B$4:$B$153,T6,'30_必須評価セット'!$C$4:$C$153,U6)&lt;&gt;SUMIFS('30_必須評価セット'!$N$4:$N$153,'30_必須評価セット'!$B$4:$B$153,T6,'30_必須評価セット'!$C$4:$C$153,U6),"必須評価セット未充足","必須評価セット充足"))))))</f>
        <v>対象Gate証拠を正本審査</v>
      </c>
      <c r="AC6" s="28" t="str">
        <f>IF(F6="","",IF(OR(AG6="",AG6="未判定"),"条件有無未判定",IF(AND(AG6="なし",OR(L6="条件付承認",COUNTIF('31_条件・有効性'!$B$4:$B$83,F6)&gt;0)),"条件有無不一致",IF(AND(AG6="条件あり",COUNTIF('31_条件・有効性'!$B$4:$B$83,F6)=0),"Condition未登録",IF(AND(AG6="条件あり",COUNTIF('31_条件・有効性'!$B$4:$B$83,F6)&lt;&gt;(COUNTIFS('31_条件・有効性'!$B$4:$B$83,F6,'31_条件・有効性'!$Q$4:$Q$83,"解消確認済")+COUNTIFS('31_条件・有効性'!$B$4:$B$83,F6,'31_条件・有効性'!$Q$4:$Q$83,"期限内・制約継続"))),"条件失効・定義不備",IF(AND(AG6&lt;&gt;"なし",AG6&lt;&gt;"条件あり"),"条件有無不正","条件整合"))))))</f>
        <v/>
      </c>
      <c r="AD6" s="28" t="str">
        <f t="shared" si="0"/>
        <v>未承認</v>
      </c>
      <c r="AE6" s="29"/>
      <c r="AF6" s="29"/>
      <c r="AG6" s="29" t="s">
        <v>1598</v>
      </c>
    </row>
    <row r="7" spans="1:33" ht="78" customHeight="1" x14ac:dyDescent="0.2">
      <c r="A7" s="4" t="s">
        <v>196</v>
      </c>
      <c r="B7" s="28" t="str">
        <f>IF(A7="","",IF(COUNTIF('32_定義マスター'!$A$4:$A$9,A7)&lt;&gt;1,"参照ID不正",IF(INDEX('32_定義マスター'!$B$4:$B$9,MATCH(A7,'32_定義マスター'!$A$4:$A$9,0))="","",INDEX('32_定義マスター'!$B$4:$B$9,MATCH(A7,'32_定義マスター'!$A$4:$A$9,0)))))</f>
        <v>本番公開</v>
      </c>
      <c r="C7" s="28" t="str">
        <f>IF(A7="","",IF(COUNTIF('32_定義マスター'!$A$4:$A$9,A7)&lt;&gt;1,"参照ID不正",IF(INDEX('32_定義マスター'!$C$4:$C$9,MATCH(A7,'32_定義マスター'!$A$4:$A$9,0))="","",INDEX('32_定義マスター'!$C$4:$C$9,MATCH(A7,'32_定義マスター'!$A$4:$A$9,0)))))</f>
        <v>B4-14</v>
      </c>
      <c r="D7" s="28" t="str">
        <f>IF(A7="","",IF(COUNTIF('32_定義マスター'!$A$4:$A$9,A7)&lt;&gt;1,"参照ID不正",IF(INDEX('32_定義マスター'!$D$4:$D$9,MATCH(A7,'32_定義マスター'!$A$4:$A$9,0))="","",INDEX('32_定義マスター'!$D$4:$D$9,MATCH(A7,'32_定義マスター'!$A$4:$A$9,0)))))</f>
        <v>R18</v>
      </c>
      <c r="E7" s="28" t="str">
        <f>IF(A7="","",IF(COUNTIF('32_定義マスター'!$A$4:$A$9,A7)&lt;&gt;1,"参照ID不正",IF(INDEX('32_定義マスター'!$E$4:$E$9,MATCH(A7,'32_定義マスター'!$A$4:$A$9,0))="","",INDEX('32_定義マスター'!$E$4:$E$9,MATCH(A7,'32_定義マスター'!$A$4:$A$9,0)))))</f>
        <v>R19独立品質、Privacy/Security、対象版、運用/CS、公開/停止・復旧</v>
      </c>
      <c r="F7" s="6"/>
      <c r="G7" s="6"/>
      <c r="H7" s="6"/>
      <c r="I7" s="6" t="s">
        <v>1598</v>
      </c>
      <c r="J7" s="6" t="s">
        <v>1598</v>
      </c>
      <c r="K7" s="6"/>
      <c r="L7" s="6" t="s">
        <v>4894</v>
      </c>
      <c r="M7" s="6"/>
      <c r="N7" s="5"/>
      <c r="O7" s="6"/>
      <c r="P7" s="5"/>
      <c r="Q7" s="6"/>
      <c r="R7" s="6"/>
      <c r="S7" s="28" t="str">
        <f>IF(A7="","",IF(COUNTIF('32_定義マスター'!$A$4:$A$9,A7)&lt;&gt;1,"Gate ID不正",IF(OR(L7="",L7="未審査"),"未承認",IF(OR(OR(F7="",G7="",H7="",I7="",J7="",K7="",O7="",AE7="",AF7=""),NOT(ISNUMBER(P7))),"判断証拠不足",IF(COUNTIF($F$4:$F$83,F7)&lt;&gt;1,"判断Run ID重複",IF(OR(AND(P7&lt;&gt;"",OR(NOT(ISNUMBER(P7)),IFERROR(P7&lt;1,TRUE),IFERROR(INT(P7)&gt;INT(AsOfDate),TRUE)))),"判断日不正",IF(AND(A7="G3",OR(T7="",U7="",V7="",W7="",X7="")),"公開対象・集合不足","判断記録あり・内容審査別")))))))</f>
        <v>未承認</v>
      </c>
      <c r="T7" s="29"/>
      <c r="U7" s="29"/>
      <c r="V7" s="29" t="s">
        <v>1598</v>
      </c>
      <c r="W7" s="29"/>
      <c r="X7" s="29"/>
      <c r="Y7" s="32"/>
      <c r="Z7" s="29"/>
      <c r="AA7" s="28" t="str">
        <f>IF(A7="","",IF(NOT(IFERROR(ISNUMBER(SEARCH("|"&amp;L7&amp;"|",IF(COUNTIF('32_定義マスター'!$A$4:$A$9,A7)&lt;&gt;1,"参照ID不正",IF(INDEX('32_定義マスター'!$F$4:$F$9,MATCH(A7,'32_定義マスター'!$A$4:$A$9,0))="","",INDEX('32_定義マスター'!$F$4:$F$9,MATCH(A7,'32_定義マスター'!$A$4:$A$9,0)))))),FALSE)),"Gate判断不適合",IF(AND(OR(L7="承認",L7="条件付承認",L7="Scale",L7="Continue",L7="廃止完了承認"),OR(I7="不合格",J7="不合格",V7="不合格",I7="FAIL",J7="FAIL",V7="FAIL")),"停止判定と承認が矛盾",IF(AND(OR(L7="承認",L7="条件付承認",L7="Scale",L7="Continue",L7="廃止完了承認"),OR(I7="未判定",J7="未判定",AND(A7="G3",V7="未判定"))),"必要判定未確定",IF(AND(OR(L7="承認",L7="条件付承認",L7="Scale",L7="Continue",L7="廃止完了承認"),OR(AND(I7&lt;&gt;"合格",I7&lt;&gt;"対象外承認"),AND(J7&lt;&gt;"合格",J7&lt;&gt;"対象外承認"),AND(A7="G3",V7&lt;&gt;"合格",V7&lt;&gt;"対象外承認"))),"判定値不正",IF(AND(A7="G4",L7="Scale",OR(COUNTIF('25_事業仮説・実験・GTM'!$Q$4:$Q$15,F7)=0,COUNTIFS('25_事業仮説・実験・GTM'!$Q$4:$Q$15,F7,'25_事業仮説・実験・GTM'!$AF$4:$AF$15,"&lt;&gt;充足")&gt;0,COUNTIFS('25_事業仮説・実験・GTM'!$Q$4:$Q$15,F7,'25_事業仮説・実験・GTM'!$AD$4:$AD$15,"&lt;&gt;拡大可能")&gt;0)),"拡大の行動証拠不足","判定整合"))))))</f>
        <v>判定整合</v>
      </c>
      <c r="AB7" s="28" t="str">
        <f>IF(A7="","",IF(A7&lt;&gt;"G3",IF(A7="G0",IF(OR(COUNTIF('25_事業仮説・実験・GTM'!$Q$4:$Q$15,F7)=0,COUNTIFS('25_事業仮説・実験・GTM'!$Q$4:$Q$15,F7,'25_事業仮説・実験・GTM'!$AE$4:$AE$15,"&lt;&gt;仮説記録あり")&gt;0),"仮説・持越し確認不足","G0仮説記録接続"),IF(A7="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7="",U7="",W7="",X7="",OR(COUNTIFS('30_必須評価セット'!$B$4:$B$153,T7,'30_必須評価セット'!$C$4:$C$153,U7,'30_必須評価セット'!$E$4:$E$153,"E01")=0,COUNTIFS('30_必須評価セット'!$B$4:$B$153,T7,'30_必須評価セット'!$C$4:$C$153,U7,'30_必須評価セット'!$E$4:$E$153,"E02")=0,COUNTIFS('30_必須評価セット'!$B$4:$B$153,T7,'30_必須評価セット'!$C$4:$C$153,U7,'30_必須評価セット'!$E$4:$E$153,"E03")=0,COUNTIFS('30_必須評価セット'!$B$4:$B$153,T7,'30_必須評価セット'!$C$4:$C$153,U7,'30_必須評価セット'!$E$4:$E$153,"E04")=0,COUNTIFS('30_必須評価セット'!$B$4:$B$153,T7,'30_必須評価セット'!$C$4:$C$153,U7,'30_必須評価セット'!$E$4:$E$153,"E05")=0,COUNTIFS('30_必須評価セット'!$B$4:$B$153,T7,'30_必須評価セット'!$C$4:$C$153,U7,'30_必須評価セット'!$E$4:$E$153,"E06")=0,COUNTIFS('30_必須評価セット'!$B$4:$B$153,T7,'30_必須評価セット'!$C$4:$C$153,U7,'30_必須評価セット'!$E$4:$E$153,"E07")=0,COUNTIFS('30_必須評価セット'!$B$4:$B$153,T7,'30_必須評価セット'!$C$4:$C$153,U7,'30_必須評価セット'!$E$4:$E$153,"E08")=0,COUNTIFS('30_必須評価セット'!$B$4:$B$153,T7,'30_必須評価セット'!$C$4:$C$153,U7,'30_必須評価セット'!$E$4:$E$153,"E09")=0,COUNTIFS('30_必須評価セット'!$B$4:$B$153,T7,'30_必須評価セット'!$C$4:$C$153,U7,'30_必須評価セット'!$E$4:$E$153,"E10")=0,COUNTIFS('30_必須評価セット'!$B$4:$B$153,T7,'30_必須評価セット'!$C$4:$C$153,U7,'30_必須評価セット'!$E$4:$E$153,"E11")=0,COUNTIFS('30_必須評価セット'!$B$4:$B$153,T7,'30_必須評価セット'!$C$4:$C$153,U7,'30_必須評価セット'!$E$4:$E$153,"E12")=0,COUNTIFS('30_必須評価セット'!$B$4:$B$153,T7,'30_必須評価セット'!$C$4:$C$153,U7,'30_必須評価セット'!$E$4:$E$153,"E13")=0,COUNTIFS('30_必須評価セット'!$B$4:$B$153,T7,'30_必須評価セット'!$C$4:$C$153,U7,'30_必須評価セット'!$E$4:$E$153,"E14")=0,COUNTIFS('30_必須評価セット'!$B$4:$B$153,T7,'30_必須評価セット'!$C$4:$C$153,U7,'30_必須評価セット'!$E$4:$E$153,"E15")=0,COUNTIFS('30_必須評価セット'!$B$4:$B$153,T7,'30_必須評価セット'!$C$4:$C$153,U7,'30_必須評価セット'!$E$4:$E$153,"E16")=0,COUNTIFS('30_必須評価セット'!$B$4:$B$153,T7,'30_必須評価セット'!$C$4:$C$153,U7,'30_必須評価セット'!$E$4:$E$153,"E17")=0,COUNTIFS('30_必須評価セット'!$B$4:$B$153,T7,'30_必須評価セット'!$C$4:$C$153,U7,'30_必須評価セット'!$E$4:$E$153,"E18")=0)),"必須分類・集合不足",IF(OR(AND('03_AIリスクTier・適用判定'!$B$27="使用",OR('17_ロードマップ・案件実行管理'!$AA$86&lt;&gt;1,NOT(AND(COUNTIFS('30_必須評価セット'!$B$4:$B$153,T7,'30_必須評価セット'!$C$4:$C$153,U7,'30_必須評価セット'!$E$4:$E$153,"E03",'30_必須評価セット'!$F$4:$F$153,"必須")&gt;0,COUNTIFS('30_必須評価セット'!$B$4:$B$153,T7,'30_必須評価セット'!$C$4:$C$153,U7,'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7,'30_必須評価セット'!$C$4:$C$153,U7,'30_必須評価セット'!$E$4:$E$153,"E05",'30_必須評価セット'!$F$4:$F$153,"必須")&gt;0)))),AND('03_AIリスクTier・適用判定'!$B$28="不使用",'17_ロードマップ・案件実行管理'!$W$87&lt;&gt;"除外記録済")),"機能別評価・対象外未完",IF(COUNTIFS('30_必須評価セット'!$B$4:$B$153,T7,'30_必須評価セット'!$C$4:$C$153,U7)&lt;&gt;SUMIFS('30_必須評価セット'!$N$4:$N$153,'30_必須評価セット'!$B$4:$B$153,T7,'30_必須評価セット'!$C$4:$C$153,U7),"必須評価セット未充足","必須評価セット充足"))))))</f>
        <v>RAG・Agent適用未確定</v>
      </c>
      <c r="AC7" s="28" t="str">
        <f>IF(F7="","",IF(OR(AG7="",AG7="未判定"),"条件有無未判定",IF(AND(AG7="なし",OR(L7="条件付承認",COUNTIF('31_条件・有効性'!$B$4:$B$83,F7)&gt;0)),"条件有無不一致",IF(AND(AG7="条件あり",COUNTIF('31_条件・有効性'!$B$4:$B$83,F7)=0),"Condition未登録",IF(AND(AG7="条件あり",COUNTIF('31_条件・有効性'!$B$4:$B$83,F7)&lt;&gt;(COUNTIFS('31_条件・有効性'!$B$4:$B$83,F7,'31_条件・有効性'!$Q$4:$Q$83,"解消確認済")+COUNTIFS('31_条件・有効性'!$B$4:$B$83,F7,'31_条件・有効性'!$Q$4:$Q$83,"期限内・制約継続"))),"条件失効・定義不備",IF(AND(AG7&lt;&gt;"なし",AG7&lt;&gt;"条件あり"),"条件有無不正","条件整合"))))))</f>
        <v/>
      </c>
      <c r="AD7" s="28" t="str">
        <f t="shared" si="0"/>
        <v>未承認</v>
      </c>
      <c r="AE7" s="29"/>
      <c r="AF7" s="29"/>
      <c r="AG7" s="29" t="s">
        <v>1598</v>
      </c>
    </row>
    <row r="8" spans="1:33" ht="78" customHeight="1" x14ac:dyDescent="0.2">
      <c r="A8" s="2" t="s">
        <v>204</v>
      </c>
      <c r="B8" s="28" t="str">
        <f>IF(A8="","",IF(COUNTIF('32_定義マスター'!$A$4:$A$9,A8)&lt;&gt;1,"参照ID不正",IF(INDEX('32_定義マスター'!$B$4:$B$9,MATCH(A8,'32_定義マスター'!$A$4:$A$9,0))="","",INDEX('32_定義マスター'!$B$4:$B$9,MATCH(A8,'32_定義マスター'!$A$4:$A$9,0)))))</f>
        <v>Scale/Continue/Pivot/Stop</v>
      </c>
      <c r="C8" s="28" t="str">
        <f>IF(A8="","",IF(COUNTIF('32_定義マスター'!$A$4:$A$9,A8)&lt;&gt;1,"参照ID不正",IF(INDEX('32_定義マスター'!$C$4:$C$9,MATCH(A8,'32_定義マスター'!$A$4:$A$9,0))="","",INDEX('32_定義マスター'!$C$4:$C$9,MATCH(A8,'32_定義マスター'!$A$4:$A$9,0)))))</f>
        <v>B5-21</v>
      </c>
      <c r="D8" s="28" t="str">
        <f>IF(A8="","",IF(COUNTIF('32_定義マスター'!$A$4:$A$9,A8)&lt;&gt;1,"参照ID不正",IF(INDEX('32_定義マスター'!$D$4:$D$9,MATCH(A8,'32_定義マスター'!$A$4:$A$9,0))="","",INDEX('32_定義マスター'!$D$4:$D$9,MATCH(A8,'32_定義マスター'!$A$4:$A$9,0)))))</f>
        <v>R01</v>
      </c>
      <c r="E8" s="28" t="str">
        <f>IF(A8="","",IF(COUNTIF('32_定義マスター'!$A$4:$A$9,A8)&lt;&gt;1,"参照ID不正",IF(INDEX('32_定義マスター'!$E$4:$E$9,MATCH(A8,'32_定義マスター'!$A$4:$A$9,0))="","",INDEX('32_定義マスター'!$E$4:$E$9,MATCH(A8,'32_定義マスター'!$A$4:$A$9,0)))))</f>
        <v>実価値/継続/採算/危害/支援能力/次投資・期限・停止条件</v>
      </c>
      <c r="F8" s="6"/>
      <c r="G8" s="6"/>
      <c r="H8" s="6"/>
      <c r="I8" s="6" t="s">
        <v>1598</v>
      </c>
      <c r="J8" s="6" t="s">
        <v>1598</v>
      </c>
      <c r="K8" s="6"/>
      <c r="L8" s="6" t="s">
        <v>4894</v>
      </c>
      <c r="M8" s="6"/>
      <c r="N8" s="5"/>
      <c r="O8" s="6"/>
      <c r="P8" s="5"/>
      <c r="Q8" s="6"/>
      <c r="R8" s="6"/>
      <c r="S8" s="28" t="str">
        <f>IF(A8="","",IF(COUNTIF('32_定義マスター'!$A$4:$A$9,A8)&lt;&gt;1,"Gate ID不正",IF(OR(L8="",L8="未審査"),"未承認",IF(OR(OR(F8="",G8="",H8="",I8="",J8="",K8="",O8="",AE8="",AF8=""),NOT(ISNUMBER(P8))),"判断証拠不足",IF(COUNTIF($F$4:$F$83,F8)&lt;&gt;1,"判断Run ID重複",IF(OR(AND(P8&lt;&gt;"",OR(NOT(ISNUMBER(P8)),IFERROR(P8&lt;1,TRUE),IFERROR(INT(P8)&gt;INT(AsOfDate),TRUE)))),"判断日不正",IF(AND(A8="G3",OR(T8="",U8="",V8="",W8="",X8="")),"公開対象・集合不足","判断記録あり・内容審査別")))))))</f>
        <v>未承認</v>
      </c>
      <c r="T8" s="29"/>
      <c r="U8" s="29"/>
      <c r="V8" s="29" t="s">
        <v>1598</v>
      </c>
      <c r="W8" s="29"/>
      <c r="X8" s="29"/>
      <c r="Y8" s="32"/>
      <c r="Z8" s="29"/>
      <c r="AA8" s="28" t="str">
        <f>IF(A8="","",IF(NOT(IFERROR(ISNUMBER(SEARCH("|"&amp;L8&amp;"|",IF(COUNTIF('32_定義マスター'!$A$4:$A$9,A8)&lt;&gt;1,"参照ID不正",IF(INDEX('32_定義マスター'!$F$4:$F$9,MATCH(A8,'32_定義マスター'!$A$4:$A$9,0))="","",INDEX('32_定義マスター'!$F$4:$F$9,MATCH(A8,'32_定義マスター'!$A$4:$A$9,0)))))),FALSE)),"Gate判断不適合",IF(AND(OR(L8="承認",L8="条件付承認",L8="Scale",L8="Continue",L8="廃止完了承認"),OR(I8="不合格",J8="不合格",V8="不合格",I8="FAIL",J8="FAIL",V8="FAIL")),"停止判定と承認が矛盾",IF(AND(OR(L8="承認",L8="条件付承認",L8="Scale",L8="Continue",L8="廃止完了承認"),OR(I8="未判定",J8="未判定",AND(A8="G3",V8="未判定"))),"必要判定未確定",IF(AND(OR(L8="承認",L8="条件付承認",L8="Scale",L8="Continue",L8="廃止完了承認"),OR(AND(I8&lt;&gt;"合格",I8&lt;&gt;"対象外承認"),AND(J8&lt;&gt;"合格",J8&lt;&gt;"対象外承認"),AND(A8="G3",V8&lt;&gt;"合格",V8&lt;&gt;"対象外承認"))),"判定値不正",IF(AND(A8="G4",L8="Scale",OR(COUNTIF('25_事業仮説・実験・GTM'!$Q$4:$Q$15,F8)=0,COUNTIFS('25_事業仮説・実験・GTM'!$Q$4:$Q$15,F8,'25_事業仮説・実験・GTM'!$AF$4:$AF$15,"&lt;&gt;充足")&gt;0,COUNTIFS('25_事業仮説・実験・GTM'!$Q$4:$Q$15,F8,'25_事業仮説・実験・GTM'!$AD$4:$AD$15,"&lt;&gt;拡大可能")&gt;0)),"拡大の行動証拠不足","判定整合"))))))</f>
        <v>判定整合</v>
      </c>
      <c r="AB8" s="28" t="str">
        <f>IF(A8="","",IF(A8&lt;&gt;"G3",IF(A8="G0",IF(OR(COUNTIF('25_事業仮説・実験・GTM'!$Q$4:$Q$15,F8)=0,COUNTIFS('25_事業仮説・実験・GTM'!$Q$4:$Q$15,F8,'25_事業仮説・実験・GTM'!$AE$4:$AE$15,"&lt;&gt;仮説記録あり")&gt;0),"仮説・持越し確認不足","G0仮説記録接続"),IF(A8="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8="",U8="",W8="",X8="",OR(COUNTIFS('30_必須評価セット'!$B$4:$B$153,T8,'30_必須評価セット'!$C$4:$C$153,U8,'30_必須評価セット'!$E$4:$E$153,"E01")=0,COUNTIFS('30_必須評価セット'!$B$4:$B$153,T8,'30_必須評価セット'!$C$4:$C$153,U8,'30_必須評価セット'!$E$4:$E$153,"E02")=0,COUNTIFS('30_必須評価セット'!$B$4:$B$153,T8,'30_必須評価セット'!$C$4:$C$153,U8,'30_必須評価セット'!$E$4:$E$153,"E03")=0,COUNTIFS('30_必須評価セット'!$B$4:$B$153,T8,'30_必須評価セット'!$C$4:$C$153,U8,'30_必須評価セット'!$E$4:$E$153,"E04")=0,COUNTIFS('30_必須評価セット'!$B$4:$B$153,T8,'30_必須評価セット'!$C$4:$C$153,U8,'30_必須評価セット'!$E$4:$E$153,"E05")=0,COUNTIFS('30_必須評価セット'!$B$4:$B$153,T8,'30_必須評価セット'!$C$4:$C$153,U8,'30_必須評価セット'!$E$4:$E$153,"E06")=0,COUNTIFS('30_必須評価セット'!$B$4:$B$153,T8,'30_必須評価セット'!$C$4:$C$153,U8,'30_必須評価セット'!$E$4:$E$153,"E07")=0,COUNTIFS('30_必須評価セット'!$B$4:$B$153,T8,'30_必須評価セット'!$C$4:$C$153,U8,'30_必須評価セット'!$E$4:$E$153,"E08")=0,COUNTIFS('30_必須評価セット'!$B$4:$B$153,T8,'30_必須評価セット'!$C$4:$C$153,U8,'30_必須評価セット'!$E$4:$E$153,"E09")=0,COUNTIFS('30_必須評価セット'!$B$4:$B$153,T8,'30_必須評価セット'!$C$4:$C$153,U8,'30_必須評価セット'!$E$4:$E$153,"E10")=0,COUNTIFS('30_必須評価セット'!$B$4:$B$153,T8,'30_必須評価セット'!$C$4:$C$153,U8,'30_必須評価セット'!$E$4:$E$153,"E11")=0,COUNTIFS('30_必須評価セット'!$B$4:$B$153,T8,'30_必須評価セット'!$C$4:$C$153,U8,'30_必須評価セット'!$E$4:$E$153,"E12")=0,COUNTIFS('30_必須評価セット'!$B$4:$B$153,T8,'30_必須評価セット'!$C$4:$C$153,U8,'30_必須評価セット'!$E$4:$E$153,"E13")=0,COUNTIFS('30_必須評価セット'!$B$4:$B$153,T8,'30_必須評価セット'!$C$4:$C$153,U8,'30_必須評価セット'!$E$4:$E$153,"E14")=0,COUNTIFS('30_必須評価セット'!$B$4:$B$153,T8,'30_必須評価セット'!$C$4:$C$153,U8,'30_必須評価セット'!$E$4:$E$153,"E15")=0,COUNTIFS('30_必須評価セット'!$B$4:$B$153,T8,'30_必須評価セット'!$C$4:$C$153,U8,'30_必須評価セット'!$E$4:$E$153,"E16")=0,COUNTIFS('30_必須評価セット'!$B$4:$B$153,T8,'30_必須評価セット'!$C$4:$C$153,U8,'30_必須評価セット'!$E$4:$E$153,"E17")=0,COUNTIFS('30_必須評価セット'!$B$4:$B$153,T8,'30_必須評価セット'!$C$4:$C$153,U8,'30_必須評価セット'!$E$4:$E$153,"E18")=0)),"必須分類・集合不足",IF(OR(AND('03_AIリスクTier・適用判定'!$B$27="使用",OR('17_ロードマップ・案件実行管理'!$AA$86&lt;&gt;1,NOT(AND(COUNTIFS('30_必須評価セット'!$B$4:$B$153,T8,'30_必須評価セット'!$C$4:$C$153,U8,'30_必須評価セット'!$E$4:$E$153,"E03",'30_必須評価セット'!$F$4:$F$153,"必須")&gt;0,COUNTIFS('30_必須評価セット'!$B$4:$B$153,T8,'30_必須評価セット'!$C$4:$C$153,U8,'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8,'30_必須評価セット'!$C$4:$C$153,U8,'30_必須評価セット'!$E$4:$E$153,"E05",'30_必須評価セット'!$F$4:$F$153,"必須")&gt;0)))),AND('03_AIリスクTier・適用判定'!$B$28="不使用",'17_ロードマップ・案件実行管理'!$W$87&lt;&gt;"除外記録済")),"機能別評価・対象外未完",IF(COUNTIFS('30_必須評価セット'!$B$4:$B$153,T8,'30_必須評価セット'!$C$4:$C$153,U8)&lt;&gt;SUMIFS('30_必須評価セット'!$N$4:$N$153,'30_必須評価セット'!$B$4:$B$153,T8,'30_必須評価セット'!$C$4:$C$153,U8),"必須評価セット未充足","必須評価セット充足"))))))</f>
        <v>対象Gate証拠を正本審査</v>
      </c>
      <c r="AC8" s="28" t="str">
        <f>IF(F8="","",IF(OR(AG8="",AG8="未判定"),"条件有無未判定",IF(AND(AG8="なし",OR(L8="条件付承認",COUNTIF('31_条件・有効性'!$B$4:$B$83,F8)&gt;0)),"条件有無不一致",IF(AND(AG8="条件あり",COUNTIF('31_条件・有効性'!$B$4:$B$83,F8)=0),"Condition未登録",IF(AND(AG8="条件あり",COUNTIF('31_条件・有効性'!$B$4:$B$83,F8)&lt;&gt;(COUNTIFS('31_条件・有効性'!$B$4:$B$83,F8,'31_条件・有効性'!$Q$4:$Q$83,"解消確認済")+COUNTIFS('31_条件・有効性'!$B$4:$B$83,F8,'31_条件・有効性'!$Q$4:$Q$83,"期限内・制約継続"))),"条件失効・定義不備",IF(AND(AG8&lt;&gt;"なし",AG8&lt;&gt;"条件あり"),"条件有無不正","条件整合"))))))</f>
        <v/>
      </c>
      <c r="AD8" s="28" t="str">
        <f t="shared" si="0"/>
        <v>未承認</v>
      </c>
      <c r="AE8" s="29"/>
      <c r="AF8" s="29"/>
      <c r="AG8" s="29" t="s">
        <v>1598</v>
      </c>
    </row>
    <row r="9" spans="1:33" ht="78" customHeight="1" x14ac:dyDescent="0.2">
      <c r="A9" s="4" t="s">
        <v>211</v>
      </c>
      <c r="B9" s="28" t="str">
        <f>IF(A9="","",IF(COUNTIF('32_定義マスター'!$A$4:$A$9,A9)&lt;&gt;1,"参照ID不正",IF(INDEX('32_定義マスター'!$B$4:$B$9,MATCH(A9,'32_定義マスター'!$A$4:$A$9,0))="","",INDEX('32_定義マスター'!$B$4:$B$9,MATCH(A9,'32_定義マスター'!$A$4:$A$9,0)))))</f>
        <v>廃止完了</v>
      </c>
      <c r="C9" s="28" t="str">
        <f>IF(A9="","",IF(COUNTIF('32_定義マスター'!$A$4:$A$9,A9)&lt;&gt;1,"参照ID不正",IF(INDEX('32_定義マスター'!$C$4:$C$9,MATCH(A9,'32_定義マスター'!$A$4:$A$9,0))="","",INDEX('32_定義マスター'!$C$4:$C$9,MATCH(A9,'32_定義マスター'!$A$4:$A$9,0)))))</f>
        <v>B6-10</v>
      </c>
      <c r="D9" s="28" t="str">
        <f>IF(A9="","",IF(COUNTIF('32_定義マスター'!$A$4:$A$9,A9)&lt;&gt;1,"参照ID不正",IF(INDEX('32_定義マスター'!$D$4:$D$9,MATCH(A9,'32_定義マスター'!$A$4:$A$9,0))="","",INDEX('32_定義マスター'!$D$4:$D$9,MATCH(A9,'32_定義マスター'!$A$4:$A$9,0)))))</f>
        <v>R01</v>
      </c>
      <c r="E9" s="28" t="str">
        <f>IF(A9="","",IF(COUNTIF('32_定義マスター'!$A$4:$A$9,A9)&lt;&gt;1,"参照ID不正",IF(INDEX('32_定義マスター'!$E$4:$E$9,MATCH(A9,'32_定義マスター'!$A$4:$A$9,0))="","",INDEX('32_定義マスター'!$E$4:$E$9,MATCH(A9,'32_定義マスター'!$A$4:$A$9,0)))))</f>
        <v>削除/保全/移行/権限失効/依存解約/請求/残存責務とOwner</v>
      </c>
      <c r="F9" s="6"/>
      <c r="G9" s="6"/>
      <c r="H9" s="6"/>
      <c r="I9" s="6" t="s">
        <v>1598</v>
      </c>
      <c r="J9" s="6" t="s">
        <v>1598</v>
      </c>
      <c r="K9" s="6"/>
      <c r="L9" s="6" t="s">
        <v>4894</v>
      </c>
      <c r="M9" s="6"/>
      <c r="N9" s="5"/>
      <c r="O9" s="6"/>
      <c r="P9" s="5"/>
      <c r="Q9" s="6"/>
      <c r="R9" s="6"/>
      <c r="S9" s="28" t="str">
        <f>IF(A9="","",IF(COUNTIF('32_定義マスター'!$A$4:$A$9,A9)&lt;&gt;1,"Gate ID不正",IF(OR(L9="",L9="未審査"),"未承認",IF(OR(OR(F9="",G9="",H9="",I9="",J9="",K9="",O9="",AE9="",AF9=""),NOT(ISNUMBER(P9))),"判断証拠不足",IF(COUNTIF($F$4:$F$83,F9)&lt;&gt;1,"判断Run ID重複",IF(OR(AND(P9&lt;&gt;"",OR(NOT(ISNUMBER(P9)),IFERROR(P9&lt;1,TRUE),IFERROR(INT(P9)&gt;INT(AsOfDate),TRUE)))),"判断日不正",IF(AND(A9="G3",OR(T9="",U9="",V9="",W9="",X9="")),"公開対象・集合不足","判断記録あり・内容審査別")))))))</f>
        <v>未承認</v>
      </c>
      <c r="T9" s="29"/>
      <c r="U9" s="29"/>
      <c r="V9" s="29" t="s">
        <v>1598</v>
      </c>
      <c r="W9" s="29"/>
      <c r="X9" s="29"/>
      <c r="Y9" s="32"/>
      <c r="Z9" s="29"/>
      <c r="AA9" s="28" t="str">
        <f>IF(A9="","",IF(NOT(IFERROR(ISNUMBER(SEARCH("|"&amp;L9&amp;"|",IF(COUNTIF('32_定義マスター'!$A$4:$A$9,A9)&lt;&gt;1,"参照ID不正",IF(INDEX('32_定義マスター'!$F$4:$F$9,MATCH(A9,'32_定義マスター'!$A$4:$A$9,0))="","",INDEX('32_定義マスター'!$F$4:$F$9,MATCH(A9,'32_定義マスター'!$A$4:$A$9,0)))))),FALSE)),"Gate判断不適合",IF(AND(OR(L9="承認",L9="条件付承認",L9="Scale",L9="Continue",L9="廃止完了承認"),OR(I9="不合格",J9="不合格",V9="不合格",I9="FAIL",J9="FAIL",V9="FAIL")),"停止判定と承認が矛盾",IF(AND(OR(L9="承認",L9="条件付承認",L9="Scale",L9="Continue",L9="廃止完了承認"),OR(I9="未判定",J9="未判定",AND(A9="G3",V9="未判定"))),"必要判定未確定",IF(AND(OR(L9="承認",L9="条件付承認",L9="Scale",L9="Continue",L9="廃止完了承認"),OR(AND(I9&lt;&gt;"合格",I9&lt;&gt;"対象外承認"),AND(J9&lt;&gt;"合格",J9&lt;&gt;"対象外承認"),AND(A9="G3",V9&lt;&gt;"合格",V9&lt;&gt;"対象外承認"))),"判定値不正",IF(AND(A9="G4",L9="Scale",OR(COUNTIF('25_事業仮説・実験・GTM'!$Q$4:$Q$15,F9)=0,COUNTIFS('25_事業仮説・実験・GTM'!$Q$4:$Q$15,F9,'25_事業仮説・実験・GTM'!$AF$4:$AF$15,"&lt;&gt;充足")&gt;0,COUNTIFS('25_事業仮説・実験・GTM'!$Q$4:$Q$15,F9,'25_事業仮説・実験・GTM'!$AD$4:$AD$15,"&lt;&gt;拡大可能")&gt;0)),"拡大の行動証拠不足","判定整合"))))))</f>
        <v>判定整合</v>
      </c>
      <c r="AB9" s="28" t="str">
        <f>IF(A9="","",IF(A9&lt;&gt;"G3",IF(A9="G0",IF(OR(COUNTIF('25_事業仮説・実験・GTM'!$Q$4:$Q$15,F9)=0,COUNTIFS('25_事業仮説・実験・GTM'!$Q$4:$Q$15,F9,'25_事業仮説・実験・GTM'!$AE$4:$AE$15,"&lt;&gt;仮説記録あり")&gt;0),"仮説・持越し確認不足","G0仮説記録接続"),IF(A9="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9="",U9="",W9="",X9="",OR(COUNTIFS('30_必須評価セット'!$B$4:$B$153,T9,'30_必須評価セット'!$C$4:$C$153,U9,'30_必須評価セット'!$E$4:$E$153,"E01")=0,COUNTIFS('30_必須評価セット'!$B$4:$B$153,T9,'30_必須評価セット'!$C$4:$C$153,U9,'30_必須評価セット'!$E$4:$E$153,"E02")=0,COUNTIFS('30_必須評価セット'!$B$4:$B$153,T9,'30_必須評価セット'!$C$4:$C$153,U9,'30_必須評価セット'!$E$4:$E$153,"E03")=0,COUNTIFS('30_必須評価セット'!$B$4:$B$153,T9,'30_必須評価セット'!$C$4:$C$153,U9,'30_必須評価セット'!$E$4:$E$153,"E04")=0,COUNTIFS('30_必須評価セット'!$B$4:$B$153,T9,'30_必須評価セット'!$C$4:$C$153,U9,'30_必須評価セット'!$E$4:$E$153,"E05")=0,COUNTIFS('30_必須評価セット'!$B$4:$B$153,T9,'30_必須評価セット'!$C$4:$C$153,U9,'30_必須評価セット'!$E$4:$E$153,"E06")=0,COUNTIFS('30_必須評価セット'!$B$4:$B$153,T9,'30_必須評価セット'!$C$4:$C$153,U9,'30_必須評価セット'!$E$4:$E$153,"E07")=0,COUNTIFS('30_必須評価セット'!$B$4:$B$153,T9,'30_必須評価セット'!$C$4:$C$153,U9,'30_必須評価セット'!$E$4:$E$153,"E08")=0,COUNTIFS('30_必須評価セット'!$B$4:$B$153,T9,'30_必須評価セット'!$C$4:$C$153,U9,'30_必須評価セット'!$E$4:$E$153,"E09")=0,COUNTIFS('30_必須評価セット'!$B$4:$B$153,T9,'30_必須評価セット'!$C$4:$C$153,U9,'30_必須評価セット'!$E$4:$E$153,"E10")=0,COUNTIFS('30_必須評価セット'!$B$4:$B$153,T9,'30_必須評価セット'!$C$4:$C$153,U9,'30_必須評価セット'!$E$4:$E$153,"E11")=0,COUNTIFS('30_必須評価セット'!$B$4:$B$153,T9,'30_必須評価セット'!$C$4:$C$153,U9,'30_必須評価セット'!$E$4:$E$153,"E12")=0,COUNTIFS('30_必須評価セット'!$B$4:$B$153,T9,'30_必須評価セット'!$C$4:$C$153,U9,'30_必須評価セット'!$E$4:$E$153,"E13")=0,COUNTIFS('30_必須評価セット'!$B$4:$B$153,T9,'30_必須評価セット'!$C$4:$C$153,U9,'30_必須評価セット'!$E$4:$E$153,"E14")=0,COUNTIFS('30_必須評価セット'!$B$4:$B$153,T9,'30_必須評価セット'!$C$4:$C$153,U9,'30_必須評価セット'!$E$4:$E$153,"E15")=0,COUNTIFS('30_必須評価セット'!$B$4:$B$153,T9,'30_必須評価セット'!$C$4:$C$153,U9,'30_必須評価セット'!$E$4:$E$153,"E16")=0,COUNTIFS('30_必須評価セット'!$B$4:$B$153,T9,'30_必須評価セット'!$C$4:$C$153,U9,'30_必須評価セット'!$E$4:$E$153,"E17")=0,COUNTIFS('30_必須評価セット'!$B$4:$B$153,T9,'30_必須評価セット'!$C$4:$C$153,U9,'30_必須評価セット'!$E$4:$E$153,"E18")=0)),"必須分類・集合不足",IF(OR(AND('03_AIリスクTier・適用判定'!$B$27="使用",OR('17_ロードマップ・案件実行管理'!$AA$86&lt;&gt;1,NOT(AND(COUNTIFS('30_必須評価セット'!$B$4:$B$153,T9,'30_必須評価セット'!$C$4:$C$153,U9,'30_必須評価セット'!$E$4:$E$153,"E03",'30_必須評価セット'!$F$4:$F$153,"必須")&gt;0,COUNTIFS('30_必須評価セット'!$B$4:$B$153,T9,'30_必須評価セット'!$C$4:$C$153,U9,'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9,'30_必須評価セット'!$C$4:$C$153,U9,'30_必須評価セット'!$E$4:$E$153,"E05",'30_必須評価セット'!$F$4:$F$153,"必須")&gt;0)))),AND('03_AIリスクTier・適用判定'!$B$28="不使用",'17_ロードマップ・案件実行管理'!$W$87&lt;&gt;"除外記録済")),"機能別評価・対象外未完",IF(COUNTIFS('30_必須評価セット'!$B$4:$B$153,T9,'30_必須評価セット'!$C$4:$C$153,U9)&lt;&gt;SUMIFS('30_必須評価セット'!$N$4:$N$153,'30_必須評価セット'!$B$4:$B$153,T9,'30_必須評価セット'!$C$4:$C$153,U9),"必須評価セット未充足","必須評価セット充足"))))))</f>
        <v>終了残件あり・資産台帳確認</v>
      </c>
      <c r="AC9" s="28" t="str">
        <f>IF(F9="","",IF(OR(AG9="",AG9="未判定"),"条件有無未判定",IF(AND(AG9="なし",OR(L9="条件付承認",COUNTIF('31_条件・有効性'!$B$4:$B$83,F9)&gt;0)),"条件有無不一致",IF(AND(AG9="条件あり",COUNTIF('31_条件・有効性'!$B$4:$B$83,F9)=0),"Condition未登録",IF(AND(AG9="条件あり",COUNTIF('31_条件・有効性'!$B$4:$B$83,F9)&lt;&gt;(COUNTIFS('31_条件・有効性'!$B$4:$B$83,F9,'31_条件・有効性'!$Q$4:$Q$83,"解消確認済")+COUNTIFS('31_条件・有効性'!$B$4:$B$83,F9,'31_条件・有効性'!$Q$4:$Q$83,"期限内・制約継続"))),"条件失効・定義不備",IF(AND(AG9&lt;&gt;"なし",AG9&lt;&gt;"条件あり"),"条件有無不正","条件整合"))))))</f>
        <v/>
      </c>
      <c r="AD9" s="28" t="str">
        <f t="shared" si="0"/>
        <v>未承認</v>
      </c>
      <c r="AE9" s="29"/>
      <c r="AF9" s="29"/>
      <c r="AG9" s="29" t="s">
        <v>1598</v>
      </c>
    </row>
    <row r="10" spans="1:33" ht="78" customHeight="1" x14ac:dyDescent="0.2">
      <c r="A10" s="2"/>
      <c r="B10" s="28" t="str">
        <f>IF(A10="","",IF(COUNTIF('32_定義マスター'!$A$4:$A$9,A10)&lt;&gt;1,"参照ID不正",IF(INDEX('32_定義マスター'!$B$4:$B$9,MATCH(A10,'32_定義マスター'!$A$4:$A$9,0))="","",INDEX('32_定義マスター'!$B$4:$B$9,MATCH(A10,'32_定義マスター'!$A$4:$A$9,0)))))</f>
        <v/>
      </c>
      <c r="C10" s="28" t="str">
        <f>IF(A10="","",IF(COUNTIF('32_定義マスター'!$A$4:$A$9,A10)&lt;&gt;1,"参照ID不正",IF(INDEX('32_定義マスター'!$C$4:$C$9,MATCH(A10,'32_定義マスター'!$A$4:$A$9,0))="","",INDEX('32_定義マスター'!$C$4:$C$9,MATCH(A10,'32_定義マスター'!$A$4:$A$9,0)))))</f>
        <v/>
      </c>
      <c r="D10" s="28" t="str">
        <f>IF(A10="","",IF(COUNTIF('32_定義マスター'!$A$4:$A$9,A10)&lt;&gt;1,"参照ID不正",IF(INDEX('32_定義マスター'!$D$4:$D$9,MATCH(A10,'32_定義マスター'!$A$4:$A$9,0))="","",INDEX('32_定義マスター'!$D$4:$D$9,MATCH(A10,'32_定義マスター'!$A$4:$A$9,0)))))</f>
        <v/>
      </c>
      <c r="E10" s="28" t="str">
        <f>IF(A10="","",IF(COUNTIF('32_定義マスター'!$A$4:$A$9,A10)&lt;&gt;1,"参照ID不正",IF(INDEX('32_定義マスター'!$E$4:$E$9,MATCH(A10,'32_定義マスター'!$A$4:$A$9,0))="","",INDEX('32_定義マスター'!$E$4:$E$9,MATCH(A10,'32_定義マスター'!$A$4:$A$9,0)))))</f>
        <v/>
      </c>
      <c r="F10" s="6"/>
      <c r="G10" s="6"/>
      <c r="H10" s="6"/>
      <c r="I10" s="6"/>
      <c r="J10" s="6"/>
      <c r="K10" s="6"/>
      <c r="L10" s="6"/>
      <c r="M10" s="6"/>
      <c r="N10" s="5"/>
      <c r="O10" s="6"/>
      <c r="P10" s="5"/>
      <c r="Q10" s="6"/>
      <c r="R10" s="6"/>
      <c r="S10" s="28" t="str">
        <f>IF(A10="","",IF(COUNTIF('32_定義マスター'!$A$4:$A$9,A10)&lt;&gt;1,"Gate ID不正",IF(OR(L10="",L10="未審査"),"未承認",IF(OR(OR(F10="",G10="",H10="",I10="",J10="",K10="",O10="",AE10="",AF10=""),NOT(ISNUMBER(P10))),"判断証拠不足",IF(COUNTIF($F$4:$F$83,F10)&lt;&gt;1,"判断Run ID重複",IF(OR(AND(P10&lt;&gt;"",OR(NOT(ISNUMBER(P10)),IFERROR(P10&lt;1,TRUE),IFERROR(INT(P10)&gt;INT(AsOfDate),TRUE)))),"判断日不正",IF(AND(A10="G3",OR(T10="",U10="",V10="",W10="",X10="")),"公開対象・集合不足","判断記録あり・内容審査別")))))))</f>
        <v/>
      </c>
      <c r="T10" s="29"/>
      <c r="U10" s="29"/>
      <c r="V10" s="29"/>
      <c r="W10" s="29"/>
      <c r="X10" s="29"/>
      <c r="Y10" s="32"/>
      <c r="Z10" s="29"/>
      <c r="AA10" s="28" t="str">
        <f>IF(A10="","",IF(NOT(IFERROR(ISNUMBER(SEARCH("|"&amp;L10&amp;"|",IF(COUNTIF('32_定義マスター'!$A$4:$A$9,A10)&lt;&gt;1,"参照ID不正",IF(INDEX('32_定義マスター'!$F$4:$F$9,MATCH(A10,'32_定義マスター'!$A$4:$A$9,0))="","",INDEX('32_定義マスター'!$F$4:$F$9,MATCH(A10,'32_定義マスター'!$A$4:$A$9,0)))))),FALSE)),"Gate判断不適合",IF(AND(OR(L10="承認",L10="条件付承認",L10="Scale",L10="Continue",L10="廃止完了承認"),OR(I10="不合格",J10="不合格",V10="不合格",I10="FAIL",J10="FAIL",V10="FAIL")),"停止判定と承認が矛盾",IF(AND(OR(L10="承認",L10="条件付承認",L10="Scale",L10="Continue",L10="廃止完了承認"),OR(I10="未判定",J10="未判定",AND(A10="G3",V10="未判定"))),"必要判定未確定",IF(AND(OR(L10="承認",L10="条件付承認",L10="Scale",L10="Continue",L10="廃止完了承認"),OR(AND(I10&lt;&gt;"合格",I10&lt;&gt;"対象外承認"),AND(J10&lt;&gt;"合格",J10&lt;&gt;"対象外承認"),AND(A10="G3",V10&lt;&gt;"合格",V10&lt;&gt;"対象外承認"))),"判定値不正",IF(AND(A10="G4",L10="Scale",OR(COUNTIF('25_事業仮説・実験・GTM'!$Q$4:$Q$15,F10)=0,COUNTIFS('25_事業仮説・実験・GTM'!$Q$4:$Q$15,F10,'25_事業仮説・実験・GTM'!$AF$4:$AF$15,"&lt;&gt;充足")&gt;0,COUNTIFS('25_事業仮説・実験・GTM'!$Q$4:$Q$15,F10,'25_事業仮説・実験・GTM'!$AD$4:$AD$15,"&lt;&gt;拡大可能")&gt;0)),"拡大の行動証拠不足","判定整合"))))))</f>
        <v/>
      </c>
      <c r="AB10" s="28" t="str">
        <f>IF(A10="","",IF(A10&lt;&gt;"G3",IF(A10="G0",IF(OR(COUNTIF('25_事業仮説・実験・GTM'!$Q$4:$Q$15,F10)=0,COUNTIFS('25_事業仮説・実験・GTM'!$Q$4:$Q$15,F10,'25_事業仮説・実験・GTM'!$AE$4:$AE$15,"&lt;&gt;仮説記録あり")&gt;0),"仮説・持越し確認不足","G0仮説記録接続"),IF(A10="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10="",U10="",W10="",X10="",OR(COUNTIFS('30_必須評価セット'!$B$4:$B$153,T10,'30_必須評価セット'!$C$4:$C$153,U10,'30_必須評価セット'!$E$4:$E$153,"E01")=0,COUNTIFS('30_必須評価セット'!$B$4:$B$153,T10,'30_必須評価セット'!$C$4:$C$153,U10,'30_必須評価セット'!$E$4:$E$153,"E02")=0,COUNTIFS('30_必須評価セット'!$B$4:$B$153,T10,'30_必須評価セット'!$C$4:$C$153,U10,'30_必須評価セット'!$E$4:$E$153,"E03")=0,COUNTIFS('30_必須評価セット'!$B$4:$B$153,T10,'30_必須評価セット'!$C$4:$C$153,U10,'30_必須評価セット'!$E$4:$E$153,"E04")=0,COUNTIFS('30_必須評価セット'!$B$4:$B$153,T10,'30_必須評価セット'!$C$4:$C$153,U10,'30_必須評価セット'!$E$4:$E$153,"E05")=0,COUNTIFS('30_必須評価セット'!$B$4:$B$153,T10,'30_必須評価セット'!$C$4:$C$153,U10,'30_必須評価セット'!$E$4:$E$153,"E06")=0,COUNTIFS('30_必須評価セット'!$B$4:$B$153,T10,'30_必須評価セット'!$C$4:$C$153,U10,'30_必須評価セット'!$E$4:$E$153,"E07")=0,COUNTIFS('30_必須評価セット'!$B$4:$B$153,T10,'30_必須評価セット'!$C$4:$C$153,U10,'30_必須評価セット'!$E$4:$E$153,"E08")=0,COUNTIFS('30_必須評価セット'!$B$4:$B$153,T10,'30_必須評価セット'!$C$4:$C$153,U10,'30_必須評価セット'!$E$4:$E$153,"E09")=0,COUNTIFS('30_必須評価セット'!$B$4:$B$153,T10,'30_必須評価セット'!$C$4:$C$153,U10,'30_必須評価セット'!$E$4:$E$153,"E10")=0,COUNTIFS('30_必須評価セット'!$B$4:$B$153,T10,'30_必須評価セット'!$C$4:$C$153,U10,'30_必須評価セット'!$E$4:$E$153,"E11")=0,COUNTIFS('30_必須評価セット'!$B$4:$B$153,T10,'30_必須評価セット'!$C$4:$C$153,U10,'30_必須評価セット'!$E$4:$E$153,"E12")=0,COUNTIFS('30_必須評価セット'!$B$4:$B$153,T10,'30_必須評価セット'!$C$4:$C$153,U10,'30_必須評価セット'!$E$4:$E$153,"E13")=0,COUNTIFS('30_必須評価セット'!$B$4:$B$153,T10,'30_必須評価セット'!$C$4:$C$153,U10,'30_必須評価セット'!$E$4:$E$153,"E14")=0,COUNTIFS('30_必須評価セット'!$B$4:$B$153,T10,'30_必須評価セット'!$C$4:$C$153,U10,'30_必須評価セット'!$E$4:$E$153,"E15")=0,COUNTIFS('30_必須評価セット'!$B$4:$B$153,T10,'30_必須評価セット'!$C$4:$C$153,U10,'30_必須評価セット'!$E$4:$E$153,"E16")=0,COUNTIFS('30_必須評価セット'!$B$4:$B$153,T10,'30_必須評価セット'!$C$4:$C$153,U10,'30_必須評価セット'!$E$4:$E$153,"E17")=0,COUNTIFS('30_必須評価セット'!$B$4:$B$153,T10,'30_必須評価セット'!$C$4:$C$153,U10,'30_必須評価セット'!$E$4:$E$153,"E18")=0)),"必須分類・集合不足",IF(OR(AND('03_AIリスクTier・適用判定'!$B$27="使用",OR('17_ロードマップ・案件実行管理'!$AA$86&lt;&gt;1,NOT(AND(COUNTIFS('30_必須評価セット'!$B$4:$B$153,T10,'30_必須評価セット'!$C$4:$C$153,U10,'30_必須評価セット'!$E$4:$E$153,"E03",'30_必須評価セット'!$F$4:$F$153,"必須")&gt;0,COUNTIFS('30_必須評価セット'!$B$4:$B$153,T10,'30_必須評価セット'!$C$4:$C$153,U10,'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10,'30_必須評価セット'!$C$4:$C$153,U10,'30_必須評価セット'!$E$4:$E$153,"E05",'30_必須評価セット'!$F$4:$F$153,"必須")&gt;0)))),AND('03_AIリスクTier・適用判定'!$B$28="不使用",'17_ロードマップ・案件実行管理'!$W$87&lt;&gt;"除外記録済")),"機能別評価・対象外未完",IF(COUNTIFS('30_必須評価セット'!$B$4:$B$153,T10,'30_必須評価セット'!$C$4:$C$153,U10)&lt;&gt;SUMIFS('30_必須評価セット'!$N$4:$N$153,'30_必須評価セット'!$B$4:$B$153,T10,'30_必須評価セット'!$C$4:$C$153,U10),"必須評価セット未充足","必須評価セット充足"))))))</f>
        <v/>
      </c>
      <c r="AC10" s="28" t="str">
        <f>IF(F10="","",IF(OR(AG10="",AG10="未判定"),"条件有無未判定",IF(AND(AG10="なし",OR(L10="条件付承認",COUNTIF('31_条件・有効性'!$B$4:$B$83,F10)&gt;0)),"条件有無不一致",IF(AND(AG10="条件あり",COUNTIF('31_条件・有効性'!$B$4:$B$83,F10)=0),"Condition未登録",IF(AND(AG10="条件あり",COUNTIF('31_条件・有効性'!$B$4:$B$83,F10)&lt;&gt;(COUNTIFS('31_条件・有効性'!$B$4:$B$83,F10,'31_条件・有効性'!$Q$4:$Q$83,"解消確認済")+COUNTIFS('31_条件・有効性'!$B$4:$B$83,F10,'31_条件・有効性'!$Q$4:$Q$83,"期限内・制約継続"))),"条件失効・定義不備",IF(AND(AG10&lt;&gt;"なし",AG10&lt;&gt;"条件あり"),"条件有無不正","条件整合"))))))</f>
        <v/>
      </c>
      <c r="AD10" s="28" t="str">
        <f t="shared" si="0"/>
        <v/>
      </c>
      <c r="AE10" s="29"/>
      <c r="AF10" s="29"/>
      <c r="AG10" s="29"/>
    </row>
    <row r="11" spans="1:33" ht="78" customHeight="1" x14ac:dyDescent="0.2">
      <c r="A11" s="4"/>
      <c r="B11" s="28" t="str">
        <f>IF(A11="","",IF(COUNTIF('32_定義マスター'!$A$4:$A$9,A11)&lt;&gt;1,"参照ID不正",IF(INDEX('32_定義マスター'!$B$4:$B$9,MATCH(A11,'32_定義マスター'!$A$4:$A$9,0))="","",INDEX('32_定義マスター'!$B$4:$B$9,MATCH(A11,'32_定義マスター'!$A$4:$A$9,0)))))</f>
        <v/>
      </c>
      <c r="C11" s="28" t="str">
        <f>IF(A11="","",IF(COUNTIF('32_定義マスター'!$A$4:$A$9,A11)&lt;&gt;1,"参照ID不正",IF(INDEX('32_定義マスター'!$C$4:$C$9,MATCH(A11,'32_定義マスター'!$A$4:$A$9,0))="","",INDEX('32_定義マスター'!$C$4:$C$9,MATCH(A11,'32_定義マスター'!$A$4:$A$9,0)))))</f>
        <v/>
      </c>
      <c r="D11" s="28" t="str">
        <f>IF(A11="","",IF(COUNTIF('32_定義マスター'!$A$4:$A$9,A11)&lt;&gt;1,"参照ID不正",IF(INDEX('32_定義マスター'!$D$4:$D$9,MATCH(A11,'32_定義マスター'!$A$4:$A$9,0))="","",INDEX('32_定義マスター'!$D$4:$D$9,MATCH(A11,'32_定義マスター'!$A$4:$A$9,0)))))</f>
        <v/>
      </c>
      <c r="E11" s="28" t="str">
        <f>IF(A11="","",IF(COUNTIF('32_定義マスター'!$A$4:$A$9,A11)&lt;&gt;1,"参照ID不正",IF(INDEX('32_定義マスター'!$E$4:$E$9,MATCH(A11,'32_定義マスター'!$A$4:$A$9,0))="","",INDEX('32_定義マスター'!$E$4:$E$9,MATCH(A11,'32_定義マスター'!$A$4:$A$9,0)))))</f>
        <v/>
      </c>
      <c r="F11" s="6"/>
      <c r="G11" s="6"/>
      <c r="H11" s="6"/>
      <c r="I11" s="6"/>
      <c r="J11" s="6"/>
      <c r="K11" s="6"/>
      <c r="L11" s="6"/>
      <c r="M11" s="6"/>
      <c r="N11" s="5"/>
      <c r="O11" s="6"/>
      <c r="P11" s="5"/>
      <c r="Q11" s="6"/>
      <c r="R11" s="6"/>
      <c r="S11" s="28" t="str">
        <f>IF(A11="","",IF(COUNTIF('32_定義マスター'!$A$4:$A$9,A11)&lt;&gt;1,"Gate ID不正",IF(OR(L11="",L11="未審査"),"未承認",IF(OR(OR(F11="",G11="",H11="",I11="",J11="",K11="",O11="",AE11="",AF11=""),NOT(ISNUMBER(P11))),"判断証拠不足",IF(COUNTIF($F$4:$F$83,F11)&lt;&gt;1,"判断Run ID重複",IF(OR(AND(P11&lt;&gt;"",OR(NOT(ISNUMBER(P11)),IFERROR(P11&lt;1,TRUE),IFERROR(INT(P11)&gt;INT(AsOfDate),TRUE)))),"判断日不正",IF(AND(A11="G3",OR(T11="",U11="",V11="",W11="",X11="")),"公開対象・集合不足","判断記録あり・内容審査別")))))))</f>
        <v/>
      </c>
      <c r="T11" s="29"/>
      <c r="U11" s="29"/>
      <c r="V11" s="29"/>
      <c r="W11" s="29"/>
      <c r="X11" s="29"/>
      <c r="Y11" s="32"/>
      <c r="Z11" s="29"/>
      <c r="AA11" s="28" t="str">
        <f>IF(A11="","",IF(NOT(IFERROR(ISNUMBER(SEARCH("|"&amp;L11&amp;"|",IF(COUNTIF('32_定義マスター'!$A$4:$A$9,A11)&lt;&gt;1,"参照ID不正",IF(INDEX('32_定義マスター'!$F$4:$F$9,MATCH(A11,'32_定義マスター'!$A$4:$A$9,0))="","",INDEX('32_定義マスター'!$F$4:$F$9,MATCH(A11,'32_定義マスター'!$A$4:$A$9,0)))))),FALSE)),"Gate判断不適合",IF(AND(OR(L11="承認",L11="条件付承認",L11="Scale",L11="Continue",L11="廃止完了承認"),OR(I11="不合格",J11="不合格",V11="不合格",I11="FAIL",J11="FAIL",V11="FAIL")),"停止判定と承認が矛盾",IF(AND(OR(L11="承認",L11="条件付承認",L11="Scale",L11="Continue",L11="廃止完了承認"),OR(I11="未判定",J11="未判定",AND(A11="G3",V11="未判定"))),"必要判定未確定",IF(AND(OR(L11="承認",L11="条件付承認",L11="Scale",L11="Continue",L11="廃止完了承認"),OR(AND(I11&lt;&gt;"合格",I11&lt;&gt;"対象外承認"),AND(J11&lt;&gt;"合格",J11&lt;&gt;"対象外承認"),AND(A11="G3",V11&lt;&gt;"合格",V11&lt;&gt;"対象外承認"))),"判定値不正",IF(AND(A11="G4",L11="Scale",OR(COUNTIF('25_事業仮説・実験・GTM'!$Q$4:$Q$15,F11)=0,COUNTIFS('25_事業仮説・実験・GTM'!$Q$4:$Q$15,F11,'25_事業仮説・実験・GTM'!$AF$4:$AF$15,"&lt;&gt;充足")&gt;0,COUNTIFS('25_事業仮説・実験・GTM'!$Q$4:$Q$15,F11,'25_事業仮説・実験・GTM'!$AD$4:$AD$15,"&lt;&gt;拡大可能")&gt;0)),"拡大の行動証拠不足","判定整合"))))))</f>
        <v/>
      </c>
      <c r="AB11" s="28" t="str">
        <f>IF(A11="","",IF(A11&lt;&gt;"G3",IF(A11="G0",IF(OR(COUNTIF('25_事業仮説・実験・GTM'!$Q$4:$Q$15,F11)=0,COUNTIFS('25_事業仮説・実験・GTM'!$Q$4:$Q$15,F11,'25_事業仮説・実験・GTM'!$AE$4:$AE$15,"&lt;&gt;仮説記録あり")&gt;0),"仮説・持越し確認不足","G0仮説記録接続"),IF(A11="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11="",U11="",W11="",X11="",OR(COUNTIFS('30_必須評価セット'!$B$4:$B$153,T11,'30_必須評価セット'!$C$4:$C$153,U11,'30_必須評価セット'!$E$4:$E$153,"E01")=0,COUNTIFS('30_必須評価セット'!$B$4:$B$153,T11,'30_必須評価セット'!$C$4:$C$153,U11,'30_必須評価セット'!$E$4:$E$153,"E02")=0,COUNTIFS('30_必須評価セット'!$B$4:$B$153,T11,'30_必須評価セット'!$C$4:$C$153,U11,'30_必須評価セット'!$E$4:$E$153,"E03")=0,COUNTIFS('30_必須評価セット'!$B$4:$B$153,T11,'30_必須評価セット'!$C$4:$C$153,U11,'30_必須評価セット'!$E$4:$E$153,"E04")=0,COUNTIFS('30_必須評価セット'!$B$4:$B$153,T11,'30_必須評価セット'!$C$4:$C$153,U11,'30_必須評価セット'!$E$4:$E$153,"E05")=0,COUNTIFS('30_必須評価セット'!$B$4:$B$153,T11,'30_必須評価セット'!$C$4:$C$153,U11,'30_必須評価セット'!$E$4:$E$153,"E06")=0,COUNTIFS('30_必須評価セット'!$B$4:$B$153,T11,'30_必須評価セット'!$C$4:$C$153,U11,'30_必須評価セット'!$E$4:$E$153,"E07")=0,COUNTIFS('30_必須評価セット'!$B$4:$B$153,T11,'30_必須評価セット'!$C$4:$C$153,U11,'30_必須評価セット'!$E$4:$E$153,"E08")=0,COUNTIFS('30_必須評価セット'!$B$4:$B$153,T11,'30_必須評価セット'!$C$4:$C$153,U11,'30_必須評価セット'!$E$4:$E$153,"E09")=0,COUNTIFS('30_必須評価セット'!$B$4:$B$153,T11,'30_必須評価セット'!$C$4:$C$153,U11,'30_必須評価セット'!$E$4:$E$153,"E10")=0,COUNTIFS('30_必須評価セット'!$B$4:$B$153,T11,'30_必須評価セット'!$C$4:$C$153,U11,'30_必須評価セット'!$E$4:$E$153,"E11")=0,COUNTIFS('30_必須評価セット'!$B$4:$B$153,T11,'30_必須評価セット'!$C$4:$C$153,U11,'30_必須評価セット'!$E$4:$E$153,"E12")=0,COUNTIFS('30_必須評価セット'!$B$4:$B$153,T11,'30_必須評価セット'!$C$4:$C$153,U11,'30_必須評価セット'!$E$4:$E$153,"E13")=0,COUNTIFS('30_必須評価セット'!$B$4:$B$153,T11,'30_必須評価セット'!$C$4:$C$153,U11,'30_必須評価セット'!$E$4:$E$153,"E14")=0,COUNTIFS('30_必須評価セット'!$B$4:$B$153,T11,'30_必須評価セット'!$C$4:$C$153,U11,'30_必須評価セット'!$E$4:$E$153,"E15")=0,COUNTIFS('30_必須評価セット'!$B$4:$B$153,T11,'30_必須評価セット'!$C$4:$C$153,U11,'30_必須評価セット'!$E$4:$E$153,"E16")=0,COUNTIFS('30_必須評価セット'!$B$4:$B$153,T11,'30_必須評価セット'!$C$4:$C$153,U11,'30_必須評価セット'!$E$4:$E$153,"E17")=0,COUNTIFS('30_必須評価セット'!$B$4:$B$153,T11,'30_必須評価セット'!$C$4:$C$153,U11,'30_必須評価セット'!$E$4:$E$153,"E18")=0)),"必須分類・集合不足",IF(OR(AND('03_AIリスクTier・適用判定'!$B$27="使用",OR('17_ロードマップ・案件実行管理'!$AA$86&lt;&gt;1,NOT(AND(COUNTIFS('30_必須評価セット'!$B$4:$B$153,T11,'30_必須評価セット'!$C$4:$C$153,U11,'30_必須評価セット'!$E$4:$E$153,"E03",'30_必須評価セット'!$F$4:$F$153,"必須")&gt;0,COUNTIFS('30_必須評価セット'!$B$4:$B$153,T11,'30_必須評価セット'!$C$4:$C$153,U11,'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11,'30_必須評価セット'!$C$4:$C$153,U11,'30_必須評価セット'!$E$4:$E$153,"E05",'30_必須評価セット'!$F$4:$F$153,"必須")&gt;0)))),AND('03_AIリスクTier・適用判定'!$B$28="不使用",'17_ロードマップ・案件実行管理'!$W$87&lt;&gt;"除外記録済")),"機能別評価・対象外未完",IF(COUNTIFS('30_必須評価セット'!$B$4:$B$153,T11,'30_必須評価セット'!$C$4:$C$153,U11)&lt;&gt;SUMIFS('30_必須評価セット'!$N$4:$N$153,'30_必須評価セット'!$B$4:$B$153,T11,'30_必須評価セット'!$C$4:$C$153,U11),"必須評価セット未充足","必須評価セット充足"))))))</f>
        <v/>
      </c>
      <c r="AC11" s="28" t="str">
        <f>IF(F11="","",IF(OR(AG11="",AG11="未判定"),"条件有無未判定",IF(AND(AG11="なし",OR(L11="条件付承認",COUNTIF('31_条件・有効性'!$B$4:$B$83,F11)&gt;0)),"条件有無不一致",IF(AND(AG11="条件あり",COUNTIF('31_条件・有効性'!$B$4:$B$83,F11)=0),"Condition未登録",IF(AND(AG11="条件あり",COUNTIF('31_条件・有効性'!$B$4:$B$83,F11)&lt;&gt;(COUNTIFS('31_条件・有効性'!$B$4:$B$83,F11,'31_条件・有効性'!$Q$4:$Q$83,"解消確認済")+COUNTIFS('31_条件・有効性'!$B$4:$B$83,F11,'31_条件・有効性'!$Q$4:$Q$83,"期限内・制約継続"))),"条件失効・定義不備",IF(AND(AG11&lt;&gt;"なし",AG11&lt;&gt;"条件あり"),"条件有無不正","条件整合"))))))</f>
        <v/>
      </c>
      <c r="AD11" s="28" t="str">
        <f t="shared" si="0"/>
        <v/>
      </c>
      <c r="AE11" s="29"/>
      <c r="AF11" s="29"/>
      <c r="AG11" s="29"/>
    </row>
    <row r="12" spans="1:33" ht="78" customHeight="1" x14ac:dyDescent="0.2">
      <c r="A12" s="2"/>
      <c r="B12" s="28" t="str">
        <f>IF(A12="","",IF(COUNTIF('32_定義マスター'!$A$4:$A$9,A12)&lt;&gt;1,"参照ID不正",IF(INDEX('32_定義マスター'!$B$4:$B$9,MATCH(A12,'32_定義マスター'!$A$4:$A$9,0))="","",INDEX('32_定義マスター'!$B$4:$B$9,MATCH(A12,'32_定義マスター'!$A$4:$A$9,0)))))</f>
        <v/>
      </c>
      <c r="C12" s="28" t="str">
        <f>IF(A12="","",IF(COUNTIF('32_定義マスター'!$A$4:$A$9,A12)&lt;&gt;1,"参照ID不正",IF(INDEX('32_定義マスター'!$C$4:$C$9,MATCH(A12,'32_定義マスター'!$A$4:$A$9,0))="","",INDEX('32_定義マスター'!$C$4:$C$9,MATCH(A12,'32_定義マスター'!$A$4:$A$9,0)))))</f>
        <v/>
      </c>
      <c r="D12" s="28" t="str">
        <f>IF(A12="","",IF(COUNTIF('32_定義マスター'!$A$4:$A$9,A12)&lt;&gt;1,"参照ID不正",IF(INDEX('32_定義マスター'!$D$4:$D$9,MATCH(A12,'32_定義マスター'!$A$4:$A$9,0))="","",INDEX('32_定義マスター'!$D$4:$D$9,MATCH(A12,'32_定義マスター'!$A$4:$A$9,0)))))</f>
        <v/>
      </c>
      <c r="E12" s="28" t="str">
        <f>IF(A12="","",IF(COUNTIF('32_定義マスター'!$A$4:$A$9,A12)&lt;&gt;1,"参照ID不正",IF(INDEX('32_定義マスター'!$E$4:$E$9,MATCH(A12,'32_定義マスター'!$A$4:$A$9,0))="","",INDEX('32_定義マスター'!$E$4:$E$9,MATCH(A12,'32_定義マスター'!$A$4:$A$9,0)))))</f>
        <v/>
      </c>
      <c r="F12" s="6"/>
      <c r="G12" s="6"/>
      <c r="H12" s="6"/>
      <c r="I12" s="6"/>
      <c r="J12" s="6"/>
      <c r="K12" s="6"/>
      <c r="L12" s="6"/>
      <c r="M12" s="6"/>
      <c r="N12" s="5"/>
      <c r="O12" s="6"/>
      <c r="P12" s="5"/>
      <c r="Q12" s="6"/>
      <c r="R12" s="6"/>
      <c r="S12" s="28" t="str">
        <f>IF(A12="","",IF(COUNTIF('32_定義マスター'!$A$4:$A$9,A12)&lt;&gt;1,"Gate ID不正",IF(OR(L12="",L12="未審査"),"未承認",IF(OR(OR(F12="",G12="",H12="",I12="",J12="",K12="",O12="",AE12="",AF12=""),NOT(ISNUMBER(P12))),"判断証拠不足",IF(COUNTIF($F$4:$F$83,F12)&lt;&gt;1,"判断Run ID重複",IF(OR(AND(P12&lt;&gt;"",OR(NOT(ISNUMBER(P12)),IFERROR(P12&lt;1,TRUE),IFERROR(INT(P12)&gt;INT(AsOfDate),TRUE)))),"判断日不正",IF(AND(A12="G3",OR(T12="",U12="",V12="",W12="",X12="")),"公開対象・集合不足","判断記録あり・内容審査別")))))))</f>
        <v/>
      </c>
      <c r="T12" s="29"/>
      <c r="U12" s="29"/>
      <c r="V12" s="29"/>
      <c r="W12" s="29"/>
      <c r="X12" s="29"/>
      <c r="Y12" s="32"/>
      <c r="Z12" s="29"/>
      <c r="AA12" s="28" t="str">
        <f>IF(A12="","",IF(NOT(IFERROR(ISNUMBER(SEARCH("|"&amp;L12&amp;"|",IF(COUNTIF('32_定義マスター'!$A$4:$A$9,A12)&lt;&gt;1,"参照ID不正",IF(INDEX('32_定義マスター'!$F$4:$F$9,MATCH(A12,'32_定義マスター'!$A$4:$A$9,0))="","",INDEX('32_定義マスター'!$F$4:$F$9,MATCH(A12,'32_定義マスター'!$A$4:$A$9,0)))))),FALSE)),"Gate判断不適合",IF(AND(OR(L12="承認",L12="条件付承認",L12="Scale",L12="Continue",L12="廃止完了承認"),OR(I12="不合格",J12="不合格",V12="不合格",I12="FAIL",J12="FAIL",V12="FAIL")),"停止判定と承認が矛盾",IF(AND(OR(L12="承認",L12="条件付承認",L12="Scale",L12="Continue",L12="廃止完了承認"),OR(I12="未判定",J12="未判定",AND(A12="G3",V12="未判定"))),"必要判定未確定",IF(AND(OR(L12="承認",L12="条件付承認",L12="Scale",L12="Continue",L12="廃止完了承認"),OR(AND(I12&lt;&gt;"合格",I12&lt;&gt;"対象外承認"),AND(J12&lt;&gt;"合格",J12&lt;&gt;"対象外承認"),AND(A12="G3",V12&lt;&gt;"合格",V12&lt;&gt;"対象外承認"))),"判定値不正",IF(AND(A12="G4",L12="Scale",OR(COUNTIF('25_事業仮説・実験・GTM'!$Q$4:$Q$15,F12)=0,COUNTIFS('25_事業仮説・実験・GTM'!$Q$4:$Q$15,F12,'25_事業仮説・実験・GTM'!$AF$4:$AF$15,"&lt;&gt;充足")&gt;0,COUNTIFS('25_事業仮説・実験・GTM'!$Q$4:$Q$15,F12,'25_事業仮説・実験・GTM'!$AD$4:$AD$15,"&lt;&gt;拡大可能")&gt;0)),"拡大の行動証拠不足","判定整合"))))))</f>
        <v/>
      </c>
      <c r="AB12" s="28" t="str">
        <f>IF(A12="","",IF(A12&lt;&gt;"G3",IF(A12="G0",IF(OR(COUNTIF('25_事業仮説・実験・GTM'!$Q$4:$Q$15,F12)=0,COUNTIFS('25_事業仮説・実験・GTM'!$Q$4:$Q$15,F12,'25_事業仮説・実験・GTM'!$AE$4:$AE$15,"&lt;&gt;仮説記録あり")&gt;0),"仮説・持越し確認不足","G0仮説記録接続"),IF(A12="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12="",U12="",W12="",X12="",OR(COUNTIFS('30_必須評価セット'!$B$4:$B$153,T12,'30_必須評価セット'!$C$4:$C$153,U12,'30_必須評価セット'!$E$4:$E$153,"E01")=0,COUNTIFS('30_必須評価セット'!$B$4:$B$153,T12,'30_必須評価セット'!$C$4:$C$153,U12,'30_必須評価セット'!$E$4:$E$153,"E02")=0,COUNTIFS('30_必須評価セット'!$B$4:$B$153,T12,'30_必須評価セット'!$C$4:$C$153,U12,'30_必須評価セット'!$E$4:$E$153,"E03")=0,COUNTIFS('30_必須評価セット'!$B$4:$B$153,T12,'30_必須評価セット'!$C$4:$C$153,U12,'30_必須評価セット'!$E$4:$E$153,"E04")=0,COUNTIFS('30_必須評価セット'!$B$4:$B$153,T12,'30_必須評価セット'!$C$4:$C$153,U12,'30_必須評価セット'!$E$4:$E$153,"E05")=0,COUNTIFS('30_必須評価セット'!$B$4:$B$153,T12,'30_必須評価セット'!$C$4:$C$153,U12,'30_必須評価セット'!$E$4:$E$153,"E06")=0,COUNTIFS('30_必須評価セット'!$B$4:$B$153,T12,'30_必須評価セット'!$C$4:$C$153,U12,'30_必須評価セット'!$E$4:$E$153,"E07")=0,COUNTIFS('30_必須評価セット'!$B$4:$B$153,T12,'30_必須評価セット'!$C$4:$C$153,U12,'30_必須評価セット'!$E$4:$E$153,"E08")=0,COUNTIFS('30_必須評価セット'!$B$4:$B$153,T12,'30_必須評価セット'!$C$4:$C$153,U12,'30_必須評価セット'!$E$4:$E$153,"E09")=0,COUNTIFS('30_必須評価セット'!$B$4:$B$153,T12,'30_必須評価セット'!$C$4:$C$153,U12,'30_必須評価セット'!$E$4:$E$153,"E10")=0,COUNTIFS('30_必須評価セット'!$B$4:$B$153,T12,'30_必須評価セット'!$C$4:$C$153,U12,'30_必須評価セット'!$E$4:$E$153,"E11")=0,COUNTIFS('30_必須評価セット'!$B$4:$B$153,T12,'30_必須評価セット'!$C$4:$C$153,U12,'30_必須評価セット'!$E$4:$E$153,"E12")=0,COUNTIFS('30_必須評価セット'!$B$4:$B$153,T12,'30_必須評価セット'!$C$4:$C$153,U12,'30_必須評価セット'!$E$4:$E$153,"E13")=0,COUNTIFS('30_必須評価セット'!$B$4:$B$153,T12,'30_必須評価セット'!$C$4:$C$153,U12,'30_必須評価セット'!$E$4:$E$153,"E14")=0,COUNTIFS('30_必須評価セット'!$B$4:$B$153,T12,'30_必須評価セット'!$C$4:$C$153,U12,'30_必須評価セット'!$E$4:$E$153,"E15")=0,COUNTIFS('30_必須評価セット'!$B$4:$B$153,T12,'30_必須評価セット'!$C$4:$C$153,U12,'30_必須評価セット'!$E$4:$E$153,"E16")=0,COUNTIFS('30_必須評価セット'!$B$4:$B$153,T12,'30_必須評価セット'!$C$4:$C$153,U12,'30_必須評価セット'!$E$4:$E$153,"E17")=0,COUNTIFS('30_必須評価セット'!$B$4:$B$153,T12,'30_必須評価セット'!$C$4:$C$153,U12,'30_必須評価セット'!$E$4:$E$153,"E18")=0)),"必須分類・集合不足",IF(OR(AND('03_AIリスクTier・適用判定'!$B$27="使用",OR('17_ロードマップ・案件実行管理'!$AA$86&lt;&gt;1,NOT(AND(COUNTIFS('30_必須評価セット'!$B$4:$B$153,T12,'30_必須評価セット'!$C$4:$C$153,U12,'30_必須評価セット'!$E$4:$E$153,"E03",'30_必須評価セット'!$F$4:$F$153,"必須")&gt;0,COUNTIFS('30_必須評価セット'!$B$4:$B$153,T12,'30_必須評価セット'!$C$4:$C$153,U12,'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12,'30_必須評価セット'!$C$4:$C$153,U12,'30_必須評価セット'!$E$4:$E$153,"E05",'30_必須評価セット'!$F$4:$F$153,"必須")&gt;0)))),AND('03_AIリスクTier・適用判定'!$B$28="不使用",'17_ロードマップ・案件実行管理'!$W$87&lt;&gt;"除外記録済")),"機能別評価・対象外未完",IF(COUNTIFS('30_必須評価セット'!$B$4:$B$153,T12,'30_必須評価セット'!$C$4:$C$153,U12)&lt;&gt;SUMIFS('30_必須評価セット'!$N$4:$N$153,'30_必須評価セット'!$B$4:$B$153,T12,'30_必須評価セット'!$C$4:$C$153,U12),"必須評価セット未充足","必須評価セット充足"))))))</f>
        <v/>
      </c>
      <c r="AC12" s="28" t="str">
        <f>IF(F12="","",IF(OR(AG12="",AG12="未判定"),"条件有無未判定",IF(AND(AG12="なし",OR(L12="条件付承認",COUNTIF('31_条件・有効性'!$B$4:$B$83,F12)&gt;0)),"条件有無不一致",IF(AND(AG12="条件あり",COUNTIF('31_条件・有効性'!$B$4:$B$83,F12)=0),"Condition未登録",IF(AND(AG12="条件あり",COUNTIF('31_条件・有効性'!$B$4:$B$83,F12)&lt;&gt;(COUNTIFS('31_条件・有効性'!$B$4:$B$83,F12,'31_条件・有効性'!$Q$4:$Q$83,"解消確認済")+COUNTIFS('31_条件・有効性'!$B$4:$B$83,F12,'31_条件・有効性'!$Q$4:$Q$83,"期限内・制約継続"))),"条件失効・定義不備",IF(AND(AG12&lt;&gt;"なし",AG12&lt;&gt;"条件あり"),"条件有無不正","条件整合"))))))</f>
        <v/>
      </c>
      <c r="AD12" s="28" t="str">
        <f t="shared" si="0"/>
        <v/>
      </c>
      <c r="AE12" s="29"/>
      <c r="AF12" s="29"/>
      <c r="AG12" s="29"/>
    </row>
    <row r="13" spans="1:33" ht="78" customHeight="1" x14ac:dyDescent="0.2">
      <c r="A13" s="4"/>
      <c r="B13" s="28" t="str">
        <f>IF(A13="","",IF(COUNTIF('32_定義マスター'!$A$4:$A$9,A13)&lt;&gt;1,"参照ID不正",IF(INDEX('32_定義マスター'!$B$4:$B$9,MATCH(A13,'32_定義マスター'!$A$4:$A$9,0))="","",INDEX('32_定義マスター'!$B$4:$B$9,MATCH(A13,'32_定義マスター'!$A$4:$A$9,0)))))</f>
        <v/>
      </c>
      <c r="C13" s="28" t="str">
        <f>IF(A13="","",IF(COUNTIF('32_定義マスター'!$A$4:$A$9,A13)&lt;&gt;1,"参照ID不正",IF(INDEX('32_定義マスター'!$C$4:$C$9,MATCH(A13,'32_定義マスター'!$A$4:$A$9,0))="","",INDEX('32_定義マスター'!$C$4:$C$9,MATCH(A13,'32_定義マスター'!$A$4:$A$9,0)))))</f>
        <v/>
      </c>
      <c r="D13" s="28" t="str">
        <f>IF(A13="","",IF(COUNTIF('32_定義マスター'!$A$4:$A$9,A13)&lt;&gt;1,"参照ID不正",IF(INDEX('32_定義マスター'!$D$4:$D$9,MATCH(A13,'32_定義マスター'!$A$4:$A$9,0))="","",INDEX('32_定義マスター'!$D$4:$D$9,MATCH(A13,'32_定義マスター'!$A$4:$A$9,0)))))</f>
        <v/>
      </c>
      <c r="E13" s="28" t="str">
        <f>IF(A13="","",IF(COUNTIF('32_定義マスター'!$A$4:$A$9,A13)&lt;&gt;1,"参照ID不正",IF(INDEX('32_定義マスター'!$E$4:$E$9,MATCH(A13,'32_定義マスター'!$A$4:$A$9,0))="","",INDEX('32_定義マスター'!$E$4:$E$9,MATCH(A13,'32_定義マスター'!$A$4:$A$9,0)))))</f>
        <v/>
      </c>
      <c r="F13" s="6"/>
      <c r="G13" s="6"/>
      <c r="H13" s="6"/>
      <c r="I13" s="6"/>
      <c r="J13" s="6"/>
      <c r="K13" s="6"/>
      <c r="L13" s="6"/>
      <c r="M13" s="6"/>
      <c r="N13" s="5"/>
      <c r="O13" s="6"/>
      <c r="P13" s="5"/>
      <c r="Q13" s="6"/>
      <c r="R13" s="6"/>
      <c r="S13" s="28" t="str">
        <f>IF(A13="","",IF(COUNTIF('32_定義マスター'!$A$4:$A$9,A13)&lt;&gt;1,"Gate ID不正",IF(OR(L13="",L13="未審査"),"未承認",IF(OR(OR(F13="",G13="",H13="",I13="",J13="",K13="",O13="",AE13="",AF13=""),NOT(ISNUMBER(P13))),"判断証拠不足",IF(COUNTIF($F$4:$F$83,F13)&lt;&gt;1,"判断Run ID重複",IF(OR(AND(P13&lt;&gt;"",OR(NOT(ISNUMBER(P13)),IFERROR(P13&lt;1,TRUE),IFERROR(INT(P13)&gt;INT(AsOfDate),TRUE)))),"判断日不正",IF(AND(A13="G3",OR(T13="",U13="",V13="",W13="",X13="")),"公開対象・集合不足","判断記録あり・内容審査別")))))))</f>
        <v/>
      </c>
      <c r="T13" s="29"/>
      <c r="U13" s="29"/>
      <c r="V13" s="29"/>
      <c r="W13" s="29"/>
      <c r="X13" s="29"/>
      <c r="Y13" s="32"/>
      <c r="Z13" s="29"/>
      <c r="AA13" s="28" t="str">
        <f>IF(A13="","",IF(NOT(IFERROR(ISNUMBER(SEARCH("|"&amp;L13&amp;"|",IF(COUNTIF('32_定義マスター'!$A$4:$A$9,A13)&lt;&gt;1,"参照ID不正",IF(INDEX('32_定義マスター'!$F$4:$F$9,MATCH(A13,'32_定義マスター'!$A$4:$A$9,0))="","",INDEX('32_定義マスター'!$F$4:$F$9,MATCH(A13,'32_定義マスター'!$A$4:$A$9,0)))))),FALSE)),"Gate判断不適合",IF(AND(OR(L13="承認",L13="条件付承認",L13="Scale",L13="Continue",L13="廃止完了承認"),OR(I13="不合格",J13="不合格",V13="不合格",I13="FAIL",J13="FAIL",V13="FAIL")),"停止判定と承認が矛盾",IF(AND(OR(L13="承認",L13="条件付承認",L13="Scale",L13="Continue",L13="廃止完了承認"),OR(I13="未判定",J13="未判定",AND(A13="G3",V13="未判定"))),"必要判定未確定",IF(AND(OR(L13="承認",L13="条件付承認",L13="Scale",L13="Continue",L13="廃止完了承認"),OR(AND(I13&lt;&gt;"合格",I13&lt;&gt;"対象外承認"),AND(J13&lt;&gt;"合格",J13&lt;&gt;"対象外承認"),AND(A13="G3",V13&lt;&gt;"合格",V13&lt;&gt;"対象外承認"))),"判定値不正",IF(AND(A13="G4",L13="Scale",OR(COUNTIF('25_事業仮説・実験・GTM'!$Q$4:$Q$15,F13)=0,COUNTIFS('25_事業仮説・実験・GTM'!$Q$4:$Q$15,F13,'25_事業仮説・実験・GTM'!$AF$4:$AF$15,"&lt;&gt;充足")&gt;0,COUNTIFS('25_事業仮説・実験・GTM'!$Q$4:$Q$15,F13,'25_事業仮説・実験・GTM'!$AD$4:$AD$15,"&lt;&gt;拡大可能")&gt;0)),"拡大の行動証拠不足","判定整合"))))))</f>
        <v/>
      </c>
      <c r="AB13" s="28" t="str">
        <f>IF(A13="","",IF(A13&lt;&gt;"G3",IF(A13="G0",IF(OR(COUNTIF('25_事業仮説・実験・GTM'!$Q$4:$Q$15,F13)=0,COUNTIFS('25_事業仮説・実験・GTM'!$Q$4:$Q$15,F13,'25_事業仮説・実験・GTM'!$AE$4:$AE$15,"&lt;&gt;仮説記録あり")&gt;0),"仮説・持越し確認不足","G0仮説記録接続"),IF(A13="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13="",U13="",W13="",X13="",OR(COUNTIFS('30_必須評価セット'!$B$4:$B$153,T13,'30_必須評価セット'!$C$4:$C$153,U13,'30_必須評価セット'!$E$4:$E$153,"E01")=0,COUNTIFS('30_必須評価セット'!$B$4:$B$153,T13,'30_必須評価セット'!$C$4:$C$153,U13,'30_必須評価セット'!$E$4:$E$153,"E02")=0,COUNTIFS('30_必須評価セット'!$B$4:$B$153,T13,'30_必須評価セット'!$C$4:$C$153,U13,'30_必須評価セット'!$E$4:$E$153,"E03")=0,COUNTIFS('30_必須評価セット'!$B$4:$B$153,T13,'30_必須評価セット'!$C$4:$C$153,U13,'30_必須評価セット'!$E$4:$E$153,"E04")=0,COUNTIFS('30_必須評価セット'!$B$4:$B$153,T13,'30_必須評価セット'!$C$4:$C$153,U13,'30_必須評価セット'!$E$4:$E$153,"E05")=0,COUNTIFS('30_必須評価セット'!$B$4:$B$153,T13,'30_必須評価セット'!$C$4:$C$153,U13,'30_必須評価セット'!$E$4:$E$153,"E06")=0,COUNTIFS('30_必須評価セット'!$B$4:$B$153,T13,'30_必須評価セット'!$C$4:$C$153,U13,'30_必須評価セット'!$E$4:$E$153,"E07")=0,COUNTIFS('30_必須評価セット'!$B$4:$B$153,T13,'30_必須評価セット'!$C$4:$C$153,U13,'30_必須評価セット'!$E$4:$E$153,"E08")=0,COUNTIFS('30_必須評価セット'!$B$4:$B$153,T13,'30_必須評価セット'!$C$4:$C$153,U13,'30_必須評価セット'!$E$4:$E$153,"E09")=0,COUNTIFS('30_必須評価セット'!$B$4:$B$153,T13,'30_必須評価セット'!$C$4:$C$153,U13,'30_必須評価セット'!$E$4:$E$153,"E10")=0,COUNTIFS('30_必須評価セット'!$B$4:$B$153,T13,'30_必須評価セット'!$C$4:$C$153,U13,'30_必須評価セット'!$E$4:$E$153,"E11")=0,COUNTIFS('30_必須評価セット'!$B$4:$B$153,T13,'30_必須評価セット'!$C$4:$C$153,U13,'30_必須評価セット'!$E$4:$E$153,"E12")=0,COUNTIFS('30_必須評価セット'!$B$4:$B$153,T13,'30_必須評価セット'!$C$4:$C$153,U13,'30_必須評価セット'!$E$4:$E$153,"E13")=0,COUNTIFS('30_必須評価セット'!$B$4:$B$153,T13,'30_必須評価セット'!$C$4:$C$153,U13,'30_必須評価セット'!$E$4:$E$153,"E14")=0,COUNTIFS('30_必須評価セット'!$B$4:$B$153,T13,'30_必須評価セット'!$C$4:$C$153,U13,'30_必須評価セット'!$E$4:$E$153,"E15")=0,COUNTIFS('30_必須評価セット'!$B$4:$B$153,T13,'30_必須評価セット'!$C$4:$C$153,U13,'30_必須評価セット'!$E$4:$E$153,"E16")=0,COUNTIFS('30_必須評価セット'!$B$4:$B$153,T13,'30_必須評価セット'!$C$4:$C$153,U13,'30_必須評価セット'!$E$4:$E$153,"E17")=0,COUNTIFS('30_必須評価セット'!$B$4:$B$153,T13,'30_必須評価セット'!$C$4:$C$153,U13,'30_必須評価セット'!$E$4:$E$153,"E18")=0)),"必須分類・集合不足",IF(OR(AND('03_AIリスクTier・適用判定'!$B$27="使用",OR('17_ロードマップ・案件実行管理'!$AA$86&lt;&gt;1,NOT(AND(COUNTIFS('30_必須評価セット'!$B$4:$B$153,T13,'30_必須評価セット'!$C$4:$C$153,U13,'30_必須評価セット'!$E$4:$E$153,"E03",'30_必須評価セット'!$F$4:$F$153,"必須")&gt;0,COUNTIFS('30_必須評価セット'!$B$4:$B$153,T13,'30_必須評価セット'!$C$4:$C$153,U13,'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13,'30_必須評価セット'!$C$4:$C$153,U13,'30_必須評価セット'!$E$4:$E$153,"E05",'30_必須評価セット'!$F$4:$F$153,"必須")&gt;0)))),AND('03_AIリスクTier・適用判定'!$B$28="不使用",'17_ロードマップ・案件実行管理'!$W$87&lt;&gt;"除外記録済")),"機能別評価・対象外未完",IF(COUNTIFS('30_必須評価セット'!$B$4:$B$153,T13,'30_必須評価セット'!$C$4:$C$153,U13)&lt;&gt;SUMIFS('30_必須評価セット'!$N$4:$N$153,'30_必須評価セット'!$B$4:$B$153,T13,'30_必須評価セット'!$C$4:$C$153,U13),"必須評価セット未充足","必須評価セット充足"))))))</f>
        <v/>
      </c>
      <c r="AC13" s="28" t="str">
        <f>IF(F13="","",IF(OR(AG13="",AG13="未判定"),"条件有無未判定",IF(AND(AG13="なし",OR(L13="条件付承認",COUNTIF('31_条件・有効性'!$B$4:$B$83,F13)&gt;0)),"条件有無不一致",IF(AND(AG13="条件あり",COUNTIF('31_条件・有効性'!$B$4:$B$83,F13)=0),"Condition未登録",IF(AND(AG13="条件あり",COUNTIF('31_条件・有効性'!$B$4:$B$83,F13)&lt;&gt;(COUNTIFS('31_条件・有効性'!$B$4:$B$83,F13,'31_条件・有効性'!$Q$4:$Q$83,"解消確認済")+COUNTIFS('31_条件・有効性'!$B$4:$B$83,F13,'31_条件・有効性'!$Q$4:$Q$83,"期限内・制約継続"))),"条件失効・定義不備",IF(AND(AG13&lt;&gt;"なし",AG13&lt;&gt;"条件あり"),"条件有無不正","条件整合"))))))</f>
        <v/>
      </c>
      <c r="AD13" s="28" t="str">
        <f t="shared" si="0"/>
        <v/>
      </c>
      <c r="AE13" s="29"/>
      <c r="AF13" s="29"/>
      <c r="AG13" s="29"/>
    </row>
    <row r="14" spans="1:33" ht="78" customHeight="1" x14ac:dyDescent="0.2">
      <c r="A14" s="2"/>
      <c r="B14" s="28" t="str">
        <f>IF(A14="","",IF(COUNTIF('32_定義マスター'!$A$4:$A$9,A14)&lt;&gt;1,"参照ID不正",IF(INDEX('32_定義マスター'!$B$4:$B$9,MATCH(A14,'32_定義マスター'!$A$4:$A$9,0))="","",INDEX('32_定義マスター'!$B$4:$B$9,MATCH(A14,'32_定義マスター'!$A$4:$A$9,0)))))</f>
        <v/>
      </c>
      <c r="C14" s="28" t="str">
        <f>IF(A14="","",IF(COUNTIF('32_定義マスター'!$A$4:$A$9,A14)&lt;&gt;1,"参照ID不正",IF(INDEX('32_定義マスター'!$C$4:$C$9,MATCH(A14,'32_定義マスター'!$A$4:$A$9,0))="","",INDEX('32_定義マスター'!$C$4:$C$9,MATCH(A14,'32_定義マスター'!$A$4:$A$9,0)))))</f>
        <v/>
      </c>
      <c r="D14" s="28" t="str">
        <f>IF(A14="","",IF(COUNTIF('32_定義マスター'!$A$4:$A$9,A14)&lt;&gt;1,"参照ID不正",IF(INDEX('32_定義マスター'!$D$4:$D$9,MATCH(A14,'32_定義マスター'!$A$4:$A$9,0))="","",INDEX('32_定義マスター'!$D$4:$D$9,MATCH(A14,'32_定義マスター'!$A$4:$A$9,0)))))</f>
        <v/>
      </c>
      <c r="E14" s="28" t="str">
        <f>IF(A14="","",IF(COUNTIF('32_定義マスター'!$A$4:$A$9,A14)&lt;&gt;1,"参照ID不正",IF(INDEX('32_定義マスター'!$E$4:$E$9,MATCH(A14,'32_定義マスター'!$A$4:$A$9,0))="","",INDEX('32_定義マスター'!$E$4:$E$9,MATCH(A14,'32_定義マスター'!$A$4:$A$9,0)))))</f>
        <v/>
      </c>
      <c r="F14" s="6"/>
      <c r="G14" s="6"/>
      <c r="H14" s="6"/>
      <c r="I14" s="6"/>
      <c r="J14" s="6"/>
      <c r="K14" s="6"/>
      <c r="L14" s="6"/>
      <c r="M14" s="6"/>
      <c r="N14" s="5"/>
      <c r="O14" s="6"/>
      <c r="P14" s="5"/>
      <c r="Q14" s="6"/>
      <c r="R14" s="6"/>
      <c r="S14" s="28" t="str">
        <f>IF(A14="","",IF(COUNTIF('32_定義マスター'!$A$4:$A$9,A14)&lt;&gt;1,"Gate ID不正",IF(OR(L14="",L14="未審査"),"未承認",IF(OR(OR(F14="",G14="",H14="",I14="",J14="",K14="",O14="",AE14="",AF14=""),NOT(ISNUMBER(P14))),"判断証拠不足",IF(COUNTIF($F$4:$F$83,F14)&lt;&gt;1,"判断Run ID重複",IF(OR(AND(P14&lt;&gt;"",OR(NOT(ISNUMBER(P14)),IFERROR(P14&lt;1,TRUE),IFERROR(INT(P14)&gt;INT(AsOfDate),TRUE)))),"判断日不正",IF(AND(A14="G3",OR(T14="",U14="",V14="",W14="",X14="")),"公開対象・集合不足","判断記録あり・内容審査別")))))))</f>
        <v/>
      </c>
      <c r="T14" s="29"/>
      <c r="U14" s="29"/>
      <c r="V14" s="29"/>
      <c r="W14" s="29"/>
      <c r="X14" s="29"/>
      <c r="Y14" s="32"/>
      <c r="Z14" s="29"/>
      <c r="AA14" s="28" t="str">
        <f>IF(A14="","",IF(NOT(IFERROR(ISNUMBER(SEARCH("|"&amp;L14&amp;"|",IF(COUNTIF('32_定義マスター'!$A$4:$A$9,A14)&lt;&gt;1,"参照ID不正",IF(INDEX('32_定義マスター'!$F$4:$F$9,MATCH(A14,'32_定義マスター'!$A$4:$A$9,0))="","",INDEX('32_定義マスター'!$F$4:$F$9,MATCH(A14,'32_定義マスター'!$A$4:$A$9,0)))))),FALSE)),"Gate判断不適合",IF(AND(OR(L14="承認",L14="条件付承認",L14="Scale",L14="Continue",L14="廃止完了承認"),OR(I14="不合格",J14="不合格",V14="不合格",I14="FAIL",J14="FAIL",V14="FAIL")),"停止判定と承認が矛盾",IF(AND(OR(L14="承認",L14="条件付承認",L14="Scale",L14="Continue",L14="廃止完了承認"),OR(I14="未判定",J14="未判定",AND(A14="G3",V14="未判定"))),"必要判定未確定",IF(AND(OR(L14="承認",L14="条件付承認",L14="Scale",L14="Continue",L14="廃止完了承認"),OR(AND(I14&lt;&gt;"合格",I14&lt;&gt;"対象外承認"),AND(J14&lt;&gt;"合格",J14&lt;&gt;"対象外承認"),AND(A14="G3",V14&lt;&gt;"合格",V14&lt;&gt;"対象外承認"))),"判定値不正",IF(AND(A14="G4",L14="Scale",OR(COUNTIF('25_事業仮説・実験・GTM'!$Q$4:$Q$15,F14)=0,COUNTIFS('25_事業仮説・実験・GTM'!$Q$4:$Q$15,F14,'25_事業仮説・実験・GTM'!$AF$4:$AF$15,"&lt;&gt;充足")&gt;0,COUNTIFS('25_事業仮説・実験・GTM'!$Q$4:$Q$15,F14,'25_事業仮説・実験・GTM'!$AD$4:$AD$15,"&lt;&gt;拡大可能")&gt;0)),"拡大の行動証拠不足","判定整合"))))))</f>
        <v/>
      </c>
      <c r="AB14" s="28" t="str">
        <f>IF(A14="","",IF(A14&lt;&gt;"G3",IF(A14="G0",IF(OR(COUNTIF('25_事業仮説・実験・GTM'!$Q$4:$Q$15,F14)=0,COUNTIFS('25_事業仮説・実験・GTM'!$Q$4:$Q$15,F14,'25_事業仮説・実験・GTM'!$AE$4:$AE$15,"&lt;&gt;仮説記録あり")&gt;0),"仮説・持越し確認不足","G0仮説記録接続"),IF(A14="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14="",U14="",W14="",X14="",OR(COUNTIFS('30_必須評価セット'!$B$4:$B$153,T14,'30_必須評価セット'!$C$4:$C$153,U14,'30_必須評価セット'!$E$4:$E$153,"E01")=0,COUNTIFS('30_必須評価セット'!$B$4:$B$153,T14,'30_必須評価セット'!$C$4:$C$153,U14,'30_必須評価セット'!$E$4:$E$153,"E02")=0,COUNTIFS('30_必須評価セット'!$B$4:$B$153,T14,'30_必須評価セット'!$C$4:$C$153,U14,'30_必須評価セット'!$E$4:$E$153,"E03")=0,COUNTIFS('30_必須評価セット'!$B$4:$B$153,T14,'30_必須評価セット'!$C$4:$C$153,U14,'30_必須評価セット'!$E$4:$E$153,"E04")=0,COUNTIFS('30_必須評価セット'!$B$4:$B$153,T14,'30_必須評価セット'!$C$4:$C$153,U14,'30_必須評価セット'!$E$4:$E$153,"E05")=0,COUNTIFS('30_必須評価セット'!$B$4:$B$153,T14,'30_必須評価セット'!$C$4:$C$153,U14,'30_必須評価セット'!$E$4:$E$153,"E06")=0,COUNTIFS('30_必須評価セット'!$B$4:$B$153,T14,'30_必須評価セット'!$C$4:$C$153,U14,'30_必須評価セット'!$E$4:$E$153,"E07")=0,COUNTIFS('30_必須評価セット'!$B$4:$B$153,T14,'30_必須評価セット'!$C$4:$C$153,U14,'30_必須評価セット'!$E$4:$E$153,"E08")=0,COUNTIFS('30_必須評価セット'!$B$4:$B$153,T14,'30_必須評価セット'!$C$4:$C$153,U14,'30_必須評価セット'!$E$4:$E$153,"E09")=0,COUNTIFS('30_必須評価セット'!$B$4:$B$153,T14,'30_必須評価セット'!$C$4:$C$153,U14,'30_必須評価セット'!$E$4:$E$153,"E10")=0,COUNTIFS('30_必須評価セット'!$B$4:$B$153,T14,'30_必須評価セット'!$C$4:$C$153,U14,'30_必須評価セット'!$E$4:$E$153,"E11")=0,COUNTIFS('30_必須評価セット'!$B$4:$B$153,T14,'30_必須評価セット'!$C$4:$C$153,U14,'30_必須評価セット'!$E$4:$E$153,"E12")=0,COUNTIFS('30_必須評価セット'!$B$4:$B$153,T14,'30_必須評価セット'!$C$4:$C$153,U14,'30_必須評価セット'!$E$4:$E$153,"E13")=0,COUNTIFS('30_必須評価セット'!$B$4:$B$153,T14,'30_必須評価セット'!$C$4:$C$153,U14,'30_必須評価セット'!$E$4:$E$153,"E14")=0,COUNTIFS('30_必須評価セット'!$B$4:$B$153,T14,'30_必須評価セット'!$C$4:$C$153,U14,'30_必須評価セット'!$E$4:$E$153,"E15")=0,COUNTIFS('30_必須評価セット'!$B$4:$B$153,T14,'30_必須評価セット'!$C$4:$C$153,U14,'30_必須評価セット'!$E$4:$E$153,"E16")=0,COUNTIFS('30_必須評価セット'!$B$4:$B$153,T14,'30_必須評価セット'!$C$4:$C$153,U14,'30_必須評価セット'!$E$4:$E$153,"E17")=0,COUNTIFS('30_必須評価セット'!$B$4:$B$153,T14,'30_必須評価セット'!$C$4:$C$153,U14,'30_必須評価セット'!$E$4:$E$153,"E18")=0)),"必須分類・集合不足",IF(OR(AND('03_AIリスクTier・適用判定'!$B$27="使用",OR('17_ロードマップ・案件実行管理'!$AA$86&lt;&gt;1,NOT(AND(COUNTIFS('30_必須評価セット'!$B$4:$B$153,T14,'30_必須評価セット'!$C$4:$C$153,U14,'30_必須評価セット'!$E$4:$E$153,"E03",'30_必須評価セット'!$F$4:$F$153,"必須")&gt;0,COUNTIFS('30_必須評価セット'!$B$4:$B$153,T14,'30_必須評価セット'!$C$4:$C$153,U14,'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14,'30_必須評価セット'!$C$4:$C$153,U14,'30_必須評価セット'!$E$4:$E$153,"E05",'30_必須評価セット'!$F$4:$F$153,"必須")&gt;0)))),AND('03_AIリスクTier・適用判定'!$B$28="不使用",'17_ロードマップ・案件実行管理'!$W$87&lt;&gt;"除外記録済")),"機能別評価・対象外未完",IF(COUNTIFS('30_必須評価セット'!$B$4:$B$153,T14,'30_必須評価セット'!$C$4:$C$153,U14)&lt;&gt;SUMIFS('30_必須評価セット'!$N$4:$N$153,'30_必須評価セット'!$B$4:$B$153,T14,'30_必須評価セット'!$C$4:$C$153,U14),"必須評価セット未充足","必須評価セット充足"))))))</f>
        <v/>
      </c>
      <c r="AC14" s="28" t="str">
        <f>IF(F14="","",IF(OR(AG14="",AG14="未判定"),"条件有無未判定",IF(AND(AG14="なし",OR(L14="条件付承認",COUNTIF('31_条件・有効性'!$B$4:$B$83,F14)&gt;0)),"条件有無不一致",IF(AND(AG14="条件あり",COUNTIF('31_条件・有効性'!$B$4:$B$83,F14)=0),"Condition未登録",IF(AND(AG14="条件あり",COUNTIF('31_条件・有効性'!$B$4:$B$83,F14)&lt;&gt;(COUNTIFS('31_条件・有効性'!$B$4:$B$83,F14,'31_条件・有効性'!$Q$4:$Q$83,"解消確認済")+COUNTIFS('31_条件・有効性'!$B$4:$B$83,F14,'31_条件・有効性'!$Q$4:$Q$83,"期限内・制約継続"))),"条件失効・定義不備",IF(AND(AG14&lt;&gt;"なし",AG14&lt;&gt;"条件あり"),"条件有無不正","条件整合"))))))</f>
        <v/>
      </c>
      <c r="AD14" s="28" t="str">
        <f t="shared" si="0"/>
        <v/>
      </c>
      <c r="AE14" s="29"/>
      <c r="AF14" s="29"/>
      <c r="AG14" s="29"/>
    </row>
    <row r="15" spans="1:33" ht="78" customHeight="1" x14ac:dyDescent="0.2">
      <c r="A15" s="4"/>
      <c r="B15" s="28" t="str">
        <f>IF(A15="","",IF(COUNTIF('32_定義マスター'!$A$4:$A$9,A15)&lt;&gt;1,"参照ID不正",IF(INDEX('32_定義マスター'!$B$4:$B$9,MATCH(A15,'32_定義マスター'!$A$4:$A$9,0))="","",INDEX('32_定義マスター'!$B$4:$B$9,MATCH(A15,'32_定義マスター'!$A$4:$A$9,0)))))</f>
        <v/>
      </c>
      <c r="C15" s="28" t="str">
        <f>IF(A15="","",IF(COUNTIF('32_定義マスター'!$A$4:$A$9,A15)&lt;&gt;1,"参照ID不正",IF(INDEX('32_定義マスター'!$C$4:$C$9,MATCH(A15,'32_定義マスター'!$A$4:$A$9,0))="","",INDEX('32_定義マスター'!$C$4:$C$9,MATCH(A15,'32_定義マスター'!$A$4:$A$9,0)))))</f>
        <v/>
      </c>
      <c r="D15" s="28" t="str">
        <f>IF(A15="","",IF(COUNTIF('32_定義マスター'!$A$4:$A$9,A15)&lt;&gt;1,"参照ID不正",IF(INDEX('32_定義マスター'!$D$4:$D$9,MATCH(A15,'32_定義マスター'!$A$4:$A$9,0))="","",INDEX('32_定義マスター'!$D$4:$D$9,MATCH(A15,'32_定義マスター'!$A$4:$A$9,0)))))</f>
        <v/>
      </c>
      <c r="E15" s="28" t="str">
        <f>IF(A15="","",IF(COUNTIF('32_定義マスター'!$A$4:$A$9,A15)&lt;&gt;1,"参照ID不正",IF(INDEX('32_定義マスター'!$E$4:$E$9,MATCH(A15,'32_定義マスター'!$A$4:$A$9,0))="","",INDEX('32_定義マスター'!$E$4:$E$9,MATCH(A15,'32_定義マスター'!$A$4:$A$9,0)))))</f>
        <v/>
      </c>
      <c r="F15" s="6"/>
      <c r="G15" s="6"/>
      <c r="H15" s="6"/>
      <c r="I15" s="6"/>
      <c r="J15" s="6"/>
      <c r="K15" s="6"/>
      <c r="L15" s="6"/>
      <c r="M15" s="6"/>
      <c r="N15" s="5"/>
      <c r="O15" s="6"/>
      <c r="P15" s="5"/>
      <c r="Q15" s="6"/>
      <c r="R15" s="6"/>
      <c r="S15" s="28" t="str">
        <f>IF(A15="","",IF(COUNTIF('32_定義マスター'!$A$4:$A$9,A15)&lt;&gt;1,"Gate ID不正",IF(OR(L15="",L15="未審査"),"未承認",IF(OR(OR(F15="",G15="",H15="",I15="",J15="",K15="",O15="",AE15="",AF15=""),NOT(ISNUMBER(P15))),"判断証拠不足",IF(COUNTIF($F$4:$F$83,F15)&lt;&gt;1,"判断Run ID重複",IF(OR(AND(P15&lt;&gt;"",OR(NOT(ISNUMBER(P15)),IFERROR(P15&lt;1,TRUE),IFERROR(INT(P15)&gt;INT(AsOfDate),TRUE)))),"判断日不正",IF(AND(A15="G3",OR(T15="",U15="",V15="",W15="",X15="")),"公開対象・集合不足","判断記録あり・内容審査別")))))))</f>
        <v/>
      </c>
      <c r="T15" s="29"/>
      <c r="U15" s="29"/>
      <c r="V15" s="29"/>
      <c r="W15" s="29"/>
      <c r="X15" s="29"/>
      <c r="Y15" s="32"/>
      <c r="Z15" s="29"/>
      <c r="AA15" s="28" t="str">
        <f>IF(A15="","",IF(NOT(IFERROR(ISNUMBER(SEARCH("|"&amp;L15&amp;"|",IF(COUNTIF('32_定義マスター'!$A$4:$A$9,A15)&lt;&gt;1,"参照ID不正",IF(INDEX('32_定義マスター'!$F$4:$F$9,MATCH(A15,'32_定義マスター'!$A$4:$A$9,0))="","",INDEX('32_定義マスター'!$F$4:$F$9,MATCH(A15,'32_定義マスター'!$A$4:$A$9,0)))))),FALSE)),"Gate判断不適合",IF(AND(OR(L15="承認",L15="条件付承認",L15="Scale",L15="Continue",L15="廃止完了承認"),OR(I15="不合格",J15="不合格",V15="不合格",I15="FAIL",J15="FAIL",V15="FAIL")),"停止判定と承認が矛盾",IF(AND(OR(L15="承認",L15="条件付承認",L15="Scale",L15="Continue",L15="廃止完了承認"),OR(I15="未判定",J15="未判定",AND(A15="G3",V15="未判定"))),"必要判定未確定",IF(AND(OR(L15="承認",L15="条件付承認",L15="Scale",L15="Continue",L15="廃止完了承認"),OR(AND(I15&lt;&gt;"合格",I15&lt;&gt;"対象外承認"),AND(J15&lt;&gt;"合格",J15&lt;&gt;"対象外承認"),AND(A15="G3",V15&lt;&gt;"合格",V15&lt;&gt;"対象外承認"))),"判定値不正",IF(AND(A15="G4",L15="Scale",OR(COUNTIF('25_事業仮説・実験・GTM'!$Q$4:$Q$15,F15)=0,COUNTIFS('25_事業仮説・実験・GTM'!$Q$4:$Q$15,F15,'25_事業仮説・実験・GTM'!$AF$4:$AF$15,"&lt;&gt;充足")&gt;0,COUNTIFS('25_事業仮説・実験・GTM'!$Q$4:$Q$15,F15,'25_事業仮説・実験・GTM'!$AD$4:$AD$15,"&lt;&gt;拡大可能")&gt;0)),"拡大の行動証拠不足","判定整合"))))))</f>
        <v/>
      </c>
      <c r="AB15" s="28" t="str">
        <f>IF(A15="","",IF(A15&lt;&gt;"G3",IF(A15="G0",IF(OR(COUNTIF('25_事業仮説・実験・GTM'!$Q$4:$Q$15,F15)=0,COUNTIFS('25_事業仮説・実験・GTM'!$Q$4:$Q$15,F15,'25_事業仮説・実験・GTM'!$AE$4:$AE$15,"&lt;&gt;仮説記録あり")&gt;0),"仮説・持越し確認不足","G0仮説記録接続"),IF(A15="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15="",U15="",W15="",X15="",OR(COUNTIFS('30_必須評価セット'!$B$4:$B$153,T15,'30_必須評価セット'!$C$4:$C$153,U15,'30_必須評価セット'!$E$4:$E$153,"E01")=0,COUNTIFS('30_必須評価セット'!$B$4:$B$153,T15,'30_必須評価セット'!$C$4:$C$153,U15,'30_必須評価セット'!$E$4:$E$153,"E02")=0,COUNTIFS('30_必須評価セット'!$B$4:$B$153,T15,'30_必須評価セット'!$C$4:$C$153,U15,'30_必須評価セット'!$E$4:$E$153,"E03")=0,COUNTIFS('30_必須評価セット'!$B$4:$B$153,T15,'30_必須評価セット'!$C$4:$C$153,U15,'30_必須評価セット'!$E$4:$E$153,"E04")=0,COUNTIFS('30_必須評価セット'!$B$4:$B$153,T15,'30_必須評価セット'!$C$4:$C$153,U15,'30_必須評価セット'!$E$4:$E$153,"E05")=0,COUNTIFS('30_必須評価セット'!$B$4:$B$153,T15,'30_必須評価セット'!$C$4:$C$153,U15,'30_必須評価セット'!$E$4:$E$153,"E06")=0,COUNTIFS('30_必須評価セット'!$B$4:$B$153,T15,'30_必須評価セット'!$C$4:$C$153,U15,'30_必須評価セット'!$E$4:$E$153,"E07")=0,COUNTIFS('30_必須評価セット'!$B$4:$B$153,T15,'30_必須評価セット'!$C$4:$C$153,U15,'30_必須評価セット'!$E$4:$E$153,"E08")=0,COUNTIFS('30_必須評価セット'!$B$4:$B$153,T15,'30_必須評価セット'!$C$4:$C$153,U15,'30_必須評価セット'!$E$4:$E$153,"E09")=0,COUNTIFS('30_必須評価セット'!$B$4:$B$153,T15,'30_必須評価セット'!$C$4:$C$153,U15,'30_必須評価セット'!$E$4:$E$153,"E10")=0,COUNTIFS('30_必須評価セット'!$B$4:$B$153,T15,'30_必須評価セット'!$C$4:$C$153,U15,'30_必須評価セット'!$E$4:$E$153,"E11")=0,COUNTIFS('30_必須評価セット'!$B$4:$B$153,T15,'30_必須評価セット'!$C$4:$C$153,U15,'30_必須評価セット'!$E$4:$E$153,"E12")=0,COUNTIFS('30_必須評価セット'!$B$4:$B$153,T15,'30_必須評価セット'!$C$4:$C$153,U15,'30_必須評価セット'!$E$4:$E$153,"E13")=0,COUNTIFS('30_必須評価セット'!$B$4:$B$153,T15,'30_必須評価セット'!$C$4:$C$153,U15,'30_必須評価セット'!$E$4:$E$153,"E14")=0,COUNTIFS('30_必須評価セット'!$B$4:$B$153,T15,'30_必須評価セット'!$C$4:$C$153,U15,'30_必須評価セット'!$E$4:$E$153,"E15")=0,COUNTIFS('30_必須評価セット'!$B$4:$B$153,T15,'30_必須評価セット'!$C$4:$C$153,U15,'30_必須評価セット'!$E$4:$E$153,"E16")=0,COUNTIFS('30_必須評価セット'!$B$4:$B$153,T15,'30_必須評価セット'!$C$4:$C$153,U15,'30_必須評価セット'!$E$4:$E$153,"E17")=0,COUNTIFS('30_必須評価セット'!$B$4:$B$153,T15,'30_必須評価セット'!$C$4:$C$153,U15,'30_必須評価セット'!$E$4:$E$153,"E18")=0)),"必須分類・集合不足",IF(OR(AND('03_AIリスクTier・適用判定'!$B$27="使用",OR('17_ロードマップ・案件実行管理'!$AA$86&lt;&gt;1,NOT(AND(COUNTIFS('30_必須評価セット'!$B$4:$B$153,T15,'30_必須評価セット'!$C$4:$C$153,U15,'30_必須評価セット'!$E$4:$E$153,"E03",'30_必須評価セット'!$F$4:$F$153,"必須")&gt;0,COUNTIFS('30_必須評価セット'!$B$4:$B$153,T15,'30_必須評価セット'!$C$4:$C$153,U15,'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15,'30_必須評価セット'!$C$4:$C$153,U15,'30_必須評価セット'!$E$4:$E$153,"E05",'30_必須評価セット'!$F$4:$F$153,"必須")&gt;0)))),AND('03_AIリスクTier・適用判定'!$B$28="不使用",'17_ロードマップ・案件実行管理'!$W$87&lt;&gt;"除外記録済")),"機能別評価・対象外未完",IF(COUNTIFS('30_必須評価セット'!$B$4:$B$153,T15,'30_必須評価セット'!$C$4:$C$153,U15)&lt;&gt;SUMIFS('30_必須評価セット'!$N$4:$N$153,'30_必須評価セット'!$B$4:$B$153,T15,'30_必須評価セット'!$C$4:$C$153,U15),"必須評価セット未充足","必須評価セット充足"))))))</f>
        <v/>
      </c>
      <c r="AC15" s="28" t="str">
        <f>IF(F15="","",IF(OR(AG15="",AG15="未判定"),"条件有無未判定",IF(AND(AG15="なし",OR(L15="条件付承認",COUNTIF('31_条件・有効性'!$B$4:$B$83,F15)&gt;0)),"条件有無不一致",IF(AND(AG15="条件あり",COUNTIF('31_条件・有効性'!$B$4:$B$83,F15)=0),"Condition未登録",IF(AND(AG15="条件あり",COUNTIF('31_条件・有効性'!$B$4:$B$83,F15)&lt;&gt;(COUNTIFS('31_条件・有効性'!$B$4:$B$83,F15,'31_条件・有効性'!$Q$4:$Q$83,"解消確認済")+COUNTIFS('31_条件・有効性'!$B$4:$B$83,F15,'31_条件・有効性'!$Q$4:$Q$83,"期限内・制約継続"))),"条件失効・定義不備",IF(AND(AG15&lt;&gt;"なし",AG15&lt;&gt;"条件あり"),"条件有無不正","条件整合"))))))</f>
        <v/>
      </c>
      <c r="AD15" s="28" t="str">
        <f t="shared" si="0"/>
        <v/>
      </c>
      <c r="AE15" s="29"/>
      <c r="AF15" s="29"/>
      <c r="AG15" s="29"/>
    </row>
    <row r="16" spans="1:33" ht="78" customHeight="1" x14ac:dyDescent="0.2">
      <c r="A16" s="2"/>
      <c r="B16" s="28" t="str">
        <f>IF(A16="","",IF(COUNTIF('32_定義マスター'!$A$4:$A$9,A16)&lt;&gt;1,"参照ID不正",IF(INDEX('32_定義マスター'!$B$4:$B$9,MATCH(A16,'32_定義マスター'!$A$4:$A$9,0))="","",INDEX('32_定義マスター'!$B$4:$B$9,MATCH(A16,'32_定義マスター'!$A$4:$A$9,0)))))</f>
        <v/>
      </c>
      <c r="C16" s="28" t="str">
        <f>IF(A16="","",IF(COUNTIF('32_定義マスター'!$A$4:$A$9,A16)&lt;&gt;1,"参照ID不正",IF(INDEX('32_定義マスター'!$C$4:$C$9,MATCH(A16,'32_定義マスター'!$A$4:$A$9,0))="","",INDEX('32_定義マスター'!$C$4:$C$9,MATCH(A16,'32_定義マスター'!$A$4:$A$9,0)))))</f>
        <v/>
      </c>
      <c r="D16" s="28" t="str">
        <f>IF(A16="","",IF(COUNTIF('32_定義マスター'!$A$4:$A$9,A16)&lt;&gt;1,"参照ID不正",IF(INDEX('32_定義マスター'!$D$4:$D$9,MATCH(A16,'32_定義マスター'!$A$4:$A$9,0))="","",INDEX('32_定義マスター'!$D$4:$D$9,MATCH(A16,'32_定義マスター'!$A$4:$A$9,0)))))</f>
        <v/>
      </c>
      <c r="E16" s="28" t="str">
        <f>IF(A16="","",IF(COUNTIF('32_定義マスター'!$A$4:$A$9,A16)&lt;&gt;1,"参照ID不正",IF(INDEX('32_定義マスター'!$E$4:$E$9,MATCH(A16,'32_定義マスター'!$A$4:$A$9,0))="","",INDEX('32_定義マスター'!$E$4:$E$9,MATCH(A16,'32_定義マスター'!$A$4:$A$9,0)))))</f>
        <v/>
      </c>
      <c r="F16" s="6"/>
      <c r="G16" s="6"/>
      <c r="H16" s="6"/>
      <c r="I16" s="6"/>
      <c r="J16" s="6"/>
      <c r="K16" s="6"/>
      <c r="L16" s="6"/>
      <c r="M16" s="6"/>
      <c r="N16" s="5"/>
      <c r="O16" s="6"/>
      <c r="P16" s="5"/>
      <c r="Q16" s="6"/>
      <c r="R16" s="6"/>
      <c r="S16" s="28" t="str">
        <f>IF(A16="","",IF(COUNTIF('32_定義マスター'!$A$4:$A$9,A16)&lt;&gt;1,"Gate ID不正",IF(OR(L16="",L16="未審査"),"未承認",IF(OR(OR(F16="",G16="",H16="",I16="",J16="",K16="",O16="",AE16="",AF16=""),NOT(ISNUMBER(P16))),"判断証拠不足",IF(COUNTIF($F$4:$F$83,F16)&lt;&gt;1,"判断Run ID重複",IF(OR(AND(P16&lt;&gt;"",OR(NOT(ISNUMBER(P16)),IFERROR(P16&lt;1,TRUE),IFERROR(INT(P16)&gt;INT(AsOfDate),TRUE)))),"判断日不正",IF(AND(A16="G3",OR(T16="",U16="",V16="",W16="",X16="")),"公開対象・集合不足","判断記録あり・内容審査別")))))))</f>
        <v/>
      </c>
      <c r="T16" s="29"/>
      <c r="U16" s="29"/>
      <c r="V16" s="29"/>
      <c r="W16" s="29"/>
      <c r="X16" s="29"/>
      <c r="Y16" s="32"/>
      <c r="Z16" s="29"/>
      <c r="AA16" s="28" t="str">
        <f>IF(A16="","",IF(NOT(IFERROR(ISNUMBER(SEARCH("|"&amp;L16&amp;"|",IF(COUNTIF('32_定義マスター'!$A$4:$A$9,A16)&lt;&gt;1,"参照ID不正",IF(INDEX('32_定義マスター'!$F$4:$F$9,MATCH(A16,'32_定義マスター'!$A$4:$A$9,0))="","",INDEX('32_定義マスター'!$F$4:$F$9,MATCH(A16,'32_定義マスター'!$A$4:$A$9,0)))))),FALSE)),"Gate判断不適合",IF(AND(OR(L16="承認",L16="条件付承認",L16="Scale",L16="Continue",L16="廃止完了承認"),OR(I16="不合格",J16="不合格",V16="不合格",I16="FAIL",J16="FAIL",V16="FAIL")),"停止判定と承認が矛盾",IF(AND(OR(L16="承認",L16="条件付承認",L16="Scale",L16="Continue",L16="廃止完了承認"),OR(I16="未判定",J16="未判定",AND(A16="G3",V16="未判定"))),"必要判定未確定",IF(AND(OR(L16="承認",L16="条件付承認",L16="Scale",L16="Continue",L16="廃止完了承認"),OR(AND(I16&lt;&gt;"合格",I16&lt;&gt;"対象外承認"),AND(J16&lt;&gt;"合格",J16&lt;&gt;"対象外承認"),AND(A16="G3",V16&lt;&gt;"合格",V16&lt;&gt;"対象外承認"))),"判定値不正",IF(AND(A16="G4",L16="Scale",OR(COUNTIF('25_事業仮説・実験・GTM'!$Q$4:$Q$15,F16)=0,COUNTIFS('25_事業仮説・実験・GTM'!$Q$4:$Q$15,F16,'25_事業仮説・実験・GTM'!$AF$4:$AF$15,"&lt;&gt;充足")&gt;0,COUNTIFS('25_事業仮説・実験・GTM'!$Q$4:$Q$15,F16,'25_事業仮説・実験・GTM'!$AD$4:$AD$15,"&lt;&gt;拡大可能")&gt;0)),"拡大の行動証拠不足","判定整合"))))))</f>
        <v/>
      </c>
      <c r="AB16" s="28" t="str">
        <f>IF(A16="","",IF(A16&lt;&gt;"G3",IF(A16="G0",IF(OR(COUNTIF('25_事業仮説・実験・GTM'!$Q$4:$Q$15,F16)=0,COUNTIFS('25_事業仮説・実験・GTM'!$Q$4:$Q$15,F16,'25_事業仮説・実験・GTM'!$AE$4:$AE$15,"&lt;&gt;仮説記録あり")&gt;0),"仮説・持越し確認不足","G0仮説記録接続"),IF(A16="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16="",U16="",W16="",X16="",OR(COUNTIFS('30_必須評価セット'!$B$4:$B$153,T16,'30_必須評価セット'!$C$4:$C$153,U16,'30_必須評価セット'!$E$4:$E$153,"E01")=0,COUNTIFS('30_必須評価セット'!$B$4:$B$153,T16,'30_必須評価セット'!$C$4:$C$153,U16,'30_必須評価セット'!$E$4:$E$153,"E02")=0,COUNTIFS('30_必須評価セット'!$B$4:$B$153,T16,'30_必須評価セット'!$C$4:$C$153,U16,'30_必須評価セット'!$E$4:$E$153,"E03")=0,COUNTIFS('30_必須評価セット'!$B$4:$B$153,T16,'30_必須評価セット'!$C$4:$C$153,U16,'30_必須評価セット'!$E$4:$E$153,"E04")=0,COUNTIFS('30_必須評価セット'!$B$4:$B$153,T16,'30_必須評価セット'!$C$4:$C$153,U16,'30_必須評価セット'!$E$4:$E$153,"E05")=0,COUNTIFS('30_必須評価セット'!$B$4:$B$153,T16,'30_必須評価セット'!$C$4:$C$153,U16,'30_必須評価セット'!$E$4:$E$153,"E06")=0,COUNTIFS('30_必須評価セット'!$B$4:$B$153,T16,'30_必須評価セット'!$C$4:$C$153,U16,'30_必須評価セット'!$E$4:$E$153,"E07")=0,COUNTIFS('30_必須評価セット'!$B$4:$B$153,T16,'30_必須評価セット'!$C$4:$C$153,U16,'30_必須評価セット'!$E$4:$E$153,"E08")=0,COUNTIFS('30_必須評価セット'!$B$4:$B$153,T16,'30_必須評価セット'!$C$4:$C$153,U16,'30_必須評価セット'!$E$4:$E$153,"E09")=0,COUNTIFS('30_必須評価セット'!$B$4:$B$153,T16,'30_必須評価セット'!$C$4:$C$153,U16,'30_必須評価セット'!$E$4:$E$153,"E10")=0,COUNTIFS('30_必須評価セット'!$B$4:$B$153,T16,'30_必須評価セット'!$C$4:$C$153,U16,'30_必須評価セット'!$E$4:$E$153,"E11")=0,COUNTIFS('30_必須評価セット'!$B$4:$B$153,T16,'30_必須評価セット'!$C$4:$C$153,U16,'30_必須評価セット'!$E$4:$E$153,"E12")=0,COUNTIFS('30_必須評価セット'!$B$4:$B$153,T16,'30_必須評価セット'!$C$4:$C$153,U16,'30_必須評価セット'!$E$4:$E$153,"E13")=0,COUNTIFS('30_必須評価セット'!$B$4:$B$153,T16,'30_必須評価セット'!$C$4:$C$153,U16,'30_必須評価セット'!$E$4:$E$153,"E14")=0,COUNTIFS('30_必須評価セット'!$B$4:$B$153,T16,'30_必須評価セット'!$C$4:$C$153,U16,'30_必須評価セット'!$E$4:$E$153,"E15")=0,COUNTIFS('30_必須評価セット'!$B$4:$B$153,T16,'30_必須評価セット'!$C$4:$C$153,U16,'30_必須評価セット'!$E$4:$E$153,"E16")=0,COUNTIFS('30_必須評価セット'!$B$4:$B$153,T16,'30_必須評価セット'!$C$4:$C$153,U16,'30_必須評価セット'!$E$4:$E$153,"E17")=0,COUNTIFS('30_必須評価セット'!$B$4:$B$153,T16,'30_必須評価セット'!$C$4:$C$153,U16,'30_必須評価セット'!$E$4:$E$153,"E18")=0)),"必須分類・集合不足",IF(OR(AND('03_AIリスクTier・適用判定'!$B$27="使用",OR('17_ロードマップ・案件実行管理'!$AA$86&lt;&gt;1,NOT(AND(COUNTIFS('30_必須評価セット'!$B$4:$B$153,T16,'30_必須評価セット'!$C$4:$C$153,U16,'30_必須評価セット'!$E$4:$E$153,"E03",'30_必須評価セット'!$F$4:$F$153,"必須")&gt;0,COUNTIFS('30_必須評価セット'!$B$4:$B$153,T16,'30_必須評価セット'!$C$4:$C$153,U16,'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16,'30_必須評価セット'!$C$4:$C$153,U16,'30_必須評価セット'!$E$4:$E$153,"E05",'30_必須評価セット'!$F$4:$F$153,"必須")&gt;0)))),AND('03_AIリスクTier・適用判定'!$B$28="不使用",'17_ロードマップ・案件実行管理'!$W$87&lt;&gt;"除外記録済")),"機能別評価・対象外未完",IF(COUNTIFS('30_必須評価セット'!$B$4:$B$153,T16,'30_必須評価セット'!$C$4:$C$153,U16)&lt;&gt;SUMIFS('30_必須評価セット'!$N$4:$N$153,'30_必須評価セット'!$B$4:$B$153,T16,'30_必須評価セット'!$C$4:$C$153,U16),"必須評価セット未充足","必須評価セット充足"))))))</f>
        <v/>
      </c>
      <c r="AC16" s="28" t="str">
        <f>IF(F16="","",IF(OR(AG16="",AG16="未判定"),"条件有無未判定",IF(AND(AG16="なし",OR(L16="条件付承認",COUNTIF('31_条件・有効性'!$B$4:$B$83,F16)&gt;0)),"条件有無不一致",IF(AND(AG16="条件あり",COUNTIF('31_条件・有効性'!$B$4:$B$83,F16)=0),"Condition未登録",IF(AND(AG16="条件あり",COUNTIF('31_条件・有効性'!$B$4:$B$83,F16)&lt;&gt;(COUNTIFS('31_条件・有効性'!$B$4:$B$83,F16,'31_条件・有効性'!$Q$4:$Q$83,"解消確認済")+COUNTIFS('31_条件・有効性'!$B$4:$B$83,F16,'31_条件・有効性'!$Q$4:$Q$83,"期限内・制約継続"))),"条件失効・定義不備",IF(AND(AG16&lt;&gt;"なし",AG16&lt;&gt;"条件あり"),"条件有無不正","条件整合"))))))</f>
        <v/>
      </c>
      <c r="AD16" s="28" t="str">
        <f t="shared" si="0"/>
        <v/>
      </c>
      <c r="AE16" s="29"/>
      <c r="AF16" s="29"/>
      <c r="AG16" s="29"/>
    </row>
    <row r="17" spans="1:33" ht="78" customHeight="1" x14ac:dyDescent="0.2">
      <c r="A17" s="4"/>
      <c r="B17" s="28" t="str">
        <f>IF(A17="","",IF(COUNTIF('32_定義マスター'!$A$4:$A$9,A17)&lt;&gt;1,"参照ID不正",IF(INDEX('32_定義マスター'!$B$4:$B$9,MATCH(A17,'32_定義マスター'!$A$4:$A$9,0))="","",INDEX('32_定義マスター'!$B$4:$B$9,MATCH(A17,'32_定義マスター'!$A$4:$A$9,0)))))</f>
        <v/>
      </c>
      <c r="C17" s="28" t="str">
        <f>IF(A17="","",IF(COUNTIF('32_定義マスター'!$A$4:$A$9,A17)&lt;&gt;1,"参照ID不正",IF(INDEX('32_定義マスター'!$C$4:$C$9,MATCH(A17,'32_定義マスター'!$A$4:$A$9,0))="","",INDEX('32_定義マスター'!$C$4:$C$9,MATCH(A17,'32_定義マスター'!$A$4:$A$9,0)))))</f>
        <v/>
      </c>
      <c r="D17" s="28" t="str">
        <f>IF(A17="","",IF(COUNTIF('32_定義マスター'!$A$4:$A$9,A17)&lt;&gt;1,"参照ID不正",IF(INDEX('32_定義マスター'!$D$4:$D$9,MATCH(A17,'32_定義マスター'!$A$4:$A$9,0))="","",INDEX('32_定義マスター'!$D$4:$D$9,MATCH(A17,'32_定義マスター'!$A$4:$A$9,0)))))</f>
        <v/>
      </c>
      <c r="E17" s="28" t="str">
        <f>IF(A17="","",IF(COUNTIF('32_定義マスター'!$A$4:$A$9,A17)&lt;&gt;1,"参照ID不正",IF(INDEX('32_定義マスター'!$E$4:$E$9,MATCH(A17,'32_定義マスター'!$A$4:$A$9,0))="","",INDEX('32_定義マスター'!$E$4:$E$9,MATCH(A17,'32_定義マスター'!$A$4:$A$9,0)))))</f>
        <v/>
      </c>
      <c r="F17" s="6"/>
      <c r="G17" s="6"/>
      <c r="H17" s="6"/>
      <c r="I17" s="6"/>
      <c r="J17" s="6"/>
      <c r="K17" s="6"/>
      <c r="L17" s="6"/>
      <c r="M17" s="6"/>
      <c r="N17" s="5"/>
      <c r="O17" s="6"/>
      <c r="P17" s="5"/>
      <c r="Q17" s="6"/>
      <c r="R17" s="6"/>
      <c r="S17" s="28" t="str">
        <f>IF(A17="","",IF(COUNTIF('32_定義マスター'!$A$4:$A$9,A17)&lt;&gt;1,"Gate ID不正",IF(OR(L17="",L17="未審査"),"未承認",IF(OR(OR(F17="",G17="",H17="",I17="",J17="",K17="",O17="",AE17="",AF17=""),NOT(ISNUMBER(P17))),"判断証拠不足",IF(COUNTIF($F$4:$F$83,F17)&lt;&gt;1,"判断Run ID重複",IF(OR(AND(P17&lt;&gt;"",OR(NOT(ISNUMBER(P17)),IFERROR(P17&lt;1,TRUE),IFERROR(INT(P17)&gt;INT(AsOfDate),TRUE)))),"判断日不正",IF(AND(A17="G3",OR(T17="",U17="",V17="",W17="",X17="")),"公開対象・集合不足","判断記録あり・内容審査別")))))))</f>
        <v/>
      </c>
      <c r="T17" s="29"/>
      <c r="U17" s="29"/>
      <c r="V17" s="29"/>
      <c r="W17" s="29"/>
      <c r="X17" s="29"/>
      <c r="Y17" s="32"/>
      <c r="Z17" s="29"/>
      <c r="AA17" s="28" t="str">
        <f>IF(A17="","",IF(NOT(IFERROR(ISNUMBER(SEARCH("|"&amp;L17&amp;"|",IF(COUNTIF('32_定義マスター'!$A$4:$A$9,A17)&lt;&gt;1,"参照ID不正",IF(INDEX('32_定義マスター'!$F$4:$F$9,MATCH(A17,'32_定義マスター'!$A$4:$A$9,0))="","",INDEX('32_定義マスター'!$F$4:$F$9,MATCH(A17,'32_定義マスター'!$A$4:$A$9,0)))))),FALSE)),"Gate判断不適合",IF(AND(OR(L17="承認",L17="条件付承認",L17="Scale",L17="Continue",L17="廃止完了承認"),OR(I17="不合格",J17="不合格",V17="不合格",I17="FAIL",J17="FAIL",V17="FAIL")),"停止判定と承認が矛盾",IF(AND(OR(L17="承認",L17="条件付承認",L17="Scale",L17="Continue",L17="廃止完了承認"),OR(I17="未判定",J17="未判定",AND(A17="G3",V17="未判定"))),"必要判定未確定",IF(AND(OR(L17="承認",L17="条件付承認",L17="Scale",L17="Continue",L17="廃止完了承認"),OR(AND(I17&lt;&gt;"合格",I17&lt;&gt;"対象外承認"),AND(J17&lt;&gt;"合格",J17&lt;&gt;"対象外承認"),AND(A17="G3",V17&lt;&gt;"合格",V17&lt;&gt;"対象外承認"))),"判定値不正",IF(AND(A17="G4",L17="Scale",OR(COUNTIF('25_事業仮説・実験・GTM'!$Q$4:$Q$15,F17)=0,COUNTIFS('25_事業仮説・実験・GTM'!$Q$4:$Q$15,F17,'25_事業仮説・実験・GTM'!$AF$4:$AF$15,"&lt;&gt;充足")&gt;0,COUNTIFS('25_事業仮説・実験・GTM'!$Q$4:$Q$15,F17,'25_事業仮説・実験・GTM'!$AD$4:$AD$15,"&lt;&gt;拡大可能")&gt;0)),"拡大の行動証拠不足","判定整合"))))))</f>
        <v/>
      </c>
      <c r="AB17" s="28" t="str">
        <f>IF(A17="","",IF(A17&lt;&gt;"G3",IF(A17="G0",IF(OR(COUNTIF('25_事業仮説・実験・GTM'!$Q$4:$Q$15,F17)=0,COUNTIFS('25_事業仮説・実験・GTM'!$Q$4:$Q$15,F17,'25_事業仮説・実験・GTM'!$AE$4:$AE$15,"&lt;&gt;仮説記録あり")&gt;0),"仮説・持越し確認不足","G0仮説記録接続"),IF(A17="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17="",U17="",W17="",X17="",OR(COUNTIFS('30_必須評価セット'!$B$4:$B$153,T17,'30_必須評価セット'!$C$4:$C$153,U17,'30_必須評価セット'!$E$4:$E$153,"E01")=0,COUNTIFS('30_必須評価セット'!$B$4:$B$153,T17,'30_必須評価セット'!$C$4:$C$153,U17,'30_必須評価セット'!$E$4:$E$153,"E02")=0,COUNTIFS('30_必須評価セット'!$B$4:$B$153,T17,'30_必須評価セット'!$C$4:$C$153,U17,'30_必須評価セット'!$E$4:$E$153,"E03")=0,COUNTIFS('30_必須評価セット'!$B$4:$B$153,T17,'30_必須評価セット'!$C$4:$C$153,U17,'30_必須評価セット'!$E$4:$E$153,"E04")=0,COUNTIFS('30_必須評価セット'!$B$4:$B$153,T17,'30_必須評価セット'!$C$4:$C$153,U17,'30_必須評価セット'!$E$4:$E$153,"E05")=0,COUNTIFS('30_必須評価セット'!$B$4:$B$153,T17,'30_必須評価セット'!$C$4:$C$153,U17,'30_必須評価セット'!$E$4:$E$153,"E06")=0,COUNTIFS('30_必須評価セット'!$B$4:$B$153,T17,'30_必須評価セット'!$C$4:$C$153,U17,'30_必須評価セット'!$E$4:$E$153,"E07")=0,COUNTIFS('30_必須評価セット'!$B$4:$B$153,T17,'30_必須評価セット'!$C$4:$C$153,U17,'30_必須評価セット'!$E$4:$E$153,"E08")=0,COUNTIFS('30_必須評価セット'!$B$4:$B$153,T17,'30_必須評価セット'!$C$4:$C$153,U17,'30_必須評価セット'!$E$4:$E$153,"E09")=0,COUNTIFS('30_必須評価セット'!$B$4:$B$153,T17,'30_必須評価セット'!$C$4:$C$153,U17,'30_必須評価セット'!$E$4:$E$153,"E10")=0,COUNTIFS('30_必須評価セット'!$B$4:$B$153,T17,'30_必須評価セット'!$C$4:$C$153,U17,'30_必須評価セット'!$E$4:$E$153,"E11")=0,COUNTIFS('30_必須評価セット'!$B$4:$B$153,T17,'30_必須評価セット'!$C$4:$C$153,U17,'30_必須評価セット'!$E$4:$E$153,"E12")=0,COUNTIFS('30_必須評価セット'!$B$4:$B$153,T17,'30_必須評価セット'!$C$4:$C$153,U17,'30_必須評価セット'!$E$4:$E$153,"E13")=0,COUNTIFS('30_必須評価セット'!$B$4:$B$153,T17,'30_必須評価セット'!$C$4:$C$153,U17,'30_必須評価セット'!$E$4:$E$153,"E14")=0,COUNTIFS('30_必須評価セット'!$B$4:$B$153,T17,'30_必須評価セット'!$C$4:$C$153,U17,'30_必須評価セット'!$E$4:$E$153,"E15")=0,COUNTIFS('30_必須評価セット'!$B$4:$B$153,T17,'30_必須評価セット'!$C$4:$C$153,U17,'30_必須評価セット'!$E$4:$E$153,"E16")=0,COUNTIFS('30_必須評価セット'!$B$4:$B$153,T17,'30_必須評価セット'!$C$4:$C$153,U17,'30_必須評価セット'!$E$4:$E$153,"E17")=0,COUNTIFS('30_必須評価セット'!$B$4:$B$153,T17,'30_必須評価セット'!$C$4:$C$153,U17,'30_必須評価セット'!$E$4:$E$153,"E18")=0)),"必須分類・集合不足",IF(OR(AND('03_AIリスクTier・適用判定'!$B$27="使用",OR('17_ロードマップ・案件実行管理'!$AA$86&lt;&gt;1,NOT(AND(COUNTIFS('30_必須評価セット'!$B$4:$B$153,T17,'30_必須評価セット'!$C$4:$C$153,U17,'30_必須評価セット'!$E$4:$E$153,"E03",'30_必須評価セット'!$F$4:$F$153,"必須")&gt;0,COUNTIFS('30_必須評価セット'!$B$4:$B$153,T17,'30_必須評価セット'!$C$4:$C$153,U17,'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17,'30_必須評価セット'!$C$4:$C$153,U17,'30_必須評価セット'!$E$4:$E$153,"E05",'30_必須評価セット'!$F$4:$F$153,"必須")&gt;0)))),AND('03_AIリスクTier・適用判定'!$B$28="不使用",'17_ロードマップ・案件実行管理'!$W$87&lt;&gt;"除外記録済")),"機能別評価・対象外未完",IF(COUNTIFS('30_必須評価セット'!$B$4:$B$153,T17,'30_必須評価セット'!$C$4:$C$153,U17)&lt;&gt;SUMIFS('30_必須評価セット'!$N$4:$N$153,'30_必須評価セット'!$B$4:$B$153,T17,'30_必須評価セット'!$C$4:$C$153,U17),"必須評価セット未充足","必須評価セット充足"))))))</f>
        <v/>
      </c>
      <c r="AC17" s="28" t="str">
        <f>IF(F17="","",IF(OR(AG17="",AG17="未判定"),"条件有無未判定",IF(AND(AG17="なし",OR(L17="条件付承認",COUNTIF('31_条件・有効性'!$B$4:$B$83,F17)&gt;0)),"条件有無不一致",IF(AND(AG17="条件あり",COUNTIF('31_条件・有効性'!$B$4:$B$83,F17)=0),"Condition未登録",IF(AND(AG17="条件あり",COUNTIF('31_条件・有効性'!$B$4:$B$83,F17)&lt;&gt;(COUNTIFS('31_条件・有効性'!$B$4:$B$83,F17,'31_条件・有効性'!$Q$4:$Q$83,"解消確認済")+COUNTIFS('31_条件・有効性'!$B$4:$B$83,F17,'31_条件・有効性'!$Q$4:$Q$83,"期限内・制約継続"))),"条件失効・定義不備",IF(AND(AG17&lt;&gt;"なし",AG17&lt;&gt;"条件あり"),"条件有無不正","条件整合"))))))</f>
        <v/>
      </c>
      <c r="AD17" s="28" t="str">
        <f t="shared" si="0"/>
        <v/>
      </c>
      <c r="AE17" s="29"/>
      <c r="AF17" s="29"/>
      <c r="AG17" s="29"/>
    </row>
    <row r="18" spans="1:33" ht="78" customHeight="1" x14ac:dyDescent="0.2">
      <c r="A18" s="2"/>
      <c r="B18" s="28" t="str">
        <f>IF(A18="","",IF(COUNTIF('32_定義マスター'!$A$4:$A$9,A18)&lt;&gt;1,"参照ID不正",IF(INDEX('32_定義マスター'!$B$4:$B$9,MATCH(A18,'32_定義マスター'!$A$4:$A$9,0))="","",INDEX('32_定義マスター'!$B$4:$B$9,MATCH(A18,'32_定義マスター'!$A$4:$A$9,0)))))</f>
        <v/>
      </c>
      <c r="C18" s="28" t="str">
        <f>IF(A18="","",IF(COUNTIF('32_定義マスター'!$A$4:$A$9,A18)&lt;&gt;1,"参照ID不正",IF(INDEX('32_定義マスター'!$C$4:$C$9,MATCH(A18,'32_定義マスター'!$A$4:$A$9,0))="","",INDEX('32_定義マスター'!$C$4:$C$9,MATCH(A18,'32_定義マスター'!$A$4:$A$9,0)))))</f>
        <v/>
      </c>
      <c r="D18" s="28" t="str">
        <f>IF(A18="","",IF(COUNTIF('32_定義マスター'!$A$4:$A$9,A18)&lt;&gt;1,"参照ID不正",IF(INDEX('32_定義マスター'!$D$4:$D$9,MATCH(A18,'32_定義マスター'!$A$4:$A$9,0))="","",INDEX('32_定義マスター'!$D$4:$D$9,MATCH(A18,'32_定義マスター'!$A$4:$A$9,0)))))</f>
        <v/>
      </c>
      <c r="E18" s="28" t="str">
        <f>IF(A18="","",IF(COUNTIF('32_定義マスター'!$A$4:$A$9,A18)&lt;&gt;1,"参照ID不正",IF(INDEX('32_定義マスター'!$E$4:$E$9,MATCH(A18,'32_定義マスター'!$A$4:$A$9,0))="","",INDEX('32_定義マスター'!$E$4:$E$9,MATCH(A18,'32_定義マスター'!$A$4:$A$9,0)))))</f>
        <v/>
      </c>
      <c r="F18" s="6"/>
      <c r="G18" s="6"/>
      <c r="H18" s="6"/>
      <c r="I18" s="6"/>
      <c r="J18" s="6"/>
      <c r="K18" s="6"/>
      <c r="L18" s="6"/>
      <c r="M18" s="6"/>
      <c r="N18" s="5"/>
      <c r="O18" s="6"/>
      <c r="P18" s="5"/>
      <c r="Q18" s="6"/>
      <c r="R18" s="6"/>
      <c r="S18" s="28" t="str">
        <f>IF(A18="","",IF(COUNTIF('32_定義マスター'!$A$4:$A$9,A18)&lt;&gt;1,"Gate ID不正",IF(OR(L18="",L18="未審査"),"未承認",IF(OR(OR(F18="",G18="",H18="",I18="",J18="",K18="",O18="",AE18="",AF18=""),NOT(ISNUMBER(P18))),"判断証拠不足",IF(COUNTIF($F$4:$F$83,F18)&lt;&gt;1,"判断Run ID重複",IF(OR(AND(P18&lt;&gt;"",OR(NOT(ISNUMBER(P18)),IFERROR(P18&lt;1,TRUE),IFERROR(INT(P18)&gt;INT(AsOfDate),TRUE)))),"判断日不正",IF(AND(A18="G3",OR(T18="",U18="",V18="",W18="",X18="")),"公開対象・集合不足","判断記録あり・内容審査別")))))))</f>
        <v/>
      </c>
      <c r="T18" s="29"/>
      <c r="U18" s="29"/>
      <c r="V18" s="29"/>
      <c r="W18" s="29"/>
      <c r="X18" s="29"/>
      <c r="Y18" s="32"/>
      <c r="Z18" s="29"/>
      <c r="AA18" s="28" t="str">
        <f>IF(A18="","",IF(NOT(IFERROR(ISNUMBER(SEARCH("|"&amp;L18&amp;"|",IF(COUNTIF('32_定義マスター'!$A$4:$A$9,A18)&lt;&gt;1,"参照ID不正",IF(INDEX('32_定義マスター'!$F$4:$F$9,MATCH(A18,'32_定義マスター'!$A$4:$A$9,0))="","",INDEX('32_定義マスター'!$F$4:$F$9,MATCH(A18,'32_定義マスター'!$A$4:$A$9,0)))))),FALSE)),"Gate判断不適合",IF(AND(OR(L18="承認",L18="条件付承認",L18="Scale",L18="Continue",L18="廃止完了承認"),OR(I18="不合格",J18="不合格",V18="不合格",I18="FAIL",J18="FAIL",V18="FAIL")),"停止判定と承認が矛盾",IF(AND(OR(L18="承認",L18="条件付承認",L18="Scale",L18="Continue",L18="廃止完了承認"),OR(I18="未判定",J18="未判定",AND(A18="G3",V18="未判定"))),"必要判定未確定",IF(AND(OR(L18="承認",L18="条件付承認",L18="Scale",L18="Continue",L18="廃止完了承認"),OR(AND(I18&lt;&gt;"合格",I18&lt;&gt;"対象外承認"),AND(J18&lt;&gt;"合格",J18&lt;&gt;"対象外承認"),AND(A18="G3",V18&lt;&gt;"合格",V18&lt;&gt;"対象外承認"))),"判定値不正",IF(AND(A18="G4",L18="Scale",OR(COUNTIF('25_事業仮説・実験・GTM'!$Q$4:$Q$15,F18)=0,COUNTIFS('25_事業仮説・実験・GTM'!$Q$4:$Q$15,F18,'25_事業仮説・実験・GTM'!$AF$4:$AF$15,"&lt;&gt;充足")&gt;0,COUNTIFS('25_事業仮説・実験・GTM'!$Q$4:$Q$15,F18,'25_事業仮説・実験・GTM'!$AD$4:$AD$15,"&lt;&gt;拡大可能")&gt;0)),"拡大の行動証拠不足","判定整合"))))))</f>
        <v/>
      </c>
      <c r="AB18" s="28" t="str">
        <f>IF(A18="","",IF(A18&lt;&gt;"G3",IF(A18="G0",IF(OR(COUNTIF('25_事業仮説・実験・GTM'!$Q$4:$Q$15,F18)=0,COUNTIFS('25_事業仮説・実験・GTM'!$Q$4:$Q$15,F18,'25_事業仮説・実験・GTM'!$AE$4:$AE$15,"&lt;&gt;仮説記録あり")&gt;0),"仮説・持越し確認不足","G0仮説記録接続"),IF(A18="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18="",U18="",W18="",X18="",OR(COUNTIFS('30_必須評価セット'!$B$4:$B$153,T18,'30_必須評価セット'!$C$4:$C$153,U18,'30_必須評価セット'!$E$4:$E$153,"E01")=0,COUNTIFS('30_必須評価セット'!$B$4:$B$153,T18,'30_必須評価セット'!$C$4:$C$153,U18,'30_必須評価セット'!$E$4:$E$153,"E02")=0,COUNTIFS('30_必須評価セット'!$B$4:$B$153,T18,'30_必須評価セット'!$C$4:$C$153,U18,'30_必須評価セット'!$E$4:$E$153,"E03")=0,COUNTIFS('30_必須評価セット'!$B$4:$B$153,T18,'30_必須評価セット'!$C$4:$C$153,U18,'30_必須評価セット'!$E$4:$E$153,"E04")=0,COUNTIFS('30_必須評価セット'!$B$4:$B$153,T18,'30_必須評価セット'!$C$4:$C$153,U18,'30_必須評価セット'!$E$4:$E$153,"E05")=0,COUNTIFS('30_必須評価セット'!$B$4:$B$153,T18,'30_必須評価セット'!$C$4:$C$153,U18,'30_必須評価セット'!$E$4:$E$153,"E06")=0,COUNTIFS('30_必須評価セット'!$B$4:$B$153,T18,'30_必須評価セット'!$C$4:$C$153,U18,'30_必須評価セット'!$E$4:$E$153,"E07")=0,COUNTIFS('30_必須評価セット'!$B$4:$B$153,T18,'30_必須評価セット'!$C$4:$C$153,U18,'30_必須評価セット'!$E$4:$E$153,"E08")=0,COUNTIFS('30_必須評価セット'!$B$4:$B$153,T18,'30_必須評価セット'!$C$4:$C$153,U18,'30_必須評価セット'!$E$4:$E$153,"E09")=0,COUNTIFS('30_必須評価セット'!$B$4:$B$153,T18,'30_必須評価セット'!$C$4:$C$153,U18,'30_必須評価セット'!$E$4:$E$153,"E10")=0,COUNTIFS('30_必須評価セット'!$B$4:$B$153,T18,'30_必須評価セット'!$C$4:$C$153,U18,'30_必須評価セット'!$E$4:$E$153,"E11")=0,COUNTIFS('30_必須評価セット'!$B$4:$B$153,T18,'30_必須評価セット'!$C$4:$C$153,U18,'30_必須評価セット'!$E$4:$E$153,"E12")=0,COUNTIFS('30_必須評価セット'!$B$4:$B$153,T18,'30_必須評価セット'!$C$4:$C$153,U18,'30_必須評価セット'!$E$4:$E$153,"E13")=0,COUNTIFS('30_必須評価セット'!$B$4:$B$153,T18,'30_必須評価セット'!$C$4:$C$153,U18,'30_必須評価セット'!$E$4:$E$153,"E14")=0,COUNTIFS('30_必須評価セット'!$B$4:$B$153,T18,'30_必須評価セット'!$C$4:$C$153,U18,'30_必須評価セット'!$E$4:$E$153,"E15")=0,COUNTIFS('30_必須評価セット'!$B$4:$B$153,T18,'30_必須評価セット'!$C$4:$C$153,U18,'30_必須評価セット'!$E$4:$E$153,"E16")=0,COUNTIFS('30_必須評価セット'!$B$4:$B$153,T18,'30_必須評価セット'!$C$4:$C$153,U18,'30_必須評価セット'!$E$4:$E$153,"E17")=0,COUNTIFS('30_必須評価セット'!$B$4:$B$153,T18,'30_必須評価セット'!$C$4:$C$153,U18,'30_必須評価セット'!$E$4:$E$153,"E18")=0)),"必須分類・集合不足",IF(OR(AND('03_AIリスクTier・適用判定'!$B$27="使用",OR('17_ロードマップ・案件実行管理'!$AA$86&lt;&gt;1,NOT(AND(COUNTIFS('30_必須評価セット'!$B$4:$B$153,T18,'30_必須評価セット'!$C$4:$C$153,U18,'30_必須評価セット'!$E$4:$E$153,"E03",'30_必須評価セット'!$F$4:$F$153,"必須")&gt;0,COUNTIFS('30_必須評価セット'!$B$4:$B$153,T18,'30_必須評価セット'!$C$4:$C$153,U18,'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18,'30_必須評価セット'!$C$4:$C$153,U18,'30_必須評価セット'!$E$4:$E$153,"E05",'30_必須評価セット'!$F$4:$F$153,"必須")&gt;0)))),AND('03_AIリスクTier・適用判定'!$B$28="不使用",'17_ロードマップ・案件実行管理'!$W$87&lt;&gt;"除外記録済")),"機能別評価・対象外未完",IF(COUNTIFS('30_必須評価セット'!$B$4:$B$153,T18,'30_必須評価セット'!$C$4:$C$153,U18)&lt;&gt;SUMIFS('30_必須評価セット'!$N$4:$N$153,'30_必須評価セット'!$B$4:$B$153,T18,'30_必須評価セット'!$C$4:$C$153,U18),"必須評価セット未充足","必須評価セット充足"))))))</f>
        <v/>
      </c>
      <c r="AC18" s="28" t="str">
        <f>IF(F18="","",IF(OR(AG18="",AG18="未判定"),"条件有無未判定",IF(AND(AG18="なし",OR(L18="条件付承認",COUNTIF('31_条件・有効性'!$B$4:$B$83,F18)&gt;0)),"条件有無不一致",IF(AND(AG18="条件あり",COUNTIF('31_条件・有効性'!$B$4:$B$83,F18)=0),"Condition未登録",IF(AND(AG18="条件あり",COUNTIF('31_条件・有効性'!$B$4:$B$83,F18)&lt;&gt;(COUNTIFS('31_条件・有効性'!$B$4:$B$83,F18,'31_条件・有効性'!$Q$4:$Q$83,"解消確認済")+COUNTIFS('31_条件・有効性'!$B$4:$B$83,F18,'31_条件・有効性'!$Q$4:$Q$83,"期限内・制約継続"))),"条件失効・定義不備",IF(AND(AG18&lt;&gt;"なし",AG18&lt;&gt;"条件あり"),"条件有無不正","条件整合"))))))</f>
        <v/>
      </c>
      <c r="AD18" s="28" t="str">
        <f t="shared" si="0"/>
        <v/>
      </c>
      <c r="AE18" s="29"/>
      <c r="AF18" s="29"/>
      <c r="AG18" s="29"/>
    </row>
    <row r="19" spans="1:33" ht="78" customHeight="1" x14ac:dyDescent="0.2">
      <c r="A19" s="4"/>
      <c r="B19" s="28" t="str">
        <f>IF(A19="","",IF(COUNTIF('32_定義マスター'!$A$4:$A$9,A19)&lt;&gt;1,"参照ID不正",IF(INDEX('32_定義マスター'!$B$4:$B$9,MATCH(A19,'32_定義マスター'!$A$4:$A$9,0))="","",INDEX('32_定義マスター'!$B$4:$B$9,MATCH(A19,'32_定義マスター'!$A$4:$A$9,0)))))</f>
        <v/>
      </c>
      <c r="C19" s="28" t="str">
        <f>IF(A19="","",IF(COUNTIF('32_定義マスター'!$A$4:$A$9,A19)&lt;&gt;1,"参照ID不正",IF(INDEX('32_定義マスター'!$C$4:$C$9,MATCH(A19,'32_定義マスター'!$A$4:$A$9,0))="","",INDEX('32_定義マスター'!$C$4:$C$9,MATCH(A19,'32_定義マスター'!$A$4:$A$9,0)))))</f>
        <v/>
      </c>
      <c r="D19" s="28" t="str">
        <f>IF(A19="","",IF(COUNTIF('32_定義マスター'!$A$4:$A$9,A19)&lt;&gt;1,"参照ID不正",IF(INDEX('32_定義マスター'!$D$4:$D$9,MATCH(A19,'32_定義マスター'!$A$4:$A$9,0))="","",INDEX('32_定義マスター'!$D$4:$D$9,MATCH(A19,'32_定義マスター'!$A$4:$A$9,0)))))</f>
        <v/>
      </c>
      <c r="E19" s="28" t="str">
        <f>IF(A19="","",IF(COUNTIF('32_定義マスター'!$A$4:$A$9,A19)&lt;&gt;1,"参照ID不正",IF(INDEX('32_定義マスター'!$E$4:$E$9,MATCH(A19,'32_定義マスター'!$A$4:$A$9,0))="","",INDEX('32_定義マスター'!$E$4:$E$9,MATCH(A19,'32_定義マスター'!$A$4:$A$9,0)))))</f>
        <v/>
      </c>
      <c r="F19" s="6"/>
      <c r="G19" s="6"/>
      <c r="H19" s="6"/>
      <c r="I19" s="6"/>
      <c r="J19" s="6"/>
      <c r="K19" s="6"/>
      <c r="L19" s="6"/>
      <c r="M19" s="6"/>
      <c r="N19" s="5"/>
      <c r="O19" s="6"/>
      <c r="P19" s="5"/>
      <c r="Q19" s="6"/>
      <c r="R19" s="6"/>
      <c r="S19" s="28" t="str">
        <f>IF(A19="","",IF(COUNTIF('32_定義マスター'!$A$4:$A$9,A19)&lt;&gt;1,"Gate ID不正",IF(OR(L19="",L19="未審査"),"未承認",IF(OR(OR(F19="",G19="",H19="",I19="",J19="",K19="",O19="",AE19="",AF19=""),NOT(ISNUMBER(P19))),"判断証拠不足",IF(COUNTIF($F$4:$F$83,F19)&lt;&gt;1,"判断Run ID重複",IF(OR(AND(P19&lt;&gt;"",OR(NOT(ISNUMBER(P19)),IFERROR(P19&lt;1,TRUE),IFERROR(INT(P19)&gt;INT(AsOfDate),TRUE)))),"判断日不正",IF(AND(A19="G3",OR(T19="",U19="",V19="",W19="",X19="")),"公開対象・集合不足","判断記録あり・内容審査別")))))))</f>
        <v/>
      </c>
      <c r="T19" s="29"/>
      <c r="U19" s="29"/>
      <c r="V19" s="29"/>
      <c r="W19" s="29"/>
      <c r="X19" s="29"/>
      <c r="Y19" s="32"/>
      <c r="Z19" s="29"/>
      <c r="AA19" s="28" t="str">
        <f>IF(A19="","",IF(NOT(IFERROR(ISNUMBER(SEARCH("|"&amp;L19&amp;"|",IF(COUNTIF('32_定義マスター'!$A$4:$A$9,A19)&lt;&gt;1,"参照ID不正",IF(INDEX('32_定義マスター'!$F$4:$F$9,MATCH(A19,'32_定義マスター'!$A$4:$A$9,0))="","",INDEX('32_定義マスター'!$F$4:$F$9,MATCH(A19,'32_定義マスター'!$A$4:$A$9,0)))))),FALSE)),"Gate判断不適合",IF(AND(OR(L19="承認",L19="条件付承認",L19="Scale",L19="Continue",L19="廃止完了承認"),OR(I19="不合格",J19="不合格",V19="不合格",I19="FAIL",J19="FAIL",V19="FAIL")),"停止判定と承認が矛盾",IF(AND(OR(L19="承認",L19="条件付承認",L19="Scale",L19="Continue",L19="廃止完了承認"),OR(I19="未判定",J19="未判定",AND(A19="G3",V19="未判定"))),"必要判定未確定",IF(AND(OR(L19="承認",L19="条件付承認",L19="Scale",L19="Continue",L19="廃止完了承認"),OR(AND(I19&lt;&gt;"合格",I19&lt;&gt;"対象外承認"),AND(J19&lt;&gt;"合格",J19&lt;&gt;"対象外承認"),AND(A19="G3",V19&lt;&gt;"合格",V19&lt;&gt;"対象外承認"))),"判定値不正",IF(AND(A19="G4",L19="Scale",OR(COUNTIF('25_事業仮説・実験・GTM'!$Q$4:$Q$15,F19)=0,COUNTIFS('25_事業仮説・実験・GTM'!$Q$4:$Q$15,F19,'25_事業仮説・実験・GTM'!$AF$4:$AF$15,"&lt;&gt;充足")&gt;0,COUNTIFS('25_事業仮説・実験・GTM'!$Q$4:$Q$15,F19,'25_事業仮説・実験・GTM'!$AD$4:$AD$15,"&lt;&gt;拡大可能")&gt;0)),"拡大の行動証拠不足","判定整合"))))))</f>
        <v/>
      </c>
      <c r="AB19" s="28" t="str">
        <f>IF(A19="","",IF(A19&lt;&gt;"G3",IF(A19="G0",IF(OR(COUNTIF('25_事業仮説・実験・GTM'!$Q$4:$Q$15,F19)=0,COUNTIFS('25_事業仮説・実験・GTM'!$Q$4:$Q$15,F19,'25_事業仮説・実験・GTM'!$AE$4:$AE$15,"&lt;&gt;仮説記録あり")&gt;0),"仮説・持越し確認不足","G0仮説記録接続"),IF(A19="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19="",U19="",W19="",X19="",OR(COUNTIFS('30_必須評価セット'!$B$4:$B$153,T19,'30_必須評価セット'!$C$4:$C$153,U19,'30_必須評価セット'!$E$4:$E$153,"E01")=0,COUNTIFS('30_必須評価セット'!$B$4:$B$153,T19,'30_必須評価セット'!$C$4:$C$153,U19,'30_必須評価セット'!$E$4:$E$153,"E02")=0,COUNTIFS('30_必須評価セット'!$B$4:$B$153,T19,'30_必須評価セット'!$C$4:$C$153,U19,'30_必須評価セット'!$E$4:$E$153,"E03")=0,COUNTIFS('30_必須評価セット'!$B$4:$B$153,T19,'30_必須評価セット'!$C$4:$C$153,U19,'30_必須評価セット'!$E$4:$E$153,"E04")=0,COUNTIFS('30_必須評価セット'!$B$4:$B$153,T19,'30_必須評価セット'!$C$4:$C$153,U19,'30_必須評価セット'!$E$4:$E$153,"E05")=0,COUNTIFS('30_必須評価セット'!$B$4:$B$153,T19,'30_必須評価セット'!$C$4:$C$153,U19,'30_必須評価セット'!$E$4:$E$153,"E06")=0,COUNTIFS('30_必須評価セット'!$B$4:$B$153,T19,'30_必須評価セット'!$C$4:$C$153,U19,'30_必須評価セット'!$E$4:$E$153,"E07")=0,COUNTIFS('30_必須評価セット'!$B$4:$B$153,T19,'30_必須評価セット'!$C$4:$C$153,U19,'30_必須評価セット'!$E$4:$E$153,"E08")=0,COUNTIFS('30_必須評価セット'!$B$4:$B$153,T19,'30_必須評価セット'!$C$4:$C$153,U19,'30_必須評価セット'!$E$4:$E$153,"E09")=0,COUNTIFS('30_必須評価セット'!$B$4:$B$153,T19,'30_必須評価セット'!$C$4:$C$153,U19,'30_必須評価セット'!$E$4:$E$153,"E10")=0,COUNTIFS('30_必須評価セット'!$B$4:$B$153,T19,'30_必須評価セット'!$C$4:$C$153,U19,'30_必須評価セット'!$E$4:$E$153,"E11")=0,COUNTIFS('30_必須評価セット'!$B$4:$B$153,T19,'30_必須評価セット'!$C$4:$C$153,U19,'30_必須評価セット'!$E$4:$E$153,"E12")=0,COUNTIFS('30_必須評価セット'!$B$4:$B$153,T19,'30_必須評価セット'!$C$4:$C$153,U19,'30_必須評価セット'!$E$4:$E$153,"E13")=0,COUNTIFS('30_必須評価セット'!$B$4:$B$153,T19,'30_必須評価セット'!$C$4:$C$153,U19,'30_必須評価セット'!$E$4:$E$153,"E14")=0,COUNTIFS('30_必須評価セット'!$B$4:$B$153,T19,'30_必須評価セット'!$C$4:$C$153,U19,'30_必須評価セット'!$E$4:$E$153,"E15")=0,COUNTIFS('30_必須評価セット'!$B$4:$B$153,T19,'30_必須評価セット'!$C$4:$C$153,U19,'30_必須評価セット'!$E$4:$E$153,"E16")=0,COUNTIFS('30_必須評価セット'!$B$4:$B$153,T19,'30_必須評価セット'!$C$4:$C$153,U19,'30_必須評価セット'!$E$4:$E$153,"E17")=0,COUNTIFS('30_必須評価セット'!$B$4:$B$153,T19,'30_必須評価セット'!$C$4:$C$153,U19,'30_必須評価セット'!$E$4:$E$153,"E18")=0)),"必須分類・集合不足",IF(OR(AND('03_AIリスクTier・適用判定'!$B$27="使用",OR('17_ロードマップ・案件実行管理'!$AA$86&lt;&gt;1,NOT(AND(COUNTIFS('30_必須評価セット'!$B$4:$B$153,T19,'30_必須評価セット'!$C$4:$C$153,U19,'30_必須評価セット'!$E$4:$E$153,"E03",'30_必須評価セット'!$F$4:$F$153,"必須")&gt;0,COUNTIFS('30_必須評価セット'!$B$4:$B$153,T19,'30_必須評価セット'!$C$4:$C$153,U19,'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19,'30_必須評価セット'!$C$4:$C$153,U19,'30_必須評価セット'!$E$4:$E$153,"E05",'30_必須評価セット'!$F$4:$F$153,"必須")&gt;0)))),AND('03_AIリスクTier・適用判定'!$B$28="不使用",'17_ロードマップ・案件実行管理'!$W$87&lt;&gt;"除外記録済")),"機能別評価・対象外未完",IF(COUNTIFS('30_必須評価セット'!$B$4:$B$153,T19,'30_必須評価セット'!$C$4:$C$153,U19)&lt;&gt;SUMIFS('30_必須評価セット'!$N$4:$N$153,'30_必須評価セット'!$B$4:$B$153,T19,'30_必須評価セット'!$C$4:$C$153,U19),"必須評価セット未充足","必須評価セット充足"))))))</f>
        <v/>
      </c>
      <c r="AC19" s="28" t="str">
        <f>IF(F19="","",IF(OR(AG19="",AG19="未判定"),"条件有無未判定",IF(AND(AG19="なし",OR(L19="条件付承認",COUNTIF('31_条件・有効性'!$B$4:$B$83,F19)&gt;0)),"条件有無不一致",IF(AND(AG19="条件あり",COUNTIF('31_条件・有効性'!$B$4:$B$83,F19)=0),"Condition未登録",IF(AND(AG19="条件あり",COUNTIF('31_条件・有効性'!$B$4:$B$83,F19)&lt;&gt;(COUNTIFS('31_条件・有効性'!$B$4:$B$83,F19,'31_条件・有効性'!$Q$4:$Q$83,"解消確認済")+COUNTIFS('31_条件・有効性'!$B$4:$B$83,F19,'31_条件・有効性'!$Q$4:$Q$83,"期限内・制約継続"))),"条件失効・定義不備",IF(AND(AG19&lt;&gt;"なし",AG19&lt;&gt;"条件あり"),"条件有無不正","条件整合"))))))</f>
        <v/>
      </c>
      <c r="AD19" s="28" t="str">
        <f t="shared" si="0"/>
        <v/>
      </c>
      <c r="AE19" s="29"/>
      <c r="AF19" s="29"/>
      <c r="AG19" s="29"/>
    </row>
    <row r="20" spans="1:33" ht="78" customHeight="1" x14ac:dyDescent="0.2">
      <c r="A20" s="2"/>
      <c r="B20" s="28" t="str">
        <f>IF(A20="","",IF(COUNTIF('32_定義マスター'!$A$4:$A$9,A20)&lt;&gt;1,"参照ID不正",IF(INDEX('32_定義マスター'!$B$4:$B$9,MATCH(A20,'32_定義マスター'!$A$4:$A$9,0))="","",INDEX('32_定義マスター'!$B$4:$B$9,MATCH(A20,'32_定義マスター'!$A$4:$A$9,0)))))</f>
        <v/>
      </c>
      <c r="C20" s="28" t="str">
        <f>IF(A20="","",IF(COUNTIF('32_定義マスター'!$A$4:$A$9,A20)&lt;&gt;1,"参照ID不正",IF(INDEX('32_定義マスター'!$C$4:$C$9,MATCH(A20,'32_定義マスター'!$A$4:$A$9,0))="","",INDEX('32_定義マスター'!$C$4:$C$9,MATCH(A20,'32_定義マスター'!$A$4:$A$9,0)))))</f>
        <v/>
      </c>
      <c r="D20" s="28" t="str">
        <f>IF(A20="","",IF(COUNTIF('32_定義マスター'!$A$4:$A$9,A20)&lt;&gt;1,"参照ID不正",IF(INDEX('32_定義マスター'!$D$4:$D$9,MATCH(A20,'32_定義マスター'!$A$4:$A$9,0))="","",INDEX('32_定義マスター'!$D$4:$D$9,MATCH(A20,'32_定義マスター'!$A$4:$A$9,0)))))</f>
        <v/>
      </c>
      <c r="E20" s="28" t="str">
        <f>IF(A20="","",IF(COUNTIF('32_定義マスター'!$A$4:$A$9,A20)&lt;&gt;1,"参照ID不正",IF(INDEX('32_定義マスター'!$E$4:$E$9,MATCH(A20,'32_定義マスター'!$A$4:$A$9,0))="","",INDEX('32_定義マスター'!$E$4:$E$9,MATCH(A20,'32_定義マスター'!$A$4:$A$9,0)))))</f>
        <v/>
      </c>
      <c r="F20" s="6"/>
      <c r="G20" s="6"/>
      <c r="H20" s="6"/>
      <c r="I20" s="6"/>
      <c r="J20" s="6"/>
      <c r="K20" s="6"/>
      <c r="L20" s="6"/>
      <c r="M20" s="6"/>
      <c r="N20" s="5"/>
      <c r="O20" s="6"/>
      <c r="P20" s="5"/>
      <c r="Q20" s="6"/>
      <c r="R20" s="6"/>
      <c r="S20" s="28" t="str">
        <f>IF(A20="","",IF(COUNTIF('32_定義マスター'!$A$4:$A$9,A20)&lt;&gt;1,"Gate ID不正",IF(OR(L20="",L20="未審査"),"未承認",IF(OR(OR(F20="",G20="",H20="",I20="",J20="",K20="",O20="",AE20="",AF20=""),NOT(ISNUMBER(P20))),"判断証拠不足",IF(COUNTIF($F$4:$F$83,F20)&lt;&gt;1,"判断Run ID重複",IF(OR(AND(P20&lt;&gt;"",OR(NOT(ISNUMBER(P20)),IFERROR(P20&lt;1,TRUE),IFERROR(INT(P20)&gt;INT(AsOfDate),TRUE)))),"判断日不正",IF(AND(A20="G3",OR(T20="",U20="",V20="",W20="",X20="")),"公開対象・集合不足","判断記録あり・内容審査別")))))))</f>
        <v/>
      </c>
      <c r="T20" s="29"/>
      <c r="U20" s="29"/>
      <c r="V20" s="29"/>
      <c r="W20" s="29"/>
      <c r="X20" s="29"/>
      <c r="Y20" s="32"/>
      <c r="Z20" s="29"/>
      <c r="AA20" s="28" t="str">
        <f>IF(A20="","",IF(NOT(IFERROR(ISNUMBER(SEARCH("|"&amp;L20&amp;"|",IF(COUNTIF('32_定義マスター'!$A$4:$A$9,A20)&lt;&gt;1,"参照ID不正",IF(INDEX('32_定義マスター'!$F$4:$F$9,MATCH(A20,'32_定義マスター'!$A$4:$A$9,0))="","",INDEX('32_定義マスター'!$F$4:$F$9,MATCH(A20,'32_定義マスター'!$A$4:$A$9,0)))))),FALSE)),"Gate判断不適合",IF(AND(OR(L20="承認",L20="条件付承認",L20="Scale",L20="Continue",L20="廃止完了承認"),OR(I20="不合格",J20="不合格",V20="不合格",I20="FAIL",J20="FAIL",V20="FAIL")),"停止判定と承認が矛盾",IF(AND(OR(L20="承認",L20="条件付承認",L20="Scale",L20="Continue",L20="廃止完了承認"),OR(I20="未判定",J20="未判定",AND(A20="G3",V20="未判定"))),"必要判定未確定",IF(AND(OR(L20="承認",L20="条件付承認",L20="Scale",L20="Continue",L20="廃止完了承認"),OR(AND(I20&lt;&gt;"合格",I20&lt;&gt;"対象外承認"),AND(J20&lt;&gt;"合格",J20&lt;&gt;"対象外承認"),AND(A20="G3",V20&lt;&gt;"合格",V20&lt;&gt;"対象外承認"))),"判定値不正",IF(AND(A20="G4",L20="Scale",OR(COUNTIF('25_事業仮説・実験・GTM'!$Q$4:$Q$15,F20)=0,COUNTIFS('25_事業仮説・実験・GTM'!$Q$4:$Q$15,F20,'25_事業仮説・実験・GTM'!$AF$4:$AF$15,"&lt;&gt;充足")&gt;0,COUNTIFS('25_事業仮説・実験・GTM'!$Q$4:$Q$15,F20,'25_事業仮説・実験・GTM'!$AD$4:$AD$15,"&lt;&gt;拡大可能")&gt;0)),"拡大の行動証拠不足","判定整合"))))))</f>
        <v/>
      </c>
      <c r="AB20" s="28" t="str">
        <f>IF(A20="","",IF(A20&lt;&gt;"G3",IF(A20="G0",IF(OR(COUNTIF('25_事業仮説・実験・GTM'!$Q$4:$Q$15,F20)=0,COUNTIFS('25_事業仮説・実験・GTM'!$Q$4:$Q$15,F20,'25_事業仮説・実験・GTM'!$AE$4:$AE$15,"&lt;&gt;仮説記録あり")&gt;0),"仮説・持越し確認不足","G0仮説記録接続"),IF(A20="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20="",U20="",W20="",X20="",OR(COUNTIFS('30_必須評価セット'!$B$4:$B$153,T20,'30_必須評価セット'!$C$4:$C$153,U20,'30_必須評価セット'!$E$4:$E$153,"E01")=0,COUNTIFS('30_必須評価セット'!$B$4:$B$153,T20,'30_必須評価セット'!$C$4:$C$153,U20,'30_必須評価セット'!$E$4:$E$153,"E02")=0,COUNTIFS('30_必須評価セット'!$B$4:$B$153,T20,'30_必須評価セット'!$C$4:$C$153,U20,'30_必須評価セット'!$E$4:$E$153,"E03")=0,COUNTIFS('30_必須評価セット'!$B$4:$B$153,T20,'30_必須評価セット'!$C$4:$C$153,U20,'30_必須評価セット'!$E$4:$E$153,"E04")=0,COUNTIFS('30_必須評価セット'!$B$4:$B$153,T20,'30_必須評価セット'!$C$4:$C$153,U20,'30_必須評価セット'!$E$4:$E$153,"E05")=0,COUNTIFS('30_必須評価セット'!$B$4:$B$153,T20,'30_必須評価セット'!$C$4:$C$153,U20,'30_必須評価セット'!$E$4:$E$153,"E06")=0,COUNTIFS('30_必須評価セット'!$B$4:$B$153,T20,'30_必須評価セット'!$C$4:$C$153,U20,'30_必須評価セット'!$E$4:$E$153,"E07")=0,COUNTIFS('30_必須評価セット'!$B$4:$B$153,T20,'30_必須評価セット'!$C$4:$C$153,U20,'30_必須評価セット'!$E$4:$E$153,"E08")=0,COUNTIFS('30_必須評価セット'!$B$4:$B$153,T20,'30_必須評価セット'!$C$4:$C$153,U20,'30_必須評価セット'!$E$4:$E$153,"E09")=0,COUNTIFS('30_必須評価セット'!$B$4:$B$153,T20,'30_必須評価セット'!$C$4:$C$153,U20,'30_必須評価セット'!$E$4:$E$153,"E10")=0,COUNTIFS('30_必須評価セット'!$B$4:$B$153,T20,'30_必須評価セット'!$C$4:$C$153,U20,'30_必須評価セット'!$E$4:$E$153,"E11")=0,COUNTIFS('30_必須評価セット'!$B$4:$B$153,T20,'30_必須評価セット'!$C$4:$C$153,U20,'30_必須評価セット'!$E$4:$E$153,"E12")=0,COUNTIFS('30_必須評価セット'!$B$4:$B$153,T20,'30_必須評価セット'!$C$4:$C$153,U20,'30_必須評価セット'!$E$4:$E$153,"E13")=0,COUNTIFS('30_必須評価セット'!$B$4:$B$153,T20,'30_必須評価セット'!$C$4:$C$153,U20,'30_必須評価セット'!$E$4:$E$153,"E14")=0,COUNTIFS('30_必須評価セット'!$B$4:$B$153,T20,'30_必須評価セット'!$C$4:$C$153,U20,'30_必須評価セット'!$E$4:$E$153,"E15")=0,COUNTIFS('30_必須評価セット'!$B$4:$B$153,T20,'30_必須評価セット'!$C$4:$C$153,U20,'30_必須評価セット'!$E$4:$E$153,"E16")=0,COUNTIFS('30_必須評価セット'!$B$4:$B$153,T20,'30_必須評価セット'!$C$4:$C$153,U20,'30_必須評価セット'!$E$4:$E$153,"E17")=0,COUNTIFS('30_必須評価セット'!$B$4:$B$153,T20,'30_必須評価セット'!$C$4:$C$153,U20,'30_必須評価セット'!$E$4:$E$153,"E18")=0)),"必須分類・集合不足",IF(OR(AND('03_AIリスクTier・適用判定'!$B$27="使用",OR('17_ロードマップ・案件実行管理'!$AA$86&lt;&gt;1,NOT(AND(COUNTIFS('30_必須評価セット'!$B$4:$B$153,T20,'30_必須評価セット'!$C$4:$C$153,U20,'30_必須評価セット'!$E$4:$E$153,"E03",'30_必須評価セット'!$F$4:$F$153,"必須")&gt;0,COUNTIFS('30_必須評価セット'!$B$4:$B$153,T20,'30_必須評価セット'!$C$4:$C$153,U20,'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20,'30_必須評価セット'!$C$4:$C$153,U20,'30_必須評価セット'!$E$4:$E$153,"E05",'30_必須評価セット'!$F$4:$F$153,"必須")&gt;0)))),AND('03_AIリスクTier・適用判定'!$B$28="不使用",'17_ロードマップ・案件実行管理'!$W$87&lt;&gt;"除外記録済")),"機能別評価・対象外未完",IF(COUNTIFS('30_必須評価セット'!$B$4:$B$153,T20,'30_必須評価セット'!$C$4:$C$153,U20)&lt;&gt;SUMIFS('30_必須評価セット'!$N$4:$N$153,'30_必須評価セット'!$B$4:$B$153,T20,'30_必須評価セット'!$C$4:$C$153,U20),"必須評価セット未充足","必須評価セット充足"))))))</f>
        <v/>
      </c>
      <c r="AC20" s="28" t="str">
        <f>IF(F20="","",IF(OR(AG20="",AG20="未判定"),"条件有無未判定",IF(AND(AG20="なし",OR(L20="条件付承認",COUNTIF('31_条件・有効性'!$B$4:$B$83,F20)&gt;0)),"条件有無不一致",IF(AND(AG20="条件あり",COUNTIF('31_条件・有効性'!$B$4:$B$83,F20)=0),"Condition未登録",IF(AND(AG20="条件あり",COUNTIF('31_条件・有効性'!$B$4:$B$83,F20)&lt;&gt;(COUNTIFS('31_条件・有効性'!$B$4:$B$83,F20,'31_条件・有効性'!$Q$4:$Q$83,"解消確認済")+COUNTIFS('31_条件・有効性'!$B$4:$B$83,F20,'31_条件・有効性'!$Q$4:$Q$83,"期限内・制約継続"))),"条件失効・定義不備",IF(AND(AG20&lt;&gt;"なし",AG20&lt;&gt;"条件あり"),"条件有無不正","条件整合"))))))</f>
        <v/>
      </c>
      <c r="AD20" s="28" t="str">
        <f t="shared" si="0"/>
        <v/>
      </c>
      <c r="AE20" s="29"/>
      <c r="AF20" s="29"/>
      <c r="AG20" s="29"/>
    </row>
    <row r="21" spans="1:33" ht="78" customHeight="1" x14ac:dyDescent="0.2">
      <c r="A21" s="4"/>
      <c r="B21" s="28" t="str">
        <f>IF(A21="","",IF(COUNTIF('32_定義マスター'!$A$4:$A$9,A21)&lt;&gt;1,"参照ID不正",IF(INDEX('32_定義マスター'!$B$4:$B$9,MATCH(A21,'32_定義マスター'!$A$4:$A$9,0))="","",INDEX('32_定義マスター'!$B$4:$B$9,MATCH(A21,'32_定義マスター'!$A$4:$A$9,0)))))</f>
        <v/>
      </c>
      <c r="C21" s="28" t="str">
        <f>IF(A21="","",IF(COUNTIF('32_定義マスター'!$A$4:$A$9,A21)&lt;&gt;1,"参照ID不正",IF(INDEX('32_定義マスター'!$C$4:$C$9,MATCH(A21,'32_定義マスター'!$A$4:$A$9,0))="","",INDEX('32_定義マスター'!$C$4:$C$9,MATCH(A21,'32_定義マスター'!$A$4:$A$9,0)))))</f>
        <v/>
      </c>
      <c r="D21" s="28" t="str">
        <f>IF(A21="","",IF(COUNTIF('32_定義マスター'!$A$4:$A$9,A21)&lt;&gt;1,"参照ID不正",IF(INDEX('32_定義マスター'!$D$4:$D$9,MATCH(A21,'32_定義マスター'!$A$4:$A$9,0))="","",INDEX('32_定義マスター'!$D$4:$D$9,MATCH(A21,'32_定義マスター'!$A$4:$A$9,0)))))</f>
        <v/>
      </c>
      <c r="E21" s="28" t="str">
        <f>IF(A21="","",IF(COUNTIF('32_定義マスター'!$A$4:$A$9,A21)&lt;&gt;1,"参照ID不正",IF(INDEX('32_定義マスター'!$E$4:$E$9,MATCH(A21,'32_定義マスター'!$A$4:$A$9,0))="","",INDEX('32_定義マスター'!$E$4:$E$9,MATCH(A21,'32_定義マスター'!$A$4:$A$9,0)))))</f>
        <v/>
      </c>
      <c r="F21" s="6"/>
      <c r="G21" s="6"/>
      <c r="H21" s="6"/>
      <c r="I21" s="6"/>
      <c r="J21" s="6"/>
      <c r="K21" s="6"/>
      <c r="L21" s="6"/>
      <c r="M21" s="6"/>
      <c r="N21" s="5"/>
      <c r="O21" s="6"/>
      <c r="P21" s="5"/>
      <c r="Q21" s="6"/>
      <c r="R21" s="6"/>
      <c r="S21" s="28" t="str">
        <f>IF(A21="","",IF(COUNTIF('32_定義マスター'!$A$4:$A$9,A21)&lt;&gt;1,"Gate ID不正",IF(OR(L21="",L21="未審査"),"未承認",IF(OR(OR(F21="",G21="",H21="",I21="",J21="",K21="",O21="",AE21="",AF21=""),NOT(ISNUMBER(P21))),"判断証拠不足",IF(COUNTIF($F$4:$F$83,F21)&lt;&gt;1,"判断Run ID重複",IF(OR(AND(P21&lt;&gt;"",OR(NOT(ISNUMBER(P21)),IFERROR(P21&lt;1,TRUE),IFERROR(INT(P21)&gt;INT(AsOfDate),TRUE)))),"判断日不正",IF(AND(A21="G3",OR(T21="",U21="",V21="",W21="",X21="")),"公開対象・集合不足","判断記録あり・内容審査別")))))))</f>
        <v/>
      </c>
      <c r="T21" s="29"/>
      <c r="U21" s="29"/>
      <c r="V21" s="29"/>
      <c r="W21" s="29"/>
      <c r="X21" s="29"/>
      <c r="Y21" s="32"/>
      <c r="Z21" s="29"/>
      <c r="AA21" s="28" t="str">
        <f>IF(A21="","",IF(NOT(IFERROR(ISNUMBER(SEARCH("|"&amp;L21&amp;"|",IF(COUNTIF('32_定義マスター'!$A$4:$A$9,A21)&lt;&gt;1,"参照ID不正",IF(INDEX('32_定義マスター'!$F$4:$F$9,MATCH(A21,'32_定義マスター'!$A$4:$A$9,0))="","",INDEX('32_定義マスター'!$F$4:$F$9,MATCH(A21,'32_定義マスター'!$A$4:$A$9,0)))))),FALSE)),"Gate判断不適合",IF(AND(OR(L21="承認",L21="条件付承認",L21="Scale",L21="Continue",L21="廃止完了承認"),OR(I21="不合格",J21="不合格",V21="不合格",I21="FAIL",J21="FAIL",V21="FAIL")),"停止判定と承認が矛盾",IF(AND(OR(L21="承認",L21="条件付承認",L21="Scale",L21="Continue",L21="廃止完了承認"),OR(I21="未判定",J21="未判定",AND(A21="G3",V21="未判定"))),"必要判定未確定",IF(AND(OR(L21="承認",L21="条件付承認",L21="Scale",L21="Continue",L21="廃止完了承認"),OR(AND(I21&lt;&gt;"合格",I21&lt;&gt;"対象外承認"),AND(J21&lt;&gt;"合格",J21&lt;&gt;"対象外承認"),AND(A21="G3",V21&lt;&gt;"合格",V21&lt;&gt;"対象外承認"))),"判定値不正",IF(AND(A21="G4",L21="Scale",OR(COUNTIF('25_事業仮説・実験・GTM'!$Q$4:$Q$15,F21)=0,COUNTIFS('25_事業仮説・実験・GTM'!$Q$4:$Q$15,F21,'25_事業仮説・実験・GTM'!$AF$4:$AF$15,"&lt;&gt;充足")&gt;0,COUNTIFS('25_事業仮説・実験・GTM'!$Q$4:$Q$15,F21,'25_事業仮説・実験・GTM'!$AD$4:$AD$15,"&lt;&gt;拡大可能")&gt;0)),"拡大の行動証拠不足","判定整合"))))))</f>
        <v/>
      </c>
      <c r="AB21" s="28" t="str">
        <f>IF(A21="","",IF(A21&lt;&gt;"G3",IF(A21="G0",IF(OR(COUNTIF('25_事業仮説・実験・GTM'!$Q$4:$Q$15,F21)=0,COUNTIFS('25_事業仮説・実験・GTM'!$Q$4:$Q$15,F21,'25_事業仮説・実験・GTM'!$AE$4:$AE$15,"&lt;&gt;仮説記録あり")&gt;0),"仮説・持越し確認不足","G0仮説記録接続"),IF(A21="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21="",U21="",W21="",X21="",OR(COUNTIFS('30_必須評価セット'!$B$4:$B$153,T21,'30_必須評価セット'!$C$4:$C$153,U21,'30_必須評価セット'!$E$4:$E$153,"E01")=0,COUNTIFS('30_必須評価セット'!$B$4:$B$153,T21,'30_必須評価セット'!$C$4:$C$153,U21,'30_必須評価セット'!$E$4:$E$153,"E02")=0,COUNTIFS('30_必須評価セット'!$B$4:$B$153,T21,'30_必須評価セット'!$C$4:$C$153,U21,'30_必須評価セット'!$E$4:$E$153,"E03")=0,COUNTIFS('30_必須評価セット'!$B$4:$B$153,T21,'30_必須評価セット'!$C$4:$C$153,U21,'30_必須評価セット'!$E$4:$E$153,"E04")=0,COUNTIFS('30_必須評価セット'!$B$4:$B$153,T21,'30_必須評価セット'!$C$4:$C$153,U21,'30_必須評価セット'!$E$4:$E$153,"E05")=0,COUNTIFS('30_必須評価セット'!$B$4:$B$153,T21,'30_必須評価セット'!$C$4:$C$153,U21,'30_必須評価セット'!$E$4:$E$153,"E06")=0,COUNTIFS('30_必須評価セット'!$B$4:$B$153,T21,'30_必須評価セット'!$C$4:$C$153,U21,'30_必須評価セット'!$E$4:$E$153,"E07")=0,COUNTIFS('30_必須評価セット'!$B$4:$B$153,T21,'30_必須評価セット'!$C$4:$C$153,U21,'30_必須評価セット'!$E$4:$E$153,"E08")=0,COUNTIFS('30_必須評価セット'!$B$4:$B$153,T21,'30_必須評価セット'!$C$4:$C$153,U21,'30_必須評価セット'!$E$4:$E$153,"E09")=0,COUNTIFS('30_必須評価セット'!$B$4:$B$153,T21,'30_必須評価セット'!$C$4:$C$153,U21,'30_必須評価セット'!$E$4:$E$153,"E10")=0,COUNTIFS('30_必須評価セット'!$B$4:$B$153,T21,'30_必須評価セット'!$C$4:$C$153,U21,'30_必須評価セット'!$E$4:$E$153,"E11")=0,COUNTIFS('30_必須評価セット'!$B$4:$B$153,T21,'30_必須評価セット'!$C$4:$C$153,U21,'30_必須評価セット'!$E$4:$E$153,"E12")=0,COUNTIFS('30_必須評価セット'!$B$4:$B$153,T21,'30_必須評価セット'!$C$4:$C$153,U21,'30_必須評価セット'!$E$4:$E$153,"E13")=0,COUNTIFS('30_必須評価セット'!$B$4:$B$153,T21,'30_必須評価セット'!$C$4:$C$153,U21,'30_必須評価セット'!$E$4:$E$153,"E14")=0,COUNTIFS('30_必須評価セット'!$B$4:$B$153,T21,'30_必須評価セット'!$C$4:$C$153,U21,'30_必須評価セット'!$E$4:$E$153,"E15")=0,COUNTIFS('30_必須評価セット'!$B$4:$B$153,T21,'30_必須評価セット'!$C$4:$C$153,U21,'30_必須評価セット'!$E$4:$E$153,"E16")=0,COUNTIFS('30_必須評価セット'!$B$4:$B$153,T21,'30_必須評価セット'!$C$4:$C$153,U21,'30_必須評価セット'!$E$4:$E$153,"E17")=0,COUNTIFS('30_必須評価セット'!$B$4:$B$153,T21,'30_必須評価セット'!$C$4:$C$153,U21,'30_必須評価セット'!$E$4:$E$153,"E18")=0)),"必須分類・集合不足",IF(OR(AND('03_AIリスクTier・適用判定'!$B$27="使用",OR('17_ロードマップ・案件実行管理'!$AA$86&lt;&gt;1,NOT(AND(COUNTIFS('30_必須評価セット'!$B$4:$B$153,T21,'30_必須評価セット'!$C$4:$C$153,U21,'30_必須評価セット'!$E$4:$E$153,"E03",'30_必須評価セット'!$F$4:$F$153,"必須")&gt;0,COUNTIFS('30_必須評価セット'!$B$4:$B$153,T21,'30_必須評価セット'!$C$4:$C$153,U21,'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21,'30_必須評価セット'!$C$4:$C$153,U21,'30_必須評価セット'!$E$4:$E$153,"E05",'30_必須評価セット'!$F$4:$F$153,"必須")&gt;0)))),AND('03_AIリスクTier・適用判定'!$B$28="不使用",'17_ロードマップ・案件実行管理'!$W$87&lt;&gt;"除外記録済")),"機能別評価・対象外未完",IF(COUNTIFS('30_必須評価セット'!$B$4:$B$153,T21,'30_必須評価セット'!$C$4:$C$153,U21)&lt;&gt;SUMIFS('30_必須評価セット'!$N$4:$N$153,'30_必須評価セット'!$B$4:$B$153,T21,'30_必須評価セット'!$C$4:$C$153,U21),"必須評価セット未充足","必須評価セット充足"))))))</f>
        <v/>
      </c>
      <c r="AC21" s="28" t="str">
        <f>IF(F21="","",IF(OR(AG21="",AG21="未判定"),"条件有無未判定",IF(AND(AG21="なし",OR(L21="条件付承認",COUNTIF('31_条件・有効性'!$B$4:$B$83,F21)&gt;0)),"条件有無不一致",IF(AND(AG21="条件あり",COUNTIF('31_条件・有効性'!$B$4:$B$83,F21)=0),"Condition未登録",IF(AND(AG21="条件あり",COUNTIF('31_条件・有効性'!$B$4:$B$83,F21)&lt;&gt;(COUNTIFS('31_条件・有効性'!$B$4:$B$83,F21,'31_条件・有効性'!$Q$4:$Q$83,"解消確認済")+COUNTIFS('31_条件・有効性'!$B$4:$B$83,F21,'31_条件・有効性'!$Q$4:$Q$83,"期限内・制約継続"))),"条件失効・定義不備",IF(AND(AG21&lt;&gt;"なし",AG21&lt;&gt;"条件あり"),"条件有無不正","条件整合"))))))</f>
        <v/>
      </c>
      <c r="AD21" s="28" t="str">
        <f t="shared" si="0"/>
        <v/>
      </c>
      <c r="AE21" s="29"/>
      <c r="AF21" s="29"/>
      <c r="AG21" s="29"/>
    </row>
    <row r="22" spans="1:33" ht="78" customHeight="1" x14ac:dyDescent="0.2">
      <c r="A22" s="2"/>
      <c r="B22" s="28" t="str">
        <f>IF(A22="","",IF(COUNTIF('32_定義マスター'!$A$4:$A$9,A22)&lt;&gt;1,"参照ID不正",IF(INDEX('32_定義マスター'!$B$4:$B$9,MATCH(A22,'32_定義マスター'!$A$4:$A$9,0))="","",INDEX('32_定義マスター'!$B$4:$B$9,MATCH(A22,'32_定義マスター'!$A$4:$A$9,0)))))</f>
        <v/>
      </c>
      <c r="C22" s="28" t="str">
        <f>IF(A22="","",IF(COUNTIF('32_定義マスター'!$A$4:$A$9,A22)&lt;&gt;1,"参照ID不正",IF(INDEX('32_定義マスター'!$C$4:$C$9,MATCH(A22,'32_定義マスター'!$A$4:$A$9,0))="","",INDEX('32_定義マスター'!$C$4:$C$9,MATCH(A22,'32_定義マスター'!$A$4:$A$9,0)))))</f>
        <v/>
      </c>
      <c r="D22" s="28" t="str">
        <f>IF(A22="","",IF(COUNTIF('32_定義マスター'!$A$4:$A$9,A22)&lt;&gt;1,"参照ID不正",IF(INDEX('32_定義マスター'!$D$4:$D$9,MATCH(A22,'32_定義マスター'!$A$4:$A$9,0))="","",INDEX('32_定義マスター'!$D$4:$D$9,MATCH(A22,'32_定義マスター'!$A$4:$A$9,0)))))</f>
        <v/>
      </c>
      <c r="E22" s="28" t="str">
        <f>IF(A22="","",IF(COUNTIF('32_定義マスター'!$A$4:$A$9,A22)&lt;&gt;1,"参照ID不正",IF(INDEX('32_定義マスター'!$E$4:$E$9,MATCH(A22,'32_定義マスター'!$A$4:$A$9,0))="","",INDEX('32_定義マスター'!$E$4:$E$9,MATCH(A22,'32_定義マスター'!$A$4:$A$9,0)))))</f>
        <v/>
      </c>
      <c r="F22" s="6"/>
      <c r="G22" s="6"/>
      <c r="H22" s="6"/>
      <c r="I22" s="6"/>
      <c r="J22" s="6"/>
      <c r="K22" s="6"/>
      <c r="L22" s="6"/>
      <c r="M22" s="6"/>
      <c r="N22" s="5"/>
      <c r="O22" s="6"/>
      <c r="P22" s="5"/>
      <c r="Q22" s="6"/>
      <c r="R22" s="6"/>
      <c r="S22" s="28" t="str">
        <f>IF(A22="","",IF(COUNTIF('32_定義マスター'!$A$4:$A$9,A22)&lt;&gt;1,"Gate ID不正",IF(OR(L22="",L22="未審査"),"未承認",IF(OR(OR(F22="",G22="",H22="",I22="",J22="",K22="",O22="",AE22="",AF22=""),NOT(ISNUMBER(P22))),"判断証拠不足",IF(COUNTIF($F$4:$F$83,F22)&lt;&gt;1,"判断Run ID重複",IF(OR(AND(P22&lt;&gt;"",OR(NOT(ISNUMBER(P22)),IFERROR(P22&lt;1,TRUE),IFERROR(INT(P22)&gt;INT(AsOfDate),TRUE)))),"判断日不正",IF(AND(A22="G3",OR(T22="",U22="",V22="",W22="",X22="")),"公開対象・集合不足","判断記録あり・内容審査別")))))))</f>
        <v/>
      </c>
      <c r="T22" s="29"/>
      <c r="U22" s="29"/>
      <c r="V22" s="29"/>
      <c r="W22" s="29"/>
      <c r="X22" s="29"/>
      <c r="Y22" s="32"/>
      <c r="Z22" s="29"/>
      <c r="AA22" s="28" t="str">
        <f>IF(A22="","",IF(NOT(IFERROR(ISNUMBER(SEARCH("|"&amp;L22&amp;"|",IF(COUNTIF('32_定義マスター'!$A$4:$A$9,A22)&lt;&gt;1,"参照ID不正",IF(INDEX('32_定義マスター'!$F$4:$F$9,MATCH(A22,'32_定義マスター'!$A$4:$A$9,0))="","",INDEX('32_定義マスター'!$F$4:$F$9,MATCH(A22,'32_定義マスター'!$A$4:$A$9,0)))))),FALSE)),"Gate判断不適合",IF(AND(OR(L22="承認",L22="条件付承認",L22="Scale",L22="Continue",L22="廃止完了承認"),OR(I22="不合格",J22="不合格",V22="不合格",I22="FAIL",J22="FAIL",V22="FAIL")),"停止判定と承認が矛盾",IF(AND(OR(L22="承認",L22="条件付承認",L22="Scale",L22="Continue",L22="廃止完了承認"),OR(I22="未判定",J22="未判定",AND(A22="G3",V22="未判定"))),"必要判定未確定",IF(AND(OR(L22="承認",L22="条件付承認",L22="Scale",L22="Continue",L22="廃止完了承認"),OR(AND(I22&lt;&gt;"合格",I22&lt;&gt;"対象外承認"),AND(J22&lt;&gt;"合格",J22&lt;&gt;"対象外承認"),AND(A22="G3",V22&lt;&gt;"合格",V22&lt;&gt;"対象外承認"))),"判定値不正",IF(AND(A22="G4",L22="Scale",OR(COUNTIF('25_事業仮説・実験・GTM'!$Q$4:$Q$15,F22)=0,COUNTIFS('25_事業仮説・実験・GTM'!$Q$4:$Q$15,F22,'25_事業仮説・実験・GTM'!$AF$4:$AF$15,"&lt;&gt;充足")&gt;0,COUNTIFS('25_事業仮説・実験・GTM'!$Q$4:$Q$15,F22,'25_事業仮説・実験・GTM'!$AD$4:$AD$15,"&lt;&gt;拡大可能")&gt;0)),"拡大の行動証拠不足","判定整合"))))))</f>
        <v/>
      </c>
      <c r="AB22" s="28" t="str">
        <f>IF(A22="","",IF(A22&lt;&gt;"G3",IF(A22="G0",IF(OR(COUNTIF('25_事業仮説・実験・GTM'!$Q$4:$Q$15,F22)=0,COUNTIFS('25_事業仮説・実験・GTM'!$Q$4:$Q$15,F22,'25_事業仮説・実験・GTM'!$AE$4:$AE$15,"&lt;&gt;仮説記録あり")&gt;0),"仮説・持越し確認不足","G0仮説記録接続"),IF(A22="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22="",U22="",W22="",X22="",OR(COUNTIFS('30_必須評価セット'!$B$4:$B$153,T22,'30_必須評価セット'!$C$4:$C$153,U22,'30_必須評価セット'!$E$4:$E$153,"E01")=0,COUNTIFS('30_必須評価セット'!$B$4:$B$153,T22,'30_必須評価セット'!$C$4:$C$153,U22,'30_必須評価セット'!$E$4:$E$153,"E02")=0,COUNTIFS('30_必須評価セット'!$B$4:$B$153,T22,'30_必須評価セット'!$C$4:$C$153,U22,'30_必須評価セット'!$E$4:$E$153,"E03")=0,COUNTIFS('30_必須評価セット'!$B$4:$B$153,T22,'30_必須評価セット'!$C$4:$C$153,U22,'30_必須評価セット'!$E$4:$E$153,"E04")=0,COUNTIFS('30_必須評価セット'!$B$4:$B$153,T22,'30_必須評価セット'!$C$4:$C$153,U22,'30_必須評価セット'!$E$4:$E$153,"E05")=0,COUNTIFS('30_必須評価セット'!$B$4:$B$153,T22,'30_必須評価セット'!$C$4:$C$153,U22,'30_必須評価セット'!$E$4:$E$153,"E06")=0,COUNTIFS('30_必須評価セット'!$B$4:$B$153,T22,'30_必須評価セット'!$C$4:$C$153,U22,'30_必須評価セット'!$E$4:$E$153,"E07")=0,COUNTIFS('30_必須評価セット'!$B$4:$B$153,T22,'30_必須評価セット'!$C$4:$C$153,U22,'30_必須評価セット'!$E$4:$E$153,"E08")=0,COUNTIFS('30_必須評価セット'!$B$4:$B$153,T22,'30_必須評価セット'!$C$4:$C$153,U22,'30_必須評価セット'!$E$4:$E$153,"E09")=0,COUNTIFS('30_必須評価セット'!$B$4:$B$153,T22,'30_必須評価セット'!$C$4:$C$153,U22,'30_必須評価セット'!$E$4:$E$153,"E10")=0,COUNTIFS('30_必須評価セット'!$B$4:$B$153,T22,'30_必須評価セット'!$C$4:$C$153,U22,'30_必須評価セット'!$E$4:$E$153,"E11")=0,COUNTIFS('30_必須評価セット'!$B$4:$B$153,T22,'30_必須評価セット'!$C$4:$C$153,U22,'30_必須評価セット'!$E$4:$E$153,"E12")=0,COUNTIFS('30_必須評価セット'!$B$4:$B$153,T22,'30_必須評価セット'!$C$4:$C$153,U22,'30_必須評価セット'!$E$4:$E$153,"E13")=0,COUNTIFS('30_必須評価セット'!$B$4:$B$153,T22,'30_必須評価セット'!$C$4:$C$153,U22,'30_必須評価セット'!$E$4:$E$153,"E14")=0,COUNTIFS('30_必須評価セット'!$B$4:$B$153,T22,'30_必須評価セット'!$C$4:$C$153,U22,'30_必須評価セット'!$E$4:$E$153,"E15")=0,COUNTIFS('30_必須評価セット'!$B$4:$B$153,T22,'30_必須評価セット'!$C$4:$C$153,U22,'30_必須評価セット'!$E$4:$E$153,"E16")=0,COUNTIFS('30_必須評価セット'!$B$4:$B$153,T22,'30_必須評価セット'!$C$4:$C$153,U22,'30_必須評価セット'!$E$4:$E$153,"E17")=0,COUNTIFS('30_必須評価セット'!$B$4:$B$153,T22,'30_必須評価セット'!$C$4:$C$153,U22,'30_必須評価セット'!$E$4:$E$153,"E18")=0)),"必須分類・集合不足",IF(OR(AND('03_AIリスクTier・適用判定'!$B$27="使用",OR('17_ロードマップ・案件実行管理'!$AA$86&lt;&gt;1,NOT(AND(COUNTIFS('30_必須評価セット'!$B$4:$B$153,T22,'30_必須評価セット'!$C$4:$C$153,U22,'30_必須評価セット'!$E$4:$E$153,"E03",'30_必須評価セット'!$F$4:$F$153,"必須")&gt;0,COUNTIFS('30_必須評価セット'!$B$4:$B$153,T22,'30_必須評価セット'!$C$4:$C$153,U22,'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22,'30_必須評価セット'!$C$4:$C$153,U22,'30_必須評価セット'!$E$4:$E$153,"E05",'30_必須評価セット'!$F$4:$F$153,"必須")&gt;0)))),AND('03_AIリスクTier・適用判定'!$B$28="不使用",'17_ロードマップ・案件実行管理'!$W$87&lt;&gt;"除外記録済")),"機能別評価・対象外未完",IF(COUNTIFS('30_必須評価セット'!$B$4:$B$153,T22,'30_必須評価セット'!$C$4:$C$153,U22)&lt;&gt;SUMIFS('30_必須評価セット'!$N$4:$N$153,'30_必須評価セット'!$B$4:$B$153,T22,'30_必須評価セット'!$C$4:$C$153,U22),"必須評価セット未充足","必須評価セット充足"))))))</f>
        <v/>
      </c>
      <c r="AC22" s="28" t="str">
        <f>IF(F22="","",IF(OR(AG22="",AG22="未判定"),"条件有無未判定",IF(AND(AG22="なし",OR(L22="条件付承認",COUNTIF('31_条件・有効性'!$B$4:$B$83,F22)&gt;0)),"条件有無不一致",IF(AND(AG22="条件あり",COUNTIF('31_条件・有効性'!$B$4:$B$83,F22)=0),"Condition未登録",IF(AND(AG22="条件あり",COUNTIF('31_条件・有効性'!$B$4:$B$83,F22)&lt;&gt;(COUNTIFS('31_条件・有効性'!$B$4:$B$83,F22,'31_条件・有効性'!$Q$4:$Q$83,"解消確認済")+COUNTIFS('31_条件・有効性'!$B$4:$B$83,F22,'31_条件・有効性'!$Q$4:$Q$83,"期限内・制約継続"))),"条件失効・定義不備",IF(AND(AG22&lt;&gt;"なし",AG22&lt;&gt;"条件あり"),"条件有無不正","条件整合"))))))</f>
        <v/>
      </c>
      <c r="AD22" s="28" t="str">
        <f t="shared" si="0"/>
        <v/>
      </c>
      <c r="AE22" s="29"/>
      <c r="AF22" s="29"/>
      <c r="AG22" s="29"/>
    </row>
    <row r="23" spans="1:33" ht="78" customHeight="1" x14ac:dyDescent="0.2">
      <c r="A23" s="4"/>
      <c r="B23" s="28" t="str">
        <f>IF(A23="","",IF(COUNTIF('32_定義マスター'!$A$4:$A$9,A23)&lt;&gt;1,"参照ID不正",IF(INDEX('32_定義マスター'!$B$4:$B$9,MATCH(A23,'32_定義マスター'!$A$4:$A$9,0))="","",INDEX('32_定義マスター'!$B$4:$B$9,MATCH(A23,'32_定義マスター'!$A$4:$A$9,0)))))</f>
        <v/>
      </c>
      <c r="C23" s="28" t="str">
        <f>IF(A23="","",IF(COUNTIF('32_定義マスター'!$A$4:$A$9,A23)&lt;&gt;1,"参照ID不正",IF(INDEX('32_定義マスター'!$C$4:$C$9,MATCH(A23,'32_定義マスター'!$A$4:$A$9,0))="","",INDEX('32_定義マスター'!$C$4:$C$9,MATCH(A23,'32_定義マスター'!$A$4:$A$9,0)))))</f>
        <v/>
      </c>
      <c r="D23" s="28" t="str">
        <f>IF(A23="","",IF(COUNTIF('32_定義マスター'!$A$4:$A$9,A23)&lt;&gt;1,"参照ID不正",IF(INDEX('32_定義マスター'!$D$4:$D$9,MATCH(A23,'32_定義マスター'!$A$4:$A$9,0))="","",INDEX('32_定義マスター'!$D$4:$D$9,MATCH(A23,'32_定義マスター'!$A$4:$A$9,0)))))</f>
        <v/>
      </c>
      <c r="E23" s="28" t="str">
        <f>IF(A23="","",IF(COUNTIF('32_定義マスター'!$A$4:$A$9,A23)&lt;&gt;1,"参照ID不正",IF(INDEX('32_定義マスター'!$E$4:$E$9,MATCH(A23,'32_定義マスター'!$A$4:$A$9,0))="","",INDEX('32_定義マスター'!$E$4:$E$9,MATCH(A23,'32_定義マスター'!$A$4:$A$9,0)))))</f>
        <v/>
      </c>
      <c r="F23" s="6"/>
      <c r="G23" s="6"/>
      <c r="H23" s="6"/>
      <c r="I23" s="6"/>
      <c r="J23" s="6"/>
      <c r="K23" s="6"/>
      <c r="L23" s="6"/>
      <c r="M23" s="6"/>
      <c r="N23" s="5"/>
      <c r="O23" s="6"/>
      <c r="P23" s="5"/>
      <c r="Q23" s="6"/>
      <c r="R23" s="6"/>
      <c r="S23" s="28" t="str">
        <f>IF(A23="","",IF(COUNTIF('32_定義マスター'!$A$4:$A$9,A23)&lt;&gt;1,"Gate ID不正",IF(OR(L23="",L23="未審査"),"未承認",IF(OR(OR(F23="",G23="",H23="",I23="",J23="",K23="",O23="",AE23="",AF23=""),NOT(ISNUMBER(P23))),"判断証拠不足",IF(COUNTIF($F$4:$F$83,F23)&lt;&gt;1,"判断Run ID重複",IF(OR(AND(P23&lt;&gt;"",OR(NOT(ISNUMBER(P23)),IFERROR(P23&lt;1,TRUE),IFERROR(INT(P23)&gt;INT(AsOfDate),TRUE)))),"判断日不正",IF(AND(A23="G3",OR(T23="",U23="",V23="",W23="",X23="")),"公開対象・集合不足","判断記録あり・内容審査別")))))))</f>
        <v/>
      </c>
      <c r="T23" s="29"/>
      <c r="U23" s="29"/>
      <c r="V23" s="29"/>
      <c r="W23" s="29"/>
      <c r="X23" s="29"/>
      <c r="Y23" s="32"/>
      <c r="Z23" s="29"/>
      <c r="AA23" s="28" t="str">
        <f>IF(A23="","",IF(NOT(IFERROR(ISNUMBER(SEARCH("|"&amp;L23&amp;"|",IF(COUNTIF('32_定義マスター'!$A$4:$A$9,A23)&lt;&gt;1,"参照ID不正",IF(INDEX('32_定義マスター'!$F$4:$F$9,MATCH(A23,'32_定義マスター'!$A$4:$A$9,0))="","",INDEX('32_定義マスター'!$F$4:$F$9,MATCH(A23,'32_定義マスター'!$A$4:$A$9,0)))))),FALSE)),"Gate判断不適合",IF(AND(OR(L23="承認",L23="条件付承認",L23="Scale",L23="Continue",L23="廃止完了承認"),OR(I23="不合格",J23="不合格",V23="不合格",I23="FAIL",J23="FAIL",V23="FAIL")),"停止判定と承認が矛盾",IF(AND(OR(L23="承認",L23="条件付承認",L23="Scale",L23="Continue",L23="廃止完了承認"),OR(I23="未判定",J23="未判定",AND(A23="G3",V23="未判定"))),"必要判定未確定",IF(AND(OR(L23="承認",L23="条件付承認",L23="Scale",L23="Continue",L23="廃止完了承認"),OR(AND(I23&lt;&gt;"合格",I23&lt;&gt;"対象外承認"),AND(J23&lt;&gt;"合格",J23&lt;&gt;"対象外承認"),AND(A23="G3",V23&lt;&gt;"合格",V23&lt;&gt;"対象外承認"))),"判定値不正",IF(AND(A23="G4",L23="Scale",OR(COUNTIF('25_事業仮説・実験・GTM'!$Q$4:$Q$15,F23)=0,COUNTIFS('25_事業仮説・実験・GTM'!$Q$4:$Q$15,F23,'25_事業仮説・実験・GTM'!$AF$4:$AF$15,"&lt;&gt;充足")&gt;0,COUNTIFS('25_事業仮説・実験・GTM'!$Q$4:$Q$15,F23,'25_事業仮説・実験・GTM'!$AD$4:$AD$15,"&lt;&gt;拡大可能")&gt;0)),"拡大の行動証拠不足","判定整合"))))))</f>
        <v/>
      </c>
      <c r="AB23" s="28" t="str">
        <f>IF(A23="","",IF(A23&lt;&gt;"G3",IF(A23="G0",IF(OR(COUNTIF('25_事業仮説・実験・GTM'!$Q$4:$Q$15,F23)=0,COUNTIFS('25_事業仮説・実験・GTM'!$Q$4:$Q$15,F23,'25_事業仮説・実験・GTM'!$AE$4:$AE$15,"&lt;&gt;仮説記録あり")&gt;0),"仮説・持越し確認不足","G0仮説記録接続"),IF(A23="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23="",U23="",W23="",X23="",OR(COUNTIFS('30_必須評価セット'!$B$4:$B$153,T23,'30_必須評価セット'!$C$4:$C$153,U23,'30_必須評価セット'!$E$4:$E$153,"E01")=0,COUNTIFS('30_必須評価セット'!$B$4:$B$153,T23,'30_必須評価セット'!$C$4:$C$153,U23,'30_必須評価セット'!$E$4:$E$153,"E02")=0,COUNTIFS('30_必須評価セット'!$B$4:$B$153,T23,'30_必須評価セット'!$C$4:$C$153,U23,'30_必須評価セット'!$E$4:$E$153,"E03")=0,COUNTIFS('30_必須評価セット'!$B$4:$B$153,T23,'30_必須評価セット'!$C$4:$C$153,U23,'30_必須評価セット'!$E$4:$E$153,"E04")=0,COUNTIFS('30_必須評価セット'!$B$4:$B$153,T23,'30_必須評価セット'!$C$4:$C$153,U23,'30_必須評価セット'!$E$4:$E$153,"E05")=0,COUNTIFS('30_必須評価セット'!$B$4:$B$153,T23,'30_必須評価セット'!$C$4:$C$153,U23,'30_必須評価セット'!$E$4:$E$153,"E06")=0,COUNTIFS('30_必須評価セット'!$B$4:$B$153,T23,'30_必須評価セット'!$C$4:$C$153,U23,'30_必須評価セット'!$E$4:$E$153,"E07")=0,COUNTIFS('30_必須評価セット'!$B$4:$B$153,T23,'30_必須評価セット'!$C$4:$C$153,U23,'30_必須評価セット'!$E$4:$E$153,"E08")=0,COUNTIFS('30_必須評価セット'!$B$4:$B$153,T23,'30_必須評価セット'!$C$4:$C$153,U23,'30_必須評価セット'!$E$4:$E$153,"E09")=0,COUNTIFS('30_必須評価セット'!$B$4:$B$153,T23,'30_必須評価セット'!$C$4:$C$153,U23,'30_必須評価セット'!$E$4:$E$153,"E10")=0,COUNTIFS('30_必須評価セット'!$B$4:$B$153,T23,'30_必須評価セット'!$C$4:$C$153,U23,'30_必須評価セット'!$E$4:$E$153,"E11")=0,COUNTIFS('30_必須評価セット'!$B$4:$B$153,T23,'30_必須評価セット'!$C$4:$C$153,U23,'30_必須評価セット'!$E$4:$E$153,"E12")=0,COUNTIFS('30_必須評価セット'!$B$4:$B$153,T23,'30_必須評価セット'!$C$4:$C$153,U23,'30_必須評価セット'!$E$4:$E$153,"E13")=0,COUNTIFS('30_必須評価セット'!$B$4:$B$153,T23,'30_必須評価セット'!$C$4:$C$153,U23,'30_必須評価セット'!$E$4:$E$153,"E14")=0,COUNTIFS('30_必須評価セット'!$B$4:$B$153,T23,'30_必須評価セット'!$C$4:$C$153,U23,'30_必須評価セット'!$E$4:$E$153,"E15")=0,COUNTIFS('30_必須評価セット'!$B$4:$B$153,T23,'30_必須評価セット'!$C$4:$C$153,U23,'30_必須評価セット'!$E$4:$E$153,"E16")=0,COUNTIFS('30_必須評価セット'!$B$4:$B$153,T23,'30_必須評価セット'!$C$4:$C$153,U23,'30_必須評価セット'!$E$4:$E$153,"E17")=0,COUNTIFS('30_必須評価セット'!$B$4:$B$153,T23,'30_必須評価セット'!$C$4:$C$153,U23,'30_必須評価セット'!$E$4:$E$153,"E18")=0)),"必須分類・集合不足",IF(OR(AND('03_AIリスクTier・適用判定'!$B$27="使用",OR('17_ロードマップ・案件実行管理'!$AA$86&lt;&gt;1,NOT(AND(COUNTIFS('30_必須評価セット'!$B$4:$B$153,T23,'30_必須評価セット'!$C$4:$C$153,U23,'30_必須評価セット'!$E$4:$E$153,"E03",'30_必須評価セット'!$F$4:$F$153,"必須")&gt;0,COUNTIFS('30_必須評価セット'!$B$4:$B$153,T23,'30_必須評価セット'!$C$4:$C$153,U23,'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23,'30_必須評価セット'!$C$4:$C$153,U23,'30_必須評価セット'!$E$4:$E$153,"E05",'30_必須評価セット'!$F$4:$F$153,"必須")&gt;0)))),AND('03_AIリスクTier・適用判定'!$B$28="不使用",'17_ロードマップ・案件実行管理'!$W$87&lt;&gt;"除外記録済")),"機能別評価・対象外未完",IF(COUNTIFS('30_必須評価セット'!$B$4:$B$153,T23,'30_必須評価セット'!$C$4:$C$153,U23)&lt;&gt;SUMIFS('30_必須評価セット'!$N$4:$N$153,'30_必須評価セット'!$B$4:$B$153,T23,'30_必須評価セット'!$C$4:$C$153,U23),"必須評価セット未充足","必須評価セット充足"))))))</f>
        <v/>
      </c>
      <c r="AC23" s="28" t="str">
        <f>IF(F23="","",IF(OR(AG23="",AG23="未判定"),"条件有無未判定",IF(AND(AG23="なし",OR(L23="条件付承認",COUNTIF('31_条件・有効性'!$B$4:$B$83,F23)&gt;0)),"条件有無不一致",IF(AND(AG23="条件あり",COUNTIF('31_条件・有効性'!$B$4:$B$83,F23)=0),"Condition未登録",IF(AND(AG23="条件あり",COUNTIF('31_条件・有効性'!$B$4:$B$83,F23)&lt;&gt;(COUNTIFS('31_条件・有効性'!$B$4:$B$83,F23,'31_条件・有効性'!$Q$4:$Q$83,"解消確認済")+COUNTIFS('31_条件・有効性'!$B$4:$B$83,F23,'31_条件・有効性'!$Q$4:$Q$83,"期限内・制約継続"))),"条件失効・定義不備",IF(AND(AG23&lt;&gt;"なし",AG23&lt;&gt;"条件あり"),"条件有無不正","条件整合"))))))</f>
        <v/>
      </c>
      <c r="AD23" s="28" t="str">
        <f t="shared" si="0"/>
        <v/>
      </c>
      <c r="AE23" s="29"/>
      <c r="AF23" s="29"/>
      <c r="AG23" s="29"/>
    </row>
    <row r="24" spans="1:33" ht="78" customHeight="1" x14ac:dyDescent="0.2">
      <c r="A24" s="2"/>
      <c r="B24" s="28" t="str">
        <f>IF(A24="","",IF(COUNTIF('32_定義マスター'!$A$4:$A$9,A24)&lt;&gt;1,"参照ID不正",IF(INDEX('32_定義マスター'!$B$4:$B$9,MATCH(A24,'32_定義マスター'!$A$4:$A$9,0))="","",INDEX('32_定義マスター'!$B$4:$B$9,MATCH(A24,'32_定義マスター'!$A$4:$A$9,0)))))</f>
        <v/>
      </c>
      <c r="C24" s="28" t="str">
        <f>IF(A24="","",IF(COUNTIF('32_定義マスター'!$A$4:$A$9,A24)&lt;&gt;1,"参照ID不正",IF(INDEX('32_定義マスター'!$C$4:$C$9,MATCH(A24,'32_定義マスター'!$A$4:$A$9,0))="","",INDEX('32_定義マスター'!$C$4:$C$9,MATCH(A24,'32_定義マスター'!$A$4:$A$9,0)))))</f>
        <v/>
      </c>
      <c r="D24" s="28" t="str">
        <f>IF(A24="","",IF(COUNTIF('32_定義マスター'!$A$4:$A$9,A24)&lt;&gt;1,"参照ID不正",IF(INDEX('32_定義マスター'!$D$4:$D$9,MATCH(A24,'32_定義マスター'!$A$4:$A$9,0))="","",INDEX('32_定義マスター'!$D$4:$D$9,MATCH(A24,'32_定義マスター'!$A$4:$A$9,0)))))</f>
        <v/>
      </c>
      <c r="E24" s="28" t="str">
        <f>IF(A24="","",IF(COUNTIF('32_定義マスター'!$A$4:$A$9,A24)&lt;&gt;1,"参照ID不正",IF(INDEX('32_定義マスター'!$E$4:$E$9,MATCH(A24,'32_定義マスター'!$A$4:$A$9,0))="","",INDEX('32_定義マスター'!$E$4:$E$9,MATCH(A24,'32_定義マスター'!$A$4:$A$9,0)))))</f>
        <v/>
      </c>
      <c r="F24" s="6"/>
      <c r="G24" s="6"/>
      <c r="H24" s="6"/>
      <c r="I24" s="6"/>
      <c r="J24" s="6"/>
      <c r="K24" s="6"/>
      <c r="L24" s="6"/>
      <c r="M24" s="6"/>
      <c r="N24" s="5"/>
      <c r="O24" s="6"/>
      <c r="P24" s="5"/>
      <c r="Q24" s="6"/>
      <c r="R24" s="6"/>
      <c r="S24" s="28" t="str">
        <f>IF(A24="","",IF(COUNTIF('32_定義マスター'!$A$4:$A$9,A24)&lt;&gt;1,"Gate ID不正",IF(OR(L24="",L24="未審査"),"未承認",IF(OR(OR(F24="",G24="",H24="",I24="",J24="",K24="",O24="",AE24="",AF24=""),NOT(ISNUMBER(P24))),"判断証拠不足",IF(COUNTIF($F$4:$F$83,F24)&lt;&gt;1,"判断Run ID重複",IF(OR(AND(P24&lt;&gt;"",OR(NOT(ISNUMBER(P24)),IFERROR(P24&lt;1,TRUE),IFERROR(INT(P24)&gt;INT(AsOfDate),TRUE)))),"判断日不正",IF(AND(A24="G3",OR(T24="",U24="",V24="",W24="",X24="")),"公開対象・集合不足","判断記録あり・内容審査別")))))))</f>
        <v/>
      </c>
      <c r="T24" s="29"/>
      <c r="U24" s="29"/>
      <c r="V24" s="29"/>
      <c r="W24" s="29"/>
      <c r="X24" s="29"/>
      <c r="Y24" s="32"/>
      <c r="Z24" s="29"/>
      <c r="AA24" s="28" t="str">
        <f>IF(A24="","",IF(NOT(IFERROR(ISNUMBER(SEARCH("|"&amp;L24&amp;"|",IF(COUNTIF('32_定義マスター'!$A$4:$A$9,A24)&lt;&gt;1,"参照ID不正",IF(INDEX('32_定義マスター'!$F$4:$F$9,MATCH(A24,'32_定義マスター'!$A$4:$A$9,0))="","",INDEX('32_定義マスター'!$F$4:$F$9,MATCH(A24,'32_定義マスター'!$A$4:$A$9,0)))))),FALSE)),"Gate判断不適合",IF(AND(OR(L24="承認",L24="条件付承認",L24="Scale",L24="Continue",L24="廃止完了承認"),OR(I24="不合格",J24="不合格",V24="不合格",I24="FAIL",J24="FAIL",V24="FAIL")),"停止判定と承認が矛盾",IF(AND(OR(L24="承認",L24="条件付承認",L24="Scale",L24="Continue",L24="廃止完了承認"),OR(I24="未判定",J24="未判定",AND(A24="G3",V24="未判定"))),"必要判定未確定",IF(AND(OR(L24="承認",L24="条件付承認",L24="Scale",L24="Continue",L24="廃止完了承認"),OR(AND(I24&lt;&gt;"合格",I24&lt;&gt;"対象外承認"),AND(J24&lt;&gt;"合格",J24&lt;&gt;"対象外承認"),AND(A24="G3",V24&lt;&gt;"合格",V24&lt;&gt;"対象外承認"))),"判定値不正",IF(AND(A24="G4",L24="Scale",OR(COUNTIF('25_事業仮説・実験・GTM'!$Q$4:$Q$15,F24)=0,COUNTIFS('25_事業仮説・実験・GTM'!$Q$4:$Q$15,F24,'25_事業仮説・実験・GTM'!$AF$4:$AF$15,"&lt;&gt;充足")&gt;0,COUNTIFS('25_事業仮説・実験・GTM'!$Q$4:$Q$15,F24,'25_事業仮説・実験・GTM'!$AD$4:$AD$15,"&lt;&gt;拡大可能")&gt;0)),"拡大の行動証拠不足","判定整合"))))))</f>
        <v/>
      </c>
      <c r="AB24" s="28" t="str">
        <f>IF(A24="","",IF(A24&lt;&gt;"G3",IF(A24="G0",IF(OR(COUNTIF('25_事業仮説・実験・GTM'!$Q$4:$Q$15,F24)=0,COUNTIFS('25_事業仮説・実験・GTM'!$Q$4:$Q$15,F24,'25_事業仮説・実験・GTM'!$AE$4:$AE$15,"&lt;&gt;仮説記録あり")&gt;0),"仮説・持越し確認不足","G0仮説記録接続"),IF(A24="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24="",U24="",W24="",X24="",OR(COUNTIFS('30_必須評価セット'!$B$4:$B$153,T24,'30_必須評価セット'!$C$4:$C$153,U24,'30_必須評価セット'!$E$4:$E$153,"E01")=0,COUNTIFS('30_必須評価セット'!$B$4:$B$153,T24,'30_必須評価セット'!$C$4:$C$153,U24,'30_必須評価セット'!$E$4:$E$153,"E02")=0,COUNTIFS('30_必須評価セット'!$B$4:$B$153,T24,'30_必須評価セット'!$C$4:$C$153,U24,'30_必須評価セット'!$E$4:$E$153,"E03")=0,COUNTIFS('30_必須評価セット'!$B$4:$B$153,T24,'30_必須評価セット'!$C$4:$C$153,U24,'30_必須評価セット'!$E$4:$E$153,"E04")=0,COUNTIFS('30_必須評価セット'!$B$4:$B$153,T24,'30_必須評価セット'!$C$4:$C$153,U24,'30_必須評価セット'!$E$4:$E$153,"E05")=0,COUNTIFS('30_必須評価セット'!$B$4:$B$153,T24,'30_必須評価セット'!$C$4:$C$153,U24,'30_必須評価セット'!$E$4:$E$153,"E06")=0,COUNTIFS('30_必須評価セット'!$B$4:$B$153,T24,'30_必須評価セット'!$C$4:$C$153,U24,'30_必須評価セット'!$E$4:$E$153,"E07")=0,COUNTIFS('30_必須評価セット'!$B$4:$B$153,T24,'30_必須評価セット'!$C$4:$C$153,U24,'30_必須評価セット'!$E$4:$E$153,"E08")=0,COUNTIFS('30_必須評価セット'!$B$4:$B$153,T24,'30_必須評価セット'!$C$4:$C$153,U24,'30_必須評価セット'!$E$4:$E$153,"E09")=0,COUNTIFS('30_必須評価セット'!$B$4:$B$153,T24,'30_必須評価セット'!$C$4:$C$153,U24,'30_必須評価セット'!$E$4:$E$153,"E10")=0,COUNTIFS('30_必須評価セット'!$B$4:$B$153,T24,'30_必須評価セット'!$C$4:$C$153,U24,'30_必須評価セット'!$E$4:$E$153,"E11")=0,COUNTIFS('30_必須評価セット'!$B$4:$B$153,T24,'30_必須評価セット'!$C$4:$C$153,U24,'30_必須評価セット'!$E$4:$E$153,"E12")=0,COUNTIFS('30_必須評価セット'!$B$4:$B$153,T24,'30_必須評価セット'!$C$4:$C$153,U24,'30_必須評価セット'!$E$4:$E$153,"E13")=0,COUNTIFS('30_必須評価セット'!$B$4:$B$153,T24,'30_必須評価セット'!$C$4:$C$153,U24,'30_必須評価セット'!$E$4:$E$153,"E14")=0,COUNTIFS('30_必須評価セット'!$B$4:$B$153,T24,'30_必須評価セット'!$C$4:$C$153,U24,'30_必須評価セット'!$E$4:$E$153,"E15")=0,COUNTIFS('30_必須評価セット'!$B$4:$B$153,T24,'30_必須評価セット'!$C$4:$C$153,U24,'30_必須評価セット'!$E$4:$E$153,"E16")=0,COUNTIFS('30_必須評価セット'!$B$4:$B$153,T24,'30_必須評価セット'!$C$4:$C$153,U24,'30_必須評価セット'!$E$4:$E$153,"E17")=0,COUNTIFS('30_必須評価セット'!$B$4:$B$153,T24,'30_必須評価セット'!$C$4:$C$153,U24,'30_必須評価セット'!$E$4:$E$153,"E18")=0)),"必須分類・集合不足",IF(OR(AND('03_AIリスクTier・適用判定'!$B$27="使用",OR('17_ロードマップ・案件実行管理'!$AA$86&lt;&gt;1,NOT(AND(COUNTIFS('30_必須評価セット'!$B$4:$B$153,T24,'30_必須評価セット'!$C$4:$C$153,U24,'30_必須評価セット'!$E$4:$E$153,"E03",'30_必須評価セット'!$F$4:$F$153,"必須")&gt;0,COUNTIFS('30_必須評価セット'!$B$4:$B$153,T24,'30_必須評価セット'!$C$4:$C$153,U24,'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24,'30_必須評価セット'!$C$4:$C$153,U24,'30_必須評価セット'!$E$4:$E$153,"E05",'30_必須評価セット'!$F$4:$F$153,"必須")&gt;0)))),AND('03_AIリスクTier・適用判定'!$B$28="不使用",'17_ロードマップ・案件実行管理'!$W$87&lt;&gt;"除外記録済")),"機能別評価・対象外未完",IF(COUNTIFS('30_必須評価セット'!$B$4:$B$153,T24,'30_必須評価セット'!$C$4:$C$153,U24)&lt;&gt;SUMIFS('30_必須評価セット'!$N$4:$N$153,'30_必須評価セット'!$B$4:$B$153,T24,'30_必須評価セット'!$C$4:$C$153,U24),"必須評価セット未充足","必須評価セット充足"))))))</f>
        <v/>
      </c>
      <c r="AC24" s="28" t="str">
        <f>IF(F24="","",IF(OR(AG24="",AG24="未判定"),"条件有無未判定",IF(AND(AG24="なし",OR(L24="条件付承認",COUNTIF('31_条件・有効性'!$B$4:$B$83,F24)&gt;0)),"条件有無不一致",IF(AND(AG24="条件あり",COUNTIF('31_条件・有効性'!$B$4:$B$83,F24)=0),"Condition未登録",IF(AND(AG24="条件あり",COUNTIF('31_条件・有効性'!$B$4:$B$83,F24)&lt;&gt;(COUNTIFS('31_条件・有効性'!$B$4:$B$83,F24,'31_条件・有効性'!$Q$4:$Q$83,"解消確認済")+COUNTIFS('31_条件・有効性'!$B$4:$B$83,F24,'31_条件・有効性'!$Q$4:$Q$83,"期限内・制約継続"))),"条件失効・定義不備",IF(AND(AG24&lt;&gt;"なし",AG24&lt;&gt;"条件あり"),"条件有無不正","条件整合"))))))</f>
        <v/>
      </c>
      <c r="AD24" s="28" t="str">
        <f t="shared" si="0"/>
        <v/>
      </c>
      <c r="AE24" s="29"/>
      <c r="AF24" s="29"/>
      <c r="AG24" s="29"/>
    </row>
    <row r="25" spans="1:33" ht="78" customHeight="1" x14ac:dyDescent="0.2">
      <c r="A25" s="4"/>
      <c r="B25" s="28" t="str">
        <f>IF(A25="","",IF(COUNTIF('32_定義マスター'!$A$4:$A$9,A25)&lt;&gt;1,"参照ID不正",IF(INDEX('32_定義マスター'!$B$4:$B$9,MATCH(A25,'32_定義マスター'!$A$4:$A$9,0))="","",INDEX('32_定義マスター'!$B$4:$B$9,MATCH(A25,'32_定義マスター'!$A$4:$A$9,0)))))</f>
        <v/>
      </c>
      <c r="C25" s="28" t="str">
        <f>IF(A25="","",IF(COUNTIF('32_定義マスター'!$A$4:$A$9,A25)&lt;&gt;1,"参照ID不正",IF(INDEX('32_定義マスター'!$C$4:$C$9,MATCH(A25,'32_定義マスター'!$A$4:$A$9,0))="","",INDEX('32_定義マスター'!$C$4:$C$9,MATCH(A25,'32_定義マスター'!$A$4:$A$9,0)))))</f>
        <v/>
      </c>
      <c r="D25" s="28" t="str">
        <f>IF(A25="","",IF(COUNTIF('32_定義マスター'!$A$4:$A$9,A25)&lt;&gt;1,"参照ID不正",IF(INDEX('32_定義マスター'!$D$4:$D$9,MATCH(A25,'32_定義マスター'!$A$4:$A$9,0))="","",INDEX('32_定義マスター'!$D$4:$D$9,MATCH(A25,'32_定義マスター'!$A$4:$A$9,0)))))</f>
        <v/>
      </c>
      <c r="E25" s="28" t="str">
        <f>IF(A25="","",IF(COUNTIF('32_定義マスター'!$A$4:$A$9,A25)&lt;&gt;1,"参照ID不正",IF(INDEX('32_定義マスター'!$E$4:$E$9,MATCH(A25,'32_定義マスター'!$A$4:$A$9,0))="","",INDEX('32_定義マスター'!$E$4:$E$9,MATCH(A25,'32_定義マスター'!$A$4:$A$9,0)))))</f>
        <v/>
      </c>
      <c r="F25" s="6"/>
      <c r="G25" s="6"/>
      <c r="H25" s="6"/>
      <c r="I25" s="6"/>
      <c r="J25" s="6"/>
      <c r="K25" s="6"/>
      <c r="L25" s="6"/>
      <c r="M25" s="6"/>
      <c r="N25" s="5"/>
      <c r="O25" s="6"/>
      <c r="P25" s="5"/>
      <c r="Q25" s="6"/>
      <c r="R25" s="6"/>
      <c r="S25" s="28" t="str">
        <f>IF(A25="","",IF(COUNTIF('32_定義マスター'!$A$4:$A$9,A25)&lt;&gt;1,"Gate ID不正",IF(OR(L25="",L25="未審査"),"未承認",IF(OR(OR(F25="",G25="",H25="",I25="",J25="",K25="",O25="",AE25="",AF25=""),NOT(ISNUMBER(P25))),"判断証拠不足",IF(COUNTIF($F$4:$F$83,F25)&lt;&gt;1,"判断Run ID重複",IF(OR(AND(P25&lt;&gt;"",OR(NOT(ISNUMBER(P25)),IFERROR(P25&lt;1,TRUE),IFERROR(INT(P25)&gt;INT(AsOfDate),TRUE)))),"判断日不正",IF(AND(A25="G3",OR(T25="",U25="",V25="",W25="",X25="")),"公開対象・集合不足","判断記録あり・内容審査別")))))))</f>
        <v/>
      </c>
      <c r="T25" s="29"/>
      <c r="U25" s="29"/>
      <c r="V25" s="29"/>
      <c r="W25" s="29"/>
      <c r="X25" s="29"/>
      <c r="Y25" s="32"/>
      <c r="Z25" s="29"/>
      <c r="AA25" s="28" t="str">
        <f>IF(A25="","",IF(NOT(IFERROR(ISNUMBER(SEARCH("|"&amp;L25&amp;"|",IF(COUNTIF('32_定義マスター'!$A$4:$A$9,A25)&lt;&gt;1,"参照ID不正",IF(INDEX('32_定義マスター'!$F$4:$F$9,MATCH(A25,'32_定義マスター'!$A$4:$A$9,0))="","",INDEX('32_定義マスター'!$F$4:$F$9,MATCH(A25,'32_定義マスター'!$A$4:$A$9,0)))))),FALSE)),"Gate判断不適合",IF(AND(OR(L25="承認",L25="条件付承認",L25="Scale",L25="Continue",L25="廃止完了承認"),OR(I25="不合格",J25="不合格",V25="不合格",I25="FAIL",J25="FAIL",V25="FAIL")),"停止判定と承認が矛盾",IF(AND(OR(L25="承認",L25="条件付承認",L25="Scale",L25="Continue",L25="廃止完了承認"),OR(I25="未判定",J25="未判定",AND(A25="G3",V25="未判定"))),"必要判定未確定",IF(AND(OR(L25="承認",L25="条件付承認",L25="Scale",L25="Continue",L25="廃止完了承認"),OR(AND(I25&lt;&gt;"合格",I25&lt;&gt;"対象外承認"),AND(J25&lt;&gt;"合格",J25&lt;&gt;"対象外承認"),AND(A25="G3",V25&lt;&gt;"合格",V25&lt;&gt;"対象外承認"))),"判定値不正",IF(AND(A25="G4",L25="Scale",OR(COUNTIF('25_事業仮説・実験・GTM'!$Q$4:$Q$15,F25)=0,COUNTIFS('25_事業仮説・実験・GTM'!$Q$4:$Q$15,F25,'25_事業仮説・実験・GTM'!$AF$4:$AF$15,"&lt;&gt;充足")&gt;0,COUNTIFS('25_事業仮説・実験・GTM'!$Q$4:$Q$15,F25,'25_事業仮説・実験・GTM'!$AD$4:$AD$15,"&lt;&gt;拡大可能")&gt;0)),"拡大の行動証拠不足","判定整合"))))))</f>
        <v/>
      </c>
      <c r="AB25" s="28" t="str">
        <f>IF(A25="","",IF(A25&lt;&gt;"G3",IF(A25="G0",IF(OR(COUNTIF('25_事業仮説・実験・GTM'!$Q$4:$Q$15,F25)=0,COUNTIFS('25_事業仮説・実験・GTM'!$Q$4:$Q$15,F25,'25_事業仮説・実験・GTM'!$AE$4:$AE$15,"&lt;&gt;仮説記録あり")&gt;0),"仮説・持越し確認不足","G0仮説記録接続"),IF(A25="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25="",U25="",W25="",X25="",OR(COUNTIFS('30_必須評価セット'!$B$4:$B$153,T25,'30_必須評価セット'!$C$4:$C$153,U25,'30_必須評価セット'!$E$4:$E$153,"E01")=0,COUNTIFS('30_必須評価セット'!$B$4:$B$153,T25,'30_必須評価セット'!$C$4:$C$153,U25,'30_必須評価セット'!$E$4:$E$153,"E02")=0,COUNTIFS('30_必須評価セット'!$B$4:$B$153,T25,'30_必須評価セット'!$C$4:$C$153,U25,'30_必須評価セット'!$E$4:$E$153,"E03")=0,COUNTIFS('30_必須評価セット'!$B$4:$B$153,T25,'30_必須評価セット'!$C$4:$C$153,U25,'30_必須評価セット'!$E$4:$E$153,"E04")=0,COUNTIFS('30_必須評価セット'!$B$4:$B$153,T25,'30_必須評価セット'!$C$4:$C$153,U25,'30_必須評価セット'!$E$4:$E$153,"E05")=0,COUNTIFS('30_必須評価セット'!$B$4:$B$153,T25,'30_必須評価セット'!$C$4:$C$153,U25,'30_必須評価セット'!$E$4:$E$153,"E06")=0,COUNTIFS('30_必須評価セット'!$B$4:$B$153,T25,'30_必須評価セット'!$C$4:$C$153,U25,'30_必須評価セット'!$E$4:$E$153,"E07")=0,COUNTIFS('30_必須評価セット'!$B$4:$B$153,T25,'30_必須評価セット'!$C$4:$C$153,U25,'30_必須評価セット'!$E$4:$E$153,"E08")=0,COUNTIFS('30_必須評価セット'!$B$4:$B$153,T25,'30_必須評価セット'!$C$4:$C$153,U25,'30_必須評価セット'!$E$4:$E$153,"E09")=0,COUNTIFS('30_必須評価セット'!$B$4:$B$153,T25,'30_必須評価セット'!$C$4:$C$153,U25,'30_必須評価セット'!$E$4:$E$153,"E10")=0,COUNTIFS('30_必須評価セット'!$B$4:$B$153,T25,'30_必須評価セット'!$C$4:$C$153,U25,'30_必須評価セット'!$E$4:$E$153,"E11")=0,COUNTIFS('30_必須評価セット'!$B$4:$B$153,T25,'30_必須評価セット'!$C$4:$C$153,U25,'30_必須評価セット'!$E$4:$E$153,"E12")=0,COUNTIFS('30_必須評価セット'!$B$4:$B$153,T25,'30_必須評価セット'!$C$4:$C$153,U25,'30_必須評価セット'!$E$4:$E$153,"E13")=0,COUNTIFS('30_必須評価セット'!$B$4:$B$153,T25,'30_必須評価セット'!$C$4:$C$153,U25,'30_必須評価セット'!$E$4:$E$153,"E14")=0,COUNTIFS('30_必須評価セット'!$B$4:$B$153,T25,'30_必須評価セット'!$C$4:$C$153,U25,'30_必須評価セット'!$E$4:$E$153,"E15")=0,COUNTIFS('30_必須評価セット'!$B$4:$B$153,T25,'30_必須評価セット'!$C$4:$C$153,U25,'30_必須評価セット'!$E$4:$E$153,"E16")=0,COUNTIFS('30_必須評価セット'!$B$4:$B$153,T25,'30_必須評価セット'!$C$4:$C$153,U25,'30_必須評価セット'!$E$4:$E$153,"E17")=0,COUNTIFS('30_必須評価セット'!$B$4:$B$153,T25,'30_必須評価セット'!$C$4:$C$153,U25,'30_必須評価セット'!$E$4:$E$153,"E18")=0)),"必須分類・集合不足",IF(OR(AND('03_AIリスクTier・適用判定'!$B$27="使用",OR('17_ロードマップ・案件実行管理'!$AA$86&lt;&gt;1,NOT(AND(COUNTIFS('30_必須評価セット'!$B$4:$B$153,T25,'30_必須評価セット'!$C$4:$C$153,U25,'30_必須評価セット'!$E$4:$E$153,"E03",'30_必須評価セット'!$F$4:$F$153,"必須")&gt;0,COUNTIFS('30_必須評価セット'!$B$4:$B$153,T25,'30_必須評価セット'!$C$4:$C$153,U25,'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25,'30_必須評価セット'!$C$4:$C$153,U25,'30_必須評価セット'!$E$4:$E$153,"E05",'30_必須評価セット'!$F$4:$F$153,"必須")&gt;0)))),AND('03_AIリスクTier・適用判定'!$B$28="不使用",'17_ロードマップ・案件実行管理'!$W$87&lt;&gt;"除外記録済")),"機能別評価・対象外未完",IF(COUNTIFS('30_必須評価セット'!$B$4:$B$153,T25,'30_必須評価セット'!$C$4:$C$153,U25)&lt;&gt;SUMIFS('30_必須評価セット'!$N$4:$N$153,'30_必須評価セット'!$B$4:$B$153,T25,'30_必須評価セット'!$C$4:$C$153,U25),"必須評価セット未充足","必須評価セット充足"))))))</f>
        <v/>
      </c>
      <c r="AC25" s="28" t="str">
        <f>IF(F25="","",IF(OR(AG25="",AG25="未判定"),"条件有無未判定",IF(AND(AG25="なし",OR(L25="条件付承認",COUNTIF('31_条件・有効性'!$B$4:$B$83,F25)&gt;0)),"条件有無不一致",IF(AND(AG25="条件あり",COUNTIF('31_条件・有効性'!$B$4:$B$83,F25)=0),"Condition未登録",IF(AND(AG25="条件あり",COUNTIF('31_条件・有効性'!$B$4:$B$83,F25)&lt;&gt;(COUNTIFS('31_条件・有効性'!$B$4:$B$83,F25,'31_条件・有効性'!$Q$4:$Q$83,"解消確認済")+COUNTIFS('31_条件・有効性'!$B$4:$B$83,F25,'31_条件・有効性'!$Q$4:$Q$83,"期限内・制約継続"))),"条件失効・定義不備",IF(AND(AG25&lt;&gt;"なし",AG25&lt;&gt;"条件あり"),"条件有無不正","条件整合"))))))</f>
        <v/>
      </c>
      <c r="AD25" s="28" t="str">
        <f t="shared" si="0"/>
        <v/>
      </c>
      <c r="AE25" s="29"/>
      <c r="AF25" s="29"/>
      <c r="AG25" s="29"/>
    </row>
    <row r="26" spans="1:33" ht="78" customHeight="1" x14ac:dyDescent="0.2">
      <c r="A26" s="2"/>
      <c r="B26" s="28" t="str">
        <f>IF(A26="","",IF(COUNTIF('32_定義マスター'!$A$4:$A$9,A26)&lt;&gt;1,"参照ID不正",IF(INDEX('32_定義マスター'!$B$4:$B$9,MATCH(A26,'32_定義マスター'!$A$4:$A$9,0))="","",INDEX('32_定義マスター'!$B$4:$B$9,MATCH(A26,'32_定義マスター'!$A$4:$A$9,0)))))</f>
        <v/>
      </c>
      <c r="C26" s="28" t="str">
        <f>IF(A26="","",IF(COUNTIF('32_定義マスター'!$A$4:$A$9,A26)&lt;&gt;1,"参照ID不正",IF(INDEX('32_定義マスター'!$C$4:$C$9,MATCH(A26,'32_定義マスター'!$A$4:$A$9,0))="","",INDEX('32_定義マスター'!$C$4:$C$9,MATCH(A26,'32_定義マスター'!$A$4:$A$9,0)))))</f>
        <v/>
      </c>
      <c r="D26" s="28" t="str">
        <f>IF(A26="","",IF(COUNTIF('32_定義マスター'!$A$4:$A$9,A26)&lt;&gt;1,"参照ID不正",IF(INDEX('32_定義マスター'!$D$4:$D$9,MATCH(A26,'32_定義マスター'!$A$4:$A$9,0))="","",INDEX('32_定義マスター'!$D$4:$D$9,MATCH(A26,'32_定義マスター'!$A$4:$A$9,0)))))</f>
        <v/>
      </c>
      <c r="E26" s="28" t="str">
        <f>IF(A26="","",IF(COUNTIF('32_定義マスター'!$A$4:$A$9,A26)&lt;&gt;1,"参照ID不正",IF(INDEX('32_定義マスター'!$E$4:$E$9,MATCH(A26,'32_定義マスター'!$A$4:$A$9,0))="","",INDEX('32_定義マスター'!$E$4:$E$9,MATCH(A26,'32_定義マスター'!$A$4:$A$9,0)))))</f>
        <v/>
      </c>
      <c r="F26" s="6"/>
      <c r="G26" s="6"/>
      <c r="H26" s="6"/>
      <c r="I26" s="6"/>
      <c r="J26" s="6"/>
      <c r="K26" s="6"/>
      <c r="L26" s="6"/>
      <c r="M26" s="6"/>
      <c r="N26" s="5"/>
      <c r="O26" s="6"/>
      <c r="P26" s="5"/>
      <c r="Q26" s="6"/>
      <c r="R26" s="6"/>
      <c r="S26" s="28" t="str">
        <f>IF(A26="","",IF(COUNTIF('32_定義マスター'!$A$4:$A$9,A26)&lt;&gt;1,"Gate ID不正",IF(OR(L26="",L26="未審査"),"未承認",IF(OR(OR(F26="",G26="",H26="",I26="",J26="",K26="",O26="",AE26="",AF26=""),NOT(ISNUMBER(P26))),"判断証拠不足",IF(COUNTIF($F$4:$F$83,F26)&lt;&gt;1,"判断Run ID重複",IF(OR(AND(P26&lt;&gt;"",OR(NOT(ISNUMBER(P26)),IFERROR(P26&lt;1,TRUE),IFERROR(INT(P26)&gt;INT(AsOfDate),TRUE)))),"判断日不正",IF(AND(A26="G3",OR(T26="",U26="",V26="",W26="",X26="")),"公開対象・集合不足","判断記録あり・内容審査別")))))))</f>
        <v/>
      </c>
      <c r="T26" s="29"/>
      <c r="U26" s="29"/>
      <c r="V26" s="29"/>
      <c r="W26" s="29"/>
      <c r="X26" s="29"/>
      <c r="Y26" s="32"/>
      <c r="Z26" s="29"/>
      <c r="AA26" s="28" t="str">
        <f>IF(A26="","",IF(NOT(IFERROR(ISNUMBER(SEARCH("|"&amp;L26&amp;"|",IF(COUNTIF('32_定義マスター'!$A$4:$A$9,A26)&lt;&gt;1,"参照ID不正",IF(INDEX('32_定義マスター'!$F$4:$F$9,MATCH(A26,'32_定義マスター'!$A$4:$A$9,0))="","",INDEX('32_定義マスター'!$F$4:$F$9,MATCH(A26,'32_定義マスター'!$A$4:$A$9,0)))))),FALSE)),"Gate判断不適合",IF(AND(OR(L26="承認",L26="条件付承認",L26="Scale",L26="Continue",L26="廃止完了承認"),OR(I26="不合格",J26="不合格",V26="不合格",I26="FAIL",J26="FAIL",V26="FAIL")),"停止判定と承認が矛盾",IF(AND(OR(L26="承認",L26="条件付承認",L26="Scale",L26="Continue",L26="廃止完了承認"),OR(I26="未判定",J26="未判定",AND(A26="G3",V26="未判定"))),"必要判定未確定",IF(AND(OR(L26="承認",L26="条件付承認",L26="Scale",L26="Continue",L26="廃止完了承認"),OR(AND(I26&lt;&gt;"合格",I26&lt;&gt;"対象外承認"),AND(J26&lt;&gt;"合格",J26&lt;&gt;"対象外承認"),AND(A26="G3",V26&lt;&gt;"合格",V26&lt;&gt;"対象外承認"))),"判定値不正",IF(AND(A26="G4",L26="Scale",OR(COUNTIF('25_事業仮説・実験・GTM'!$Q$4:$Q$15,F26)=0,COUNTIFS('25_事業仮説・実験・GTM'!$Q$4:$Q$15,F26,'25_事業仮説・実験・GTM'!$AF$4:$AF$15,"&lt;&gt;充足")&gt;0,COUNTIFS('25_事業仮説・実験・GTM'!$Q$4:$Q$15,F26,'25_事業仮説・実験・GTM'!$AD$4:$AD$15,"&lt;&gt;拡大可能")&gt;0)),"拡大の行動証拠不足","判定整合"))))))</f>
        <v/>
      </c>
      <c r="AB26" s="28" t="str">
        <f>IF(A26="","",IF(A26&lt;&gt;"G3",IF(A26="G0",IF(OR(COUNTIF('25_事業仮説・実験・GTM'!$Q$4:$Q$15,F26)=0,COUNTIFS('25_事業仮説・実験・GTM'!$Q$4:$Q$15,F26,'25_事業仮説・実験・GTM'!$AE$4:$AE$15,"&lt;&gt;仮説記録あり")&gt;0),"仮説・持越し確認不足","G0仮説記録接続"),IF(A26="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26="",U26="",W26="",X26="",OR(COUNTIFS('30_必須評価セット'!$B$4:$B$153,T26,'30_必須評価セット'!$C$4:$C$153,U26,'30_必須評価セット'!$E$4:$E$153,"E01")=0,COUNTIFS('30_必須評価セット'!$B$4:$B$153,T26,'30_必須評価セット'!$C$4:$C$153,U26,'30_必須評価セット'!$E$4:$E$153,"E02")=0,COUNTIFS('30_必須評価セット'!$B$4:$B$153,T26,'30_必須評価セット'!$C$4:$C$153,U26,'30_必須評価セット'!$E$4:$E$153,"E03")=0,COUNTIFS('30_必須評価セット'!$B$4:$B$153,T26,'30_必須評価セット'!$C$4:$C$153,U26,'30_必須評価セット'!$E$4:$E$153,"E04")=0,COUNTIFS('30_必須評価セット'!$B$4:$B$153,T26,'30_必須評価セット'!$C$4:$C$153,U26,'30_必須評価セット'!$E$4:$E$153,"E05")=0,COUNTIFS('30_必須評価セット'!$B$4:$B$153,T26,'30_必須評価セット'!$C$4:$C$153,U26,'30_必須評価セット'!$E$4:$E$153,"E06")=0,COUNTIFS('30_必須評価セット'!$B$4:$B$153,T26,'30_必須評価セット'!$C$4:$C$153,U26,'30_必須評価セット'!$E$4:$E$153,"E07")=0,COUNTIFS('30_必須評価セット'!$B$4:$B$153,T26,'30_必須評価セット'!$C$4:$C$153,U26,'30_必須評価セット'!$E$4:$E$153,"E08")=0,COUNTIFS('30_必須評価セット'!$B$4:$B$153,T26,'30_必須評価セット'!$C$4:$C$153,U26,'30_必須評価セット'!$E$4:$E$153,"E09")=0,COUNTIFS('30_必須評価セット'!$B$4:$B$153,T26,'30_必須評価セット'!$C$4:$C$153,U26,'30_必須評価セット'!$E$4:$E$153,"E10")=0,COUNTIFS('30_必須評価セット'!$B$4:$B$153,T26,'30_必須評価セット'!$C$4:$C$153,U26,'30_必須評価セット'!$E$4:$E$153,"E11")=0,COUNTIFS('30_必須評価セット'!$B$4:$B$153,T26,'30_必須評価セット'!$C$4:$C$153,U26,'30_必須評価セット'!$E$4:$E$153,"E12")=0,COUNTIFS('30_必須評価セット'!$B$4:$B$153,T26,'30_必須評価セット'!$C$4:$C$153,U26,'30_必須評価セット'!$E$4:$E$153,"E13")=0,COUNTIFS('30_必須評価セット'!$B$4:$B$153,T26,'30_必須評価セット'!$C$4:$C$153,U26,'30_必須評価セット'!$E$4:$E$153,"E14")=0,COUNTIFS('30_必須評価セット'!$B$4:$B$153,T26,'30_必須評価セット'!$C$4:$C$153,U26,'30_必須評価セット'!$E$4:$E$153,"E15")=0,COUNTIFS('30_必須評価セット'!$B$4:$B$153,T26,'30_必須評価セット'!$C$4:$C$153,U26,'30_必須評価セット'!$E$4:$E$153,"E16")=0,COUNTIFS('30_必須評価セット'!$B$4:$B$153,T26,'30_必須評価セット'!$C$4:$C$153,U26,'30_必須評価セット'!$E$4:$E$153,"E17")=0,COUNTIFS('30_必須評価セット'!$B$4:$B$153,T26,'30_必須評価セット'!$C$4:$C$153,U26,'30_必須評価セット'!$E$4:$E$153,"E18")=0)),"必須分類・集合不足",IF(OR(AND('03_AIリスクTier・適用判定'!$B$27="使用",OR('17_ロードマップ・案件実行管理'!$AA$86&lt;&gt;1,NOT(AND(COUNTIFS('30_必須評価セット'!$B$4:$B$153,T26,'30_必須評価セット'!$C$4:$C$153,U26,'30_必須評価セット'!$E$4:$E$153,"E03",'30_必須評価セット'!$F$4:$F$153,"必須")&gt;0,COUNTIFS('30_必須評価セット'!$B$4:$B$153,T26,'30_必須評価セット'!$C$4:$C$153,U26,'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26,'30_必須評価セット'!$C$4:$C$153,U26,'30_必須評価セット'!$E$4:$E$153,"E05",'30_必須評価セット'!$F$4:$F$153,"必須")&gt;0)))),AND('03_AIリスクTier・適用判定'!$B$28="不使用",'17_ロードマップ・案件実行管理'!$W$87&lt;&gt;"除外記録済")),"機能別評価・対象外未完",IF(COUNTIFS('30_必須評価セット'!$B$4:$B$153,T26,'30_必須評価セット'!$C$4:$C$153,U26)&lt;&gt;SUMIFS('30_必須評価セット'!$N$4:$N$153,'30_必須評価セット'!$B$4:$B$153,T26,'30_必須評価セット'!$C$4:$C$153,U26),"必須評価セット未充足","必須評価セット充足"))))))</f>
        <v/>
      </c>
      <c r="AC26" s="28" t="str">
        <f>IF(F26="","",IF(OR(AG26="",AG26="未判定"),"条件有無未判定",IF(AND(AG26="なし",OR(L26="条件付承認",COUNTIF('31_条件・有効性'!$B$4:$B$83,F26)&gt;0)),"条件有無不一致",IF(AND(AG26="条件あり",COUNTIF('31_条件・有効性'!$B$4:$B$83,F26)=0),"Condition未登録",IF(AND(AG26="条件あり",COUNTIF('31_条件・有効性'!$B$4:$B$83,F26)&lt;&gt;(COUNTIFS('31_条件・有効性'!$B$4:$B$83,F26,'31_条件・有効性'!$Q$4:$Q$83,"解消確認済")+COUNTIFS('31_条件・有効性'!$B$4:$B$83,F26,'31_条件・有効性'!$Q$4:$Q$83,"期限内・制約継続"))),"条件失効・定義不備",IF(AND(AG26&lt;&gt;"なし",AG26&lt;&gt;"条件あり"),"条件有無不正","条件整合"))))))</f>
        <v/>
      </c>
      <c r="AD26" s="28" t="str">
        <f t="shared" si="0"/>
        <v/>
      </c>
      <c r="AE26" s="29"/>
      <c r="AF26" s="29"/>
      <c r="AG26" s="29"/>
    </row>
    <row r="27" spans="1:33" ht="78" customHeight="1" x14ac:dyDescent="0.2">
      <c r="A27" s="4"/>
      <c r="B27" s="28" t="str">
        <f>IF(A27="","",IF(COUNTIF('32_定義マスター'!$A$4:$A$9,A27)&lt;&gt;1,"参照ID不正",IF(INDEX('32_定義マスター'!$B$4:$B$9,MATCH(A27,'32_定義マスター'!$A$4:$A$9,0))="","",INDEX('32_定義マスター'!$B$4:$B$9,MATCH(A27,'32_定義マスター'!$A$4:$A$9,0)))))</f>
        <v/>
      </c>
      <c r="C27" s="28" t="str">
        <f>IF(A27="","",IF(COUNTIF('32_定義マスター'!$A$4:$A$9,A27)&lt;&gt;1,"参照ID不正",IF(INDEX('32_定義マスター'!$C$4:$C$9,MATCH(A27,'32_定義マスター'!$A$4:$A$9,0))="","",INDEX('32_定義マスター'!$C$4:$C$9,MATCH(A27,'32_定義マスター'!$A$4:$A$9,0)))))</f>
        <v/>
      </c>
      <c r="D27" s="28" t="str">
        <f>IF(A27="","",IF(COUNTIF('32_定義マスター'!$A$4:$A$9,A27)&lt;&gt;1,"参照ID不正",IF(INDEX('32_定義マスター'!$D$4:$D$9,MATCH(A27,'32_定義マスター'!$A$4:$A$9,0))="","",INDEX('32_定義マスター'!$D$4:$D$9,MATCH(A27,'32_定義マスター'!$A$4:$A$9,0)))))</f>
        <v/>
      </c>
      <c r="E27" s="28" t="str">
        <f>IF(A27="","",IF(COUNTIF('32_定義マスター'!$A$4:$A$9,A27)&lt;&gt;1,"参照ID不正",IF(INDEX('32_定義マスター'!$E$4:$E$9,MATCH(A27,'32_定義マスター'!$A$4:$A$9,0))="","",INDEX('32_定義マスター'!$E$4:$E$9,MATCH(A27,'32_定義マスター'!$A$4:$A$9,0)))))</f>
        <v/>
      </c>
      <c r="F27" s="6"/>
      <c r="G27" s="6"/>
      <c r="H27" s="6"/>
      <c r="I27" s="6"/>
      <c r="J27" s="6"/>
      <c r="K27" s="6"/>
      <c r="L27" s="6"/>
      <c r="M27" s="6"/>
      <c r="N27" s="5"/>
      <c r="O27" s="6"/>
      <c r="P27" s="5"/>
      <c r="Q27" s="6"/>
      <c r="R27" s="6"/>
      <c r="S27" s="28" t="str">
        <f>IF(A27="","",IF(COUNTIF('32_定義マスター'!$A$4:$A$9,A27)&lt;&gt;1,"Gate ID不正",IF(OR(L27="",L27="未審査"),"未承認",IF(OR(OR(F27="",G27="",H27="",I27="",J27="",K27="",O27="",AE27="",AF27=""),NOT(ISNUMBER(P27))),"判断証拠不足",IF(COUNTIF($F$4:$F$83,F27)&lt;&gt;1,"判断Run ID重複",IF(OR(AND(P27&lt;&gt;"",OR(NOT(ISNUMBER(P27)),IFERROR(P27&lt;1,TRUE),IFERROR(INT(P27)&gt;INT(AsOfDate),TRUE)))),"判断日不正",IF(AND(A27="G3",OR(T27="",U27="",V27="",W27="",X27="")),"公開対象・集合不足","判断記録あり・内容審査別")))))))</f>
        <v/>
      </c>
      <c r="T27" s="29"/>
      <c r="U27" s="29"/>
      <c r="V27" s="29"/>
      <c r="W27" s="29"/>
      <c r="X27" s="29"/>
      <c r="Y27" s="32"/>
      <c r="Z27" s="29"/>
      <c r="AA27" s="28" t="str">
        <f>IF(A27="","",IF(NOT(IFERROR(ISNUMBER(SEARCH("|"&amp;L27&amp;"|",IF(COUNTIF('32_定義マスター'!$A$4:$A$9,A27)&lt;&gt;1,"参照ID不正",IF(INDEX('32_定義マスター'!$F$4:$F$9,MATCH(A27,'32_定義マスター'!$A$4:$A$9,0))="","",INDEX('32_定義マスター'!$F$4:$F$9,MATCH(A27,'32_定義マスター'!$A$4:$A$9,0)))))),FALSE)),"Gate判断不適合",IF(AND(OR(L27="承認",L27="条件付承認",L27="Scale",L27="Continue",L27="廃止完了承認"),OR(I27="不合格",J27="不合格",V27="不合格",I27="FAIL",J27="FAIL",V27="FAIL")),"停止判定と承認が矛盾",IF(AND(OR(L27="承認",L27="条件付承認",L27="Scale",L27="Continue",L27="廃止完了承認"),OR(I27="未判定",J27="未判定",AND(A27="G3",V27="未判定"))),"必要判定未確定",IF(AND(OR(L27="承認",L27="条件付承認",L27="Scale",L27="Continue",L27="廃止完了承認"),OR(AND(I27&lt;&gt;"合格",I27&lt;&gt;"対象外承認"),AND(J27&lt;&gt;"合格",J27&lt;&gt;"対象外承認"),AND(A27="G3",V27&lt;&gt;"合格",V27&lt;&gt;"対象外承認"))),"判定値不正",IF(AND(A27="G4",L27="Scale",OR(COUNTIF('25_事業仮説・実験・GTM'!$Q$4:$Q$15,F27)=0,COUNTIFS('25_事業仮説・実験・GTM'!$Q$4:$Q$15,F27,'25_事業仮説・実験・GTM'!$AF$4:$AF$15,"&lt;&gt;充足")&gt;0,COUNTIFS('25_事業仮説・実験・GTM'!$Q$4:$Q$15,F27,'25_事業仮説・実験・GTM'!$AD$4:$AD$15,"&lt;&gt;拡大可能")&gt;0)),"拡大の行動証拠不足","判定整合"))))))</f>
        <v/>
      </c>
      <c r="AB27" s="28" t="str">
        <f>IF(A27="","",IF(A27&lt;&gt;"G3",IF(A27="G0",IF(OR(COUNTIF('25_事業仮説・実験・GTM'!$Q$4:$Q$15,F27)=0,COUNTIFS('25_事業仮説・実験・GTM'!$Q$4:$Q$15,F27,'25_事業仮説・実験・GTM'!$AE$4:$AE$15,"&lt;&gt;仮説記録あり")&gt;0),"仮説・持越し確認不足","G0仮説記録接続"),IF(A27="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27="",U27="",W27="",X27="",OR(COUNTIFS('30_必須評価セット'!$B$4:$B$153,T27,'30_必須評価セット'!$C$4:$C$153,U27,'30_必須評価セット'!$E$4:$E$153,"E01")=0,COUNTIFS('30_必須評価セット'!$B$4:$B$153,T27,'30_必須評価セット'!$C$4:$C$153,U27,'30_必須評価セット'!$E$4:$E$153,"E02")=0,COUNTIFS('30_必須評価セット'!$B$4:$B$153,T27,'30_必須評価セット'!$C$4:$C$153,U27,'30_必須評価セット'!$E$4:$E$153,"E03")=0,COUNTIFS('30_必須評価セット'!$B$4:$B$153,T27,'30_必須評価セット'!$C$4:$C$153,U27,'30_必須評価セット'!$E$4:$E$153,"E04")=0,COUNTIFS('30_必須評価セット'!$B$4:$B$153,T27,'30_必須評価セット'!$C$4:$C$153,U27,'30_必須評価セット'!$E$4:$E$153,"E05")=0,COUNTIFS('30_必須評価セット'!$B$4:$B$153,T27,'30_必須評価セット'!$C$4:$C$153,U27,'30_必須評価セット'!$E$4:$E$153,"E06")=0,COUNTIFS('30_必須評価セット'!$B$4:$B$153,T27,'30_必須評価セット'!$C$4:$C$153,U27,'30_必須評価セット'!$E$4:$E$153,"E07")=0,COUNTIFS('30_必須評価セット'!$B$4:$B$153,T27,'30_必須評価セット'!$C$4:$C$153,U27,'30_必須評価セット'!$E$4:$E$153,"E08")=0,COUNTIFS('30_必須評価セット'!$B$4:$B$153,T27,'30_必須評価セット'!$C$4:$C$153,U27,'30_必須評価セット'!$E$4:$E$153,"E09")=0,COUNTIFS('30_必須評価セット'!$B$4:$B$153,T27,'30_必須評価セット'!$C$4:$C$153,U27,'30_必須評価セット'!$E$4:$E$153,"E10")=0,COUNTIFS('30_必須評価セット'!$B$4:$B$153,T27,'30_必須評価セット'!$C$4:$C$153,U27,'30_必須評価セット'!$E$4:$E$153,"E11")=0,COUNTIFS('30_必須評価セット'!$B$4:$B$153,T27,'30_必須評価セット'!$C$4:$C$153,U27,'30_必須評価セット'!$E$4:$E$153,"E12")=0,COUNTIFS('30_必須評価セット'!$B$4:$B$153,T27,'30_必須評価セット'!$C$4:$C$153,U27,'30_必須評価セット'!$E$4:$E$153,"E13")=0,COUNTIFS('30_必須評価セット'!$B$4:$B$153,T27,'30_必須評価セット'!$C$4:$C$153,U27,'30_必須評価セット'!$E$4:$E$153,"E14")=0,COUNTIFS('30_必須評価セット'!$B$4:$B$153,T27,'30_必須評価セット'!$C$4:$C$153,U27,'30_必須評価セット'!$E$4:$E$153,"E15")=0,COUNTIFS('30_必須評価セット'!$B$4:$B$153,T27,'30_必須評価セット'!$C$4:$C$153,U27,'30_必須評価セット'!$E$4:$E$153,"E16")=0,COUNTIFS('30_必須評価セット'!$B$4:$B$153,T27,'30_必須評価セット'!$C$4:$C$153,U27,'30_必須評価セット'!$E$4:$E$153,"E17")=0,COUNTIFS('30_必須評価セット'!$B$4:$B$153,T27,'30_必須評価セット'!$C$4:$C$153,U27,'30_必須評価セット'!$E$4:$E$153,"E18")=0)),"必須分類・集合不足",IF(OR(AND('03_AIリスクTier・適用判定'!$B$27="使用",OR('17_ロードマップ・案件実行管理'!$AA$86&lt;&gt;1,NOT(AND(COUNTIFS('30_必須評価セット'!$B$4:$B$153,T27,'30_必須評価セット'!$C$4:$C$153,U27,'30_必須評価セット'!$E$4:$E$153,"E03",'30_必須評価セット'!$F$4:$F$153,"必須")&gt;0,COUNTIFS('30_必須評価セット'!$B$4:$B$153,T27,'30_必須評価セット'!$C$4:$C$153,U27,'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27,'30_必須評価セット'!$C$4:$C$153,U27,'30_必須評価セット'!$E$4:$E$153,"E05",'30_必須評価セット'!$F$4:$F$153,"必須")&gt;0)))),AND('03_AIリスクTier・適用判定'!$B$28="不使用",'17_ロードマップ・案件実行管理'!$W$87&lt;&gt;"除外記録済")),"機能別評価・対象外未完",IF(COUNTIFS('30_必須評価セット'!$B$4:$B$153,T27,'30_必須評価セット'!$C$4:$C$153,U27)&lt;&gt;SUMIFS('30_必須評価セット'!$N$4:$N$153,'30_必須評価セット'!$B$4:$B$153,T27,'30_必須評価セット'!$C$4:$C$153,U27),"必須評価セット未充足","必須評価セット充足"))))))</f>
        <v/>
      </c>
      <c r="AC27" s="28" t="str">
        <f>IF(F27="","",IF(OR(AG27="",AG27="未判定"),"条件有無未判定",IF(AND(AG27="なし",OR(L27="条件付承認",COUNTIF('31_条件・有効性'!$B$4:$B$83,F27)&gt;0)),"条件有無不一致",IF(AND(AG27="条件あり",COUNTIF('31_条件・有効性'!$B$4:$B$83,F27)=0),"Condition未登録",IF(AND(AG27="条件あり",COUNTIF('31_条件・有効性'!$B$4:$B$83,F27)&lt;&gt;(COUNTIFS('31_条件・有効性'!$B$4:$B$83,F27,'31_条件・有効性'!$Q$4:$Q$83,"解消確認済")+COUNTIFS('31_条件・有効性'!$B$4:$B$83,F27,'31_条件・有効性'!$Q$4:$Q$83,"期限内・制約継続"))),"条件失効・定義不備",IF(AND(AG27&lt;&gt;"なし",AG27&lt;&gt;"条件あり"),"条件有無不正","条件整合"))))))</f>
        <v/>
      </c>
      <c r="AD27" s="28" t="str">
        <f t="shared" si="0"/>
        <v/>
      </c>
      <c r="AE27" s="29"/>
      <c r="AF27" s="29"/>
      <c r="AG27" s="29"/>
    </row>
    <row r="28" spans="1:33" ht="78" customHeight="1" x14ac:dyDescent="0.2">
      <c r="A28" s="2"/>
      <c r="B28" s="28" t="str">
        <f>IF(A28="","",IF(COUNTIF('32_定義マスター'!$A$4:$A$9,A28)&lt;&gt;1,"参照ID不正",IF(INDEX('32_定義マスター'!$B$4:$B$9,MATCH(A28,'32_定義マスター'!$A$4:$A$9,0))="","",INDEX('32_定義マスター'!$B$4:$B$9,MATCH(A28,'32_定義マスター'!$A$4:$A$9,0)))))</f>
        <v/>
      </c>
      <c r="C28" s="28" t="str">
        <f>IF(A28="","",IF(COUNTIF('32_定義マスター'!$A$4:$A$9,A28)&lt;&gt;1,"参照ID不正",IF(INDEX('32_定義マスター'!$C$4:$C$9,MATCH(A28,'32_定義マスター'!$A$4:$A$9,0))="","",INDEX('32_定義マスター'!$C$4:$C$9,MATCH(A28,'32_定義マスター'!$A$4:$A$9,0)))))</f>
        <v/>
      </c>
      <c r="D28" s="28" t="str">
        <f>IF(A28="","",IF(COUNTIF('32_定義マスター'!$A$4:$A$9,A28)&lt;&gt;1,"参照ID不正",IF(INDEX('32_定義マスター'!$D$4:$D$9,MATCH(A28,'32_定義マスター'!$A$4:$A$9,0))="","",INDEX('32_定義マスター'!$D$4:$D$9,MATCH(A28,'32_定義マスター'!$A$4:$A$9,0)))))</f>
        <v/>
      </c>
      <c r="E28" s="28" t="str">
        <f>IF(A28="","",IF(COUNTIF('32_定義マスター'!$A$4:$A$9,A28)&lt;&gt;1,"参照ID不正",IF(INDEX('32_定義マスター'!$E$4:$E$9,MATCH(A28,'32_定義マスター'!$A$4:$A$9,0))="","",INDEX('32_定義マスター'!$E$4:$E$9,MATCH(A28,'32_定義マスター'!$A$4:$A$9,0)))))</f>
        <v/>
      </c>
      <c r="F28" s="6"/>
      <c r="G28" s="6"/>
      <c r="H28" s="6"/>
      <c r="I28" s="6"/>
      <c r="J28" s="6"/>
      <c r="K28" s="6"/>
      <c r="L28" s="6"/>
      <c r="M28" s="6"/>
      <c r="N28" s="5"/>
      <c r="O28" s="6"/>
      <c r="P28" s="5"/>
      <c r="Q28" s="6"/>
      <c r="R28" s="6"/>
      <c r="S28" s="28" t="str">
        <f>IF(A28="","",IF(COUNTIF('32_定義マスター'!$A$4:$A$9,A28)&lt;&gt;1,"Gate ID不正",IF(OR(L28="",L28="未審査"),"未承認",IF(OR(OR(F28="",G28="",H28="",I28="",J28="",K28="",O28="",AE28="",AF28=""),NOT(ISNUMBER(P28))),"判断証拠不足",IF(COUNTIF($F$4:$F$83,F28)&lt;&gt;1,"判断Run ID重複",IF(OR(AND(P28&lt;&gt;"",OR(NOT(ISNUMBER(P28)),IFERROR(P28&lt;1,TRUE),IFERROR(INT(P28)&gt;INT(AsOfDate),TRUE)))),"判断日不正",IF(AND(A28="G3",OR(T28="",U28="",V28="",W28="",X28="")),"公開対象・集合不足","判断記録あり・内容審査別")))))))</f>
        <v/>
      </c>
      <c r="T28" s="29"/>
      <c r="U28" s="29"/>
      <c r="V28" s="29"/>
      <c r="W28" s="29"/>
      <c r="X28" s="29"/>
      <c r="Y28" s="32"/>
      <c r="Z28" s="29"/>
      <c r="AA28" s="28" t="str">
        <f>IF(A28="","",IF(NOT(IFERROR(ISNUMBER(SEARCH("|"&amp;L28&amp;"|",IF(COUNTIF('32_定義マスター'!$A$4:$A$9,A28)&lt;&gt;1,"参照ID不正",IF(INDEX('32_定義マスター'!$F$4:$F$9,MATCH(A28,'32_定義マスター'!$A$4:$A$9,0))="","",INDEX('32_定義マスター'!$F$4:$F$9,MATCH(A28,'32_定義マスター'!$A$4:$A$9,0)))))),FALSE)),"Gate判断不適合",IF(AND(OR(L28="承認",L28="条件付承認",L28="Scale",L28="Continue",L28="廃止完了承認"),OR(I28="不合格",J28="不合格",V28="不合格",I28="FAIL",J28="FAIL",V28="FAIL")),"停止判定と承認が矛盾",IF(AND(OR(L28="承認",L28="条件付承認",L28="Scale",L28="Continue",L28="廃止完了承認"),OR(I28="未判定",J28="未判定",AND(A28="G3",V28="未判定"))),"必要判定未確定",IF(AND(OR(L28="承認",L28="条件付承認",L28="Scale",L28="Continue",L28="廃止完了承認"),OR(AND(I28&lt;&gt;"合格",I28&lt;&gt;"対象外承認"),AND(J28&lt;&gt;"合格",J28&lt;&gt;"対象外承認"),AND(A28="G3",V28&lt;&gt;"合格",V28&lt;&gt;"対象外承認"))),"判定値不正",IF(AND(A28="G4",L28="Scale",OR(COUNTIF('25_事業仮説・実験・GTM'!$Q$4:$Q$15,F28)=0,COUNTIFS('25_事業仮説・実験・GTM'!$Q$4:$Q$15,F28,'25_事業仮説・実験・GTM'!$AF$4:$AF$15,"&lt;&gt;充足")&gt;0,COUNTIFS('25_事業仮説・実験・GTM'!$Q$4:$Q$15,F28,'25_事業仮説・実験・GTM'!$AD$4:$AD$15,"&lt;&gt;拡大可能")&gt;0)),"拡大の行動証拠不足","判定整合"))))))</f>
        <v/>
      </c>
      <c r="AB28" s="28" t="str">
        <f>IF(A28="","",IF(A28&lt;&gt;"G3",IF(A28="G0",IF(OR(COUNTIF('25_事業仮説・実験・GTM'!$Q$4:$Q$15,F28)=0,COUNTIFS('25_事業仮説・実験・GTM'!$Q$4:$Q$15,F28,'25_事業仮説・実験・GTM'!$AE$4:$AE$15,"&lt;&gt;仮説記録あり")&gt;0),"仮説・持越し確認不足","G0仮説記録接続"),IF(A28="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28="",U28="",W28="",X28="",OR(COUNTIFS('30_必須評価セット'!$B$4:$B$153,T28,'30_必須評価セット'!$C$4:$C$153,U28,'30_必須評価セット'!$E$4:$E$153,"E01")=0,COUNTIFS('30_必須評価セット'!$B$4:$B$153,T28,'30_必須評価セット'!$C$4:$C$153,U28,'30_必須評価セット'!$E$4:$E$153,"E02")=0,COUNTIFS('30_必須評価セット'!$B$4:$B$153,T28,'30_必須評価セット'!$C$4:$C$153,U28,'30_必須評価セット'!$E$4:$E$153,"E03")=0,COUNTIFS('30_必須評価セット'!$B$4:$B$153,T28,'30_必須評価セット'!$C$4:$C$153,U28,'30_必須評価セット'!$E$4:$E$153,"E04")=0,COUNTIFS('30_必須評価セット'!$B$4:$B$153,T28,'30_必須評価セット'!$C$4:$C$153,U28,'30_必須評価セット'!$E$4:$E$153,"E05")=0,COUNTIFS('30_必須評価セット'!$B$4:$B$153,T28,'30_必須評価セット'!$C$4:$C$153,U28,'30_必須評価セット'!$E$4:$E$153,"E06")=0,COUNTIFS('30_必須評価セット'!$B$4:$B$153,T28,'30_必須評価セット'!$C$4:$C$153,U28,'30_必須評価セット'!$E$4:$E$153,"E07")=0,COUNTIFS('30_必須評価セット'!$B$4:$B$153,T28,'30_必須評価セット'!$C$4:$C$153,U28,'30_必須評価セット'!$E$4:$E$153,"E08")=0,COUNTIFS('30_必須評価セット'!$B$4:$B$153,T28,'30_必須評価セット'!$C$4:$C$153,U28,'30_必須評価セット'!$E$4:$E$153,"E09")=0,COUNTIFS('30_必須評価セット'!$B$4:$B$153,T28,'30_必須評価セット'!$C$4:$C$153,U28,'30_必須評価セット'!$E$4:$E$153,"E10")=0,COUNTIFS('30_必須評価セット'!$B$4:$B$153,T28,'30_必須評価セット'!$C$4:$C$153,U28,'30_必須評価セット'!$E$4:$E$153,"E11")=0,COUNTIFS('30_必須評価セット'!$B$4:$B$153,T28,'30_必須評価セット'!$C$4:$C$153,U28,'30_必須評価セット'!$E$4:$E$153,"E12")=0,COUNTIFS('30_必須評価セット'!$B$4:$B$153,T28,'30_必須評価セット'!$C$4:$C$153,U28,'30_必須評価セット'!$E$4:$E$153,"E13")=0,COUNTIFS('30_必須評価セット'!$B$4:$B$153,T28,'30_必須評価セット'!$C$4:$C$153,U28,'30_必須評価セット'!$E$4:$E$153,"E14")=0,COUNTIFS('30_必須評価セット'!$B$4:$B$153,T28,'30_必須評価セット'!$C$4:$C$153,U28,'30_必須評価セット'!$E$4:$E$153,"E15")=0,COUNTIFS('30_必須評価セット'!$B$4:$B$153,T28,'30_必須評価セット'!$C$4:$C$153,U28,'30_必須評価セット'!$E$4:$E$153,"E16")=0,COUNTIFS('30_必須評価セット'!$B$4:$B$153,T28,'30_必須評価セット'!$C$4:$C$153,U28,'30_必須評価セット'!$E$4:$E$153,"E17")=0,COUNTIFS('30_必須評価セット'!$B$4:$B$153,T28,'30_必須評価セット'!$C$4:$C$153,U28,'30_必須評価セット'!$E$4:$E$153,"E18")=0)),"必須分類・集合不足",IF(OR(AND('03_AIリスクTier・適用判定'!$B$27="使用",OR('17_ロードマップ・案件実行管理'!$AA$86&lt;&gt;1,NOT(AND(COUNTIFS('30_必須評価セット'!$B$4:$B$153,T28,'30_必須評価セット'!$C$4:$C$153,U28,'30_必須評価セット'!$E$4:$E$153,"E03",'30_必須評価セット'!$F$4:$F$153,"必須")&gt;0,COUNTIFS('30_必須評価セット'!$B$4:$B$153,T28,'30_必須評価セット'!$C$4:$C$153,U28,'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28,'30_必須評価セット'!$C$4:$C$153,U28,'30_必須評価セット'!$E$4:$E$153,"E05",'30_必須評価セット'!$F$4:$F$153,"必須")&gt;0)))),AND('03_AIリスクTier・適用判定'!$B$28="不使用",'17_ロードマップ・案件実行管理'!$W$87&lt;&gt;"除外記録済")),"機能別評価・対象外未完",IF(COUNTIFS('30_必須評価セット'!$B$4:$B$153,T28,'30_必須評価セット'!$C$4:$C$153,U28)&lt;&gt;SUMIFS('30_必須評価セット'!$N$4:$N$153,'30_必須評価セット'!$B$4:$B$153,T28,'30_必須評価セット'!$C$4:$C$153,U28),"必須評価セット未充足","必須評価セット充足"))))))</f>
        <v/>
      </c>
      <c r="AC28" s="28" t="str">
        <f>IF(F28="","",IF(OR(AG28="",AG28="未判定"),"条件有無未判定",IF(AND(AG28="なし",OR(L28="条件付承認",COUNTIF('31_条件・有効性'!$B$4:$B$83,F28)&gt;0)),"条件有無不一致",IF(AND(AG28="条件あり",COUNTIF('31_条件・有効性'!$B$4:$B$83,F28)=0),"Condition未登録",IF(AND(AG28="条件あり",COUNTIF('31_条件・有効性'!$B$4:$B$83,F28)&lt;&gt;(COUNTIFS('31_条件・有効性'!$B$4:$B$83,F28,'31_条件・有効性'!$Q$4:$Q$83,"解消確認済")+COUNTIFS('31_条件・有効性'!$B$4:$B$83,F28,'31_条件・有効性'!$Q$4:$Q$83,"期限内・制約継続"))),"条件失効・定義不備",IF(AND(AG28&lt;&gt;"なし",AG28&lt;&gt;"条件あり"),"条件有無不正","条件整合"))))))</f>
        <v/>
      </c>
      <c r="AD28" s="28" t="str">
        <f t="shared" si="0"/>
        <v/>
      </c>
      <c r="AE28" s="29"/>
      <c r="AF28" s="29"/>
      <c r="AG28" s="29"/>
    </row>
    <row r="29" spans="1:33" ht="78" customHeight="1" x14ac:dyDescent="0.2">
      <c r="A29" s="4"/>
      <c r="B29" s="28" t="str">
        <f>IF(A29="","",IF(COUNTIF('32_定義マスター'!$A$4:$A$9,A29)&lt;&gt;1,"参照ID不正",IF(INDEX('32_定義マスター'!$B$4:$B$9,MATCH(A29,'32_定義マスター'!$A$4:$A$9,0))="","",INDEX('32_定義マスター'!$B$4:$B$9,MATCH(A29,'32_定義マスター'!$A$4:$A$9,0)))))</f>
        <v/>
      </c>
      <c r="C29" s="28" t="str">
        <f>IF(A29="","",IF(COUNTIF('32_定義マスター'!$A$4:$A$9,A29)&lt;&gt;1,"参照ID不正",IF(INDEX('32_定義マスター'!$C$4:$C$9,MATCH(A29,'32_定義マスター'!$A$4:$A$9,0))="","",INDEX('32_定義マスター'!$C$4:$C$9,MATCH(A29,'32_定義マスター'!$A$4:$A$9,0)))))</f>
        <v/>
      </c>
      <c r="D29" s="28" t="str">
        <f>IF(A29="","",IF(COUNTIF('32_定義マスター'!$A$4:$A$9,A29)&lt;&gt;1,"参照ID不正",IF(INDEX('32_定義マスター'!$D$4:$D$9,MATCH(A29,'32_定義マスター'!$A$4:$A$9,0))="","",INDEX('32_定義マスター'!$D$4:$D$9,MATCH(A29,'32_定義マスター'!$A$4:$A$9,0)))))</f>
        <v/>
      </c>
      <c r="E29" s="28" t="str">
        <f>IF(A29="","",IF(COUNTIF('32_定義マスター'!$A$4:$A$9,A29)&lt;&gt;1,"参照ID不正",IF(INDEX('32_定義マスター'!$E$4:$E$9,MATCH(A29,'32_定義マスター'!$A$4:$A$9,0))="","",INDEX('32_定義マスター'!$E$4:$E$9,MATCH(A29,'32_定義マスター'!$A$4:$A$9,0)))))</f>
        <v/>
      </c>
      <c r="F29" s="6"/>
      <c r="G29" s="6"/>
      <c r="H29" s="6"/>
      <c r="I29" s="6"/>
      <c r="J29" s="6"/>
      <c r="K29" s="6"/>
      <c r="L29" s="6"/>
      <c r="M29" s="6"/>
      <c r="N29" s="5"/>
      <c r="O29" s="6"/>
      <c r="P29" s="5"/>
      <c r="Q29" s="6"/>
      <c r="R29" s="6"/>
      <c r="S29" s="28" t="str">
        <f>IF(A29="","",IF(COUNTIF('32_定義マスター'!$A$4:$A$9,A29)&lt;&gt;1,"Gate ID不正",IF(OR(L29="",L29="未審査"),"未承認",IF(OR(OR(F29="",G29="",H29="",I29="",J29="",K29="",O29="",AE29="",AF29=""),NOT(ISNUMBER(P29))),"判断証拠不足",IF(COUNTIF($F$4:$F$83,F29)&lt;&gt;1,"判断Run ID重複",IF(OR(AND(P29&lt;&gt;"",OR(NOT(ISNUMBER(P29)),IFERROR(P29&lt;1,TRUE),IFERROR(INT(P29)&gt;INT(AsOfDate),TRUE)))),"判断日不正",IF(AND(A29="G3",OR(T29="",U29="",V29="",W29="",X29="")),"公開対象・集合不足","判断記録あり・内容審査別")))))))</f>
        <v/>
      </c>
      <c r="T29" s="29"/>
      <c r="U29" s="29"/>
      <c r="V29" s="29"/>
      <c r="W29" s="29"/>
      <c r="X29" s="29"/>
      <c r="Y29" s="32"/>
      <c r="Z29" s="29"/>
      <c r="AA29" s="28" t="str">
        <f>IF(A29="","",IF(NOT(IFERROR(ISNUMBER(SEARCH("|"&amp;L29&amp;"|",IF(COUNTIF('32_定義マスター'!$A$4:$A$9,A29)&lt;&gt;1,"参照ID不正",IF(INDEX('32_定義マスター'!$F$4:$F$9,MATCH(A29,'32_定義マスター'!$A$4:$A$9,0))="","",INDEX('32_定義マスター'!$F$4:$F$9,MATCH(A29,'32_定義マスター'!$A$4:$A$9,0)))))),FALSE)),"Gate判断不適合",IF(AND(OR(L29="承認",L29="条件付承認",L29="Scale",L29="Continue",L29="廃止完了承認"),OR(I29="不合格",J29="不合格",V29="不合格",I29="FAIL",J29="FAIL",V29="FAIL")),"停止判定と承認が矛盾",IF(AND(OR(L29="承認",L29="条件付承認",L29="Scale",L29="Continue",L29="廃止完了承認"),OR(I29="未判定",J29="未判定",AND(A29="G3",V29="未判定"))),"必要判定未確定",IF(AND(OR(L29="承認",L29="条件付承認",L29="Scale",L29="Continue",L29="廃止完了承認"),OR(AND(I29&lt;&gt;"合格",I29&lt;&gt;"対象外承認"),AND(J29&lt;&gt;"合格",J29&lt;&gt;"対象外承認"),AND(A29="G3",V29&lt;&gt;"合格",V29&lt;&gt;"対象外承認"))),"判定値不正",IF(AND(A29="G4",L29="Scale",OR(COUNTIF('25_事業仮説・実験・GTM'!$Q$4:$Q$15,F29)=0,COUNTIFS('25_事業仮説・実験・GTM'!$Q$4:$Q$15,F29,'25_事業仮説・実験・GTM'!$AF$4:$AF$15,"&lt;&gt;充足")&gt;0,COUNTIFS('25_事業仮説・実験・GTM'!$Q$4:$Q$15,F29,'25_事業仮説・実験・GTM'!$AD$4:$AD$15,"&lt;&gt;拡大可能")&gt;0)),"拡大の行動証拠不足","判定整合"))))))</f>
        <v/>
      </c>
      <c r="AB29" s="28" t="str">
        <f>IF(A29="","",IF(A29&lt;&gt;"G3",IF(A29="G0",IF(OR(COUNTIF('25_事業仮説・実験・GTM'!$Q$4:$Q$15,F29)=0,COUNTIFS('25_事業仮説・実験・GTM'!$Q$4:$Q$15,F29,'25_事業仮説・実験・GTM'!$AE$4:$AE$15,"&lt;&gt;仮説記録あり")&gt;0),"仮説・持越し確認不足","G0仮説記録接続"),IF(A29="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29="",U29="",W29="",X29="",OR(COUNTIFS('30_必須評価セット'!$B$4:$B$153,T29,'30_必須評価セット'!$C$4:$C$153,U29,'30_必須評価セット'!$E$4:$E$153,"E01")=0,COUNTIFS('30_必須評価セット'!$B$4:$B$153,T29,'30_必須評価セット'!$C$4:$C$153,U29,'30_必須評価セット'!$E$4:$E$153,"E02")=0,COUNTIFS('30_必須評価セット'!$B$4:$B$153,T29,'30_必須評価セット'!$C$4:$C$153,U29,'30_必須評価セット'!$E$4:$E$153,"E03")=0,COUNTIFS('30_必須評価セット'!$B$4:$B$153,T29,'30_必須評価セット'!$C$4:$C$153,U29,'30_必須評価セット'!$E$4:$E$153,"E04")=0,COUNTIFS('30_必須評価セット'!$B$4:$B$153,T29,'30_必須評価セット'!$C$4:$C$153,U29,'30_必須評価セット'!$E$4:$E$153,"E05")=0,COUNTIFS('30_必須評価セット'!$B$4:$B$153,T29,'30_必須評価セット'!$C$4:$C$153,U29,'30_必須評価セット'!$E$4:$E$153,"E06")=0,COUNTIFS('30_必須評価セット'!$B$4:$B$153,T29,'30_必須評価セット'!$C$4:$C$153,U29,'30_必須評価セット'!$E$4:$E$153,"E07")=0,COUNTIFS('30_必須評価セット'!$B$4:$B$153,T29,'30_必須評価セット'!$C$4:$C$153,U29,'30_必須評価セット'!$E$4:$E$153,"E08")=0,COUNTIFS('30_必須評価セット'!$B$4:$B$153,T29,'30_必須評価セット'!$C$4:$C$153,U29,'30_必須評価セット'!$E$4:$E$153,"E09")=0,COUNTIFS('30_必須評価セット'!$B$4:$B$153,T29,'30_必須評価セット'!$C$4:$C$153,U29,'30_必須評価セット'!$E$4:$E$153,"E10")=0,COUNTIFS('30_必須評価セット'!$B$4:$B$153,T29,'30_必須評価セット'!$C$4:$C$153,U29,'30_必須評価セット'!$E$4:$E$153,"E11")=0,COUNTIFS('30_必須評価セット'!$B$4:$B$153,T29,'30_必須評価セット'!$C$4:$C$153,U29,'30_必須評価セット'!$E$4:$E$153,"E12")=0,COUNTIFS('30_必須評価セット'!$B$4:$B$153,T29,'30_必須評価セット'!$C$4:$C$153,U29,'30_必須評価セット'!$E$4:$E$153,"E13")=0,COUNTIFS('30_必須評価セット'!$B$4:$B$153,T29,'30_必須評価セット'!$C$4:$C$153,U29,'30_必須評価セット'!$E$4:$E$153,"E14")=0,COUNTIFS('30_必須評価セット'!$B$4:$B$153,T29,'30_必須評価セット'!$C$4:$C$153,U29,'30_必須評価セット'!$E$4:$E$153,"E15")=0,COUNTIFS('30_必須評価セット'!$B$4:$B$153,T29,'30_必須評価セット'!$C$4:$C$153,U29,'30_必須評価セット'!$E$4:$E$153,"E16")=0,COUNTIFS('30_必須評価セット'!$B$4:$B$153,T29,'30_必須評価セット'!$C$4:$C$153,U29,'30_必須評価セット'!$E$4:$E$153,"E17")=0,COUNTIFS('30_必須評価セット'!$B$4:$B$153,T29,'30_必須評価セット'!$C$4:$C$153,U29,'30_必須評価セット'!$E$4:$E$153,"E18")=0)),"必須分類・集合不足",IF(OR(AND('03_AIリスクTier・適用判定'!$B$27="使用",OR('17_ロードマップ・案件実行管理'!$AA$86&lt;&gt;1,NOT(AND(COUNTIFS('30_必須評価セット'!$B$4:$B$153,T29,'30_必須評価セット'!$C$4:$C$153,U29,'30_必須評価セット'!$E$4:$E$153,"E03",'30_必須評価セット'!$F$4:$F$153,"必須")&gt;0,COUNTIFS('30_必須評価セット'!$B$4:$B$153,T29,'30_必須評価セット'!$C$4:$C$153,U29,'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29,'30_必須評価セット'!$C$4:$C$153,U29,'30_必須評価セット'!$E$4:$E$153,"E05",'30_必須評価セット'!$F$4:$F$153,"必須")&gt;0)))),AND('03_AIリスクTier・適用判定'!$B$28="不使用",'17_ロードマップ・案件実行管理'!$W$87&lt;&gt;"除外記録済")),"機能別評価・対象外未完",IF(COUNTIFS('30_必須評価セット'!$B$4:$B$153,T29,'30_必須評価セット'!$C$4:$C$153,U29)&lt;&gt;SUMIFS('30_必須評価セット'!$N$4:$N$153,'30_必須評価セット'!$B$4:$B$153,T29,'30_必須評価セット'!$C$4:$C$153,U29),"必須評価セット未充足","必須評価セット充足"))))))</f>
        <v/>
      </c>
      <c r="AC29" s="28" t="str">
        <f>IF(F29="","",IF(OR(AG29="",AG29="未判定"),"条件有無未判定",IF(AND(AG29="なし",OR(L29="条件付承認",COUNTIF('31_条件・有効性'!$B$4:$B$83,F29)&gt;0)),"条件有無不一致",IF(AND(AG29="条件あり",COUNTIF('31_条件・有効性'!$B$4:$B$83,F29)=0),"Condition未登録",IF(AND(AG29="条件あり",COUNTIF('31_条件・有効性'!$B$4:$B$83,F29)&lt;&gt;(COUNTIFS('31_条件・有効性'!$B$4:$B$83,F29,'31_条件・有効性'!$Q$4:$Q$83,"解消確認済")+COUNTIFS('31_条件・有効性'!$B$4:$B$83,F29,'31_条件・有効性'!$Q$4:$Q$83,"期限内・制約継続"))),"条件失効・定義不備",IF(AND(AG29&lt;&gt;"なし",AG29&lt;&gt;"条件あり"),"条件有無不正","条件整合"))))))</f>
        <v/>
      </c>
      <c r="AD29" s="28" t="str">
        <f t="shared" si="0"/>
        <v/>
      </c>
      <c r="AE29" s="29"/>
      <c r="AF29" s="29"/>
      <c r="AG29" s="29"/>
    </row>
    <row r="30" spans="1:33" ht="78" customHeight="1" x14ac:dyDescent="0.2">
      <c r="A30" s="2"/>
      <c r="B30" s="28" t="str">
        <f>IF(A30="","",IF(COUNTIF('32_定義マスター'!$A$4:$A$9,A30)&lt;&gt;1,"参照ID不正",IF(INDEX('32_定義マスター'!$B$4:$B$9,MATCH(A30,'32_定義マスター'!$A$4:$A$9,0))="","",INDEX('32_定義マスター'!$B$4:$B$9,MATCH(A30,'32_定義マスター'!$A$4:$A$9,0)))))</f>
        <v/>
      </c>
      <c r="C30" s="28" t="str">
        <f>IF(A30="","",IF(COUNTIF('32_定義マスター'!$A$4:$A$9,A30)&lt;&gt;1,"参照ID不正",IF(INDEX('32_定義マスター'!$C$4:$C$9,MATCH(A30,'32_定義マスター'!$A$4:$A$9,0))="","",INDEX('32_定義マスター'!$C$4:$C$9,MATCH(A30,'32_定義マスター'!$A$4:$A$9,0)))))</f>
        <v/>
      </c>
      <c r="D30" s="28" t="str">
        <f>IF(A30="","",IF(COUNTIF('32_定義マスター'!$A$4:$A$9,A30)&lt;&gt;1,"参照ID不正",IF(INDEX('32_定義マスター'!$D$4:$D$9,MATCH(A30,'32_定義マスター'!$A$4:$A$9,0))="","",INDEX('32_定義マスター'!$D$4:$D$9,MATCH(A30,'32_定義マスター'!$A$4:$A$9,0)))))</f>
        <v/>
      </c>
      <c r="E30" s="28" t="str">
        <f>IF(A30="","",IF(COUNTIF('32_定義マスター'!$A$4:$A$9,A30)&lt;&gt;1,"参照ID不正",IF(INDEX('32_定義マスター'!$E$4:$E$9,MATCH(A30,'32_定義マスター'!$A$4:$A$9,0))="","",INDEX('32_定義マスター'!$E$4:$E$9,MATCH(A30,'32_定義マスター'!$A$4:$A$9,0)))))</f>
        <v/>
      </c>
      <c r="F30" s="6"/>
      <c r="G30" s="6"/>
      <c r="H30" s="6"/>
      <c r="I30" s="6"/>
      <c r="J30" s="6"/>
      <c r="K30" s="6"/>
      <c r="L30" s="6"/>
      <c r="M30" s="6"/>
      <c r="N30" s="5"/>
      <c r="O30" s="6"/>
      <c r="P30" s="5"/>
      <c r="Q30" s="6"/>
      <c r="R30" s="6"/>
      <c r="S30" s="28" t="str">
        <f>IF(A30="","",IF(COUNTIF('32_定義マスター'!$A$4:$A$9,A30)&lt;&gt;1,"Gate ID不正",IF(OR(L30="",L30="未審査"),"未承認",IF(OR(OR(F30="",G30="",H30="",I30="",J30="",K30="",O30="",AE30="",AF30=""),NOT(ISNUMBER(P30))),"判断証拠不足",IF(COUNTIF($F$4:$F$83,F30)&lt;&gt;1,"判断Run ID重複",IF(OR(AND(P30&lt;&gt;"",OR(NOT(ISNUMBER(P30)),IFERROR(P30&lt;1,TRUE),IFERROR(INT(P30)&gt;INT(AsOfDate),TRUE)))),"判断日不正",IF(AND(A30="G3",OR(T30="",U30="",V30="",W30="",X30="")),"公開対象・集合不足","判断記録あり・内容審査別")))))))</f>
        <v/>
      </c>
      <c r="T30" s="29"/>
      <c r="U30" s="29"/>
      <c r="V30" s="29"/>
      <c r="W30" s="29"/>
      <c r="X30" s="29"/>
      <c r="Y30" s="32"/>
      <c r="Z30" s="29"/>
      <c r="AA30" s="28" t="str">
        <f>IF(A30="","",IF(NOT(IFERROR(ISNUMBER(SEARCH("|"&amp;L30&amp;"|",IF(COUNTIF('32_定義マスター'!$A$4:$A$9,A30)&lt;&gt;1,"参照ID不正",IF(INDEX('32_定義マスター'!$F$4:$F$9,MATCH(A30,'32_定義マスター'!$A$4:$A$9,0))="","",INDEX('32_定義マスター'!$F$4:$F$9,MATCH(A30,'32_定義マスター'!$A$4:$A$9,0)))))),FALSE)),"Gate判断不適合",IF(AND(OR(L30="承認",L30="条件付承認",L30="Scale",L30="Continue",L30="廃止完了承認"),OR(I30="不合格",J30="不合格",V30="不合格",I30="FAIL",J30="FAIL",V30="FAIL")),"停止判定と承認が矛盾",IF(AND(OR(L30="承認",L30="条件付承認",L30="Scale",L30="Continue",L30="廃止完了承認"),OR(I30="未判定",J30="未判定",AND(A30="G3",V30="未判定"))),"必要判定未確定",IF(AND(OR(L30="承認",L30="条件付承認",L30="Scale",L30="Continue",L30="廃止完了承認"),OR(AND(I30&lt;&gt;"合格",I30&lt;&gt;"対象外承認"),AND(J30&lt;&gt;"合格",J30&lt;&gt;"対象外承認"),AND(A30="G3",V30&lt;&gt;"合格",V30&lt;&gt;"対象外承認"))),"判定値不正",IF(AND(A30="G4",L30="Scale",OR(COUNTIF('25_事業仮説・実験・GTM'!$Q$4:$Q$15,F30)=0,COUNTIFS('25_事業仮説・実験・GTM'!$Q$4:$Q$15,F30,'25_事業仮説・実験・GTM'!$AF$4:$AF$15,"&lt;&gt;充足")&gt;0,COUNTIFS('25_事業仮説・実験・GTM'!$Q$4:$Q$15,F30,'25_事業仮説・実験・GTM'!$AD$4:$AD$15,"&lt;&gt;拡大可能")&gt;0)),"拡大の行動証拠不足","判定整合"))))))</f>
        <v/>
      </c>
      <c r="AB30" s="28" t="str">
        <f>IF(A30="","",IF(A30&lt;&gt;"G3",IF(A30="G0",IF(OR(COUNTIF('25_事業仮説・実験・GTM'!$Q$4:$Q$15,F30)=0,COUNTIFS('25_事業仮説・実験・GTM'!$Q$4:$Q$15,F30,'25_事業仮説・実験・GTM'!$AE$4:$AE$15,"&lt;&gt;仮説記録あり")&gt;0),"仮説・持越し確認不足","G0仮説記録接続"),IF(A30="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30="",U30="",W30="",X30="",OR(COUNTIFS('30_必須評価セット'!$B$4:$B$153,T30,'30_必須評価セット'!$C$4:$C$153,U30,'30_必須評価セット'!$E$4:$E$153,"E01")=0,COUNTIFS('30_必須評価セット'!$B$4:$B$153,T30,'30_必須評価セット'!$C$4:$C$153,U30,'30_必須評価セット'!$E$4:$E$153,"E02")=0,COUNTIFS('30_必須評価セット'!$B$4:$B$153,T30,'30_必須評価セット'!$C$4:$C$153,U30,'30_必須評価セット'!$E$4:$E$153,"E03")=0,COUNTIFS('30_必須評価セット'!$B$4:$B$153,T30,'30_必須評価セット'!$C$4:$C$153,U30,'30_必須評価セット'!$E$4:$E$153,"E04")=0,COUNTIFS('30_必須評価セット'!$B$4:$B$153,T30,'30_必須評価セット'!$C$4:$C$153,U30,'30_必須評価セット'!$E$4:$E$153,"E05")=0,COUNTIFS('30_必須評価セット'!$B$4:$B$153,T30,'30_必須評価セット'!$C$4:$C$153,U30,'30_必須評価セット'!$E$4:$E$153,"E06")=0,COUNTIFS('30_必須評価セット'!$B$4:$B$153,T30,'30_必須評価セット'!$C$4:$C$153,U30,'30_必須評価セット'!$E$4:$E$153,"E07")=0,COUNTIFS('30_必須評価セット'!$B$4:$B$153,T30,'30_必須評価セット'!$C$4:$C$153,U30,'30_必須評価セット'!$E$4:$E$153,"E08")=0,COUNTIFS('30_必須評価セット'!$B$4:$B$153,T30,'30_必須評価セット'!$C$4:$C$153,U30,'30_必須評価セット'!$E$4:$E$153,"E09")=0,COUNTIFS('30_必須評価セット'!$B$4:$B$153,T30,'30_必須評価セット'!$C$4:$C$153,U30,'30_必須評価セット'!$E$4:$E$153,"E10")=0,COUNTIFS('30_必須評価セット'!$B$4:$B$153,T30,'30_必須評価セット'!$C$4:$C$153,U30,'30_必須評価セット'!$E$4:$E$153,"E11")=0,COUNTIFS('30_必須評価セット'!$B$4:$B$153,T30,'30_必須評価セット'!$C$4:$C$153,U30,'30_必須評価セット'!$E$4:$E$153,"E12")=0,COUNTIFS('30_必須評価セット'!$B$4:$B$153,T30,'30_必須評価セット'!$C$4:$C$153,U30,'30_必須評価セット'!$E$4:$E$153,"E13")=0,COUNTIFS('30_必須評価セット'!$B$4:$B$153,T30,'30_必須評価セット'!$C$4:$C$153,U30,'30_必須評価セット'!$E$4:$E$153,"E14")=0,COUNTIFS('30_必須評価セット'!$B$4:$B$153,T30,'30_必須評価セット'!$C$4:$C$153,U30,'30_必須評価セット'!$E$4:$E$153,"E15")=0,COUNTIFS('30_必須評価セット'!$B$4:$B$153,T30,'30_必須評価セット'!$C$4:$C$153,U30,'30_必須評価セット'!$E$4:$E$153,"E16")=0,COUNTIFS('30_必須評価セット'!$B$4:$B$153,T30,'30_必須評価セット'!$C$4:$C$153,U30,'30_必須評価セット'!$E$4:$E$153,"E17")=0,COUNTIFS('30_必須評価セット'!$B$4:$B$153,T30,'30_必須評価セット'!$C$4:$C$153,U30,'30_必須評価セット'!$E$4:$E$153,"E18")=0)),"必須分類・集合不足",IF(OR(AND('03_AIリスクTier・適用判定'!$B$27="使用",OR('17_ロードマップ・案件実行管理'!$AA$86&lt;&gt;1,NOT(AND(COUNTIFS('30_必須評価セット'!$B$4:$B$153,T30,'30_必須評価セット'!$C$4:$C$153,U30,'30_必須評価セット'!$E$4:$E$153,"E03",'30_必須評価セット'!$F$4:$F$153,"必須")&gt;0,COUNTIFS('30_必須評価セット'!$B$4:$B$153,T30,'30_必須評価セット'!$C$4:$C$153,U30,'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30,'30_必須評価セット'!$C$4:$C$153,U30,'30_必須評価セット'!$E$4:$E$153,"E05",'30_必須評価セット'!$F$4:$F$153,"必須")&gt;0)))),AND('03_AIリスクTier・適用判定'!$B$28="不使用",'17_ロードマップ・案件実行管理'!$W$87&lt;&gt;"除外記録済")),"機能別評価・対象外未完",IF(COUNTIFS('30_必須評価セット'!$B$4:$B$153,T30,'30_必須評価セット'!$C$4:$C$153,U30)&lt;&gt;SUMIFS('30_必須評価セット'!$N$4:$N$153,'30_必須評価セット'!$B$4:$B$153,T30,'30_必須評価セット'!$C$4:$C$153,U30),"必須評価セット未充足","必須評価セット充足"))))))</f>
        <v/>
      </c>
      <c r="AC30" s="28" t="str">
        <f>IF(F30="","",IF(OR(AG30="",AG30="未判定"),"条件有無未判定",IF(AND(AG30="なし",OR(L30="条件付承認",COUNTIF('31_条件・有効性'!$B$4:$B$83,F30)&gt;0)),"条件有無不一致",IF(AND(AG30="条件あり",COUNTIF('31_条件・有効性'!$B$4:$B$83,F30)=0),"Condition未登録",IF(AND(AG30="条件あり",COUNTIF('31_条件・有効性'!$B$4:$B$83,F30)&lt;&gt;(COUNTIFS('31_条件・有効性'!$B$4:$B$83,F30,'31_条件・有効性'!$Q$4:$Q$83,"解消確認済")+COUNTIFS('31_条件・有効性'!$B$4:$B$83,F30,'31_条件・有効性'!$Q$4:$Q$83,"期限内・制約継続"))),"条件失効・定義不備",IF(AND(AG30&lt;&gt;"なし",AG30&lt;&gt;"条件あり"),"条件有無不正","条件整合"))))))</f>
        <v/>
      </c>
      <c r="AD30" s="28" t="str">
        <f t="shared" si="0"/>
        <v/>
      </c>
      <c r="AE30" s="29"/>
      <c r="AF30" s="29"/>
      <c r="AG30" s="29"/>
    </row>
    <row r="31" spans="1:33" ht="78" customHeight="1" x14ac:dyDescent="0.2">
      <c r="A31" s="4"/>
      <c r="B31" s="28" t="str">
        <f>IF(A31="","",IF(COUNTIF('32_定義マスター'!$A$4:$A$9,A31)&lt;&gt;1,"参照ID不正",IF(INDEX('32_定義マスター'!$B$4:$B$9,MATCH(A31,'32_定義マスター'!$A$4:$A$9,0))="","",INDEX('32_定義マスター'!$B$4:$B$9,MATCH(A31,'32_定義マスター'!$A$4:$A$9,0)))))</f>
        <v/>
      </c>
      <c r="C31" s="28" t="str">
        <f>IF(A31="","",IF(COUNTIF('32_定義マスター'!$A$4:$A$9,A31)&lt;&gt;1,"参照ID不正",IF(INDEX('32_定義マスター'!$C$4:$C$9,MATCH(A31,'32_定義マスター'!$A$4:$A$9,0))="","",INDEX('32_定義マスター'!$C$4:$C$9,MATCH(A31,'32_定義マスター'!$A$4:$A$9,0)))))</f>
        <v/>
      </c>
      <c r="D31" s="28" t="str">
        <f>IF(A31="","",IF(COUNTIF('32_定義マスター'!$A$4:$A$9,A31)&lt;&gt;1,"参照ID不正",IF(INDEX('32_定義マスター'!$D$4:$D$9,MATCH(A31,'32_定義マスター'!$A$4:$A$9,0))="","",INDEX('32_定義マスター'!$D$4:$D$9,MATCH(A31,'32_定義マスター'!$A$4:$A$9,0)))))</f>
        <v/>
      </c>
      <c r="E31" s="28" t="str">
        <f>IF(A31="","",IF(COUNTIF('32_定義マスター'!$A$4:$A$9,A31)&lt;&gt;1,"参照ID不正",IF(INDEX('32_定義マスター'!$E$4:$E$9,MATCH(A31,'32_定義マスター'!$A$4:$A$9,0))="","",INDEX('32_定義マスター'!$E$4:$E$9,MATCH(A31,'32_定義マスター'!$A$4:$A$9,0)))))</f>
        <v/>
      </c>
      <c r="F31" s="6"/>
      <c r="G31" s="6"/>
      <c r="H31" s="6"/>
      <c r="I31" s="6"/>
      <c r="J31" s="6"/>
      <c r="K31" s="6"/>
      <c r="L31" s="6"/>
      <c r="M31" s="6"/>
      <c r="N31" s="5"/>
      <c r="O31" s="6"/>
      <c r="P31" s="5"/>
      <c r="Q31" s="6"/>
      <c r="R31" s="6"/>
      <c r="S31" s="28" t="str">
        <f>IF(A31="","",IF(COUNTIF('32_定義マスター'!$A$4:$A$9,A31)&lt;&gt;1,"Gate ID不正",IF(OR(L31="",L31="未審査"),"未承認",IF(OR(OR(F31="",G31="",H31="",I31="",J31="",K31="",O31="",AE31="",AF31=""),NOT(ISNUMBER(P31))),"判断証拠不足",IF(COUNTIF($F$4:$F$83,F31)&lt;&gt;1,"判断Run ID重複",IF(OR(AND(P31&lt;&gt;"",OR(NOT(ISNUMBER(P31)),IFERROR(P31&lt;1,TRUE),IFERROR(INT(P31)&gt;INT(AsOfDate),TRUE)))),"判断日不正",IF(AND(A31="G3",OR(T31="",U31="",V31="",W31="",X31="")),"公開対象・集合不足","判断記録あり・内容審査別")))))))</f>
        <v/>
      </c>
      <c r="T31" s="29"/>
      <c r="U31" s="29"/>
      <c r="V31" s="29"/>
      <c r="W31" s="29"/>
      <c r="X31" s="29"/>
      <c r="Y31" s="32"/>
      <c r="Z31" s="29"/>
      <c r="AA31" s="28" t="str">
        <f>IF(A31="","",IF(NOT(IFERROR(ISNUMBER(SEARCH("|"&amp;L31&amp;"|",IF(COUNTIF('32_定義マスター'!$A$4:$A$9,A31)&lt;&gt;1,"参照ID不正",IF(INDEX('32_定義マスター'!$F$4:$F$9,MATCH(A31,'32_定義マスター'!$A$4:$A$9,0))="","",INDEX('32_定義マスター'!$F$4:$F$9,MATCH(A31,'32_定義マスター'!$A$4:$A$9,0)))))),FALSE)),"Gate判断不適合",IF(AND(OR(L31="承認",L31="条件付承認",L31="Scale",L31="Continue",L31="廃止完了承認"),OR(I31="不合格",J31="不合格",V31="不合格",I31="FAIL",J31="FAIL",V31="FAIL")),"停止判定と承認が矛盾",IF(AND(OR(L31="承認",L31="条件付承認",L31="Scale",L31="Continue",L31="廃止完了承認"),OR(I31="未判定",J31="未判定",AND(A31="G3",V31="未判定"))),"必要判定未確定",IF(AND(OR(L31="承認",L31="条件付承認",L31="Scale",L31="Continue",L31="廃止完了承認"),OR(AND(I31&lt;&gt;"合格",I31&lt;&gt;"対象外承認"),AND(J31&lt;&gt;"合格",J31&lt;&gt;"対象外承認"),AND(A31="G3",V31&lt;&gt;"合格",V31&lt;&gt;"対象外承認"))),"判定値不正",IF(AND(A31="G4",L31="Scale",OR(COUNTIF('25_事業仮説・実験・GTM'!$Q$4:$Q$15,F31)=0,COUNTIFS('25_事業仮説・実験・GTM'!$Q$4:$Q$15,F31,'25_事業仮説・実験・GTM'!$AF$4:$AF$15,"&lt;&gt;充足")&gt;0,COUNTIFS('25_事業仮説・実験・GTM'!$Q$4:$Q$15,F31,'25_事業仮説・実験・GTM'!$AD$4:$AD$15,"&lt;&gt;拡大可能")&gt;0)),"拡大の行動証拠不足","判定整合"))))))</f>
        <v/>
      </c>
      <c r="AB31" s="28" t="str">
        <f>IF(A31="","",IF(A31&lt;&gt;"G3",IF(A31="G0",IF(OR(COUNTIF('25_事業仮説・実験・GTM'!$Q$4:$Q$15,F31)=0,COUNTIFS('25_事業仮説・実験・GTM'!$Q$4:$Q$15,F31,'25_事業仮説・実験・GTM'!$AE$4:$AE$15,"&lt;&gt;仮説記録あり")&gt;0),"仮説・持越し確認不足","G0仮説記録接続"),IF(A31="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31="",U31="",W31="",X31="",OR(COUNTIFS('30_必須評価セット'!$B$4:$B$153,T31,'30_必須評価セット'!$C$4:$C$153,U31,'30_必須評価セット'!$E$4:$E$153,"E01")=0,COUNTIFS('30_必須評価セット'!$B$4:$B$153,T31,'30_必須評価セット'!$C$4:$C$153,U31,'30_必須評価セット'!$E$4:$E$153,"E02")=0,COUNTIFS('30_必須評価セット'!$B$4:$B$153,T31,'30_必須評価セット'!$C$4:$C$153,U31,'30_必須評価セット'!$E$4:$E$153,"E03")=0,COUNTIFS('30_必須評価セット'!$B$4:$B$153,T31,'30_必須評価セット'!$C$4:$C$153,U31,'30_必須評価セット'!$E$4:$E$153,"E04")=0,COUNTIFS('30_必須評価セット'!$B$4:$B$153,T31,'30_必須評価セット'!$C$4:$C$153,U31,'30_必須評価セット'!$E$4:$E$153,"E05")=0,COUNTIFS('30_必須評価セット'!$B$4:$B$153,T31,'30_必須評価セット'!$C$4:$C$153,U31,'30_必須評価セット'!$E$4:$E$153,"E06")=0,COUNTIFS('30_必須評価セット'!$B$4:$B$153,T31,'30_必須評価セット'!$C$4:$C$153,U31,'30_必須評価セット'!$E$4:$E$153,"E07")=0,COUNTIFS('30_必須評価セット'!$B$4:$B$153,T31,'30_必須評価セット'!$C$4:$C$153,U31,'30_必須評価セット'!$E$4:$E$153,"E08")=0,COUNTIFS('30_必須評価セット'!$B$4:$B$153,T31,'30_必須評価セット'!$C$4:$C$153,U31,'30_必須評価セット'!$E$4:$E$153,"E09")=0,COUNTIFS('30_必須評価セット'!$B$4:$B$153,T31,'30_必須評価セット'!$C$4:$C$153,U31,'30_必須評価セット'!$E$4:$E$153,"E10")=0,COUNTIFS('30_必須評価セット'!$B$4:$B$153,T31,'30_必須評価セット'!$C$4:$C$153,U31,'30_必須評価セット'!$E$4:$E$153,"E11")=0,COUNTIFS('30_必須評価セット'!$B$4:$B$153,T31,'30_必須評価セット'!$C$4:$C$153,U31,'30_必須評価セット'!$E$4:$E$153,"E12")=0,COUNTIFS('30_必須評価セット'!$B$4:$B$153,T31,'30_必須評価セット'!$C$4:$C$153,U31,'30_必須評価セット'!$E$4:$E$153,"E13")=0,COUNTIFS('30_必須評価セット'!$B$4:$B$153,T31,'30_必須評価セット'!$C$4:$C$153,U31,'30_必須評価セット'!$E$4:$E$153,"E14")=0,COUNTIFS('30_必須評価セット'!$B$4:$B$153,T31,'30_必須評価セット'!$C$4:$C$153,U31,'30_必須評価セット'!$E$4:$E$153,"E15")=0,COUNTIFS('30_必須評価セット'!$B$4:$B$153,T31,'30_必須評価セット'!$C$4:$C$153,U31,'30_必須評価セット'!$E$4:$E$153,"E16")=0,COUNTIFS('30_必須評価セット'!$B$4:$B$153,T31,'30_必須評価セット'!$C$4:$C$153,U31,'30_必須評価セット'!$E$4:$E$153,"E17")=0,COUNTIFS('30_必須評価セット'!$B$4:$B$153,T31,'30_必須評価セット'!$C$4:$C$153,U31,'30_必須評価セット'!$E$4:$E$153,"E18")=0)),"必須分類・集合不足",IF(OR(AND('03_AIリスクTier・適用判定'!$B$27="使用",OR('17_ロードマップ・案件実行管理'!$AA$86&lt;&gt;1,NOT(AND(COUNTIFS('30_必須評価セット'!$B$4:$B$153,T31,'30_必須評価セット'!$C$4:$C$153,U31,'30_必須評価セット'!$E$4:$E$153,"E03",'30_必須評価セット'!$F$4:$F$153,"必須")&gt;0,COUNTIFS('30_必須評価セット'!$B$4:$B$153,T31,'30_必須評価セット'!$C$4:$C$153,U31,'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31,'30_必須評価セット'!$C$4:$C$153,U31,'30_必須評価セット'!$E$4:$E$153,"E05",'30_必須評価セット'!$F$4:$F$153,"必須")&gt;0)))),AND('03_AIリスクTier・適用判定'!$B$28="不使用",'17_ロードマップ・案件実行管理'!$W$87&lt;&gt;"除外記録済")),"機能別評価・対象外未完",IF(COUNTIFS('30_必須評価セット'!$B$4:$B$153,T31,'30_必須評価セット'!$C$4:$C$153,U31)&lt;&gt;SUMIFS('30_必須評価セット'!$N$4:$N$153,'30_必須評価セット'!$B$4:$B$153,T31,'30_必須評価セット'!$C$4:$C$153,U31),"必須評価セット未充足","必須評価セット充足"))))))</f>
        <v/>
      </c>
      <c r="AC31" s="28" t="str">
        <f>IF(F31="","",IF(OR(AG31="",AG31="未判定"),"条件有無未判定",IF(AND(AG31="なし",OR(L31="条件付承認",COUNTIF('31_条件・有効性'!$B$4:$B$83,F31)&gt;0)),"条件有無不一致",IF(AND(AG31="条件あり",COUNTIF('31_条件・有効性'!$B$4:$B$83,F31)=0),"Condition未登録",IF(AND(AG31="条件あり",COUNTIF('31_条件・有効性'!$B$4:$B$83,F31)&lt;&gt;(COUNTIFS('31_条件・有効性'!$B$4:$B$83,F31,'31_条件・有効性'!$Q$4:$Q$83,"解消確認済")+COUNTIFS('31_条件・有効性'!$B$4:$B$83,F31,'31_条件・有効性'!$Q$4:$Q$83,"期限内・制約継続"))),"条件失効・定義不備",IF(AND(AG31&lt;&gt;"なし",AG31&lt;&gt;"条件あり"),"条件有無不正","条件整合"))))))</f>
        <v/>
      </c>
      <c r="AD31" s="28" t="str">
        <f t="shared" si="0"/>
        <v/>
      </c>
      <c r="AE31" s="29"/>
      <c r="AF31" s="29"/>
      <c r="AG31" s="29"/>
    </row>
    <row r="32" spans="1:33" ht="78" customHeight="1" x14ac:dyDescent="0.2">
      <c r="A32" s="2"/>
      <c r="B32" s="28" t="str">
        <f>IF(A32="","",IF(COUNTIF('32_定義マスター'!$A$4:$A$9,A32)&lt;&gt;1,"参照ID不正",IF(INDEX('32_定義マスター'!$B$4:$B$9,MATCH(A32,'32_定義マスター'!$A$4:$A$9,0))="","",INDEX('32_定義マスター'!$B$4:$B$9,MATCH(A32,'32_定義マスター'!$A$4:$A$9,0)))))</f>
        <v/>
      </c>
      <c r="C32" s="28" t="str">
        <f>IF(A32="","",IF(COUNTIF('32_定義マスター'!$A$4:$A$9,A32)&lt;&gt;1,"参照ID不正",IF(INDEX('32_定義マスター'!$C$4:$C$9,MATCH(A32,'32_定義マスター'!$A$4:$A$9,0))="","",INDEX('32_定義マスター'!$C$4:$C$9,MATCH(A32,'32_定義マスター'!$A$4:$A$9,0)))))</f>
        <v/>
      </c>
      <c r="D32" s="28" t="str">
        <f>IF(A32="","",IF(COUNTIF('32_定義マスター'!$A$4:$A$9,A32)&lt;&gt;1,"参照ID不正",IF(INDEX('32_定義マスター'!$D$4:$D$9,MATCH(A32,'32_定義マスター'!$A$4:$A$9,0))="","",INDEX('32_定義マスター'!$D$4:$D$9,MATCH(A32,'32_定義マスター'!$A$4:$A$9,0)))))</f>
        <v/>
      </c>
      <c r="E32" s="28" t="str">
        <f>IF(A32="","",IF(COUNTIF('32_定義マスター'!$A$4:$A$9,A32)&lt;&gt;1,"参照ID不正",IF(INDEX('32_定義マスター'!$E$4:$E$9,MATCH(A32,'32_定義マスター'!$A$4:$A$9,0))="","",INDEX('32_定義マスター'!$E$4:$E$9,MATCH(A32,'32_定義マスター'!$A$4:$A$9,0)))))</f>
        <v/>
      </c>
      <c r="F32" s="6"/>
      <c r="G32" s="6"/>
      <c r="H32" s="6"/>
      <c r="I32" s="6"/>
      <c r="J32" s="6"/>
      <c r="K32" s="6"/>
      <c r="L32" s="6"/>
      <c r="M32" s="6"/>
      <c r="N32" s="5"/>
      <c r="O32" s="6"/>
      <c r="P32" s="5"/>
      <c r="Q32" s="6"/>
      <c r="R32" s="6"/>
      <c r="S32" s="28" t="str">
        <f>IF(A32="","",IF(COUNTIF('32_定義マスター'!$A$4:$A$9,A32)&lt;&gt;1,"Gate ID不正",IF(OR(L32="",L32="未審査"),"未承認",IF(OR(OR(F32="",G32="",H32="",I32="",J32="",K32="",O32="",AE32="",AF32=""),NOT(ISNUMBER(P32))),"判断証拠不足",IF(COUNTIF($F$4:$F$83,F32)&lt;&gt;1,"判断Run ID重複",IF(OR(AND(P32&lt;&gt;"",OR(NOT(ISNUMBER(P32)),IFERROR(P32&lt;1,TRUE),IFERROR(INT(P32)&gt;INT(AsOfDate),TRUE)))),"判断日不正",IF(AND(A32="G3",OR(T32="",U32="",V32="",W32="",X32="")),"公開対象・集合不足","判断記録あり・内容審査別")))))))</f>
        <v/>
      </c>
      <c r="T32" s="29"/>
      <c r="U32" s="29"/>
      <c r="V32" s="29"/>
      <c r="W32" s="29"/>
      <c r="X32" s="29"/>
      <c r="Y32" s="32"/>
      <c r="Z32" s="29"/>
      <c r="AA32" s="28" t="str">
        <f>IF(A32="","",IF(NOT(IFERROR(ISNUMBER(SEARCH("|"&amp;L32&amp;"|",IF(COUNTIF('32_定義マスター'!$A$4:$A$9,A32)&lt;&gt;1,"参照ID不正",IF(INDEX('32_定義マスター'!$F$4:$F$9,MATCH(A32,'32_定義マスター'!$A$4:$A$9,0))="","",INDEX('32_定義マスター'!$F$4:$F$9,MATCH(A32,'32_定義マスター'!$A$4:$A$9,0)))))),FALSE)),"Gate判断不適合",IF(AND(OR(L32="承認",L32="条件付承認",L32="Scale",L32="Continue",L32="廃止完了承認"),OR(I32="不合格",J32="不合格",V32="不合格",I32="FAIL",J32="FAIL",V32="FAIL")),"停止判定と承認が矛盾",IF(AND(OR(L32="承認",L32="条件付承認",L32="Scale",L32="Continue",L32="廃止完了承認"),OR(I32="未判定",J32="未判定",AND(A32="G3",V32="未判定"))),"必要判定未確定",IF(AND(OR(L32="承認",L32="条件付承認",L32="Scale",L32="Continue",L32="廃止完了承認"),OR(AND(I32&lt;&gt;"合格",I32&lt;&gt;"対象外承認"),AND(J32&lt;&gt;"合格",J32&lt;&gt;"対象外承認"),AND(A32="G3",V32&lt;&gt;"合格",V32&lt;&gt;"対象外承認"))),"判定値不正",IF(AND(A32="G4",L32="Scale",OR(COUNTIF('25_事業仮説・実験・GTM'!$Q$4:$Q$15,F32)=0,COUNTIFS('25_事業仮説・実験・GTM'!$Q$4:$Q$15,F32,'25_事業仮説・実験・GTM'!$AF$4:$AF$15,"&lt;&gt;充足")&gt;0,COUNTIFS('25_事業仮説・実験・GTM'!$Q$4:$Q$15,F32,'25_事業仮説・実験・GTM'!$AD$4:$AD$15,"&lt;&gt;拡大可能")&gt;0)),"拡大の行動証拠不足","判定整合"))))))</f>
        <v/>
      </c>
      <c r="AB32" s="28" t="str">
        <f>IF(A32="","",IF(A32&lt;&gt;"G3",IF(A32="G0",IF(OR(COUNTIF('25_事業仮説・実験・GTM'!$Q$4:$Q$15,F32)=0,COUNTIFS('25_事業仮説・実験・GTM'!$Q$4:$Q$15,F32,'25_事業仮説・実験・GTM'!$AE$4:$AE$15,"&lt;&gt;仮説記録あり")&gt;0),"仮説・持越し確認不足","G0仮説記録接続"),IF(A32="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32="",U32="",W32="",X32="",OR(COUNTIFS('30_必須評価セット'!$B$4:$B$153,T32,'30_必須評価セット'!$C$4:$C$153,U32,'30_必須評価セット'!$E$4:$E$153,"E01")=0,COUNTIFS('30_必須評価セット'!$B$4:$B$153,T32,'30_必須評価セット'!$C$4:$C$153,U32,'30_必須評価セット'!$E$4:$E$153,"E02")=0,COUNTIFS('30_必須評価セット'!$B$4:$B$153,T32,'30_必須評価セット'!$C$4:$C$153,U32,'30_必須評価セット'!$E$4:$E$153,"E03")=0,COUNTIFS('30_必須評価セット'!$B$4:$B$153,T32,'30_必須評価セット'!$C$4:$C$153,U32,'30_必須評価セット'!$E$4:$E$153,"E04")=0,COUNTIFS('30_必須評価セット'!$B$4:$B$153,T32,'30_必須評価セット'!$C$4:$C$153,U32,'30_必須評価セット'!$E$4:$E$153,"E05")=0,COUNTIFS('30_必須評価セット'!$B$4:$B$153,T32,'30_必須評価セット'!$C$4:$C$153,U32,'30_必須評価セット'!$E$4:$E$153,"E06")=0,COUNTIFS('30_必須評価セット'!$B$4:$B$153,T32,'30_必須評価セット'!$C$4:$C$153,U32,'30_必須評価セット'!$E$4:$E$153,"E07")=0,COUNTIFS('30_必須評価セット'!$B$4:$B$153,T32,'30_必須評価セット'!$C$4:$C$153,U32,'30_必須評価セット'!$E$4:$E$153,"E08")=0,COUNTIFS('30_必須評価セット'!$B$4:$B$153,T32,'30_必須評価セット'!$C$4:$C$153,U32,'30_必須評価セット'!$E$4:$E$153,"E09")=0,COUNTIFS('30_必須評価セット'!$B$4:$B$153,T32,'30_必須評価セット'!$C$4:$C$153,U32,'30_必須評価セット'!$E$4:$E$153,"E10")=0,COUNTIFS('30_必須評価セット'!$B$4:$B$153,T32,'30_必須評価セット'!$C$4:$C$153,U32,'30_必須評価セット'!$E$4:$E$153,"E11")=0,COUNTIFS('30_必須評価セット'!$B$4:$B$153,T32,'30_必須評価セット'!$C$4:$C$153,U32,'30_必須評価セット'!$E$4:$E$153,"E12")=0,COUNTIFS('30_必須評価セット'!$B$4:$B$153,T32,'30_必須評価セット'!$C$4:$C$153,U32,'30_必須評価セット'!$E$4:$E$153,"E13")=0,COUNTIFS('30_必須評価セット'!$B$4:$B$153,T32,'30_必須評価セット'!$C$4:$C$153,U32,'30_必須評価セット'!$E$4:$E$153,"E14")=0,COUNTIFS('30_必須評価セット'!$B$4:$B$153,T32,'30_必須評価セット'!$C$4:$C$153,U32,'30_必須評価セット'!$E$4:$E$153,"E15")=0,COUNTIFS('30_必須評価セット'!$B$4:$B$153,T32,'30_必須評価セット'!$C$4:$C$153,U32,'30_必須評価セット'!$E$4:$E$153,"E16")=0,COUNTIFS('30_必須評価セット'!$B$4:$B$153,T32,'30_必須評価セット'!$C$4:$C$153,U32,'30_必須評価セット'!$E$4:$E$153,"E17")=0,COUNTIFS('30_必須評価セット'!$B$4:$B$153,T32,'30_必須評価セット'!$C$4:$C$153,U32,'30_必須評価セット'!$E$4:$E$153,"E18")=0)),"必須分類・集合不足",IF(OR(AND('03_AIリスクTier・適用判定'!$B$27="使用",OR('17_ロードマップ・案件実行管理'!$AA$86&lt;&gt;1,NOT(AND(COUNTIFS('30_必須評価セット'!$B$4:$B$153,T32,'30_必須評価セット'!$C$4:$C$153,U32,'30_必須評価セット'!$E$4:$E$153,"E03",'30_必須評価セット'!$F$4:$F$153,"必須")&gt;0,COUNTIFS('30_必須評価セット'!$B$4:$B$153,T32,'30_必須評価セット'!$C$4:$C$153,U32,'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32,'30_必須評価セット'!$C$4:$C$153,U32,'30_必須評価セット'!$E$4:$E$153,"E05",'30_必須評価セット'!$F$4:$F$153,"必須")&gt;0)))),AND('03_AIリスクTier・適用判定'!$B$28="不使用",'17_ロードマップ・案件実行管理'!$W$87&lt;&gt;"除外記録済")),"機能別評価・対象外未完",IF(COUNTIFS('30_必須評価セット'!$B$4:$B$153,T32,'30_必須評価セット'!$C$4:$C$153,U32)&lt;&gt;SUMIFS('30_必須評価セット'!$N$4:$N$153,'30_必須評価セット'!$B$4:$B$153,T32,'30_必須評価セット'!$C$4:$C$153,U32),"必須評価セット未充足","必須評価セット充足"))))))</f>
        <v/>
      </c>
      <c r="AC32" s="28" t="str">
        <f>IF(F32="","",IF(OR(AG32="",AG32="未判定"),"条件有無未判定",IF(AND(AG32="なし",OR(L32="条件付承認",COUNTIF('31_条件・有効性'!$B$4:$B$83,F32)&gt;0)),"条件有無不一致",IF(AND(AG32="条件あり",COUNTIF('31_条件・有効性'!$B$4:$B$83,F32)=0),"Condition未登録",IF(AND(AG32="条件あり",COUNTIF('31_条件・有効性'!$B$4:$B$83,F32)&lt;&gt;(COUNTIFS('31_条件・有効性'!$B$4:$B$83,F32,'31_条件・有効性'!$Q$4:$Q$83,"解消確認済")+COUNTIFS('31_条件・有効性'!$B$4:$B$83,F32,'31_条件・有効性'!$Q$4:$Q$83,"期限内・制約継続"))),"条件失効・定義不備",IF(AND(AG32&lt;&gt;"なし",AG32&lt;&gt;"条件あり"),"条件有無不正","条件整合"))))))</f>
        <v/>
      </c>
      <c r="AD32" s="28" t="str">
        <f t="shared" si="0"/>
        <v/>
      </c>
      <c r="AE32" s="29"/>
      <c r="AF32" s="29"/>
      <c r="AG32" s="29"/>
    </row>
    <row r="33" spans="1:33" ht="78" customHeight="1" x14ac:dyDescent="0.2">
      <c r="A33" s="4"/>
      <c r="B33" s="28" t="str">
        <f>IF(A33="","",IF(COUNTIF('32_定義マスター'!$A$4:$A$9,A33)&lt;&gt;1,"参照ID不正",IF(INDEX('32_定義マスター'!$B$4:$B$9,MATCH(A33,'32_定義マスター'!$A$4:$A$9,0))="","",INDEX('32_定義マスター'!$B$4:$B$9,MATCH(A33,'32_定義マスター'!$A$4:$A$9,0)))))</f>
        <v/>
      </c>
      <c r="C33" s="28" t="str">
        <f>IF(A33="","",IF(COUNTIF('32_定義マスター'!$A$4:$A$9,A33)&lt;&gt;1,"参照ID不正",IF(INDEX('32_定義マスター'!$C$4:$C$9,MATCH(A33,'32_定義マスター'!$A$4:$A$9,0))="","",INDEX('32_定義マスター'!$C$4:$C$9,MATCH(A33,'32_定義マスター'!$A$4:$A$9,0)))))</f>
        <v/>
      </c>
      <c r="D33" s="28" t="str">
        <f>IF(A33="","",IF(COUNTIF('32_定義マスター'!$A$4:$A$9,A33)&lt;&gt;1,"参照ID不正",IF(INDEX('32_定義マスター'!$D$4:$D$9,MATCH(A33,'32_定義マスター'!$A$4:$A$9,0))="","",INDEX('32_定義マスター'!$D$4:$D$9,MATCH(A33,'32_定義マスター'!$A$4:$A$9,0)))))</f>
        <v/>
      </c>
      <c r="E33" s="28" t="str">
        <f>IF(A33="","",IF(COUNTIF('32_定義マスター'!$A$4:$A$9,A33)&lt;&gt;1,"参照ID不正",IF(INDEX('32_定義マスター'!$E$4:$E$9,MATCH(A33,'32_定義マスター'!$A$4:$A$9,0))="","",INDEX('32_定義マスター'!$E$4:$E$9,MATCH(A33,'32_定義マスター'!$A$4:$A$9,0)))))</f>
        <v/>
      </c>
      <c r="F33" s="6"/>
      <c r="G33" s="6"/>
      <c r="H33" s="6"/>
      <c r="I33" s="6"/>
      <c r="J33" s="6"/>
      <c r="K33" s="6"/>
      <c r="L33" s="6"/>
      <c r="M33" s="6"/>
      <c r="N33" s="5"/>
      <c r="O33" s="6"/>
      <c r="P33" s="5"/>
      <c r="Q33" s="6"/>
      <c r="R33" s="6"/>
      <c r="S33" s="28" t="str">
        <f>IF(A33="","",IF(COUNTIF('32_定義マスター'!$A$4:$A$9,A33)&lt;&gt;1,"Gate ID不正",IF(OR(L33="",L33="未審査"),"未承認",IF(OR(OR(F33="",G33="",H33="",I33="",J33="",K33="",O33="",AE33="",AF33=""),NOT(ISNUMBER(P33))),"判断証拠不足",IF(COUNTIF($F$4:$F$83,F33)&lt;&gt;1,"判断Run ID重複",IF(OR(AND(P33&lt;&gt;"",OR(NOT(ISNUMBER(P33)),IFERROR(P33&lt;1,TRUE),IFERROR(INT(P33)&gt;INT(AsOfDate),TRUE)))),"判断日不正",IF(AND(A33="G3",OR(T33="",U33="",V33="",W33="",X33="")),"公開対象・集合不足","判断記録あり・内容審査別")))))))</f>
        <v/>
      </c>
      <c r="T33" s="29"/>
      <c r="U33" s="29"/>
      <c r="V33" s="29"/>
      <c r="W33" s="29"/>
      <c r="X33" s="29"/>
      <c r="Y33" s="32"/>
      <c r="Z33" s="29"/>
      <c r="AA33" s="28" t="str">
        <f>IF(A33="","",IF(NOT(IFERROR(ISNUMBER(SEARCH("|"&amp;L33&amp;"|",IF(COUNTIF('32_定義マスター'!$A$4:$A$9,A33)&lt;&gt;1,"参照ID不正",IF(INDEX('32_定義マスター'!$F$4:$F$9,MATCH(A33,'32_定義マスター'!$A$4:$A$9,0))="","",INDEX('32_定義マスター'!$F$4:$F$9,MATCH(A33,'32_定義マスター'!$A$4:$A$9,0)))))),FALSE)),"Gate判断不適合",IF(AND(OR(L33="承認",L33="条件付承認",L33="Scale",L33="Continue",L33="廃止完了承認"),OR(I33="不合格",J33="不合格",V33="不合格",I33="FAIL",J33="FAIL",V33="FAIL")),"停止判定と承認が矛盾",IF(AND(OR(L33="承認",L33="条件付承認",L33="Scale",L33="Continue",L33="廃止完了承認"),OR(I33="未判定",J33="未判定",AND(A33="G3",V33="未判定"))),"必要判定未確定",IF(AND(OR(L33="承認",L33="条件付承認",L33="Scale",L33="Continue",L33="廃止完了承認"),OR(AND(I33&lt;&gt;"合格",I33&lt;&gt;"対象外承認"),AND(J33&lt;&gt;"合格",J33&lt;&gt;"対象外承認"),AND(A33="G3",V33&lt;&gt;"合格",V33&lt;&gt;"対象外承認"))),"判定値不正",IF(AND(A33="G4",L33="Scale",OR(COUNTIF('25_事業仮説・実験・GTM'!$Q$4:$Q$15,F33)=0,COUNTIFS('25_事業仮説・実験・GTM'!$Q$4:$Q$15,F33,'25_事業仮説・実験・GTM'!$AF$4:$AF$15,"&lt;&gt;充足")&gt;0,COUNTIFS('25_事業仮説・実験・GTM'!$Q$4:$Q$15,F33,'25_事業仮説・実験・GTM'!$AD$4:$AD$15,"&lt;&gt;拡大可能")&gt;0)),"拡大の行動証拠不足","判定整合"))))))</f>
        <v/>
      </c>
      <c r="AB33" s="28" t="str">
        <f>IF(A33="","",IF(A33&lt;&gt;"G3",IF(A33="G0",IF(OR(COUNTIF('25_事業仮説・実験・GTM'!$Q$4:$Q$15,F33)=0,COUNTIFS('25_事業仮説・実験・GTM'!$Q$4:$Q$15,F33,'25_事業仮説・実験・GTM'!$AE$4:$AE$15,"&lt;&gt;仮説記録あり")&gt;0),"仮説・持越し確認不足","G0仮説記録接続"),IF(A33="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33="",U33="",W33="",X33="",OR(COUNTIFS('30_必須評価セット'!$B$4:$B$153,T33,'30_必須評価セット'!$C$4:$C$153,U33,'30_必須評価セット'!$E$4:$E$153,"E01")=0,COUNTIFS('30_必須評価セット'!$B$4:$B$153,T33,'30_必須評価セット'!$C$4:$C$153,U33,'30_必須評価セット'!$E$4:$E$153,"E02")=0,COUNTIFS('30_必須評価セット'!$B$4:$B$153,T33,'30_必須評価セット'!$C$4:$C$153,U33,'30_必須評価セット'!$E$4:$E$153,"E03")=0,COUNTIFS('30_必須評価セット'!$B$4:$B$153,T33,'30_必須評価セット'!$C$4:$C$153,U33,'30_必須評価セット'!$E$4:$E$153,"E04")=0,COUNTIFS('30_必須評価セット'!$B$4:$B$153,T33,'30_必須評価セット'!$C$4:$C$153,U33,'30_必須評価セット'!$E$4:$E$153,"E05")=0,COUNTIFS('30_必須評価セット'!$B$4:$B$153,T33,'30_必須評価セット'!$C$4:$C$153,U33,'30_必須評価セット'!$E$4:$E$153,"E06")=0,COUNTIFS('30_必須評価セット'!$B$4:$B$153,T33,'30_必須評価セット'!$C$4:$C$153,U33,'30_必須評価セット'!$E$4:$E$153,"E07")=0,COUNTIFS('30_必須評価セット'!$B$4:$B$153,T33,'30_必須評価セット'!$C$4:$C$153,U33,'30_必須評価セット'!$E$4:$E$153,"E08")=0,COUNTIFS('30_必須評価セット'!$B$4:$B$153,T33,'30_必須評価セット'!$C$4:$C$153,U33,'30_必須評価セット'!$E$4:$E$153,"E09")=0,COUNTIFS('30_必須評価セット'!$B$4:$B$153,T33,'30_必須評価セット'!$C$4:$C$153,U33,'30_必須評価セット'!$E$4:$E$153,"E10")=0,COUNTIFS('30_必須評価セット'!$B$4:$B$153,T33,'30_必須評価セット'!$C$4:$C$153,U33,'30_必須評価セット'!$E$4:$E$153,"E11")=0,COUNTIFS('30_必須評価セット'!$B$4:$B$153,T33,'30_必須評価セット'!$C$4:$C$153,U33,'30_必須評価セット'!$E$4:$E$153,"E12")=0,COUNTIFS('30_必須評価セット'!$B$4:$B$153,T33,'30_必須評価セット'!$C$4:$C$153,U33,'30_必須評価セット'!$E$4:$E$153,"E13")=0,COUNTIFS('30_必須評価セット'!$B$4:$B$153,T33,'30_必須評価セット'!$C$4:$C$153,U33,'30_必須評価セット'!$E$4:$E$153,"E14")=0,COUNTIFS('30_必須評価セット'!$B$4:$B$153,T33,'30_必須評価セット'!$C$4:$C$153,U33,'30_必須評価セット'!$E$4:$E$153,"E15")=0,COUNTIFS('30_必須評価セット'!$B$4:$B$153,T33,'30_必須評価セット'!$C$4:$C$153,U33,'30_必須評価セット'!$E$4:$E$153,"E16")=0,COUNTIFS('30_必須評価セット'!$B$4:$B$153,T33,'30_必須評価セット'!$C$4:$C$153,U33,'30_必須評価セット'!$E$4:$E$153,"E17")=0,COUNTIFS('30_必須評価セット'!$B$4:$B$153,T33,'30_必須評価セット'!$C$4:$C$153,U33,'30_必須評価セット'!$E$4:$E$153,"E18")=0)),"必須分類・集合不足",IF(OR(AND('03_AIリスクTier・適用判定'!$B$27="使用",OR('17_ロードマップ・案件実行管理'!$AA$86&lt;&gt;1,NOT(AND(COUNTIFS('30_必須評価セット'!$B$4:$B$153,T33,'30_必須評価セット'!$C$4:$C$153,U33,'30_必須評価セット'!$E$4:$E$153,"E03",'30_必須評価セット'!$F$4:$F$153,"必須")&gt;0,COUNTIFS('30_必須評価セット'!$B$4:$B$153,T33,'30_必須評価セット'!$C$4:$C$153,U33,'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33,'30_必須評価セット'!$C$4:$C$153,U33,'30_必須評価セット'!$E$4:$E$153,"E05",'30_必須評価セット'!$F$4:$F$153,"必須")&gt;0)))),AND('03_AIリスクTier・適用判定'!$B$28="不使用",'17_ロードマップ・案件実行管理'!$W$87&lt;&gt;"除外記録済")),"機能別評価・対象外未完",IF(COUNTIFS('30_必須評価セット'!$B$4:$B$153,T33,'30_必須評価セット'!$C$4:$C$153,U33)&lt;&gt;SUMIFS('30_必須評価セット'!$N$4:$N$153,'30_必須評価セット'!$B$4:$B$153,T33,'30_必須評価セット'!$C$4:$C$153,U33),"必須評価セット未充足","必須評価セット充足"))))))</f>
        <v/>
      </c>
      <c r="AC33" s="28" t="str">
        <f>IF(F33="","",IF(OR(AG33="",AG33="未判定"),"条件有無未判定",IF(AND(AG33="なし",OR(L33="条件付承認",COUNTIF('31_条件・有効性'!$B$4:$B$83,F33)&gt;0)),"条件有無不一致",IF(AND(AG33="条件あり",COUNTIF('31_条件・有効性'!$B$4:$B$83,F33)=0),"Condition未登録",IF(AND(AG33="条件あり",COUNTIF('31_条件・有効性'!$B$4:$B$83,F33)&lt;&gt;(COUNTIFS('31_条件・有効性'!$B$4:$B$83,F33,'31_条件・有効性'!$Q$4:$Q$83,"解消確認済")+COUNTIFS('31_条件・有効性'!$B$4:$B$83,F33,'31_条件・有効性'!$Q$4:$Q$83,"期限内・制約継続"))),"条件失効・定義不備",IF(AND(AG33&lt;&gt;"なし",AG33&lt;&gt;"条件あり"),"条件有無不正","条件整合"))))))</f>
        <v/>
      </c>
      <c r="AD33" s="28" t="str">
        <f t="shared" si="0"/>
        <v/>
      </c>
      <c r="AE33" s="29"/>
      <c r="AF33" s="29"/>
      <c r="AG33" s="29"/>
    </row>
    <row r="34" spans="1:33" ht="78" customHeight="1" x14ac:dyDescent="0.2">
      <c r="A34" s="29"/>
      <c r="B34" s="28" t="str">
        <f>IF(A34="","",IF(COUNTIF('32_定義マスター'!$A$4:$A$9,A34)&lt;&gt;1,"参照ID不正",IF(INDEX('32_定義マスター'!$B$4:$B$9,MATCH(A34,'32_定義マスター'!$A$4:$A$9,0))="","",INDEX('32_定義マスター'!$B$4:$B$9,MATCH(A34,'32_定義マスター'!$A$4:$A$9,0)))))</f>
        <v/>
      </c>
      <c r="C34" s="28" t="str">
        <f>IF(A34="","",IF(COUNTIF('32_定義マスター'!$A$4:$A$9,A34)&lt;&gt;1,"参照ID不正",IF(INDEX('32_定義マスター'!$C$4:$C$9,MATCH(A34,'32_定義マスター'!$A$4:$A$9,0))="","",INDEX('32_定義マスター'!$C$4:$C$9,MATCH(A34,'32_定義マスター'!$A$4:$A$9,0)))))</f>
        <v/>
      </c>
      <c r="D34" s="28" t="str">
        <f>IF(A34="","",IF(COUNTIF('32_定義マスター'!$A$4:$A$9,A34)&lt;&gt;1,"参照ID不正",IF(INDEX('32_定義マスター'!$D$4:$D$9,MATCH(A34,'32_定義マスター'!$A$4:$A$9,0))="","",INDEX('32_定義マスター'!$D$4:$D$9,MATCH(A34,'32_定義マスター'!$A$4:$A$9,0)))))</f>
        <v/>
      </c>
      <c r="E34" s="28" t="str">
        <f>IF(A34="","",IF(COUNTIF('32_定義マスター'!$A$4:$A$9,A34)&lt;&gt;1,"参照ID不正",IF(INDEX('32_定義マスター'!$E$4:$E$9,MATCH(A34,'32_定義マスター'!$A$4:$A$9,0))="","",INDEX('32_定義マスター'!$E$4:$E$9,MATCH(A34,'32_定義マスター'!$A$4:$A$9,0)))))</f>
        <v/>
      </c>
      <c r="F34" s="29"/>
      <c r="G34" s="29"/>
      <c r="H34" s="29"/>
      <c r="I34" s="29"/>
      <c r="J34" s="29"/>
      <c r="K34" s="29"/>
      <c r="L34" s="29"/>
      <c r="M34" s="29"/>
      <c r="N34" s="32"/>
      <c r="O34" s="29"/>
      <c r="P34" s="32"/>
      <c r="Q34" s="29"/>
      <c r="R34" s="29"/>
      <c r="S34" s="28" t="str">
        <f>IF(A34="","",IF(COUNTIF('32_定義マスター'!$A$4:$A$9,A34)&lt;&gt;1,"Gate ID不正",IF(OR(L34="",L34="未審査"),"未承認",IF(OR(OR(F34="",G34="",H34="",I34="",J34="",K34="",O34="",AE34="",AF34=""),NOT(ISNUMBER(P34))),"判断証拠不足",IF(COUNTIF($F$4:$F$83,F34)&lt;&gt;1,"判断Run ID重複",IF(OR(AND(P34&lt;&gt;"",OR(NOT(ISNUMBER(P34)),IFERROR(P34&lt;1,TRUE),IFERROR(INT(P34)&gt;INT(AsOfDate),TRUE)))),"判断日不正",IF(AND(A34="G3",OR(T34="",U34="",V34="",W34="",X34="")),"公開対象・集合不足","判断記録あり・内容審査別")))))))</f>
        <v/>
      </c>
      <c r="T34" s="29"/>
      <c r="U34" s="29"/>
      <c r="V34" s="29"/>
      <c r="W34" s="29"/>
      <c r="X34" s="29"/>
      <c r="Y34" s="32"/>
      <c r="Z34" s="29"/>
      <c r="AA34" s="28" t="str">
        <f>IF(A34="","",IF(NOT(IFERROR(ISNUMBER(SEARCH("|"&amp;L34&amp;"|",IF(COUNTIF('32_定義マスター'!$A$4:$A$9,A34)&lt;&gt;1,"参照ID不正",IF(INDEX('32_定義マスター'!$F$4:$F$9,MATCH(A34,'32_定義マスター'!$A$4:$A$9,0))="","",INDEX('32_定義マスター'!$F$4:$F$9,MATCH(A34,'32_定義マスター'!$A$4:$A$9,0)))))),FALSE)),"Gate判断不適合",IF(AND(OR(L34="承認",L34="条件付承認",L34="Scale",L34="Continue",L34="廃止完了承認"),OR(I34="不合格",J34="不合格",V34="不合格",I34="FAIL",J34="FAIL",V34="FAIL")),"停止判定と承認が矛盾",IF(AND(OR(L34="承認",L34="条件付承認",L34="Scale",L34="Continue",L34="廃止完了承認"),OR(I34="未判定",J34="未判定",AND(A34="G3",V34="未判定"))),"必要判定未確定",IF(AND(OR(L34="承認",L34="条件付承認",L34="Scale",L34="Continue",L34="廃止完了承認"),OR(AND(I34&lt;&gt;"合格",I34&lt;&gt;"対象外承認"),AND(J34&lt;&gt;"合格",J34&lt;&gt;"対象外承認"),AND(A34="G3",V34&lt;&gt;"合格",V34&lt;&gt;"対象外承認"))),"判定値不正",IF(AND(A34="G4",L34="Scale",OR(COUNTIF('25_事業仮説・実験・GTM'!$Q$4:$Q$15,F34)=0,COUNTIFS('25_事業仮説・実験・GTM'!$Q$4:$Q$15,F34,'25_事業仮説・実験・GTM'!$AF$4:$AF$15,"&lt;&gt;充足")&gt;0,COUNTIFS('25_事業仮説・実験・GTM'!$Q$4:$Q$15,F34,'25_事業仮説・実験・GTM'!$AD$4:$AD$15,"&lt;&gt;拡大可能")&gt;0)),"拡大の行動証拠不足","判定整合"))))))</f>
        <v/>
      </c>
      <c r="AB34" s="28" t="str">
        <f>IF(A34="","",IF(A34&lt;&gt;"G3",IF(A34="G0",IF(OR(COUNTIF('25_事業仮説・実験・GTM'!$Q$4:$Q$15,F34)=0,COUNTIFS('25_事業仮説・実験・GTM'!$Q$4:$Q$15,F34,'25_事業仮説・実験・GTM'!$AE$4:$AE$15,"&lt;&gt;仮説記録あり")&gt;0),"仮説・持越し確認不足","G0仮説記録接続"),IF(A34="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34="",U34="",W34="",X34="",OR(COUNTIFS('30_必須評価セット'!$B$4:$B$153,T34,'30_必須評価セット'!$C$4:$C$153,U34,'30_必須評価セット'!$E$4:$E$153,"E01")=0,COUNTIFS('30_必須評価セット'!$B$4:$B$153,T34,'30_必須評価セット'!$C$4:$C$153,U34,'30_必須評価セット'!$E$4:$E$153,"E02")=0,COUNTIFS('30_必須評価セット'!$B$4:$B$153,T34,'30_必須評価セット'!$C$4:$C$153,U34,'30_必須評価セット'!$E$4:$E$153,"E03")=0,COUNTIFS('30_必須評価セット'!$B$4:$B$153,T34,'30_必須評価セット'!$C$4:$C$153,U34,'30_必須評価セット'!$E$4:$E$153,"E04")=0,COUNTIFS('30_必須評価セット'!$B$4:$B$153,T34,'30_必須評価セット'!$C$4:$C$153,U34,'30_必須評価セット'!$E$4:$E$153,"E05")=0,COUNTIFS('30_必須評価セット'!$B$4:$B$153,T34,'30_必須評価セット'!$C$4:$C$153,U34,'30_必須評価セット'!$E$4:$E$153,"E06")=0,COUNTIFS('30_必須評価セット'!$B$4:$B$153,T34,'30_必須評価セット'!$C$4:$C$153,U34,'30_必須評価セット'!$E$4:$E$153,"E07")=0,COUNTIFS('30_必須評価セット'!$B$4:$B$153,T34,'30_必須評価セット'!$C$4:$C$153,U34,'30_必須評価セット'!$E$4:$E$153,"E08")=0,COUNTIFS('30_必須評価セット'!$B$4:$B$153,T34,'30_必須評価セット'!$C$4:$C$153,U34,'30_必須評価セット'!$E$4:$E$153,"E09")=0,COUNTIFS('30_必須評価セット'!$B$4:$B$153,T34,'30_必須評価セット'!$C$4:$C$153,U34,'30_必須評価セット'!$E$4:$E$153,"E10")=0,COUNTIFS('30_必須評価セット'!$B$4:$B$153,T34,'30_必須評価セット'!$C$4:$C$153,U34,'30_必須評価セット'!$E$4:$E$153,"E11")=0,COUNTIFS('30_必須評価セット'!$B$4:$B$153,T34,'30_必須評価セット'!$C$4:$C$153,U34,'30_必須評価セット'!$E$4:$E$153,"E12")=0,COUNTIFS('30_必須評価セット'!$B$4:$B$153,T34,'30_必須評価セット'!$C$4:$C$153,U34,'30_必須評価セット'!$E$4:$E$153,"E13")=0,COUNTIFS('30_必須評価セット'!$B$4:$B$153,T34,'30_必須評価セット'!$C$4:$C$153,U34,'30_必須評価セット'!$E$4:$E$153,"E14")=0,COUNTIFS('30_必須評価セット'!$B$4:$B$153,T34,'30_必須評価セット'!$C$4:$C$153,U34,'30_必須評価セット'!$E$4:$E$153,"E15")=0,COUNTIFS('30_必須評価セット'!$B$4:$B$153,T34,'30_必須評価セット'!$C$4:$C$153,U34,'30_必須評価セット'!$E$4:$E$153,"E16")=0,COUNTIFS('30_必須評価セット'!$B$4:$B$153,T34,'30_必須評価セット'!$C$4:$C$153,U34,'30_必須評価セット'!$E$4:$E$153,"E17")=0,COUNTIFS('30_必須評価セット'!$B$4:$B$153,T34,'30_必須評価セット'!$C$4:$C$153,U34,'30_必須評価セット'!$E$4:$E$153,"E18")=0)),"必須分類・集合不足",IF(OR(AND('03_AIリスクTier・適用判定'!$B$27="使用",OR('17_ロードマップ・案件実行管理'!$AA$86&lt;&gt;1,NOT(AND(COUNTIFS('30_必須評価セット'!$B$4:$B$153,T34,'30_必須評価セット'!$C$4:$C$153,U34,'30_必須評価セット'!$E$4:$E$153,"E03",'30_必須評価セット'!$F$4:$F$153,"必須")&gt;0,COUNTIFS('30_必須評価セット'!$B$4:$B$153,T34,'30_必須評価セット'!$C$4:$C$153,U34,'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34,'30_必須評価セット'!$C$4:$C$153,U34,'30_必須評価セット'!$E$4:$E$153,"E05",'30_必須評価セット'!$F$4:$F$153,"必須")&gt;0)))),AND('03_AIリスクTier・適用判定'!$B$28="不使用",'17_ロードマップ・案件実行管理'!$W$87&lt;&gt;"除外記録済")),"機能別評価・対象外未完",IF(COUNTIFS('30_必須評価セット'!$B$4:$B$153,T34,'30_必須評価セット'!$C$4:$C$153,U34)&lt;&gt;SUMIFS('30_必須評価セット'!$N$4:$N$153,'30_必須評価セット'!$B$4:$B$153,T34,'30_必須評価セット'!$C$4:$C$153,U34),"必須評価セット未充足","必須評価セット充足"))))))</f>
        <v/>
      </c>
      <c r="AC34" s="28" t="str">
        <f>IF(F34="","",IF(OR(AG34="",AG34="未判定"),"条件有無未判定",IF(AND(AG34="なし",OR(L34="条件付承認",COUNTIF('31_条件・有効性'!$B$4:$B$83,F34)&gt;0)),"条件有無不一致",IF(AND(AG34="条件あり",COUNTIF('31_条件・有効性'!$B$4:$B$83,F34)=0),"Condition未登録",IF(AND(AG34="条件あり",COUNTIF('31_条件・有効性'!$B$4:$B$83,F34)&lt;&gt;(COUNTIFS('31_条件・有効性'!$B$4:$B$83,F34,'31_条件・有効性'!$Q$4:$Q$83,"解消確認済")+COUNTIFS('31_条件・有効性'!$B$4:$B$83,F34,'31_条件・有効性'!$Q$4:$Q$83,"期限内・制約継続"))),"条件失効・定義不備",IF(AND(AG34&lt;&gt;"なし",AG34&lt;&gt;"条件あり"),"条件有無不正","条件整合"))))))</f>
        <v/>
      </c>
      <c r="AD34" s="28" t="str">
        <f t="shared" si="0"/>
        <v/>
      </c>
      <c r="AE34" s="29"/>
      <c r="AF34" s="29"/>
      <c r="AG34" s="29"/>
    </row>
    <row r="35" spans="1:33" ht="78" customHeight="1" x14ac:dyDescent="0.2">
      <c r="A35" s="29"/>
      <c r="B35" s="28" t="str">
        <f>IF(A35="","",IF(COUNTIF('32_定義マスター'!$A$4:$A$9,A35)&lt;&gt;1,"参照ID不正",IF(INDEX('32_定義マスター'!$B$4:$B$9,MATCH(A35,'32_定義マスター'!$A$4:$A$9,0))="","",INDEX('32_定義マスター'!$B$4:$B$9,MATCH(A35,'32_定義マスター'!$A$4:$A$9,0)))))</f>
        <v/>
      </c>
      <c r="C35" s="28" t="str">
        <f>IF(A35="","",IF(COUNTIF('32_定義マスター'!$A$4:$A$9,A35)&lt;&gt;1,"参照ID不正",IF(INDEX('32_定義マスター'!$C$4:$C$9,MATCH(A35,'32_定義マスター'!$A$4:$A$9,0))="","",INDEX('32_定義マスター'!$C$4:$C$9,MATCH(A35,'32_定義マスター'!$A$4:$A$9,0)))))</f>
        <v/>
      </c>
      <c r="D35" s="28" t="str">
        <f>IF(A35="","",IF(COUNTIF('32_定義マスター'!$A$4:$A$9,A35)&lt;&gt;1,"参照ID不正",IF(INDEX('32_定義マスター'!$D$4:$D$9,MATCH(A35,'32_定義マスター'!$A$4:$A$9,0))="","",INDEX('32_定義マスター'!$D$4:$D$9,MATCH(A35,'32_定義マスター'!$A$4:$A$9,0)))))</f>
        <v/>
      </c>
      <c r="E35" s="28" t="str">
        <f>IF(A35="","",IF(COUNTIF('32_定義マスター'!$A$4:$A$9,A35)&lt;&gt;1,"参照ID不正",IF(INDEX('32_定義マスター'!$E$4:$E$9,MATCH(A35,'32_定義マスター'!$A$4:$A$9,0))="","",INDEX('32_定義マスター'!$E$4:$E$9,MATCH(A35,'32_定義マスター'!$A$4:$A$9,0)))))</f>
        <v/>
      </c>
      <c r="F35" s="29"/>
      <c r="G35" s="29"/>
      <c r="H35" s="29"/>
      <c r="I35" s="29"/>
      <c r="J35" s="29"/>
      <c r="K35" s="29"/>
      <c r="L35" s="29"/>
      <c r="M35" s="29"/>
      <c r="N35" s="32"/>
      <c r="O35" s="29"/>
      <c r="P35" s="32"/>
      <c r="Q35" s="29"/>
      <c r="R35" s="29"/>
      <c r="S35" s="28" t="str">
        <f>IF(A35="","",IF(COUNTIF('32_定義マスター'!$A$4:$A$9,A35)&lt;&gt;1,"Gate ID不正",IF(OR(L35="",L35="未審査"),"未承認",IF(OR(OR(F35="",G35="",H35="",I35="",J35="",K35="",O35="",AE35="",AF35=""),NOT(ISNUMBER(P35))),"判断証拠不足",IF(COUNTIF($F$4:$F$83,F35)&lt;&gt;1,"判断Run ID重複",IF(OR(AND(P35&lt;&gt;"",OR(NOT(ISNUMBER(P35)),IFERROR(P35&lt;1,TRUE),IFERROR(INT(P35)&gt;INT(AsOfDate),TRUE)))),"判断日不正",IF(AND(A35="G3",OR(T35="",U35="",V35="",W35="",X35="")),"公開対象・集合不足","判断記録あり・内容審査別")))))))</f>
        <v/>
      </c>
      <c r="T35" s="29"/>
      <c r="U35" s="29"/>
      <c r="V35" s="29"/>
      <c r="W35" s="29"/>
      <c r="X35" s="29"/>
      <c r="Y35" s="32"/>
      <c r="Z35" s="29"/>
      <c r="AA35" s="28" t="str">
        <f>IF(A35="","",IF(NOT(IFERROR(ISNUMBER(SEARCH("|"&amp;L35&amp;"|",IF(COUNTIF('32_定義マスター'!$A$4:$A$9,A35)&lt;&gt;1,"参照ID不正",IF(INDEX('32_定義マスター'!$F$4:$F$9,MATCH(A35,'32_定義マスター'!$A$4:$A$9,0))="","",INDEX('32_定義マスター'!$F$4:$F$9,MATCH(A35,'32_定義マスター'!$A$4:$A$9,0)))))),FALSE)),"Gate判断不適合",IF(AND(OR(L35="承認",L35="条件付承認",L35="Scale",L35="Continue",L35="廃止完了承認"),OR(I35="不合格",J35="不合格",V35="不合格",I35="FAIL",J35="FAIL",V35="FAIL")),"停止判定と承認が矛盾",IF(AND(OR(L35="承認",L35="条件付承認",L35="Scale",L35="Continue",L35="廃止完了承認"),OR(I35="未判定",J35="未判定",AND(A35="G3",V35="未判定"))),"必要判定未確定",IF(AND(OR(L35="承認",L35="条件付承認",L35="Scale",L35="Continue",L35="廃止完了承認"),OR(AND(I35&lt;&gt;"合格",I35&lt;&gt;"対象外承認"),AND(J35&lt;&gt;"合格",J35&lt;&gt;"対象外承認"),AND(A35="G3",V35&lt;&gt;"合格",V35&lt;&gt;"対象外承認"))),"判定値不正",IF(AND(A35="G4",L35="Scale",OR(COUNTIF('25_事業仮説・実験・GTM'!$Q$4:$Q$15,F35)=0,COUNTIFS('25_事業仮説・実験・GTM'!$Q$4:$Q$15,F35,'25_事業仮説・実験・GTM'!$AF$4:$AF$15,"&lt;&gt;充足")&gt;0,COUNTIFS('25_事業仮説・実験・GTM'!$Q$4:$Q$15,F35,'25_事業仮説・実験・GTM'!$AD$4:$AD$15,"&lt;&gt;拡大可能")&gt;0)),"拡大の行動証拠不足","判定整合"))))))</f>
        <v/>
      </c>
      <c r="AB35" s="28" t="str">
        <f>IF(A35="","",IF(A35&lt;&gt;"G3",IF(A35="G0",IF(OR(COUNTIF('25_事業仮説・実験・GTM'!$Q$4:$Q$15,F35)=0,COUNTIFS('25_事業仮説・実験・GTM'!$Q$4:$Q$15,F35,'25_事業仮説・実験・GTM'!$AE$4:$AE$15,"&lt;&gt;仮説記録あり")&gt;0),"仮説・持越し確認不足","G0仮説記録接続"),IF(A35="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35="",U35="",W35="",X35="",OR(COUNTIFS('30_必須評価セット'!$B$4:$B$153,T35,'30_必須評価セット'!$C$4:$C$153,U35,'30_必須評価セット'!$E$4:$E$153,"E01")=0,COUNTIFS('30_必須評価セット'!$B$4:$B$153,T35,'30_必須評価セット'!$C$4:$C$153,U35,'30_必須評価セット'!$E$4:$E$153,"E02")=0,COUNTIFS('30_必須評価セット'!$B$4:$B$153,T35,'30_必須評価セット'!$C$4:$C$153,U35,'30_必須評価セット'!$E$4:$E$153,"E03")=0,COUNTIFS('30_必須評価セット'!$B$4:$B$153,T35,'30_必須評価セット'!$C$4:$C$153,U35,'30_必須評価セット'!$E$4:$E$153,"E04")=0,COUNTIFS('30_必須評価セット'!$B$4:$B$153,T35,'30_必須評価セット'!$C$4:$C$153,U35,'30_必須評価セット'!$E$4:$E$153,"E05")=0,COUNTIFS('30_必須評価セット'!$B$4:$B$153,T35,'30_必須評価セット'!$C$4:$C$153,U35,'30_必須評価セット'!$E$4:$E$153,"E06")=0,COUNTIFS('30_必須評価セット'!$B$4:$B$153,T35,'30_必須評価セット'!$C$4:$C$153,U35,'30_必須評価セット'!$E$4:$E$153,"E07")=0,COUNTIFS('30_必須評価セット'!$B$4:$B$153,T35,'30_必須評価セット'!$C$4:$C$153,U35,'30_必須評価セット'!$E$4:$E$153,"E08")=0,COUNTIFS('30_必須評価セット'!$B$4:$B$153,T35,'30_必須評価セット'!$C$4:$C$153,U35,'30_必須評価セット'!$E$4:$E$153,"E09")=0,COUNTIFS('30_必須評価セット'!$B$4:$B$153,T35,'30_必須評価セット'!$C$4:$C$153,U35,'30_必須評価セット'!$E$4:$E$153,"E10")=0,COUNTIFS('30_必須評価セット'!$B$4:$B$153,T35,'30_必須評価セット'!$C$4:$C$153,U35,'30_必須評価セット'!$E$4:$E$153,"E11")=0,COUNTIFS('30_必須評価セット'!$B$4:$B$153,T35,'30_必須評価セット'!$C$4:$C$153,U35,'30_必須評価セット'!$E$4:$E$153,"E12")=0,COUNTIFS('30_必須評価セット'!$B$4:$B$153,T35,'30_必須評価セット'!$C$4:$C$153,U35,'30_必須評価セット'!$E$4:$E$153,"E13")=0,COUNTIFS('30_必須評価セット'!$B$4:$B$153,T35,'30_必須評価セット'!$C$4:$C$153,U35,'30_必須評価セット'!$E$4:$E$153,"E14")=0,COUNTIFS('30_必須評価セット'!$B$4:$B$153,T35,'30_必須評価セット'!$C$4:$C$153,U35,'30_必須評価セット'!$E$4:$E$153,"E15")=0,COUNTIFS('30_必須評価セット'!$B$4:$B$153,T35,'30_必須評価セット'!$C$4:$C$153,U35,'30_必須評価セット'!$E$4:$E$153,"E16")=0,COUNTIFS('30_必須評価セット'!$B$4:$B$153,T35,'30_必須評価セット'!$C$4:$C$153,U35,'30_必須評価セット'!$E$4:$E$153,"E17")=0,COUNTIFS('30_必須評価セット'!$B$4:$B$153,T35,'30_必須評価セット'!$C$4:$C$153,U35,'30_必須評価セット'!$E$4:$E$153,"E18")=0)),"必須分類・集合不足",IF(OR(AND('03_AIリスクTier・適用判定'!$B$27="使用",OR('17_ロードマップ・案件実行管理'!$AA$86&lt;&gt;1,NOT(AND(COUNTIFS('30_必須評価セット'!$B$4:$B$153,T35,'30_必須評価セット'!$C$4:$C$153,U35,'30_必須評価セット'!$E$4:$E$153,"E03",'30_必須評価セット'!$F$4:$F$153,"必須")&gt;0,COUNTIFS('30_必須評価セット'!$B$4:$B$153,T35,'30_必須評価セット'!$C$4:$C$153,U35,'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35,'30_必須評価セット'!$C$4:$C$153,U35,'30_必須評価セット'!$E$4:$E$153,"E05",'30_必須評価セット'!$F$4:$F$153,"必須")&gt;0)))),AND('03_AIリスクTier・適用判定'!$B$28="不使用",'17_ロードマップ・案件実行管理'!$W$87&lt;&gt;"除外記録済")),"機能別評価・対象外未完",IF(COUNTIFS('30_必須評価セット'!$B$4:$B$153,T35,'30_必須評価セット'!$C$4:$C$153,U35)&lt;&gt;SUMIFS('30_必須評価セット'!$N$4:$N$153,'30_必須評価セット'!$B$4:$B$153,T35,'30_必須評価セット'!$C$4:$C$153,U35),"必須評価セット未充足","必須評価セット充足"))))))</f>
        <v/>
      </c>
      <c r="AC35" s="28" t="str">
        <f>IF(F35="","",IF(OR(AG35="",AG35="未判定"),"条件有無未判定",IF(AND(AG35="なし",OR(L35="条件付承認",COUNTIF('31_条件・有効性'!$B$4:$B$83,F35)&gt;0)),"条件有無不一致",IF(AND(AG35="条件あり",COUNTIF('31_条件・有効性'!$B$4:$B$83,F35)=0),"Condition未登録",IF(AND(AG35="条件あり",COUNTIF('31_条件・有効性'!$B$4:$B$83,F35)&lt;&gt;(COUNTIFS('31_条件・有効性'!$B$4:$B$83,F35,'31_条件・有効性'!$Q$4:$Q$83,"解消確認済")+COUNTIFS('31_条件・有効性'!$B$4:$B$83,F35,'31_条件・有効性'!$Q$4:$Q$83,"期限内・制約継続"))),"条件失効・定義不備",IF(AND(AG35&lt;&gt;"なし",AG35&lt;&gt;"条件あり"),"条件有無不正","条件整合"))))))</f>
        <v/>
      </c>
      <c r="AD35" s="28" t="str">
        <f t="shared" si="0"/>
        <v/>
      </c>
      <c r="AE35" s="29"/>
      <c r="AF35" s="29"/>
      <c r="AG35" s="29"/>
    </row>
    <row r="36" spans="1:33" ht="78" customHeight="1" x14ac:dyDescent="0.2">
      <c r="A36" s="29"/>
      <c r="B36" s="28" t="str">
        <f>IF(A36="","",IF(COUNTIF('32_定義マスター'!$A$4:$A$9,A36)&lt;&gt;1,"参照ID不正",IF(INDEX('32_定義マスター'!$B$4:$B$9,MATCH(A36,'32_定義マスター'!$A$4:$A$9,0))="","",INDEX('32_定義マスター'!$B$4:$B$9,MATCH(A36,'32_定義マスター'!$A$4:$A$9,0)))))</f>
        <v/>
      </c>
      <c r="C36" s="28" t="str">
        <f>IF(A36="","",IF(COUNTIF('32_定義マスター'!$A$4:$A$9,A36)&lt;&gt;1,"参照ID不正",IF(INDEX('32_定義マスター'!$C$4:$C$9,MATCH(A36,'32_定義マスター'!$A$4:$A$9,0))="","",INDEX('32_定義マスター'!$C$4:$C$9,MATCH(A36,'32_定義マスター'!$A$4:$A$9,0)))))</f>
        <v/>
      </c>
      <c r="D36" s="28" t="str">
        <f>IF(A36="","",IF(COUNTIF('32_定義マスター'!$A$4:$A$9,A36)&lt;&gt;1,"参照ID不正",IF(INDEX('32_定義マスター'!$D$4:$D$9,MATCH(A36,'32_定義マスター'!$A$4:$A$9,0))="","",INDEX('32_定義マスター'!$D$4:$D$9,MATCH(A36,'32_定義マスター'!$A$4:$A$9,0)))))</f>
        <v/>
      </c>
      <c r="E36" s="28" t="str">
        <f>IF(A36="","",IF(COUNTIF('32_定義マスター'!$A$4:$A$9,A36)&lt;&gt;1,"参照ID不正",IF(INDEX('32_定義マスター'!$E$4:$E$9,MATCH(A36,'32_定義マスター'!$A$4:$A$9,0))="","",INDEX('32_定義マスター'!$E$4:$E$9,MATCH(A36,'32_定義マスター'!$A$4:$A$9,0)))))</f>
        <v/>
      </c>
      <c r="F36" s="29"/>
      <c r="G36" s="29"/>
      <c r="H36" s="29"/>
      <c r="I36" s="29"/>
      <c r="J36" s="29"/>
      <c r="K36" s="29"/>
      <c r="L36" s="29"/>
      <c r="M36" s="29"/>
      <c r="N36" s="32"/>
      <c r="O36" s="29"/>
      <c r="P36" s="32"/>
      <c r="Q36" s="29"/>
      <c r="R36" s="29"/>
      <c r="S36" s="28" t="str">
        <f>IF(A36="","",IF(COUNTIF('32_定義マスター'!$A$4:$A$9,A36)&lt;&gt;1,"Gate ID不正",IF(OR(L36="",L36="未審査"),"未承認",IF(OR(OR(F36="",G36="",H36="",I36="",J36="",K36="",O36="",AE36="",AF36=""),NOT(ISNUMBER(P36))),"判断証拠不足",IF(COUNTIF($F$4:$F$83,F36)&lt;&gt;1,"判断Run ID重複",IF(OR(AND(P36&lt;&gt;"",OR(NOT(ISNUMBER(P36)),IFERROR(P36&lt;1,TRUE),IFERROR(INT(P36)&gt;INT(AsOfDate),TRUE)))),"判断日不正",IF(AND(A36="G3",OR(T36="",U36="",V36="",W36="",X36="")),"公開対象・集合不足","判断記録あり・内容審査別")))))))</f>
        <v/>
      </c>
      <c r="T36" s="29"/>
      <c r="U36" s="29"/>
      <c r="V36" s="29"/>
      <c r="W36" s="29"/>
      <c r="X36" s="29"/>
      <c r="Y36" s="32"/>
      <c r="Z36" s="29"/>
      <c r="AA36" s="28" t="str">
        <f>IF(A36="","",IF(NOT(IFERROR(ISNUMBER(SEARCH("|"&amp;L36&amp;"|",IF(COUNTIF('32_定義マスター'!$A$4:$A$9,A36)&lt;&gt;1,"参照ID不正",IF(INDEX('32_定義マスター'!$F$4:$F$9,MATCH(A36,'32_定義マスター'!$A$4:$A$9,0))="","",INDEX('32_定義マスター'!$F$4:$F$9,MATCH(A36,'32_定義マスター'!$A$4:$A$9,0)))))),FALSE)),"Gate判断不適合",IF(AND(OR(L36="承認",L36="条件付承認",L36="Scale",L36="Continue",L36="廃止完了承認"),OR(I36="不合格",J36="不合格",V36="不合格",I36="FAIL",J36="FAIL",V36="FAIL")),"停止判定と承認が矛盾",IF(AND(OR(L36="承認",L36="条件付承認",L36="Scale",L36="Continue",L36="廃止完了承認"),OR(I36="未判定",J36="未判定",AND(A36="G3",V36="未判定"))),"必要判定未確定",IF(AND(OR(L36="承認",L36="条件付承認",L36="Scale",L36="Continue",L36="廃止完了承認"),OR(AND(I36&lt;&gt;"合格",I36&lt;&gt;"対象外承認"),AND(J36&lt;&gt;"合格",J36&lt;&gt;"対象外承認"),AND(A36="G3",V36&lt;&gt;"合格",V36&lt;&gt;"対象外承認"))),"判定値不正",IF(AND(A36="G4",L36="Scale",OR(COUNTIF('25_事業仮説・実験・GTM'!$Q$4:$Q$15,F36)=0,COUNTIFS('25_事業仮説・実験・GTM'!$Q$4:$Q$15,F36,'25_事業仮説・実験・GTM'!$AF$4:$AF$15,"&lt;&gt;充足")&gt;0,COUNTIFS('25_事業仮説・実験・GTM'!$Q$4:$Q$15,F36,'25_事業仮説・実験・GTM'!$AD$4:$AD$15,"&lt;&gt;拡大可能")&gt;0)),"拡大の行動証拠不足","判定整合"))))))</f>
        <v/>
      </c>
      <c r="AB36" s="28" t="str">
        <f>IF(A36="","",IF(A36&lt;&gt;"G3",IF(A36="G0",IF(OR(COUNTIF('25_事業仮説・実験・GTM'!$Q$4:$Q$15,F36)=0,COUNTIFS('25_事業仮説・実験・GTM'!$Q$4:$Q$15,F36,'25_事業仮説・実験・GTM'!$AE$4:$AE$15,"&lt;&gt;仮説記録あり")&gt;0),"仮説・持越し確認不足","G0仮説記録接続"),IF(A36="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36="",U36="",W36="",X36="",OR(COUNTIFS('30_必須評価セット'!$B$4:$B$153,T36,'30_必須評価セット'!$C$4:$C$153,U36,'30_必須評価セット'!$E$4:$E$153,"E01")=0,COUNTIFS('30_必須評価セット'!$B$4:$B$153,T36,'30_必須評価セット'!$C$4:$C$153,U36,'30_必須評価セット'!$E$4:$E$153,"E02")=0,COUNTIFS('30_必須評価セット'!$B$4:$B$153,T36,'30_必須評価セット'!$C$4:$C$153,U36,'30_必須評価セット'!$E$4:$E$153,"E03")=0,COUNTIFS('30_必須評価セット'!$B$4:$B$153,T36,'30_必須評価セット'!$C$4:$C$153,U36,'30_必須評価セット'!$E$4:$E$153,"E04")=0,COUNTIFS('30_必須評価セット'!$B$4:$B$153,T36,'30_必須評価セット'!$C$4:$C$153,U36,'30_必須評価セット'!$E$4:$E$153,"E05")=0,COUNTIFS('30_必須評価セット'!$B$4:$B$153,T36,'30_必須評価セット'!$C$4:$C$153,U36,'30_必須評価セット'!$E$4:$E$153,"E06")=0,COUNTIFS('30_必須評価セット'!$B$4:$B$153,T36,'30_必須評価セット'!$C$4:$C$153,U36,'30_必須評価セット'!$E$4:$E$153,"E07")=0,COUNTIFS('30_必須評価セット'!$B$4:$B$153,T36,'30_必須評価セット'!$C$4:$C$153,U36,'30_必須評価セット'!$E$4:$E$153,"E08")=0,COUNTIFS('30_必須評価セット'!$B$4:$B$153,T36,'30_必須評価セット'!$C$4:$C$153,U36,'30_必須評価セット'!$E$4:$E$153,"E09")=0,COUNTIFS('30_必須評価セット'!$B$4:$B$153,T36,'30_必須評価セット'!$C$4:$C$153,U36,'30_必須評価セット'!$E$4:$E$153,"E10")=0,COUNTIFS('30_必須評価セット'!$B$4:$B$153,T36,'30_必須評価セット'!$C$4:$C$153,U36,'30_必須評価セット'!$E$4:$E$153,"E11")=0,COUNTIFS('30_必須評価セット'!$B$4:$B$153,T36,'30_必須評価セット'!$C$4:$C$153,U36,'30_必須評価セット'!$E$4:$E$153,"E12")=0,COUNTIFS('30_必須評価セット'!$B$4:$B$153,T36,'30_必須評価セット'!$C$4:$C$153,U36,'30_必須評価セット'!$E$4:$E$153,"E13")=0,COUNTIFS('30_必須評価セット'!$B$4:$B$153,T36,'30_必須評価セット'!$C$4:$C$153,U36,'30_必須評価セット'!$E$4:$E$153,"E14")=0,COUNTIFS('30_必須評価セット'!$B$4:$B$153,T36,'30_必須評価セット'!$C$4:$C$153,U36,'30_必須評価セット'!$E$4:$E$153,"E15")=0,COUNTIFS('30_必須評価セット'!$B$4:$B$153,T36,'30_必須評価セット'!$C$4:$C$153,U36,'30_必須評価セット'!$E$4:$E$153,"E16")=0,COUNTIFS('30_必須評価セット'!$B$4:$B$153,T36,'30_必須評価セット'!$C$4:$C$153,U36,'30_必須評価セット'!$E$4:$E$153,"E17")=0,COUNTIFS('30_必須評価セット'!$B$4:$B$153,T36,'30_必須評価セット'!$C$4:$C$153,U36,'30_必須評価セット'!$E$4:$E$153,"E18")=0)),"必須分類・集合不足",IF(OR(AND('03_AIリスクTier・適用判定'!$B$27="使用",OR('17_ロードマップ・案件実行管理'!$AA$86&lt;&gt;1,NOT(AND(COUNTIFS('30_必須評価セット'!$B$4:$B$153,T36,'30_必須評価セット'!$C$4:$C$153,U36,'30_必須評価セット'!$E$4:$E$153,"E03",'30_必須評価セット'!$F$4:$F$153,"必須")&gt;0,COUNTIFS('30_必須評価セット'!$B$4:$B$153,T36,'30_必須評価セット'!$C$4:$C$153,U36,'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36,'30_必須評価セット'!$C$4:$C$153,U36,'30_必須評価セット'!$E$4:$E$153,"E05",'30_必須評価セット'!$F$4:$F$153,"必須")&gt;0)))),AND('03_AIリスクTier・適用判定'!$B$28="不使用",'17_ロードマップ・案件実行管理'!$W$87&lt;&gt;"除外記録済")),"機能別評価・対象外未完",IF(COUNTIFS('30_必須評価セット'!$B$4:$B$153,T36,'30_必須評価セット'!$C$4:$C$153,U36)&lt;&gt;SUMIFS('30_必須評価セット'!$N$4:$N$153,'30_必須評価セット'!$B$4:$B$153,T36,'30_必須評価セット'!$C$4:$C$153,U36),"必須評価セット未充足","必須評価セット充足"))))))</f>
        <v/>
      </c>
      <c r="AC36" s="28" t="str">
        <f>IF(F36="","",IF(OR(AG36="",AG36="未判定"),"条件有無未判定",IF(AND(AG36="なし",OR(L36="条件付承認",COUNTIF('31_条件・有効性'!$B$4:$B$83,F36)&gt;0)),"条件有無不一致",IF(AND(AG36="条件あり",COUNTIF('31_条件・有効性'!$B$4:$B$83,F36)=0),"Condition未登録",IF(AND(AG36="条件あり",COUNTIF('31_条件・有効性'!$B$4:$B$83,F36)&lt;&gt;(COUNTIFS('31_条件・有効性'!$B$4:$B$83,F36,'31_条件・有効性'!$Q$4:$Q$83,"解消確認済")+COUNTIFS('31_条件・有効性'!$B$4:$B$83,F36,'31_条件・有効性'!$Q$4:$Q$83,"期限内・制約継続"))),"条件失効・定義不備",IF(AND(AG36&lt;&gt;"なし",AG36&lt;&gt;"条件あり"),"条件有無不正","条件整合"))))))</f>
        <v/>
      </c>
      <c r="AD36" s="28" t="str">
        <f t="shared" ref="AD36:AD67" si="1">IF(A36="","",IF(S36&lt;&gt;"判断記録あり・内容審査別",S36,IF(AA36&lt;&gt;"判定整合",AA36,IF(Z36&lt;&gt;"","取消・置換済",IF(AND(Y36&lt;&gt;"",OR(NOT(ISNUMBER(Y36)),IFERROR(Y36&lt;AsOfDate,TRUE),IFERROR(Y36&lt;P36,TRUE))),"決裁期限失効・不正",IF(AC36&lt;&gt;"条件整合",AC36,IF(AND(A36="G3",AB36&lt;&gt;"必須評価セット充足"),AB36,IF(AND(A36="G0",AB36&lt;&gt;"G0仮説記録接続"),AB36,IF(NOT(OR(L36="承認",L36="条件付承認",L36="Scale",L36="Continue",L36="廃止完了承認")),"進行許可ではない判断",IF(AND(A36="G5",AB36&lt;&gt;"資産処理決定充足"),AB36,"整合済・正本決裁要確認"))))))))))</f>
        <v/>
      </c>
      <c r="AE36" s="29"/>
      <c r="AF36" s="29"/>
      <c r="AG36" s="29"/>
    </row>
    <row r="37" spans="1:33" ht="78" customHeight="1" x14ac:dyDescent="0.2">
      <c r="A37" s="29"/>
      <c r="B37" s="28" t="str">
        <f>IF(A37="","",IF(COUNTIF('32_定義マスター'!$A$4:$A$9,A37)&lt;&gt;1,"参照ID不正",IF(INDEX('32_定義マスター'!$B$4:$B$9,MATCH(A37,'32_定義マスター'!$A$4:$A$9,0))="","",INDEX('32_定義マスター'!$B$4:$B$9,MATCH(A37,'32_定義マスター'!$A$4:$A$9,0)))))</f>
        <v/>
      </c>
      <c r="C37" s="28" t="str">
        <f>IF(A37="","",IF(COUNTIF('32_定義マスター'!$A$4:$A$9,A37)&lt;&gt;1,"参照ID不正",IF(INDEX('32_定義マスター'!$C$4:$C$9,MATCH(A37,'32_定義マスター'!$A$4:$A$9,0))="","",INDEX('32_定義マスター'!$C$4:$C$9,MATCH(A37,'32_定義マスター'!$A$4:$A$9,0)))))</f>
        <v/>
      </c>
      <c r="D37" s="28" t="str">
        <f>IF(A37="","",IF(COUNTIF('32_定義マスター'!$A$4:$A$9,A37)&lt;&gt;1,"参照ID不正",IF(INDEX('32_定義マスター'!$D$4:$D$9,MATCH(A37,'32_定義マスター'!$A$4:$A$9,0))="","",INDEX('32_定義マスター'!$D$4:$D$9,MATCH(A37,'32_定義マスター'!$A$4:$A$9,0)))))</f>
        <v/>
      </c>
      <c r="E37" s="28" t="str">
        <f>IF(A37="","",IF(COUNTIF('32_定義マスター'!$A$4:$A$9,A37)&lt;&gt;1,"参照ID不正",IF(INDEX('32_定義マスター'!$E$4:$E$9,MATCH(A37,'32_定義マスター'!$A$4:$A$9,0))="","",INDEX('32_定義マスター'!$E$4:$E$9,MATCH(A37,'32_定義マスター'!$A$4:$A$9,0)))))</f>
        <v/>
      </c>
      <c r="F37" s="29"/>
      <c r="G37" s="29"/>
      <c r="H37" s="29"/>
      <c r="I37" s="29"/>
      <c r="J37" s="29"/>
      <c r="K37" s="29"/>
      <c r="L37" s="29"/>
      <c r="M37" s="29"/>
      <c r="N37" s="32"/>
      <c r="O37" s="29"/>
      <c r="P37" s="32"/>
      <c r="Q37" s="29"/>
      <c r="R37" s="29"/>
      <c r="S37" s="28" t="str">
        <f>IF(A37="","",IF(COUNTIF('32_定義マスター'!$A$4:$A$9,A37)&lt;&gt;1,"Gate ID不正",IF(OR(L37="",L37="未審査"),"未承認",IF(OR(OR(F37="",G37="",H37="",I37="",J37="",K37="",O37="",AE37="",AF37=""),NOT(ISNUMBER(P37))),"判断証拠不足",IF(COUNTIF($F$4:$F$83,F37)&lt;&gt;1,"判断Run ID重複",IF(OR(AND(P37&lt;&gt;"",OR(NOT(ISNUMBER(P37)),IFERROR(P37&lt;1,TRUE),IFERROR(INT(P37)&gt;INT(AsOfDate),TRUE)))),"判断日不正",IF(AND(A37="G3",OR(T37="",U37="",V37="",W37="",X37="")),"公開対象・集合不足","判断記録あり・内容審査別")))))))</f>
        <v/>
      </c>
      <c r="T37" s="29"/>
      <c r="U37" s="29"/>
      <c r="V37" s="29"/>
      <c r="W37" s="29"/>
      <c r="X37" s="29"/>
      <c r="Y37" s="32"/>
      <c r="Z37" s="29"/>
      <c r="AA37" s="28" t="str">
        <f>IF(A37="","",IF(NOT(IFERROR(ISNUMBER(SEARCH("|"&amp;L37&amp;"|",IF(COUNTIF('32_定義マスター'!$A$4:$A$9,A37)&lt;&gt;1,"参照ID不正",IF(INDEX('32_定義マスター'!$F$4:$F$9,MATCH(A37,'32_定義マスター'!$A$4:$A$9,0))="","",INDEX('32_定義マスター'!$F$4:$F$9,MATCH(A37,'32_定義マスター'!$A$4:$A$9,0)))))),FALSE)),"Gate判断不適合",IF(AND(OR(L37="承認",L37="条件付承認",L37="Scale",L37="Continue",L37="廃止完了承認"),OR(I37="不合格",J37="不合格",V37="不合格",I37="FAIL",J37="FAIL",V37="FAIL")),"停止判定と承認が矛盾",IF(AND(OR(L37="承認",L37="条件付承認",L37="Scale",L37="Continue",L37="廃止完了承認"),OR(I37="未判定",J37="未判定",AND(A37="G3",V37="未判定"))),"必要判定未確定",IF(AND(OR(L37="承認",L37="条件付承認",L37="Scale",L37="Continue",L37="廃止完了承認"),OR(AND(I37&lt;&gt;"合格",I37&lt;&gt;"対象外承認"),AND(J37&lt;&gt;"合格",J37&lt;&gt;"対象外承認"),AND(A37="G3",V37&lt;&gt;"合格",V37&lt;&gt;"対象外承認"))),"判定値不正",IF(AND(A37="G4",L37="Scale",OR(COUNTIF('25_事業仮説・実験・GTM'!$Q$4:$Q$15,F37)=0,COUNTIFS('25_事業仮説・実験・GTM'!$Q$4:$Q$15,F37,'25_事業仮説・実験・GTM'!$AF$4:$AF$15,"&lt;&gt;充足")&gt;0,COUNTIFS('25_事業仮説・実験・GTM'!$Q$4:$Q$15,F37,'25_事業仮説・実験・GTM'!$AD$4:$AD$15,"&lt;&gt;拡大可能")&gt;0)),"拡大の行動証拠不足","判定整合"))))))</f>
        <v/>
      </c>
      <c r="AB37" s="28" t="str">
        <f>IF(A37="","",IF(A37&lt;&gt;"G3",IF(A37="G0",IF(OR(COUNTIF('25_事業仮説・実験・GTM'!$Q$4:$Q$15,F37)=0,COUNTIFS('25_事業仮説・実験・GTM'!$Q$4:$Q$15,F37,'25_事業仮説・実験・GTM'!$AE$4:$AE$15,"&lt;&gt;仮説記録あり")&gt;0),"仮説・持越し確認不足","G0仮説記録接続"),IF(A37="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37="",U37="",W37="",X37="",OR(COUNTIFS('30_必須評価セット'!$B$4:$B$153,T37,'30_必須評価セット'!$C$4:$C$153,U37,'30_必須評価セット'!$E$4:$E$153,"E01")=0,COUNTIFS('30_必須評価セット'!$B$4:$B$153,T37,'30_必須評価セット'!$C$4:$C$153,U37,'30_必須評価セット'!$E$4:$E$153,"E02")=0,COUNTIFS('30_必須評価セット'!$B$4:$B$153,T37,'30_必須評価セット'!$C$4:$C$153,U37,'30_必須評価セット'!$E$4:$E$153,"E03")=0,COUNTIFS('30_必須評価セット'!$B$4:$B$153,T37,'30_必須評価セット'!$C$4:$C$153,U37,'30_必須評価セット'!$E$4:$E$153,"E04")=0,COUNTIFS('30_必須評価セット'!$B$4:$B$153,T37,'30_必須評価セット'!$C$4:$C$153,U37,'30_必須評価セット'!$E$4:$E$153,"E05")=0,COUNTIFS('30_必須評価セット'!$B$4:$B$153,T37,'30_必須評価セット'!$C$4:$C$153,U37,'30_必須評価セット'!$E$4:$E$153,"E06")=0,COUNTIFS('30_必須評価セット'!$B$4:$B$153,T37,'30_必須評価セット'!$C$4:$C$153,U37,'30_必須評価セット'!$E$4:$E$153,"E07")=0,COUNTIFS('30_必須評価セット'!$B$4:$B$153,T37,'30_必須評価セット'!$C$4:$C$153,U37,'30_必須評価セット'!$E$4:$E$153,"E08")=0,COUNTIFS('30_必須評価セット'!$B$4:$B$153,T37,'30_必須評価セット'!$C$4:$C$153,U37,'30_必須評価セット'!$E$4:$E$153,"E09")=0,COUNTIFS('30_必須評価セット'!$B$4:$B$153,T37,'30_必須評価セット'!$C$4:$C$153,U37,'30_必須評価セット'!$E$4:$E$153,"E10")=0,COUNTIFS('30_必須評価セット'!$B$4:$B$153,T37,'30_必須評価セット'!$C$4:$C$153,U37,'30_必須評価セット'!$E$4:$E$153,"E11")=0,COUNTIFS('30_必須評価セット'!$B$4:$B$153,T37,'30_必須評価セット'!$C$4:$C$153,U37,'30_必須評価セット'!$E$4:$E$153,"E12")=0,COUNTIFS('30_必須評価セット'!$B$4:$B$153,T37,'30_必須評価セット'!$C$4:$C$153,U37,'30_必須評価セット'!$E$4:$E$153,"E13")=0,COUNTIFS('30_必須評価セット'!$B$4:$B$153,T37,'30_必須評価セット'!$C$4:$C$153,U37,'30_必須評価セット'!$E$4:$E$153,"E14")=0,COUNTIFS('30_必須評価セット'!$B$4:$B$153,T37,'30_必須評価セット'!$C$4:$C$153,U37,'30_必須評価セット'!$E$4:$E$153,"E15")=0,COUNTIFS('30_必須評価セット'!$B$4:$B$153,T37,'30_必須評価セット'!$C$4:$C$153,U37,'30_必須評価セット'!$E$4:$E$153,"E16")=0,COUNTIFS('30_必須評価セット'!$B$4:$B$153,T37,'30_必須評価セット'!$C$4:$C$153,U37,'30_必須評価セット'!$E$4:$E$153,"E17")=0,COUNTIFS('30_必須評価セット'!$B$4:$B$153,T37,'30_必須評価セット'!$C$4:$C$153,U37,'30_必須評価セット'!$E$4:$E$153,"E18")=0)),"必須分類・集合不足",IF(OR(AND('03_AIリスクTier・適用判定'!$B$27="使用",OR('17_ロードマップ・案件実行管理'!$AA$86&lt;&gt;1,NOT(AND(COUNTIFS('30_必須評価セット'!$B$4:$B$153,T37,'30_必須評価セット'!$C$4:$C$153,U37,'30_必須評価セット'!$E$4:$E$153,"E03",'30_必須評価セット'!$F$4:$F$153,"必須")&gt;0,COUNTIFS('30_必須評価セット'!$B$4:$B$153,T37,'30_必須評価セット'!$C$4:$C$153,U37,'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37,'30_必須評価セット'!$C$4:$C$153,U37,'30_必須評価セット'!$E$4:$E$153,"E05",'30_必須評価セット'!$F$4:$F$153,"必須")&gt;0)))),AND('03_AIリスクTier・適用判定'!$B$28="不使用",'17_ロードマップ・案件実行管理'!$W$87&lt;&gt;"除外記録済")),"機能別評価・対象外未完",IF(COUNTIFS('30_必須評価セット'!$B$4:$B$153,T37,'30_必須評価セット'!$C$4:$C$153,U37)&lt;&gt;SUMIFS('30_必須評価セット'!$N$4:$N$153,'30_必須評価セット'!$B$4:$B$153,T37,'30_必須評価セット'!$C$4:$C$153,U37),"必須評価セット未充足","必須評価セット充足"))))))</f>
        <v/>
      </c>
      <c r="AC37" s="28" t="str">
        <f>IF(F37="","",IF(OR(AG37="",AG37="未判定"),"条件有無未判定",IF(AND(AG37="なし",OR(L37="条件付承認",COUNTIF('31_条件・有効性'!$B$4:$B$83,F37)&gt;0)),"条件有無不一致",IF(AND(AG37="条件あり",COUNTIF('31_条件・有効性'!$B$4:$B$83,F37)=0),"Condition未登録",IF(AND(AG37="条件あり",COUNTIF('31_条件・有効性'!$B$4:$B$83,F37)&lt;&gt;(COUNTIFS('31_条件・有効性'!$B$4:$B$83,F37,'31_条件・有効性'!$Q$4:$Q$83,"解消確認済")+COUNTIFS('31_条件・有効性'!$B$4:$B$83,F37,'31_条件・有効性'!$Q$4:$Q$83,"期限内・制約継続"))),"条件失効・定義不備",IF(AND(AG37&lt;&gt;"なし",AG37&lt;&gt;"条件あり"),"条件有無不正","条件整合"))))))</f>
        <v/>
      </c>
      <c r="AD37" s="28" t="str">
        <f t="shared" si="1"/>
        <v/>
      </c>
      <c r="AE37" s="29"/>
      <c r="AF37" s="29"/>
      <c r="AG37" s="29"/>
    </row>
    <row r="38" spans="1:33" ht="78" customHeight="1" x14ac:dyDescent="0.2">
      <c r="A38" s="29"/>
      <c r="B38" s="28" t="str">
        <f>IF(A38="","",IF(COUNTIF('32_定義マスター'!$A$4:$A$9,A38)&lt;&gt;1,"参照ID不正",IF(INDEX('32_定義マスター'!$B$4:$B$9,MATCH(A38,'32_定義マスター'!$A$4:$A$9,0))="","",INDEX('32_定義マスター'!$B$4:$B$9,MATCH(A38,'32_定義マスター'!$A$4:$A$9,0)))))</f>
        <v/>
      </c>
      <c r="C38" s="28" t="str">
        <f>IF(A38="","",IF(COUNTIF('32_定義マスター'!$A$4:$A$9,A38)&lt;&gt;1,"参照ID不正",IF(INDEX('32_定義マスター'!$C$4:$C$9,MATCH(A38,'32_定義マスター'!$A$4:$A$9,0))="","",INDEX('32_定義マスター'!$C$4:$C$9,MATCH(A38,'32_定義マスター'!$A$4:$A$9,0)))))</f>
        <v/>
      </c>
      <c r="D38" s="28" t="str">
        <f>IF(A38="","",IF(COUNTIF('32_定義マスター'!$A$4:$A$9,A38)&lt;&gt;1,"参照ID不正",IF(INDEX('32_定義マスター'!$D$4:$D$9,MATCH(A38,'32_定義マスター'!$A$4:$A$9,0))="","",INDEX('32_定義マスター'!$D$4:$D$9,MATCH(A38,'32_定義マスター'!$A$4:$A$9,0)))))</f>
        <v/>
      </c>
      <c r="E38" s="28" t="str">
        <f>IF(A38="","",IF(COUNTIF('32_定義マスター'!$A$4:$A$9,A38)&lt;&gt;1,"参照ID不正",IF(INDEX('32_定義マスター'!$E$4:$E$9,MATCH(A38,'32_定義マスター'!$A$4:$A$9,0))="","",INDEX('32_定義マスター'!$E$4:$E$9,MATCH(A38,'32_定義マスター'!$A$4:$A$9,0)))))</f>
        <v/>
      </c>
      <c r="F38" s="29"/>
      <c r="G38" s="29"/>
      <c r="H38" s="29"/>
      <c r="I38" s="29"/>
      <c r="J38" s="29"/>
      <c r="K38" s="29"/>
      <c r="L38" s="29"/>
      <c r="M38" s="29"/>
      <c r="N38" s="32"/>
      <c r="O38" s="29"/>
      <c r="P38" s="32"/>
      <c r="Q38" s="29"/>
      <c r="R38" s="29"/>
      <c r="S38" s="28" t="str">
        <f>IF(A38="","",IF(COUNTIF('32_定義マスター'!$A$4:$A$9,A38)&lt;&gt;1,"Gate ID不正",IF(OR(L38="",L38="未審査"),"未承認",IF(OR(OR(F38="",G38="",H38="",I38="",J38="",K38="",O38="",AE38="",AF38=""),NOT(ISNUMBER(P38))),"判断証拠不足",IF(COUNTIF($F$4:$F$83,F38)&lt;&gt;1,"判断Run ID重複",IF(OR(AND(P38&lt;&gt;"",OR(NOT(ISNUMBER(P38)),IFERROR(P38&lt;1,TRUE),IFERROR(INT(P38)&gt;INT(AsOfDate),TRUE)))),"判断日不正",IF(AND(A38="G3",OR(T38="",U38="",V38="",W38="",X38="")),"公開対象・集合不足","判断記録あり・内容審査別")))))))</f>
        <v/>
      </c>
      <c r="T38" s="29"/>
      <c r="U38" s="29"/>
      <c r="V38" s="29"/>
      <c r="W38" s="29"/>
      <c r="X38" s="29"/>
      <c r="Y38" s="32"/>
      <c r="Z38" s="29"/>
      <c r="AA38" s="28" t="str">
        <f>IF(A38="","",IF(NOT(IFERROR(ISNUMBER(SEARCH("|"&amp;L38&amp;"|",IF(COUNTIF('32_定義マスター'!$A$4:$A$9,A38)&lt;&gt;1,"参照ID不正",IF(INDEX('32_定義マスター'!$F$4:$F$9,MATCH(A38,'32_定義マスター'!$A$4:$A$9,0))="","",INDEX('32_定義マスター'!$F$4:$F$9,MATCH(A38,'32_定義マスター'!$A$4:$A$9,0)))))),FALSE)),"Gate判断不適合",IF(AND(OR(L38="承認",L38="条件付承認",L38="Scale",L38="Continue",L38="廃止完了承認"),OR(I38="不合格",J38="不合格",V38="不合格",I38="FAIL",J38="FAIL",V38="FAIL")),"停止判定と承認が矛盾",IF(AND(OR(L38="承認",L38="条件付承認",L38="Scale",L38="Continue",L38="廃止完了承認"),OR(I38="未判定",J38="未判定",AND(A38="G3",V38="未判定"))),"必要判定未確定",IF(AND(OR(L38="承認",L38="条件付承認",L38="Scale",L38="Continue",L38="廃止完了承認"),OR(AND(I38&lt;&gt;"合格",I38&lt;&gt;"対象外承認"),AND(J38&lt;&gt;"合格",J38&lt;&gt;"対象外承認"),AND(A38="G3",V38&lt;&gt;"合格",V38&lt;&gt;"対象外承認"))),"判定値不正",IF(AND(A38="G4",L38="Scale",OR(COUNTIF('25_事業仮説・実験・GTM'!$Q$4:$Q$15,F38)=0,COUNTIFS('25_事業仮説・実験・GTM'!$Q$4:$Q$15,F38,'25_事業仮説・実験・GTM'!$AF$4:$AF$15,"&lt;&gt;充足")&gt;0,COUNTIFS('25_事業仮説・実験・GTM'!$Q$4:$Q$15,F38,'25_事業仮説・実験・GTM'!$AD$4:$AD$15,"&lt;&gt;拡大可能")&gt;0)),"拡大の行動証拠不足","判定整合"))))))</f>
        <v/>
      </c>
      <c r="AB38" s="28" t="str">
        <f>IF(A38="","",IF(A38&lt;&gt;"G3",IF(A38="G0",IF(OR(COUNTIF('25_事業仮説・実験・GTM'!$Q$4:$Q$15,F38)=0,COUNTIFS('25_事業仮説・実験・GTM'!$Q$4:$Q$15,F38,'25_事業仮説・実験・GTM'!$AE$4:$AE$15,"&lt;&gt;仮説記録あり")&gt;0),"仮説・持越し確認不足","G0仮説記録接続"),IF(A38="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38="",U38="",W38="",X38="",OR(COUNTIFS('30_必須評価セット'!$B$4:$B$153,T38,'30_必須評価セット'!$C$4:$C$153,U38,'30_必須評価セット'!$E$4:$E$153,"E01")=0,COUNTIFS('30_必須評価セット'!$B$4:$B$153,T38,'30_必須評価セット'!$C$4:$C$153,U38,'30_必須評価セット'!$E$4:$E$153,"E02")=0,COUNTIFS('30_必須評価セット'!$B$4:$B$153,T38,'30_必須評価セット'!$C$4:$C$153,U38,'30_必須評価セット'!$E$4:$E$153,"E03")=0,COUNTIFS('30_必須評価セット'!$B$4:$B$153,T38,'30_必須評価セット'!$C$4:$C$153,U38,'30_必須評価セット'!$E$4:$E$153,"E04")=0,COUNTIFS('30_必須評価セット'!$B$4:$B$153,T38,'30_必須評価セット'!$C$4:$C$153,U38,'30_必須評価セット'!$E$4:$E$153,"E05")=0,COUNTIFS('30_必須評価セット'!$B$4:$B$153,T38,'30_必須評価セット'!$C$4:$C$153,U38,'30_必須評価セット'!$E$4:$E$153,"E06")=0,COUNTIFS('30_必須評価セット'!$B$4:$B$153,T38,'30_必須評価セット'!$C$4:$C$153,U38,'30_必須評価セット'!$E$4:$E$153,"E07")=0,COUNTIFS('30_必須評価セット'!$B$4:$B$153,T38,'30_必須評価セット'!$C$4:$C$153,U38,'30_必須評価セット'!$E$4:$E$153,"E08")=0,COUNTIFS('30_必須評価セット'!$B$4:$B$153,T38,'30_必須評価セット'!$C$4:$C$153,U38,'30_必須評価セット'!$E$4:$E$153,"E09")=0,COUNTIFS('30_必須評価セット'!$B$4:$B$153,T38,'30_必須評価セット'!$C$4:$C$153,U38,'30_必須評価セット'!$E$4:$E$153,"E10")=0,COUNTIFS('30_必須評価セット'!$B$4:$B$153,T38,'30_必須評価セット'!$C$4:$C$153,U38,'30_必須評価セット'!$E$4:$E$153,"E11")=0,COUNTIFS('30_必須評価セット'!$B$4:$B$153,T38,'30_必須評価セット'!$C$4:$C$153,U38,'30_必須評価セット'!$E$4:$E$153,"E12")=0,COUNTIFS('30_必須評価セット'!$B$4:$B$153,T38,'30_必須評価セット'!$C$4:$C$153,U38,'30_必須評価セット'!$E$4:$E$153,"E13")=0,COUNTIFS('30_必須評価セット'!$B$4:$B$153,T38,'30_必須評価セット'!$C$4:$C$153,U38,'30_必須評価セット'!$E$4:$E$153,"E14")=0,COUNTIFS('30_必須評価セット'!$B$4:$B$153,T38,'30_必須評価セット'!$C$4:$C$153,U38,'30_必須評価セット'!$E$4:$E$153,"E15")=0,COUNTIFS('30_必須評価セット'!$B$4:$B$153,T38,'30_必須評価セット'!$C$4:$C$153,U38,'30_必須評価セット'!$E$4:$E$153,"E16")=0,COUNTIFS('30_必須評価セット'!$B$4:$B$153,T38,'30_必須評価セット'!$C$4:$C$153,U38,'30_必須評価セット'!$E$4:$E$153,"E17")=0,COUNTIFS('30_必須評価セット'!$B$4:$B$153,T38,'30_必須評価セット'!$C$4:$C$153,U38,'30_必須評価セット'!$E$4:$E$153,"E18")=0)),"必須分類・集合不足",IF(OR(AND('03_AIリスクTier・適用判定'!$B$27="使用",OR('17_ロードマップ・案件実行管理'!$AA$86&lt;&gt;1,NOT(AND(COUNTIFS('30_必須評価セット'!$B$4:$B$153,T38,'30_必須評価セット'!$C$4:$C$153,U38,'30_必須評価セット'!$E$4:$E$153,"E03",'30_必須評価セット'!$F$4:$F$153,"必須")&gt;0,COUNTIFS('30_必須評価セット'!$B$4:$B$153,T38,'30_必須評価セット'!$C$4:$C$153,U38,'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38,'30_必須評価セット'!$C$4:$C$153,U38,'30_必須評価セット'!$E$4:$E$153,"E05",'30_必須評価セット'!$F$4:$F$153,"必須")&gt;0)))),AND('03_AIリスクTier・適用判定'!$B$28="不使用",'17_ロードマップ・案件実行管理'!$W$87&lt;&gt;"除外記録済")),"機能別評価・対象外未完",IF(COUNTIFS('30_必須評価セット'!$B$4:$B$153,T38,'30_必須評価セット'!$C$4:$C$153,U38)&lt;&gt;SUMIFS('30_必須評価セット'!$N$4:$N$153,'30_必須評価セット'!$B$4:$B$153,T38,'30_必須評価セット'!$C$4:$C$153,U38),"必須評価セット未充足","必須評価セット充足"))))))</f>
        <v/>
      </c>
      <c r="AC38" s="28" t="str">
        <f>IF(F38="","",IF(OR(AG38="",AG38="未判定"),"条件有無未判定",IF(AND(AG38="なし",OR(L38="条件付承認",COUNTIF('31_条件・有効性'!$B$4:$B$83,F38)&gt;0)),"条件有無不一致",IF(AND(AG38="条件あり",COUNTIF('31_条件・有効性'!$B$4:$B$83,F38)=0),"Condition未登録",IF(AND(AG38="条件あり",COUNTIF('31_条件・有効性'!$B$4:$B$83,F38)&lt;&gt;(COUNTIFS('31_条件・有効性'!$B$4:$B$83,F38,'31_条件・有効性'!$Q$4:$Q$83,"解消確認済")+COUNTIFS('31_条件・有効性'!$B$4:$B$83,F38,'31_条件・有効性'!$Q$4:$Q$83,"期限内・制約継続"))),"条件失効・定義不備",IF(AND(AG38&lt;&gt;"なし",AG38&lt;&gt;"条件あり"),"条件有無不正","条件整合"))))))</f>
        <v/>
      </c>
      <c r="AD38" s="28" t="str">
        <f t="shared" si="1"/>
        <v/>
      </c>
      <c r="AE38" s="29"/>
      <c r="AF38" s="29"/>
      <c r="AG38" s="29"/>
    </row>
    <row r="39" spans="1:33" ht="78" customHeight="1" x14ac:dyDescent="0.2">
      <c r="A39" s="29"/>
      <c r="B39" s="28" t="str">
        <f>IF(A39="","",IF(COUNTIF('32_定義マスター'!$A$4:$A$9,A39)&lt;&gt;1,"参照ID不正",IF(INDEX('32_定義マスター'!$B$4:$B$9,MATCH(A39,'32_定義マスター'!$A$4:$A$9,0))="","",INDEX('32_定義マスター'!$B$4:$B$9,MATCH(A39,'32_定義マスター'!$A$4:$A$9,0)))))</f>
        <v/>
      </c>
      <c r="C39" s="28" t="str">
        <f>IF(A39="","",IF(COUNTIF('32_定義マスター'!$A$4:$A$9,A39)&lt;&gt;1,"参照ID不正",IF(INDEX('32_定義マスター'!$C$4:$C$9,MATCH(A39,'32_定義マスター'!$A$4:$A$9,0))="","",INDEX('32_定義マスター'!$C$4:$C$9,MATCH(A39,'32_定義マスター'!$A$4:$A$9,0)))))</f>
        <v/>
      </c>
      <c r="D39" s="28" t="str">
        <f>IF(A39="","",IF(COUNTIF('32_定義マスター'!$A$4:$A$9,A39)&lt;&gt;1,"参照ID不正",IF(INDEX('32_定義マスター'!$D$4:$D$9,MATCH(A39,'32_定義マスター'!$A$4:$A$9,0))="","",INDEX('32_定義マスター'!$D$4:$D$9,MATCH(A39,'32_定義マスター'!$A$4:$A$9,0)))))</f>
        <v/>
      </c>
      <c r="E39" s="28" t="str">
        <f>IF(A39="","",IF(COUNTIF('32_定義マスター'!$A$4:$A$9,A39)&lt;&gt;1,"参照ID不正",IF(INDEX('32_定義マスター'!$E$4:$E$9,MATCH(A39,'32_定義マスター'!$A$4:$A$9,0))="","",INDEX('32_定義マスター'!$E$4:$E$9,MATCH(A39,'32_定義マスター'!$A$4:$A$9,0)))))</f>
        <v/>
      </c>
      <c r="F39" s="29"/>
      <c r="G39" s="29"/>
      <c r="H39" s="29"/>
      <c r="I39" s="29"/>
      <c r="J39" s="29"/>
      <c r="K39" s="29"/>
      <c r="L39" s="29"/>
      <c r="M39" s="29"/>
      <c r="N39" s="32"/>
      <c r="O39" s="29"/>
      <c r="P39" s="32"/>
      <c r="Q39" s="29"/>
      <c r="R39" s="29"/>
      <c r="S39" s="28" t="str">
        <f>IF(A39="","",IF(COUNTIF('32_定義マスター'!$A$4:$A$9,A39)&lt;&gt;1,"Gate ID不正",IF(OR(L39="",L39="未審査"),"未承認",IF(OR(OR(F39="",G39="",H39="",I39="",J39="",K39="",O39="",AE39="",AF39=""),NOT(ISNUMBER(P39))),"判断証拠不足",IF(COUNTIF($F$4:$F$83,F39)&lt;&gt;1,"判断Run ID重複",IF(OR(AND(P39&lt;&gt;"",OR(NOT(ISNUMBER(P39)),IFERROR(P39&lt;1,TRUE),IFERROR(INT(P39)&gt;INT(AsOfDate),TRUE)))),"判断日不正",IF(AND(A39="G3",OR(T39="",U39="",V39="",W39="",X39="")),"公開対象・集合不足","判断記録あり・内容審査別")))))))</f>
        <v/>
      </c>
      <c r="T39" s="29"/>
      <c r="U39" s="29"/>
      <c r="V39" s="29"/>
      <c r="W39" s="29"/>
      <c r="X39" s="29"/>
      <c r="Y39" s="32"/>
      <c r="Z39" s="29"/>
      <c r="AA39" s="28" t="str">
        <f>IF(A39="","",IF(NOT(IFERROR(ISNUMBER(SEARCH("|"&amp;L39&amp;"|",IF(COUNTIF('32_定義マスター'!$A$4:$A$9,A39)&lt;&gt;1,"参照ID不正",IF(INDEX('32_定義マスター'!$F$4:$F$9,MATCH(A39,'32_定義マスター'!$A$4:$A$9,0))="","",INDEX('32_定義マスター'!$F$4:$F$9,MATCH(A39,'32_定義マスター'!$A$4:$A$9,0)))))),FALSE)),"Gate判断不適合",IF(AND(OR(L39="承認",L39="条件付承認",L39="Scale",L39="Continue",L39="廃止完了承認"),OR(I39="不合格",J39="不合格",V39="不合格",I39="FAIL",J39="FAIL",V39="FAIL")),"停止判定と承認が矛盾",IF(AND(OR(L39="承認",L39="条件付承認",L39="Scale",L39="Continue",L39="廃止完了承認"),OR(I39="未判定",J39="未判定",AND(A39="G3",V39="未判定"))),"必要判定未確定",IF(AND(OR(L39="承認",L39="条件付承認",L39="Scale",L39="Continue",L39="廃止完了承認"),OR(AND(I39&lt;&gt;"合格",I39&lt;&gt;"対象外承認"),AND(J39&lt;&gt;"合格",J39&lt;&gt;"対象外承認"),AND(A39="G3",V39&lt;&gt;"合格",V39&lt;&gt;"対象外承認"))),"判定値不正",IF(AND(A39="G4",L39="Scale",OR(COUNTIF('25_事業仮説・実験・GTM'!$Q$4:$Q$15,F39)=0,COUNTIFS('25_事業仮説・実験・GTM'!$Q$4:$Q$15,F39,'25_事業仮説・実験・GTM'!$AF$4:$AF$15,"&lt;&gt;充足")&gt;0,COUNTIFS('25_事業仮説・実験・GTM'!$Q$4:$Q$15,F39,'25_事業仮説・実験・GTM'!$AD$4:$AD$15,"&lt;&gt;拡大可能")&gt;0)),"拡大の行動証拠不足","判定整合"))))))</f>
        <v/>
      </c>
      <c r="AB39" s="28" t="str">
        <f>IF(A39="","",IF(A39&lt;&gt;"G3",IF(A39="G0",IF(OR(COUNTIF('25_事業仮説・実験・GTM'!$Q$4:$Q$15,F39)=0,COUNTIFS('25_事業仮説・実験・GTM'!$Q$4:$Q$15,F39,'25_事業仮説・実験・GTM'!$AE$4:$AE$15,"&lt;&gt;仮説記録あり")&gt;0),"仮説・持越し確認不足","G0仮説記録接続"),IF(A39="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39="",U39="",W39="",X39="",OR(COUNTIFS('30_必須評価セット'!$B$4:$B$153,T39,'30_必須評価セット'!$C$4:$C$153,U39,'30_必須評価セット'!$E$4:$E$153,"E01")=0,COUNTIFS('30_必須評価セット'!$B$4:$B$153,T39,'30_必須評価セット'!$C$4:$C$153,U39,'30_必須評価セット'!$E$4:$E$153,"E02")=0,COUNTIFS('30_必須評価セット'!$B$4:$B$153,T39,'30_必須評価セット'!$C$4:$C$153,U39,'30_必須評価セット'!$E$4:$E$153,"E03")=0,COUNTIFS('30_必須評価セット'!$B$4:$B$153,T39,'30_必須評価セット'!$C$4:$C$153,U39,'30_必須評価セット'!$E$4:$E$153,"E04")=0,COUNTIFS('30_必須評価セット'!$B$4:$B$153,T39,'30_必須評価セット'!$C$4:$C$153,U39,'30_必須評価セット'!$E$4:$E$153,"E05")=0,COUNTIFS('30_必須評価セット'!$B$4:$B$153,T39,'30_必須評価セット'!$C$4:$C$153,U39,'30_必須評価セット'!$E$4:$E$153,"E06")=0,COUNTIFS('30_必須評価セット'!$B$4:$B$153,T39,'30_必須評価セット'!$C$4:$C$153,U39,'30_必須評価セット'!$E$4:$E$153,"E07")=0,COUNTIFS('30_必須評価セット'!$B$4:$B$153,T39,'30_必須評価セット'!$C$4:$C$153,U39,'30_必須評価セット'!$E$4:$E$153,"E08")=0,COUNTIFS('30_必須評価セット'!$B$4:$B$153,T39,'30_必須評価セット'!$C$4:$C$153,U39,'30_必須評価セット'!$E$4:$E$153,"E09")=0,COUNTIFS('30_必須評価セット'!$B$4:$B$153,T39,'30_必須評価セット'!$C$4:$C$153,U39,'30_必須評価セット'!$E$4:$E$153,"E10")=0,COUNTIFS('30_必須評価セット'!$B$4:$B$153,T39,'30_必須評価セット'!$C$4:$C$153,U39,'30_必須評価セット'!$E$4:$E$153,"E11")=0,COUNTIFS('30_必須評価セット'!$B$4:$B$153,T39,'30_必須評価セット'!$C$4:$C$153,U39,'30_必須評価セット'!$E$4:$E$153,"E12")=0,COUNTIFS('30_必須評価セット'!$B$4:$B$153,T39,'30_必須評価セット'!$C$4:$C$153,U39,'30_必須評価セット'!$E$4:$E$153,"E13")=0,COUNTIFS('30_必須評価セット'!$B$4:$B$153,T39,'30_必須評価セット'!$C$4:$C$153,U39,'30_必須評価セット'!$E$4:$E$153,"E14")=0,COUNTIFS('30_必須評価セット'!$B$4:$B$153,T39,'30_必須評価セット'!$C$4:$C$153,U39,'30_必須評価セット'!$E$4:$E$153,"E15")=0,COUNTIFS('30_必須評価セット'!$B$4:$B$153,T39,'30_必須評価セット'!$C$4:$C$153,U39,'30_必須評価セット'!$E$4:$E$153,"E16")=0,COUNTIFS('30_必須評価セット'!$B$4:$B$153,T39,'30_必須評価セット'!$C$4:$C$153,U39,'30_必須評価セット'!$E$4:$E$153,"E17")=0,COUNTIFS('30_必須評価セット'!$B$4:$B$153,T39,'30_必須評価セット'!$C$4:$C$153,U39,'30_必須評価セット'!$E$4:$E$153,"E18")=0)),"必須分類・集合不足",IF(OR(AND('03_AIリスクTier・適用判定'!$B$27="使用",OR('17_ロードマップ・案件実行管理'!$AA$86&lt;&gt;1,NOT(AND(COUNTIFS('30_必須評価セット'!$B$4:$B$153,T39,'30_必須評価セット'!$C$4:$C$153,U39,'30_必須評価セット'!$E$4:$E$153,"E03",'30_必須評価セット'!$F$4:$F$153,"必須")&gt;0,COUNTIFS('30_必須評価セット'!$B$4:$B$153,T39,'30_必須評価セット'!$C$4:$C$153,U39,'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39,'30_必須評価セット'!$C$4:$C$153,U39,'30_必須評価セット'!$E$4:$E$153,"E05",'30_必須評価セット'!$F$4:$F$153,"必須")&gt;0)))),AND('03_AIリスクTier・適用判定'!$B$28="不使用",'17_ロードマップ・案件実行管理'!$W$87&lt;&gt;"除外記録済")),"機能別評価・対象外未完",IF(COUNTIFS('30_必須評価セット'!$B$4:$B$153,T39,'30_必須評価セット'!$C$4:$C$153,U39)&lt;&gt;SUMIFS('30_必須評価セット'!$N$4:$N$153,'30_必須評価セット'!$B$4:$B$153,T39,'30_必須評価セット'!$C$4:$C$153,U39),"必須評価セット未充足","必須評価セット充足"))))))</f>
        <v/>
      </c>
      <c r="AC39" s="28" t="str">
        <f>IF(F39="","",IF(OR(AG39="",AG39="未判定"),"条件有無未判定",IF(AND(AG39="なし",OR(L39="条件付承認",COUNTIF('31_条件・有効性'!$B$4:$B$83,F39)&gt;0)),"条件有無不一致",IF(AND(AG39="条件あり",COUNTIF('31_条件・有効性'!$B$4:$B$83,F39)=0),"Condition未登録",IF(AND(AG39="条件あり",COUNTIF('31_条件・有効性'!$B$4:$B$83,F39)&lt;&gt;(COUNTIFS('31_条件・有効性'!$B$4:$B$83,F39,'31_条件・有効性'!$Q$4:$Q$83,"解消確認済")+COUNTIFS('31_条件・有効性'!$B$4:$B$83,F39,'31_条件・有効性'!$Q$4:$Q$83,"期限内・制約継続"))),"条件失効・定義不備",IF(AND(AG39&lt;&gt;"なし",AG39&lt;&gt;"条件あり"),"条件有無不正","条件整合"))))))</f>
        <v/>
      </c>
      <c r="AD39" s="28" t="str">
        <f t="shared" si="1"/>
        <v/>
      </c>
      <c r="AE39" s="29"/>
      <c r="AF39" s="29"/>
      <c r="AG39" s="29"/>
    </row>
    <row r="40" spans="1:33" ht="78" customHeight="1" x14ac:dyDescent="0.2">
      <c r="A40" s="29"/>
      <c r="B40" s="28" t="str">
        <f>IF(A40="","",IF(COUNTIF('32_定義マスター'!$A$4:$A$9,A40)&lt;&gt;1,"参照ID不正",IF(INDEX('32_定義マスター'!$B$4:$B$9,MATCH(A40,'32_定義マスター'!$A$4:$A$9,0))="","",INDEX('32_定義マスター'!$B$4:$B$9,MATCH(A40,'32_定義マスター'!$A$4:$A$9,0)))))</f>
        <v/>
      </c>
      <c r="C40" s="28" t="str">
        <f>IF(A40="","",IF(COUNTIF('32_定義マスター'!$A$4:$A$9,A40)&lt;&gt;1,"参照ID不正",IF(INDEX('32_定義マスター'!$C$4:$C$9,MATCH(A40,'32_定義マスター'!$A$4:$A$9,0))="","",INDEX('32_定義マスター'!$C$4:$C$9,MATCH(A40,'32_定義マスター'!$A$4:$A$9,0)))))</f>
        <v/>
      </c>
      <c r="D40" s="28" t="str">
        <f>IF(A40="","",IF(COUNTIF('32_定義マスター'!$A$4:$A$9,A40)&lt;&gt;1,"参照ID不正",IF(INDEX('32_定義マスター'!$D$4:$D$9,MATCH(A40,'32_定義マスター'!$A$4:$A$9,0))="","",INDEX('32_定義マスター'!$D$4:$D$9,MATCH(A40,'32_定義マスター'!$A$4:$A$9,0)))))</f>
        <v/>
      </c>
      <c r="E40" s="28" t="str">
        <f>IF(A40="","",IF(COUNTIF('32_定義マスター'!$A$4:$A$9,A40)&lt;&gt;1,"参照ID不正",IF(INDEX('32_定義マスター'!$E$4:$E$9,MATCH(A40,'32_定義マスター'!$A$4:$A$9,0))="","",INDEX('32_定義マスター'!$E$4:$E$9,MATCH(A40,'32_定義マスター'!$A$4:$A$9,0)))))</f>
        <v/>
      </c>
      <c r="F40" s="29"/>
      <c r="G40" s="29"/>
      <c r="H40" s="29"/>
      <c r="I40" s="29"/>
      <c r="J40" s="29"/>
      <c r="K40" s="29"/>
      <c r="L40" s="29"/>
      <c r="M40" s="29"/>
      <c r="N40" s="32"/>
      <c r="O40" s="29"/>
      <c r="P40" s="32"/>
      <c r="Q40" s="29"/>
      <c r="R40" s="29"/>
      <c r="S40" s="28" t="str">
        <f>IF(A40="","",IF(COUNTIF('32_定義マスター'!$A$4:$A$9,A40)&lt;&gt;1,"Gate ID不正",IF(OR(L40="",L40="未審査"),"未承認",IF(OR(OR(F40="",G40="",H40="",I40="",J40="",K40="",O40="",AE40="",AF40=""),NOT(ISNUMBER(P40))),"判断証拠不足",IF(COUNTIF($F$4:$F$83,F40)&lt;&gt;1,"判断Run ID重複",IF(OR(AND(P40&lt;&gt;"",OR(NOT(ISNUMBER(P40)),IFERROR(P40&lt;1,TRUE),IFERROR(INT(P40)&gt;INT(AsOfDate),TRUE)))),"判断日不正",IF(AND(A40="G3",OR(T40="",U40="",V40="",W40="",X40="")),"公開対象・集合不足","判断記録あり・内容審査別")))))))</f>
        <v/>
      </c>
      <c r="T40" s="29"/>
      <c r="U40" s="29"/>
      <c r="V40" s="29"/>
      <c r="W40" s="29"/>
      <c r="X40" s="29"/>
      <c r="Y40" s="32"/>
      <c r="Z40" s="29"/>
      <c r="AA40" s="28" t="str">
        <f>IF(A40="","",IF(NOT(IFERROR(ISNUMBER(SEARCH("|"&amp;L40&amp;"|",IF(COUNTIF('32_定義マスター'!$A$4:$A$9,A40)&lt;&gt;1,"参照ID不正",IF(INDEX('32_定義マスター'!$F$4:$F$9,MATCH(A40,'32_定義マスター'!$A$4:$A$9,0))="","",INDEX('32_定義マスター'!$F$4:$F$9,MATCH(A40,'32_定義マスター'!$A$4:$A$9,0)))))),FALSE)),"Gate判断不適合",IF(AND(OR(L40="承認",L40="条件付承認",L40="Scale",L40="Continue",L40="廃止完了承認"),OR(I40="不合格",J40="不合格",V40="不合格",I40="FAIL",J40="FAIL",V40="FAIL")),"停止判定と承認が矛盾",IF(AND(OR(L40="承認",L40="条件付承認",L40="Scale",L40="Continue",L40="廃止完了承認"),OR(I40="未判定",J40="未判定",AND(A40="G3",V40="未判定"))),"必要判定未確定",IF(AND(OR(L40="承認",L40="条件付承認",L40="Scale",L40="Continue",L40="廃止完了承認"),OR(AND(I40&lt;&gt;"合格",I40&lt;&gt;"対象外承認"),AND(J40&lt;&gt;"合格",J40&lt;&gt;"対象外承認"),AND(A40="G3",V40&lt;&gt;"合格",V40&lt;&gt;"対象外承認"))),"判定値不正",IF(AND(A40="G4",L40="Scale",OR(COUNTIF('25_事業仮説・実験・GTM'!$Q$4:$Q$15,F40)=0,COUNTIFS('25_事業仮説・実験・GTM'!$Q$4:$Q$15,F40,'25_事業仮説・実験・GTM'!$AF$4:$AF$15,"&lt;&gt;充足")&gt;0,COUNTIFS('25_事業仮説・実験・GTM'!$Q$4:$Q$15,F40,'25_事業仮説・実験・GTM'!$AD$4:$AD$15,"&lt;&gt;拡大可能")&gt;0)),"拡大の行動証拠不足","判定整合"))))))</f>
        <v/>
      </c>
      <c r="AB40" s="28" t="str">
        <f>IF(A40="","",IF(A40&lt;&gt;"G3",IF(A40="G0",IF(OR(COUNTIF('25_事業仮説・実験・GTM'!$Q$4:$Q$15,F40)=0,COUNTIFS('25_事業仮説・実験・GTM'!$Q$4:$Q$15,F40,'25_事業仮説・実験・GTM'!$AE$4:$AE$15,"&lt;&gt;仮説記録あり")&gt;0),"仮説・持越し確認不足","G0仮説記録接続"),IF(A40="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40="",U40="",W40="",X40="",OR(COUNTIFS('30_必須評価セット'!$B$4:$B$153,T40,'30_必須評価セット'!$C$4:$C$153,U40,'30_必須評価セット'!$E$4:$E$153,"E01")=0,COUNTIFS('30_必須評価セット'!$B$4:$B$153,T40,'30_必須評価セット'!$C$4:$C$153,U40,'30_必須評価セット'!$E$4:$E$153,"E02")=0,COUNTIFS('30_必須評価セット'!$B$4:$B$153,T40,'30_必須評価セット'!$C$4:$C$153,U40,'30_必須評価セット'!$E$4:$E$153,"E03")=0,COUNTIFS('30_必須評価セット'!$B$4:$B$153,T40,'30_必須評価セット'!$C$4:$C$153,U40,'30_必須評価セット'!$E$4:$E$153,"E04")=0,COUNTIFS('30_必須評価セット'!$B$4:$B$153,T40,'30_必須評価セット'!$C$4:$C$153,U40,'30_必須評価セット'!$E$4:$E$153,"E05")=0,COUNTIFS('30_必須評価セット'!$B$4:$B$153,T40,'30_必須評価セット'!$C$4:$C$153,U40,'30_必須評価セット'!$E$4:$E$153,"E06")=0,COUNTIFS('30_必須評価セット'!$B$4:$B$153,T40,'30_必須評価セット'!$C$4:$C$153,U40,'30_必須評価セット'!$E$4:$E$153,"E07")=0,COUNTIFS('30_必須評価セット'!$B$4:$B$153,T40,'30_必須評価セット'!$C$4:$C$153,U40,'30_必須評価セット'!$E$4:$E$153,"E08")=0,COUNTIFS('30_必須評価セット'!$B$4:$B$153,T40,'30_必須評価セット'!$C$4:$C$153,U40,'30_必須評価セット'!$E$4:$E$153,"E09")=0,COUNTIFS('30_必須評価セット'!$B$4:$B$153,T40,'30_必須評価セット'!$C$4:$C$153,U40,'30_必須評価セット'!$E$4:$E$153,"E10")=0,COUNTIFS('30_必須評価セット'!$B$4:$B$153,T40,'30_必須評価セット'!$C$4:$C$153,U40,'30_必須評価セット'!$E$4:$E$153,"E11")=0,COUNTIFS('30_必須評価セット'!$B$4:$B$153,T40,'30_必須評価セット'!$C$4:$C$153,U40,'30_必須評価セット'!$E$4:$E$153,"E12")=0,COUNTIFS('30_必須評価セット'!$B$4:$B$153,T40,'30_必須評価セット'!$C$4:$C$153,U40,'30_必須評価セット'!$E$4:$E$153,"E13")=0,COUNTIFS('30_必須評価セット'!$B$4:$B$153,T40,'30_必須評価セット'!$C$4:$C$153,U40,'30_必須評価セット'!$E$4:$E$153,"E14")=0,COUNTIFS('30_必須評価セット'!$B$4:$B$153,T40,'30_必須評価セット'!$C$4:$C$153,U40,'30_必須評価セット'!$E$4:$E$153,"E15")=0,COUNTIFS('30_必須評価セット'!$B$4:$B$153,T40,'30_必須評価セット'!$C$4:$C$153,U40,'30_必須評価セット'!$E$4:$E$153,"E16")=0,COUNTIFS('30_必須評価セット'!$B$4:$B$153,T40,'30_必須評価セット'!$C$4:$C$153,U40,'30_必須評価セット'!$E$4:$E$153,"E17")=0,COUNTIFS('30_必須評価セット'!$B$4:$B$153,T40,'30_必須評価セット'!$C$4:$C$153,U40,'30_必須評価セット'!$E$4:$E$153,"E18")=0)),"必須分類・集合不足",IF(OR(AND('03_AIリスクTier・適用判定'!$B$27="使用",OR('17_ロードマップ・案件実行管理'!$AA$86&lt;&gt;1,NOT(AND(COUNTIFS('30_必須評価セット'!$B$4:$B$153,T40,'30_必須評価セット'!$C$4:$C$153,U40,'30_必須評価セット'!$E$4:$E$153,"E03",'30_必須評価セット'!$F$4:$F$153,"必須")&gt;0,COUNTIFS('30_必須評価セット'!$B$4:$B$153,T40,'30_必須評価セット'!$C$4:$C$153,U40,'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40,'30_必須評価セット'!$C$4:$C$153,U40,'30_必須評価セット'!$E$4:$E$153,"E05",'30_必須評価セット'!$F$4:$F$153,"必須")&gt;0)))),AND('03_AIリスクTier・適用判定'!$B$28="不使用",'17_ロードマップ・案件実行管理'!$W$87&lt;&gt;"除外記録済")),"機能別評価・対象外未完",IF(COUNTIFS('30_必須評価セット'!$B$4:$B$153,T40,'30_必須評価セット'!$C$4:$C$153,U40)&lt;&gt;SUMIFS('30_必須評価セット'!$N$4:$N$153,'30_必須評価セット'!$B$4:$B$153,T40,'30_必須評価セット'!$C$4:$C$153,U40),"必須評価セット未充足","必須評価セット充足"))))))</f>
        <v/>
      </c>
      <c r="AC40" s="28" t="str">
        <f>IF(F40="","",IF(OR(AG40="",AG40="未判定"),"条件有無未判定",IF(AND(AG40="なし",OR(L40="条件付承認",COUNTIF('31_条件・有効性'!$B$4:$B$83,F40)&gt;0)),"条件有無不一致",IF(AND(AG40="条件あり",COUNTIF('31_条件・有効性'!$B$4:$B$83,F40)=0),"Condition未登録",IF(AND(AG40="条件あり",COUNTIF('31_条件・有効性'!$B$4:$B$83,F40)&lt;&gt;(COUNTIFS('31_条件・有効性'!$B$4:$B$83,F40,'31_条件・有効性'!$Q$4:$Q$83,"解消確認済")+COUNTIFS('31_条件・有効性'!$B$4:$B$83,F40,'31_条件・有効性'!$Q$4:$Q$83,"期限内・制約継続"))),"条件失効・定義不備",IF(AND(AG40&lt;&gt;"なし",AG40&lt;&gt;"条件あり"),"条件有無不正","条件整合"))))))</f>
        <v/>
      </c>
      <c r="AD40" s="28" t="str">
        <f t="shared" si="1"/>
        <v/>
      </c>
      <c r="AE40" s="29"/>
      <c r="AF40" s="29"/>
      <c r="AG40" s="29"/>
    </row>
    <row r="41" spans="1:33" ht="78" customHeight="1" x14ac:dyDescent="0.2">
      <c r="A41" s="29"/>
      <c r="B41" s="28" t="str">
        <f>IF(A41="","",IF(COUNTIF('32_定義マスター'!$A$4:$A$9,A41)&lt;&gt;1,"参照ID不正",IF(INDEX('32_定義マスター'!$B$4:$B$9,MATCH(A41,'32_定義マスター'!$A$4:$A$9,0))="","",INDEX('32_定義マスター'!$B$4:$B$9,MATCH(A41,'32_定義マスター'!$A$4:$A$9,0)))))</f>
        <v/>
      </c>
      <c r="C41" s="28" t="str">
        <f>IF(A41="","",IF(COUNTIF('32_定義マスター'!$A$4:$A$9,A41)&lt;&gt;1,"参照ID不正",IF(INDEX('32_定義マスター'!$C$4:$C$9,MATCH(A41,'32_定義マスター'!$A$4:$A$9,0))="","",INDEX('32_定義マスター'!$C$4:$C$9,MATCH(A41,'32_定義マスター'!$A$4:$A$9,0)))))</f>
        <v/>
      </c>
      <c r="D41" s="28" t="str">
        <f>IF(A41="","",IF(COUNTIF('32_定義マスター'!$A$4:$A$9,A41)&lt;&gt;1,"参照ID不正",IF(INDEX('32_定義マスター'!$D$4:$D$9,MATCH(A41,'32_定義マスター'!$A$4:$A$9,0))="","",INDEX('32_定義マスター'!$D$4:$D$9,MATCH(A41,'32_定義マスター'!$A$4:$A$9,0)))))</f>
        <v/>
      </c>
      <c r="E41" s="28" t="str">
        <f>IF(A41="","",IF(COUNTIF('32_定義マスター'!$A$4:$A$9,A41)&lt;&gt;1,"参照ID不正",IF(INDEX('32_定義マスター'!$E$4:$E$9,MATCH(A41,'32_定義マスター'!$A$4:$A$9,0))="","",INDEX('32_定義マスター'!$E$4:$E$9,MATCH(A41,'32_定義マスター'!$A$4:$A$9,0)))))</f>
        <v/>
      </c>
      <c r="F41" s="29"/>
      <c r="G41" s="29"/>
      <c r="H41" s="29"/>
      <c r="I41" s="29"/>
      <c r="J41" s="29"/>
      <c r="K41" s="29"/>
      <c r="L41" s="29"/>
      <c r="M41" s="29"/>
      <c r="N41" s="32"/>
      <c r="O41" s="29"/>
      <c r="P41" s="32"/>
      <c r="Q41" s="29"/>
      <c r="R41" s="29"/>
      <c r="S41" s="28" t="str">
        <f>IF(A41="","",IF(COUNTIF('32_定義マスター'!$A$4:$A$9,A41)&lt;&gt;1,"Gate ID不正",IF(OR(L41="",L41="未審査"),"未承認",IF(OR(OR(F41="",G41="",H41="",I41="",J41="",K41="",O41="",AE41="",AF41=""),NOT(ISNUMBER(P41))),"判断証拠不足",IF(COUNTIF($F$4:$F$83,F41)&lt;&gt;1,"判断Run ID重複",IF(OR(AND(P41&lt;&gt;"",OR(NOT(ISNUMBER(P41)),IFERROR(P41&lt;1,TRUE),IFERROR(INT(P41)&gt;INT(AsOfDate),TRUE)))),"判断日不正",IF(AND(A41="G3",OR(T41="",U41="",V41="",W41="",X41="")),"公開対象・集合不足","判断記録あり・内容審査別")))))))</f>
        <v/>
      </c>
      <c r="T41" s="29"/>
      <c r="U41" s="29"/>
      <c r="V41" s="29"/>
      <c r="W41" s="29"/>
      <c r="X41" s="29"/>
      <c r="Y41" s="32"/>
      <c r="Z41" s="29"/>
      <c r="AA41" s="28" t="str">
        <f>IF(A41="","",IF(NOT(IFERROR(ISNUMBER(SEARCH("|"&amp;L41&amp;"|",IF(COUNTIF('32_定義マスター'!$A$4:$A$9,A41)&lt;&gt;1,"参照ID不正",IF(INDEX('32_定義マスター'!$F$4:$F$9,MATCH(A41,'32_定義マスター'!$A$4:$A$9,0))="","",INDEX('32_定義マスター'!$F$4:$F$9,MATCH(A41,'32_定義マスター'!$A$4:$A$9,0)))))),FALSE)),"Gate判断不適合",IF(AND(OR(L41="承認",L41="条件付承認",L41="Scale",L41="Continue",L41="廃止完了承認"),OR(I41="不合格",J41="不合格",V41="不合格",I41="FAIL",J41="FAIL",V41="FAIL")),"停止判定と承認が矛盾",IF(AND(OR(L41="承認",L41="条件付承認",L41="Scale",L41="Continue",L41="廃止完了承認"),OR(I41="未判定",J41="未判定",AND(A41="G3",V41="未判定"))),"必要判定未確定",IF(AND(OR(L41="承認",L41="条件付承認",L41="Scale",L41="Continue",L41="廃止完了承認"),OR(AND(I41&lt;&gt;"合格",I41&lt;&gt;"対象外承認"),AND(J41&lt;&gt;"合格",J41&lt;&gt;"対象外承認"),AND(A41="G3",V41&lt;&gt;"合格",V41&lt;&gt;"対象外承認"))),"判定値不正",IF(AND(A41="G4",L41="Scale",OR(COUNTIF('25_事業仮説・実験・GTM'!$Q$4:$Q$15,F41)=0,COUNTIFS('25_事業仮説・実験・GTM'!$Q$4:$Q$15,F41,'25_事業仮説・実験・GTM'!$AF$4:$AF$15,"&lt;&gt;充足")&gt;0,COUNTIFS('25_事業仮説・実験・GTM'!$Q$4:$Q$15,F41,'25_事業仮説・実験・GTM'!$AD$4:$AD$15,"&lt;&gt;拡大可能")&gt;0)),"拡大の行動証拠不足","判定整合"))))))</f>
        <v/>
      </c>
      <c r="AB41" s="28" t="str">
        <f>IF(A41="","",IF(A41&lt;&gt;"G3",IF(A41="G0",IF(OR(COUNTIF('25_事業仮説・実験・GTM'!$Q$4:$Q$15,F41)=0,COUNTIFS('25_事業仮説・実験・GTM'!$Q$4:$Q$15,F41,'25_事業仮説・実験・GTM'!$AE$4:$AE$15,"&lt;&gt;仮説記録あり")&gt;0),"仮説・持越し確認不足","G0仮説記録接続"),IF(A41="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41="",U41="",W41="",X41="",OR(COUNTIFS('30_必須評価セット'!$B$4:$B$153,T41,'30_必須評価セット'!$C$4:$C$153,U41,'30_必須評価セット'!$E$4:$E$153,"E01")=0,COUNTIFS('30_必須評価セット'!$B$4:$B$153,T41,'30_必須評価セット'!$C$4:$C$153,U41,'30_必須評価セット'!$E$4:$E$153,"E02")=0,COUNTIFS('30_必須評価セット'!$B$4:$B$153,T41,'30_必須評価セット'!$C$4:$C$153,U41,'30_必須評価セット'!$E$4:$E$153,"E03")=0,COUNTIFS('30_必須評価セット'!$B$4:$B$153,T41,'30_必須評価セット'!$C$4:$C$153,U41,'30_必須評価セット'!$E$4:$E$153,"E04")=0,COUNTIFS('30_必須評価セット'!$B$4:$B$153,T41,'30_必須評価セット'!$C$4:$C$153,U41,'30_必須評価セット'!$E$4:$E$153,"E05")=0,COUNTIFS('30_必須評価セット'!$B$4:$B$153,T41,'30_必須評価セット'!$C$4:$C$153,U41,'30_必須評価セット'!$E$4:$E$153,"E06")=0,COUNTIFS('30_必須評価セット'!$B$4:$B$153,T41,'30_必須評価セット'!$C$4:$C$153,U41,'30_必須評価セット'!$E$4:$E$153,"E07")=0,COUNTIFS('30_必須評価セット'!$B$4:$B$153,T41,'30_必須評価セット'!$C$4:$C$153,U41,'30_必須評価セット'!$E$4:$E$153,"E08")=0,COUNTIFS('30_必須評価セット'!$B$4:$B$153,T41,'30_必須評価セット'!$C$4:$C$153,U41,'30_必須評価セット'!$E$4:$E$153,"E09")=0,COUNTIFS('30_必須評価セット'!$B$4:$B$153,T41,'30_必須評価セット'!$C$4:$C$153,U41,'30_必須評価セット'!$E$4:$E$153,"E10")=0,COUNTIFS('30_必須評価セット'!$B$4:$B$153,T41,'30_必須評価セット'!$C$4:$C$153,U41,'30_必須評価セット'!$E$4:$E$153,"E11")=0,COUNTIFS('30_必須評価セット'!$B$4:$B$153,T41,'30_必須評価セット'!$C$4:$C$153,U41,'30_必須評価セット'!$E$4:$E$153,"E12")=0,COUNTIFS('30_必須評価セット'!$B$4:$B$153,T41,'30_必須評価セット'!$C$4:$C$153,U41,'30_必須評価セット'!$E$4:$E$153,"E13")=0,COUNTIFS('30_必須評価セット'!$B$4:$B$153,T41,'30_必須評価セット'!$C$4:$C$153,U41,'30_必須評価セット'!$E$4:$E$153,"E14")=0,COUNTIFS('30_必須評価セット'!$B$4:$B$153,T41,'30_必須評価セット'!$C$4:$C$153,U41,'30_必須評価セット'!$E$4:$E$153,"E15")=0,COUNTIFS('30_必須評価セット'!$B$4:$B$153,T41,'30_必須評価セット'!$C$4:$C$153,U41,'30_必須評価セット'!$E$4:$E$153,"E16")=0,COUNTIFS('30_必須評価セット'!$B$4:$B$153,T41,'30_必須評価セット'!$C$4:$C$153,U41,'30_必須評価セット'!$E$4:$E$153,"E17")=0,COUNTIFS('30_必須評価セット'!$B$4:$B$153,T41,'30_必須評価セット'!$C$4:$C$153,U41,'30_必須評価セット'!$E$4:$E$153,"E18")=0)),"必須分類・集合不足",IF(OR(AND('03_AIリスクTier・適用判定'!$B$27="使用",OR('17_ロードマップ・案件実行管理'!$AA$86&lt;&gt;1,NOT(AND(COUNTIFS('30_必須評価セット'!$B$4:$B$153,T41,'30_必須評価セット'!$C$4:$C$153,U41,'30_必須評価セット'!$E$4:$E$153,"E03",'30_必須評価セット'!$F$4:$F$153,"必須")&gt;0,COUNTIFS('30_必須評価セット'!$B$4:$B$153,T41,'30_必須評価セット'!$C$4:$C$153,U41,'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41,'30_必須評価セット'!$C$4:$C$153,U41,'30_必須評価セット'!$E$4:$E$153,"E05",'30_必須評価セット'!$F$4:$F$153,"必須")&gt;0)))),AND('03_AIリスクTier・適用判定'!$B$28="不使用",'17_ロードマップ・案件実行管理'!$W$87&lt;&gt;"除外記録済")),"機能別評価・対象外未完",IF(COUNTIFS('30_必須評価セット'!$B$4:$B$153,T41,'30_必須評価セット'!$C$4:$C$153,U41)&lt;&gt;SUMIFS('30_必須評価セット'!$N$4:$N$153,'30_必須評価セット'!$B$4:$B$153,T41,'30_必須評価セット'!$C$4:$C$153,U41),"必須評価セット未充足","必須評価セット充足"))))))</f>
        <v/>
      </c>
      <c r="AC41" s="28" t="str">
        <f>IF(F41="","",IF(OR(AG41="",AG41="未判定"),"条件有無未判定",IF(AND(AG41="なし",OR(L41="条件付承認",COUNTIF('31_条件・有効性'!$B$4:$B$83,F41)&gt;0)),"条件有無不一致",IF(AND(AG41="条件あり",COUNTIF('31_条件・有効性'!$B$4:$B$83,F41)=0),"Condition未登録",IF(AND(AG41="条件あり",COUNTIF('31_条件・有効性'!$B$4:$B$83,F41)&lt;&gt;(COUNTIFS('31_条件・有効性'!$B$4:$B$83,F41,'31_条件・有効性'!$Q$4:$Q$83,"解消確認済")+COUNTIFS('31_条件・有効性'!$B$4:$B$83,F41,'31_条件・有効性'!$Q$4:$Q$83,"期限内・制約継続"))),"条件失効・定義不備",IF(AND(AG41&lt;&gt;"なし",AG41&lt;&gt;"条件あり"),"条件有無不正","条件整合"))))))</f>
        <v/>
      </c>
      <c r="AD41" s="28" t="str">
        <f t="shared" si="1"/>
        <v/>
      </c>
      <c r="AE41" s="29"/>
      <c r="AF41" s="29"/>
      <c r="AG41" s="29"/>
    </row>
    <row r="42" spans="1:33" ht="78" customHeight="1" x14ac:dyDescent="0.2">
      <c r="A42" s="29"/>
      <c r="B42" s="28" t="str">
        <f>IF(A42="","",IF(COUNTIF('32_定義マスター'!$A$4:$A$9,A42)&lt;&gt;1,"参照ID不正",IF(INDEX('32_定義マスター'!$B$4:$B$9,MATCH(A42,'32_定義マスター'!$A$4:$A$9,0))="","",INDEX('32_定義マスター'!$B$4:$B$9,MATCH(A42,'32_定義マスター'!$A$4:$A$9,0)))))</f>
        <v/>
      </c>
      <c r="C42" s="28" t="str">
        <f>IF(A42="","",IF(COUNTIF('32_定義マスター'!$A$4:$A$9,A42)&lt;&gt;1,"参照ID不正",IF(INDEX('32_定義マスター'!$C$4:$C$9,MATCH(A42,'32_定義マスター'!$A$4:$A$9,0))="","",INDEX('32_定義マスター'!$C$4:$C$9,MATCH(A42,'32_定義マスター'!$A$4:$A$9,0)))))</f>
        <v/>
      </c>
      <c r="D42" s="28" t="str">
        <f>IF(A42="","",IF(COUNTIF('32_定義マスター'!$A$4:$A$9,A42)&lt;&gt;1,"参照ID不正",IF(INDEX('32_定義マスター'!$D$4:$D$9,MATCH(A42,'32_定義マスター'!$A$4:$A$9,0))="","",INDEX('32_定義マスター'!$D$4:$D$9,MATCH(A42,'32_定義マスター'!$A$4:$A$9,0)))))</f>
        <v/>
      </c>
      <c r="E42" s="28" t="str">
        <f>IF(A42="","",IF(COUNTIF('32_定義マスター'!$A$4:$A$9,A42)&lt;&gt;1,"参照ID不正",IF(INDEX('32_定義マスター'!$E$4:$E$9,MATCH(A42,'32_定義マスター'!$A$4:$A$9,0))="","",INDEX('32_定義マスター'!$E$4:$E$9,MATCH(A42,'32_定義マスター'!$A$4:$A$9,0)))))</f>
        <v/>
      </c>
      <c r="F42" s="29"/>
      <c r="G42" s="29"/>
      <c r="H42" s="29"/>
      <c r="I42" s="29"/>
      <c r="J42" s="29"/>
      <c r="K42" s="29"/>
      <c r="L42" s="29"/>
      <c r="M42" s="29"/>
      <c r="N42" s="32"/>
      <c r="O42" s="29"/>
      <c r="P42" s="32"/>
      <c r="Q42" s="29"/>
      <c r="R42" s="29"/>
      <c r="S42" s="28" t="str">
        <f>IF(A42="","",IF(COUNTIF('32_定義マスター'!$A$4:$A$9,A42)&lt;&gt;1,"Gate ID不正",IF(OR(L42="",L42="未審査"),"未承認",IF(OR(OR(F42="",G42="",H42="",I42="",J42="",K42="",O42="",AE42="",AF42=""),NOT(ISNUMBER(P42))),"判断証拠不足",IF(COUNTIF($F$4:$F$83,F42)&lt;&gt;1,"判断Run ID重複",IF(OR(AND(P42&lt;&gt;"",OR(NOT(ISNUMBER(P42)),IFERROR(P42&lt;1,TRUE),IFERROR(INT(P42)&gt;INT(AsOfDate),TRUE)))),"判断日不正",IF(AND(A42="G3",OR(T42="",U42="",V42="",W42="",X42="")),"公開対象・集合不足","判断記録あり・内容審査別")))))))</f>
        <v/>
      </c>
      <c r="T42" s="29"/>
      <c r="U42" s="29"/>
      <c r="V42" s="29"/>
      <c r="W42" s="29"/>
      <c r="X42" s="29"/>
      <c r="Y42" s="32"/>
      <c r="Z42" s="29"/>
      <c r="AA42" s="28" t="str">
        <f>IF(A42="","",IF(NOT(IFERROR(ISNUMBER(SEARCH("|"&amp;L42&amp;"|",IF(COUNTIF('32_定義マスター'!$A$4:$A$9,A42)&lt;&gt;1,"参照ID不正",IF(INDEX('32_定義マスター'!$F$4:$F$9,MATCH(A42,'32_定義マスター'!$A$4:$A$9,0))="","",INDEX('32_定義マスター'!$F$4:$F$9,MATCH(A42,'32_定義マスター'!$A$4:$A$9,0)))))),FALSE)),"Gate判断不適合",IF(AND(OR(L42="承認",L42="条件付承認",L42="Scale",L42="Continue",L42="廃止完了承認"),OR(I42="不合格",J42="不合格",V42="不合格",I42="FAIL",J42="FAIL",V42="FAIL")),"停止判定と承認が矛盾",IF(AND(OR(L42="承認",L42="条件付承認",L42="Scale",L42="Continue",L42="廃止完了承認"),OR(I42="未判定",J42="未判定",AND(A42="G3",V42="未判定"))),"必要判定未確定",IF(AND(OR(L42="承認",L42="条件付承認",L42="Scale",L42="Continue",L42="廃止完了承認"),OR(AND(I42&lt;&gt;"合格",I42&lt;&gt;"対象外承認"),AND(J42&lt;&gt;"合格",J42&lt;&gt;"対象外承認"),AND(A42="G3",V42&lt;&gt;"合格",V42&lt;&gt;"対象外承認"))),"判定値不正",IF(AND(A42="G4",L42="Scale",OR(COUNTIF('25_事業仮説・実験・GTM'!$Q$4:$Q$15,F42)=0,COUNTIFS('25_事業仮説・実験・GTM'!$Q$4:$Q$15,F42,'25_事業仮説・実験・GTM'!$AF$4:$AF$15,"&lt;&gt;充足")&gt;0,COUNTIFS('25_事業仮説・実験・GTM'!$Q$4:$Q$15,F42,'25_事業仮説・実験・GTM'!$AD$4:$AD$15,"&lt;&gt;拡大可能")&gt;0)),"拡大の行動証拠不足","判定整合"))))))</f>
        <v/>
      </c>
      <c r="AB42" s="28" t="str">
        <f>IF(A42="","",IF(A42&lt;&gt;"G3",IF(A42="G0",IF(OR(COUNTIF('25_事業仮説・実験・GTM'!$Q$4:$Q$15,F42)=0,COUNTIFS('25_事業仮説・実験・GTM'!$Q$4:$Q$15,F42,'25_事業仮説・実験・GTM'!$AE$4:$AE$15,"&lt;&gt;仮説記録あり")&gt;0),"仮説・持越し確認不足","G0仮説記録接続"),IF(A42="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42="",U42="",W42="",X42="",OR(COUNTIFS('30_必須評価セット'!$B$4:$B$153,T42,'30_必須評価セット'!$C$4:$C$153,U42,'30_必須評価セット'!$E$4:$E$153,"E01")=0,COUNTIFS('30_必須評価セット'!$B$4:$B$153,T42,'30_必須評価セット'!$C$4:$C$153,U42,'30_必須評価セット'!$E$4:$E$153,"E02")=0,COUNTIFS('30_必須評価セット'!$B$4:$B$153,T42,'30_必須評価セット'!$C$4:$C$153,U42,'30_必須評価セット'!$E$4:$E$153,"E03")=0,COUNTIFS('30_必須評価セット'!$B$4:$B$153,T42,'30_必須評価セット'!$C$4:$C$153,U42,'30_必須評価セット'!$E$4:$E$153,"E04")=0,COUNTIFS('30_必須評価セット'!$B$4:$B$153,T42,'30_必須評価セット'!$C$4:$C$153,U42,'30_必須評価セット'!$E$4:$E$153,"E05")=0,COUNTIFS('30_必須評価セット'!$B$4:$B$153,T42,'30_必須評価セット'!$C$4:$C$153,U42,'30_必須評価セット'!$E$4:$E$153,"E06")=0,COUNTIFS('30_必須評価セット'!$B$4:$B$153,T42,'30_必須評価セット'!$C$4:$C$153,U42,'30_必須評価セット'!$E$4:$E$153,"E07")=0,COUNTIFS('30_必須評価セット'!$B$4:$B$153,T42,'30_必須評価セット'!$C$4:$C$153,U42,'30_必須評価セット'!$E$4:$E$153,"E08")=0,COUNTIFS('30_必須評価セット'!$B$4:$B$153,T42,'30_必須評価セット'!$C$4:$C$153,U42,'30_必須評価セット'!$E$4:$E$153,"E09")=0,COUNTIFS('30_必須評価セット'!$B$4:$B$153,T42,'30_必須評価セット'!$C$4:$C$153,U42,'30_必須評価セット'!$E$4:$E$153,"E10")=0,COUNTIFS('30_必須評価セット'!$B$4:$B$153,T42,'30_必須評価セット'!$C$4:$C$153,U42,'30_必須評価セット'!$E$4:$E$153,"E11")=0,COUNTIFS('30_必須評価セット'!$B$4:$B$153,T42,'30_必須評価セット'!$C$4:$C$153,U42,'30_必須評価セット'!$E$4:$E$153,"E12")=0,COUNTIFS('30_必須評価セット'!$B$4:$B$153,T42,'30_必須評価セット'!$C$4:$C$153,U42,'30_必須評価セット'!$E$4:$E$153,"E13")=0,COUNTIFS('30_必須評価セット'!$B$4:$B$153,T42,'30_必須評価セット'!$C$4:$C$153,U42,'30_必須評価セット'!$E$4:$E$153,"E14")=0,COUNTIFS('30_必須評価セット'!$B$4:$B$153,T42,'30_必須評価セット'!$C$4:$C$153,U42,'30_必須評価セット'!$E$4:$E$153,"E15")=0,COUNTIFS('30_必須評価セット'!$B$4:$B$153,T42,'30_必須評価セット'!$C$4:$C$153,U42,'30_必須評価セット'!$E$4:$E$153,"E16")=0,COUNTIFS('30_必須評価セット'!$B$4:$B$153,T42,'30_必須評価セット'!$C$4:$C$153,U42,'30_必須評価セット'!$E$4:$E$153,"E17")=0,COUNTIFS('30_必須評価セット'!$B$4:$B$153,T42,'30_必須評価セット'!$C$4:$C$153,U42,'30_必須評価セット'!$E$4:$E$153,"E18")=0)),"必須分類・集合不足",IF(OR(AND('03_AIリスクTier・適用判定'!$B$27="使用",OR('17_ロードマップ・案件実行管理'!$AA$86&lt;&gt;1,NOT(AND(COUNTIFS('30_必須評価セット'!$B$4:$B$153,T42,'30_必須評価セット'!$C$4:$C$153,U42,'30_必須評価セット'!$E$4:$E$153,"E03",'30_必須評価セット'!$F$4:$F$153,"必須")&gt;0,COUNTIFS('30_必須評価セット'!$B$4:$B$153,T42,'30_必須評価セット'!$C$4:$C$153,U42,'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42,'30_必須評価セット'!$C$4:$C$153,U42,'30_必須評価セット'!$E$4:$E$153,"E05",'30_必須評価セット'!$F$4:$F$153,"必須")&gt;0)))),AND('03_AIリスクTier・適用判定'!$B$28="不使用",'17_ロードマップ・案件実行管理'!$W$87&lt;&gt;"除外記録済")),"機能別評価・対象外未完",IF(COUNTIFS('30_必須評価セット'!$B$4:$B$153,T42,'30_必須評価セット'!$C$4:$C$153,U42)&lt;&gt;SUMIFS('30_必須評価セット'!$N$4:$N$153,'30_必須評価セット'!$B$4:$B$153,T42,'30_必須評価セット'!$C$4:$C$153,U42),"必須評価セット未充足","必須評価セット充足"))))))</f>
        <v/>
      </c>
      <c r="AC42" s="28" t="str">
        <f>IF(F42="","",IF(OR(AG42="",AG42="未判定"),"条件有無未判定",IF(AND(AG42="なし",OR(L42="条件付承認",COUNTIF('31_条件・有効性'!$B$4:$B$83,F42)&gt;0)),"条件有無不一致",IF(AND(AG42="条件あり",COUNTIF('31_条件・有効性'!$B$4:$B$83,F42)=0),"Condition未登録",IF(AND(AG42="条件あり",COUNTIF('31_条件・有効性'!$B$4:$B$83,F42)&lt;&gt;(COUNTIFS('31_条件・有効性'!$B$4:$B$83,F42,'31_条件・有効性'!$Q$4:$Q$83,"解消確認済")+COUNTIFS('31_条件・有効性'!$B$4:$B$83,F42,'31_条件・有効性'!$Q$4:$Q$83,"期限内・制約継続"))),"条件失効・定義不備",IF(AND(AG42&lt;&gt;"なし",AG42&lt;&gt;"条件あり"),"条件有無不正","条件整合"))))))</f>
        <v/>
      </c>
      <c r="AD42" s="28" t="str">
        <f t="shared" si="1"/>
        <v/>
      </c>
      <c r="AE42" s="29"/>
      <c r="AF42" s="29"/>
      <c r="AG42" s="29"/>
    </row>
    <row r="43" spans="1:33" ht="78" customHeight="1" x14ac:dyDescent="0.2">
      <c r="A43" s="29"/>
      <c r="B43" s="28" t="str">
        <f>IF(A43="","",IF(COUNTIF('32_定義マスター'!$A$4:$A$9,A43)&lt;&gt;1,"参照ID不正",IF(INDEX('32_定義マスター'!$B$4:$B$9,MATCH(A43,'32_定義マスター'!$A$4:$A$9,0))="","",INDEX('32_定義マスター'!$B$4:$B$9,MATCH(A43,'32_定義マスター'!$A$4:$A$9,0)))))</f>
        <v/>
      </c>
      <c r="C43" s="28" t="str">
        <f>IF(A43="","",IF(COUNTIF('32_定義マスター'!$A$4:$A$9,A43)&lt;&gt;1,"参照ID不正",IF(INDEX('32_定義マスター'!$C$4:$C$9,MATCH(A43,'32_定義マスター'!$A$4:$A$9,0))="","",INDEX('32_定義マスター'!$C$4:$C$9,MATCH(A43,'32_定義マスター'!$A$4:$A$9,0)))))</f>
        <v/>
      </c>
      <c r="D43" s="28" t="str">
        <f>IF(A43="","",IF(COUNTIF('32_定義マスター'!$A$4:$A$9,A43)&lt;&gt;1,"参照ID不正",IF(INDEX('32_定義マスター'!$D$4:$D$9,MATCH(A43,'32_定義マスター'!$A$4:$A$9,0))="","",INDEX('32_定義マスター'!$D$4:$D$9,MATCH(A43,'32_定義マスター'!$A$4:$A$9,0)))))</f>
        <v/>
      </c>
      <c r="E43" s="28" t="str">
        <f>IF(A43="","",IF(COUNTIF('32_定義マスター'!$A$4:$A$9,A43)&lt;&gt;1,"参照ID不正",IF(INDEX('32_定義マスター'!$E$4:$E$9,MATCH(A43,'32_定義マスター'!$A$4:$A$9,0))="","",INDEX('32_定義マスター'!$E$4:$E$9,MATCH(A43,'32_定義マスター'!$A$4:$A$9,0)))))</f>
        <v/>
      </c>
      <c r="F43" s="29"/>
      <c r="G43" s="29"/>
      <c r="H43" s="29"/>
      <c r="I43" s="29"/>
      <c r="J43" s="29"/>
      <c r="K43" s="29"/>
      <c r="L43" s="29"/>
      <c r="M43" s="29"/>
      <c r="N43" s="32"/>
      <c r="O43" s="29"/>
      <c r="P43" s="32"/>
      <c r="Q43" s="29"/>
      <c r="R43" s="29"/>
      <c r="S43" s="28" t="str">
        <f>IF(A43="","",IF(COUNTIF('32_定義マスター'!$A$4:$A$9,A43)&lt;&gt;1,"Gate ID不正",IF(OR(L43="",L43="未審査"),"未承認",IF(OR(OR(F43="",G43="",H43="",I43="",J43="",K43="",O43="",AE43="",AF43=""),NOT(ISNUMBER(P43))),"判断証拠不足",IF(COUNTIF($F$4:$F$83,F43)&lt;&gt;1,"判断Run ID重複",IF(OR(AND(P43&lt;&gt;"",OR(NOT(ISNUMBER(P43)),IFERROR(P43&lt;1,TRUE),IFERROR(INT(P43)&gt;INT(AsOfDate),TRUE)))),"判断日不正",IF(AND(A43="G3",OR(T43="",U43="",V43="",W43="",X43="")),"公開対象・集合不足","判断記録あり・内容審査別")))))))</f>
        <v/>
      </c>
      <c r="T43" s="29"/>
      <c r="U43" s="29"/>
      <c r="V43" s="29"/>
      <c r="W43" s="29"/>
      <c r="X43" s="29"/>
      <c r="Y43" s="32"/>
      <c r="Z43" s="29"/>
      <c r="AA43" s="28" t="str">
        <f>IF(A43="","",IF(NOT(IFERROR(ISNUMBER(SEARCH("|"&amp;L43&amp;"|",IF(COUNTIF('32_定義マスター'!$A$4:$A$9,A43)&lt;&gt;1,"参照ID不正",IF(INDEX('32_定義マスター'!$F$4:$F$9,MATCH(A43,'32_定義マスター'!$A$4:$A$9,0))="","",INDEX('32_定義マスター'!$F$4:$F$9,MATCH(A43,'32_定義マスター'!$A$4:$A$9,0)))))),FALSE)),"Gate判断不適合",IF(AND(OR(L43="承認",L43="条件付承認",L43="Scale",L43="Continue",L43="廃止完了承認"),OR(I43="不合格",J43="不合格",V43="不合格",I43="FAIL",J43="FAIL",V43="FAIL")),"停止判定と承認が矛盾",IF(AND(OR(L43="承認",L43="条件付承認",L43="Scale",L43="Continue",L43="廃止完了承認"),OR(I43="未判定",J43="未判定",AND(A43="G3",V43="未判定"))),"必要判定未確定",IF(AND(OR(L43="承認",L43="条件付承認",L43="Scale",L43="Continue",L43="廃止完了承認"),OR(AND(I43&lt;&gt;"合格",I43&lt;&gt;"対象外承認"),AND(J43&lt;&gt;"合格",J43&lt;&gt;"対象外承認"),AND(A43="G3",V43&lt;&gt;"合格",V43&lt;&gt;"対象外承認"))),"判定値不正",IF(AND(A43="G4",L43="Scale",OR(COUNTIF('25_事業仮説・実験・GTM'!$Q$4:$Q$15,F43)=0,COUNTIFS('25_事業仮説・実験・GTM'!$Q$4:$Q$15,F43,'25_事業仮説・実験・GTM'!$AF$4:$AF$15,"&lt;&gt;充足")&gt;0,COUNTIFS('25_事業仮説・実験・GTM'!$Q$4:$Q$15,F43,'25_事業仮説・実験・GTM'!$AD$4:$AD$15,"&lt;&gt;拡大可能")&gt;0)),"拡大の行動証拠不足","判定整合"))))))</f>
        <v/>
      </c>
      <c r="AB43" s="28" t="str">
        <f>IF(A43="","",IF(A43&lt;&gt;"G3",IF(A43="G0",IF(OR(COUNTIF('25_事業仮説・実験・GTM'!$Q$4:$Q$15,F43)=0,COUNTIFS('25_事業仮説・実験・GTM'!$Q$4:$Q$15,F43,'25_事業仮説・実験・GTM'!$AE$4:$AE$15,"&lt;&gt;仮説記録あり")&gt;0),"仮説・持越し確認不足","G0仮説記録接続"),IF(A43="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43="",U43="",W43="",X43="",OR(COUNTIFS('30_必須評価セット'!$B$4:$B$153,T43,'30_必須評価セット'!$C$4:$C$153,U43,'30_必須評価セット'!$E$4:$E$153,"E01")=0,COUNTIFS('30_必須評価セット'!$B$4:$B$153,T43,'30_必須評価セット'!$C$4:$C$153,U43,'30_必須評価セット'!$E$4:$E$153,"E02")=0,COUNTIFS('30_必須評価セット'!$B$4:$B$153,T43,'30_必須評価セット'!$C$4:$C$153,U43,'30_必須評価セット'!$E$4:$E$153,"E03")=0,COUNTIFS('30_必須評価セット'!$B$4:$B$153,T43,'30_必須評価セット'!$C$4:$C$153,U43,'30_必須評価セット'!$E$4:$E$153,"E04")=0,COUNTIFS('30_必須評価セット'!$B$4:$B$153,T43,'30_必須評価セット'!$C$4:$C$153,U43,'30_必須評価セット'!$E$4:$E$153,"E05")=0,COUNTIFS('30_必須評価セット'!$B$4:$B$153,T43,'30_必須評価セット'!$C$4:$C$153,U43,'30_必須評価セット'!$E$4:$E$153,"E06")=0,COUNTIFS('30_必須評価セット'!$B$4:$B$153,T43,'30_必須評価セット'!$C$4:$C$153,U43,'30_必須評価セット'!$E$4:$E$153,"E07")=0,COUNTIFS('30_必須評価セット'!$B$4:$B$153,T43,'30_必須評価セット'!$C$4:$C$153,U43,'30_必須評価セット'!$E$4:$E$153,"E08")=0,COUNTIFS('30_必須評価セット'!$B$4:$B$153,T43,'30_必須評価セット'!$C$4:$C$153,U43,'30_必須評価セット'!$E$4:$E$153,"E09")=0,COUNTIFS('30_必須評価セット'!$B$4:$B$153,T43,'30_必須評価セット'!$C$4:$C$153,U43,'30_必須評価セット'!$E$4:$E$153,"E10")=0,COUNTIFS('30_必須評価セット'!$B$4:$B$153,T43,'30_必須評価セット'!$C$4:$C$153,U43,'30_必須評価セット'!$E$4:$E$153,"E11")=0,COUNTIFS('30_必須評価セット'!$B$4:$B$153,T43,'30_必須評価セット'!$C$4:$C$153,U43,'30_必須評価セット'!$E$4:$E$153,"E12")=0,COUNTIFS('30_必須評価セット'!$B$4:$B$153,T43,'30_必須評価セット'!$C$4:$C$153,U43,'30_必須評価セット'!$E$4:$E$153,"E13")=0,COUNTIFS('30_必須評価セット'!$B$4:$B$153,T43,'30_必須評価セット'!$C$4:$C$153,U43,'30_必須評価セット'!$E$4:$E$153,"E14")=0,COUNTIFS('30_必須評価セット'!$B$4:$B$153,T43,'30_必須評価セット'!$C$4:$C$153,U43,'30_必須評価セット'!$E$4:$E$153,"E15")=0,COUNTIFS('30_必須評価セット'!$B$4:$B$153,T43,'30_必須評価セット'!$C$4:$C$153,U43,'30_必須評価セット'!$E$4:$E$153,"E16")=0,COUNTIFS('30_必須評価セット'!$B$4:$B$153,T43,'30_必須評価セット'!$C$4:$C$153,U43,'30_必須評価セット'!$E$4:$E$153,"E17")=0,COUNTIFS('30_必須評価セット'!$B$4:$B$153,T43,'30_必須評価セット'!$C$4:$C$153,U43,'30_必須評価セット'!$E$4:$E$153,"E18")=0)),"必須分類・集合不足",IF(OR(AND('03_AIリスクTier・適用判定'!$B$27="使用",OR('17_ロードマップ・案件実行管理'!$AA$86&lt;&gt;1,NOT(AND(COUNTIFS('30_必須評価セット'!$B$4:$B$153,T43,'30_必須評価セット'!$C$4:$C$153,U43,'30_必須評価セット'!$E$4:$E$153,"E03",'30_必須評価セット'!$F$4:$F$153,"必須")&gt;0,COUNTIFS('30_必須評価セット'!$B$4:$B$153,T43,'30_必須評価セット'!$C$4:$C$153,U43,'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43,'30_必須評価セット'!$C$4:$C$153,U43,'30_必須評価セット'!$E$4:$E$153,"E05",'30_必須評価セット'!$F$4:$F$153,"必須")&gt;0)))),AND('03_AIリスクTier・適用判定'!$B$28="不使用",'17_ロードマップ・案件実行管理'!$W$87&lt;&gt;"除外記録済")),"機能別評価・対象外未完",IF(COUNTIFS('30_必須評価セット'!$B$4:$B$153,T43,'30_必須評価セット'!$C$4:$C$153,U43)&lt;&gt;SUMIFS('30_必須評価セット'!$N$4:$N$153,'30_必須評価セット'!$B$4:$B$153,T43,'30_必須評価セット'!$C$4:$C$153,U43),"必須評価セット未充足","必須評価セット充足"))))))</f>
        <v/>
      </c>
      <c r="AC43" s="28" t="str">
        <f>IF(F43="","",IF(OR(AG43="",AG43="未判定"),"条件有無未判定",IF(AND(AG43="なし",OR(L43="条件付承認",COUNTIF('31_条件・有効性'!$B$4:$B$83,F43)&gt;0)),"条件有無不一致",IF(AND(AG43="条件あり",COUNTIF('31_条件・有効性'!$B$4:$B$83,F43)=0),"Condition未登録",IF(AND(AG43="条件あり",COUNTIF('31_条件・有効性'!$B$4:$B$83,F43)&lt;&gt;(COUNTIFS('31_条件・有効性'!$B$4:$B$83,F43,'31_条件・有効性'!$Q$4:$Q$83,"解消確認済")+COUNTIFS('31_条件・有効性'!$B$4:$B$83,F43,'31_条件・有効性'!$Q$4:$Q$83,"期限内・制約継続"))),"条件失効・定義不備",IF(AND(AG43&lt;&gt;"なし",AG43&lt;&gt;"条件あり"),"条件有無不正","条件整合"))))))</f>
        <v/>
      </c>
      <c r="AD43" s="28" t="str">
        <f t="shared" si="1"/>
        <v/>
      </c>
      <c r="AE43" s="29"/>
      <c r="AF43" s="29"/>
      <c r="AG43" s="29"/>
    </row>
    <row r="44" spans="1:33" ht="78" customHeight="1" x14ac:dyDescent="0.2">
      <c r="A44" s="29"/>
      <c r="B44" s="28" t="str">
        <f>IF(A44="","",IF(COUNTIF('32_定義マスター'!$A$4:$A$9,A44)&lt;&gt;1,"参照ID不正",IF(INDEX('32_定義マスター'!$B$4:$B$9,MATCH(A44,'32_定義マスター'!$A$4:$A$9,0))="","",INDEX('32_定義マスター'!$B$4:$B$9,MATCH(A44,'32_定義マスター'!$A$4:$A$9,0)))))</f>
        <v/>
      </c>
      <c r="C44" s="28" t="str">
        <f>IF(A44="","",IF(COUNTIF('32_定義マスター'!$A$4:$A$9,A44)&lt;&gt;1,"参照ID不正",IF(INDEX('32_定義マスター'!$C$4:$C$9,MATCH(A44,'32_定義マスター'!$A$4:$A$9,0))="","",INDEX('32_定義マスター'!$C$4:$C$9,MATCH(A44,'32_定義マスター'!$A$4:$A$9,0)))))</f>
        <v/>
      </c>
      <c r="D44" s="28" t="str">
        <f>IF(A44="","",IF(COUNTIF('32_定義マスター'!$A$4:$A$9,A44)&lt;&gt;1,"参照ID不正",IF(INDEX('32_定義マスター'!$D$4:$D$9,MATCH(A44,'32_定義マスター'!$A$4:$A$9,0))="","",INDEX('32_定義マスター'!$D$4:$D$9,MATCH(A44,'32_定義マスター'!$A$4:$A$9,0)))))</f>
        <v/>
      </c>
      <c r="E44" s="28" t="str">
        <f>IF(A44="","",IF(COUNTIF('32_定義マスター'!$A$4:$A$9,A44)&lt;&gt;1,"参照ID不正",IF(INDEX('32_定義マスター'!$E$4:$E$9,MATCH(A44,'32_定義マスター'!$A$4:$A$9,0))="","",INDEX('32_定義マスター'!$E$4:$E$9,MATCH(A44,'32_定義マスター'!$A$4:$A$9,0)))))</f>
        <v/>
      </c>
      <c r="F44" s="29"/>
      <c r="G44" s="29"/>
      <c r="H44" s="29"/>
      <c r="I44" s="29"/>
      <c r="J44" s="29"/>
      <c r="K44" s="29"/>
      <c r="L44" s="29"/>
      <c r="M44" s="29"/>
      <c r="N44" s="32"/>
      <c r="O44" s="29"/>
      <c r="P44" s="32"/>
      <c r="Q44" s="29"/>
      <c r="R44" s="29"/>
      <c r="S44" s="28" t="str">
        <f>IF(A44="","",IF(COUNTIF('32_定義マスター'!$A$4:$A$9,A44)&lt;&gt;1,"Gate ID不正",IF(OR(L44="",L44="未審査"),"未承認",IF(OR(OR(F44="",G44="",H44="",I44="",J44="",K44="",O44="",AE44="",AF44=""),NOT(ISNUMBER(P44))),"判断証拠不足",IF(COUNTIF($F$4:$F$83,F44)&lt;&gt;1,"判断Run ID重複",IF(OR(AND(P44&lt;&gt;"",OR(NOT(ISNUMBER(P44)),IFERROR(P44&lt;1,TRUE),IFERROR(INT(P44)&gt;INT(AsOfDate),TRUE)))),"判断日不正",IF(AND(A44="G3",OR(T44="",U44="",V44="",W44="",X44="")),"公開対象・集合不足","判断記録あり・内容審査別")))))))</f>
        <v/>
      </c>
      <c r="T44" s="29"/>
      <c r="U44" s="29"/>
      <c r="V44" s="29"/>
      <c r="W44" s="29"/>
      <c r="X44" s="29"/>
      <c r="Y44" s="32"/>
      <c r="Z44" s="29"/>
      <c r="AA44" s="28" t="str">
        <f>IF(A44="","",IF(NOT(IFERROR(ISNUMBER(SEARCH("|"&amp;L44&amp;"|",IF(COUNTIF('32_定義マスター'!$A$4:$A$9,A44)&lt;&gt;1,"参照ID不正",IF(INDEX('32_定義マスター'!$F$4:$F$9,MATCH(A44,'32_定義マスター'!$A$4:$A$9,0))="","",INDEX('32_定義マスター'!$F$4:$F$9,MATCH(A44,'32_定義マスター'!$A$4:$A$9,0)))))),FALSE)),"Gate判断不適合",IF(AND(OR(L44="承認",L44="条件付承認",L44="Scale",L44="Continue",L44="廃止完了承認"),OR(I44="不合格",J44="不合格",V44="不合格",I44="FAIL",J44="FAIL",V44="FAIL")),"停止判定と承認が矛盾",IF(AND(OR(L44="承認",L44="条件付承認",L44="Scale",L44="Continue",L44="廃止完了承認"),OR(I44="未判定",J44="未判定",AND(A44="G3",V44="未判定"))),"必要判定未確定",IF(AND(OR(L44="承認",L44="条件付承認",L44="Scale",L44="Continue",L44="廃止完了承認"),OR(AND(I44&lt;&gt;"合格",I44&lt;&gt;"対象外承認"),AND(J44&lt;&gt;"合格",J44&lt;&gt;"対象外承認"),AND(A44="G3",V44&lt;&gt;"合格",V44&lt;&gt;"対象外承認"))),"判定値不正",IF(AND(A44="G4",L44="Scale",OR(COUNTIF('25_事業仮説・実験・GTM'!$Q$4:$Q$15,F44)=0,COUNTIFS('25_事業仮説・実験・GTM'!$Q$4:$Q$15,F44,'25_事業仮説・実験・GTM'!$AF$4:$AF$15,"&lt;&gt;充足")&gt;0,COUNTIFS('25_事業仮説・実験・GTM'!$Q$4:$Q$15,F44,'25_事業仮説・実験・GTM'!$AD$4:$AD$15,"&lt;&gt;拡大可能")&gt;0)),"拡大の行動証拠不足","判定整合"))))))</f>
        <v/>
      </c>
      <c r="AB44" s="28" t="str">
        <f>IF(A44="","",IF(A44&lt;&gt;"G3",IF(A44="G0",IF(OR(COUNTIF('25_事業仮説・実験・GTM'!$Q$4:$Q$15,F44)=0,COUNTIFS('25_事業仮説・実験・GTM'!$Q$4:$Q$15,F44,'25_事業仮説・実験・GTM'!$AE$4:$AE$15,"&lt;&gt;仮説記録あり")&gt;0),"仮説・持越し確認不足","G0仮説記録接続"),IF(A44="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44="",U44="",W44="",X44="",OR(COUNTIFS('30_必須評価セット'!$B$4:$B$153,T44,'30_必須評価セット'!$C$4:$C$153,U44,'30_必須評価セット'!$E$4:$E$153,"E01")=0,COUNTIFS('30_必須評価セット'!$B$4:$B$153,T44,'30_必須評価セット'!$C$4:$C$153,U44,'30_必須評価セット'!$E$4:$E$153,"E02")=0,COUNTIFS('30_必須評価セット'!$B$4:$B$153,T44,'30_必須評価セット'!$C$4:$C$153,U44,'30_必須評価セット'!$E$4:$E$153,"E03")=0,COUNTIFS('30_必須評価セット'!$B$4:$B$153,T44,'30_必須評価セット'!$C$4:$C$153,U44,'30_必須評価セット'!$E$4:$E$153,"E04")=0,COUNTIFS('30_必須評価セット'!$B$4:$B$153,T44,'30_必須評価セット'!$C$4:$C$153,U44,'30_必須評価セット'!$E$4:$E$153,"E05")=0,COUNTIFS('30_必須評価セット'!$B$4:$B$153,T44,'30_必須評価セット'!$C$4:$C$153,U44,'30_必須評価セット'!$E$4:$E$153,"E06")=0,COUNTIFS('30_必須評価セット'!$B$4:$B$153,T44,'30_必須評価セット'!$C$4:$C$153,U44,'30_必須評価セット'!$E$4:$E$153,"E07")=0,COUNTIFS('30_必須評価セット'!$B$4:$B$153,T44,'30_必須評価セット'!$C$4:$C$153,U44,'30_必須評価セット'!$E$4:$E$153,"E08")=0,COUNTIFS('30_必須評価セット'!$B$4:$B$153,T44,'30_必須評価セット'!$C$4:$C$153,U44,'30_必須評価セット'!$E$4:$E$153,"E09")=0,COUNTIFS('30_必須評価セット'!$B$4:$B$153,T44,'30_必須評価セット'!$C$4:$C$153,U44,'30_必須評価セット'!$E$4:$E$153,"E10")=0,COUNTIFS('30_必須評価セット'!$B$4:$B$153,T44,'30_必須評価セット'!$C$4:$C$153,U44,'30_必須評価セット'!$E$4:$E$153,"E11")=0,COUNTIFS('30_必須評価セット'!$B$4:$B$153,T44,'30_必須評価セット'!$C$4:$C$153,U44,'30_必須評価セット'!$E$4:$E$153,"E12")=0,COUNTIFS('30_必須評価セット'!$B$4:$B$153,T44,'30_必須評価セット'!$C$4:$C$153,U44,'30_必須評価セット'!$E$4:$E$153,"E13")=0,COUNTIFS('30_必須評価セット'!$B$4:$B$153,T44,'30_必須評価セット'!$C$4:$C$153,U44,'30_必須評価セット'!$E$4:$E$153,"E14")=0,COUNTIFS('30_必須評価セット'!$B$4:$B$153,T44,'30_必須評価セット'!$C$4:$C$153,U44,'30_必須評価セット'!$E$4:$E$153,"E15")=0,COUNTIFS('30_必須評価セット'!$B$4:$B$153,T44,'30_必須評価セット'!$C$4:$C$153,U44,'30_必須評価セット'!$E$4:$E$153,"E16")=0,COUNTIFS('30_必須評価セット'!$B$4:$B$153,T44,'30_必須評価セット'!$C$4:$C$153,U44,'30_必須評価セット'!$E$4:$E$153,"E17")=0,COUNTIFS('30_必須評価セット'!$B$4:$B$153,T44,'30_必須評価セット'!$C$4:$C$153,U44,'30_必須評価セット'!$E$4:$E$153,"E18")=0)),"必須分類・集合不足",IF(OR(AND('03_AIリスクTier・適用判定'!$B$27="使用",OR('17_ロードマップ・案件実行管理'!$AA$86&lt;&gt;1,NOT(AND(COUNTIFS('30_必須評価セット'!$B$4:$B$153,T44,'30_必須評価セット'!$C$4:$C$153,U44,'30_必須評価セット'!$E$4:$E$153,"E03",'30_必須評価セット'!$F$4:$F$153,"必須")&gt;0,COUNTIFS('30_必須評価セット'!$B$4:$B$153,T44,'30_必須評価セット'!$C$4:$C$153,U44,'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44,'30_必須評価セット'!$C$4:$C$153,U44,'30_必須評価セット'!$E$4:$E$153,"E05",'30_必須評価セット'!$F$4:$F$153,"必須")&gt;0)))),AND('03_AIリスクTier・適用判定'!$B$28="不使用",'17_ロードマップ・案件実行管理'!$W$87&lt;&gt;"除外記録済")),"機能別評価・対象外未完",IF(COUNTIFS('30_必須評価セット'!$B$4:$B$153,T44,'30_必須評価セット'!$C$4:$C$153,U44)&lt;&gt;SUMIFS('30_必須評価セット'!$N$4:$N$153,'30_必須評価セット'!$B$4:$B$153,T44,'30_必須評価セット'!$C$4:$C$153,U44),"必須評価セット未充足","必須評価セット充足"))))))</f>
        <v/>
      </c>
      <c r="AC44" s="28" t="str">
        <f>IF(F44="","",IF(OR(AG44="",AG44="未判定"),"条件有無未判定",IF(AND(AG44="なし",OR(L44="条件付承認",COUNTIF('31_条件・有効性'!$B$4:$B$83,F44)&gt;0)),"条件有無不一致",IF(AND(AG44="条件あり",COUNTIF('31_条件・有効性'!$B$4:$B$83,F44)=0),"Condition未登録",IF(AND(AG44="条件あり",COUNTIF('31_条件・有効性'!$B$4:$B$83,F44)&lt;&gt;(COUNTIFS('31_条件・有効性'!$B$4:$B$83,F44,'31_条件・有効性'!$Q$4:$Q$83,"解消確認済")+COUNTIFS('31_条件・有効性'!$B$4:$B$83,F44,'31_条件・有効性'!$Q$4:$Q$83,"期限内・制約継続"))),"条件失効・定義不備",IF(AND(AG44&lt;&gt;"なし",AG44&lt;&gt;"条件あり"),"条件有無不正","条件整合"))))))</f>
        <v/>
      </c>
      <c r="AD44" s="28" t="str">
        <f t="shared" si="1"/>
        <v/>
      </c>
      <c r="AE44" s="29"/>
      <c r="AF44" s="29"/>
      <c r="AG44" s="29"/>
    </row>
    <row r="45" spans="1:33" ht="78" customHeight="1" x14ac:dyDescent="0.2">
      <c r="A45" s="29"/>
      <c r="B45" s="28" t="str">
        <f>IF(A45="","",IF(COUNTIF('32_定義マスター'!$A$4:$A$9,A45)&lt;&gt;1,"参照ID不正",IF(INDEX('32_定義マスター'!$B$4:$B$9,MATCH(A45,'32_定義マスター'!$A$4:$A$9,0))="","",INDEX('32_定義マスター'!$B$4:$B$9,MATCH(A45,'32_定義マスター'!$A$4:$A$9,0)))))</f>
        <v/>
      </c>
      <c r="C45" s="28" t="str">
        <f>IF(A45="","",IF(COUNTIF('32_定義マスター'!$A$4:$A$9,A45)&lt;&gt;1,"参照ID不正",IF(INDEX('32_定義マスター'!$C$4:$C$9,MATCH(A45,'32_定義マスター'!$A$4:$A$9,0))="","",INDEX('32_定義マスター'!$C$4:$C$9,MATCH(A45,'32_定義マスター'!$A$4:$A$9,0)))))</f>
        <v/>
      </c>
      <c r="D45" s="28" t="str">
        <f>IF(A45="","",IF(COUNTIF('32_定義マスター'!$A$4:$A$9,A45)&lt;&gt;1,"参照ID不正",IF(INDEX('32_定義マスター'!$D$4:$D$9,MATCH(A45,'32_定義マスター'!$A$4:$A$9,0))="","",INDEX('32_定義マスター'!$D$4:$D$9,MATCH(A45,'32_定義マスター'!$A$4:$A$9,0)))))</f>
        <v/>
      </c>
      <c r="E45" s="28" t="str">
        <f>IF(A45="","",IF(COUNTIF('32_定義マスター'!$A$4:$A$9,A45)&lt;&gt;1,"参照ID不正",IF(INDEX('32_定義マスター'!$E$4:$E$9,MATCH(A45,'32_定義マスター'!$A$4:$A$9,0))="","",INDEX('32_定義マスター'!$E$4:$E$9,MATCH(A45,'32_定義マスター'!$A$4:$A$9,0)))))</f>
        <v/>
      </c>
      <c r="F45" s="29"/>
      <c r="G45" s="29"/>
      <c r="H45" s="29"/>
      <c r="I45" s="29"/>
      <c r="J45" s="29"/>
      <c r="K45" s="29"/>
      <c r="L45" s="29"/>
      <c r="M45" s="29"/>
      <c r="N45" s="32"/>
      <c r="O45" s="29"/>
      <c r="P45" s="32"/>
      <c r="Q45" s="29"/>
      <c r="R45" s="29"/>
      <c r="S45" s="28" t="str">
        <f>IF(A45="","",IF(COUNTIF('32_定義マスター'!$A$4:$A$9,A45)&lt;&gt;1,"Gate ID不正",IF(OR(L45="",L45="未審査"),"未承認",IF(OR(OR(F45="",G45="",H45="",I45="",J45="",K45="",O45="",AE45="",AF45=""),NOT(ISNUMBER(P45))),"判断証拠不足",IF(COUNTIF($F$4:$F$83,F45)&lt;&gt;1,"判断Run ID重複",IF(OR(AND(P45&lt;&gt;"",OR(NOT(ISNUMBER(P45)),IFERROR(P45&lt;1,TRUE),IFERROR(INT(P45)&gt;INT(AsOfDate),TRUE)))),"判断日不正",IF(AND(A45="G3",OR(T45="",U45="",V45="",W45="",X45="")),"公開対象・集合不足","判断記録あり・内容審査別")))))))</f>
        <v/>
      </c>
      <c r="T45" s="29"/>
      <c r="U45" s="29"/>
      <c r="V45" s="29"/>
      <c r="W45" s="29"/>
      <c r="X45" s="29"/>
      <c r="Y45" s="32"/>
      <c r="Z45" s="29"/>
      <c r="AA45" s="28" t="str">
        <f>IF(A45="","",IF(NOT(IFERROR(ISNUMBER(SEARCH("|"&amp;L45&amp;"|",IF(COUNTIF('32_定義マスター'!$A$4:$A$9,A45)&lt;&gt;1,"参照ID不正",IF(INDEX('32_定義マスター'!$F$4:$F$9,MATCH(A45,'32_定義マスター'!$A$4:$A$9,0))="","",INDEX('32_定義マスター'!$F$4:$F$9,MATCH(A45,'32_定義マスター'!$A$4:$A$9,0)))))),FALSE)),"Gate判断不適合",IF(AND(OR(L45="承認",L45="条件付承認",L45="Scale",L45="Continue",L45="廃止完了承認"),OR(I45="不合格",J45="不合格",V45="不合格",I45="FAIL",J45="FAIL",V45="FAIL")),"停止判定と承認が矛盾",IF(AND(OR(L45="承認",L45="条件付承認",L45="Scale",L45="Continue",L45="廃止完了承認"),OR(I45="未判定",J45="未判定",AND(A45="G3",V45="未判定"))),"必要判定未確定",IF(AND(OR(L45="承認",L45="条件付承認",L45="Scale",L45="Continue",L45="廃止完了承認"),OR(AND(I45&lt;&gt;"合格",I45&lt;&gt;"対象外承認"),AND(J45&lt;&gt;"合格",J45&lt;&gt;"対象外承認"),AND(A45="G3",V45&lt;&gt;"合格",V45&lt;&gt;"対象外承認"))),"判定値不正",IF(AND(A45="G4",L45="Scale",OR(COUNTIF('25_事業仮説・実験・GTM'!$Q$4:$Q$15,F45)=0,COUNTIFS('25_事業仮説・実験・GTM'!$Q$4:$Q$15,F45,'25_事業仮説・実験・GTM'!$AF$4:$AF$15,"&lt;&gt;充足")&gt;0,COUNTIFS('25_事業仮説・実験・GTM'!$Q$4:$Q$15,F45,'25_事業仮説・実験・GTM'!$AD$4:$AD$15,"&lt;&gt;拡大可能")&gt;0)),"拡大の行動証拠不足","判定整合"))))))</f>
        <v/>
      </c>
      <c r="AB45" s="28" t="str">
        <f>IF(A45="","",IF(A45&lt;&gt;"G3",IF(A45="G0",IF(OR(COUNTIF('25_事業仮説・実験・GTM'!$Q$4:$Q$15,F45)=0,COUNTIFS('25_事業仮説・実験・GTM'!$Q$4:$Q$15,F45,'25_事業仮説・実験・GTM'!$AE$4:$AE$15,"&lt;&gt;仮説記録あり")&gt;0),"仮説・持越し確認不足","G0仮説記録接続"),IF(A45="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45="",U45="",W45="",X45="",OR(COUNTIFS('30_必須評価セット'!$B$4:$B$153,T45,'30_必須評価セット'!$C$4:$C$153,U45,'30_必須評価セット'!$E$4:$E$153,"E01")=0,COUNTIFS('30_必須評価セット'!$B$4:$B$153,T45,'30_必須評価セット'!$C$4:$C$153,U45,'30_必須評価セット'!$E$4:$E$153,"E02")=0,COUNTIFS('30_必須評価セット'!$B$4:$B$153,T45,'30_必須評価セット'!$C$4:$C$153,U45,'30_必須評価セット'!$E$4:$E$153,"E03")=0,COUNTIFS('30_必須評価セット'!$B$4:$B$153,T45,'30_必須評価セット'!$C$4:$C$153,U45,'30_必須評価セット'!$E$4:$E$153,"E04")=0,COUNTIFS('30_必須評価セット'!$B$4:$B$153,T45,'30_必須評価セット'!$C$4:$C$153,U45,'30_必須評価セット'!$E$4:$E$153,"E05")=0,COUNTIFS('30_必須評価セット'!$B$4:$B$153,T45,'30_必須評価セット'!$C$4:$C$153,U45,'30_必須評価セット'!$E$4:$E$153,"E06")=0,COUNTIFS('30_必須評価セット'!$B$4:$B$153,T45,'30_必須評価セット'!$C$4:$C$153,U45,'30_必須評価セット'!$E$4:$E$153,"E07")=0,COUNTIFS('30_必須評価セット'!$B$4:$B$153,T45,'30_必須評価セット'!$C$4:$C$153,U45,'30_必須評価セット'!$E$4:$E$153,"E08")=0,COUNTIFS('30_必須評価セット'!$B$4:$B$153,T45,'30_必須評価セット'!$C$4:$C$153,U45,'30_必須評価セット'!$E$4:$E$153,"E09")=0,COUNTIFS('30_必須評価セット'!$B$4:$B$153,T45,'30_必須評価セット'!$C$4:$C$153,U45,'30_必須評価セット'!$E$4:$E$153,"E10")=0,COUNTIFS('30_必須評価セット'!$B$4:$B$153,T45,'30_必須評価セット'!$C$4:$C$153,U45,'30_必須評価セット'!$E$4:$E$153,"E11")=0,COUNTIFS('30_必須評価セット'!$B$4:$B$153,T45,'30_必須評価セット'!$C$4:$C$153,U45,'30_必須評価セット'!$E$4:$E$153,"E12")=0,COUNTIFS('30_必須評価セット'!$B$4:$B$153,T45,'30_必須評価セット'!$C$4:$C$153,U45,'30_必須評価セット'!$E$4:$E$153,"E13")=0,COUNTIFS('30_必須評価セット'!$B$4:$B$153,T45,'30_必須評価セット'!$C$4:$C$153,U45,'30_必須評価セット'!$E$4:$E$153,"E14")=0,COUNTIFS('30_必須評価セット'!$B$4:$B$153,T45,'30_必須評価セット'!$C$4:$C$153,U45,'30_必須評価セット'!$E$4:$E$153,"E15")=0,COUNTIFS('30_必須評価セット'!$B$4:$B$153,T45,'30_必須評価セット'!$C$4:$C$153,U45,'30_必須評価セット'!$E$4:$E$153,"E16")=0,COUNTIFS('30_必須評価セット'!$B$4:$B$153,T45,'30_必須評価セット'!$C$4:$C$153,U45,'30_必須評価セット'!$E$4:$E$153,"E17")=0,COUNTIFS('30_必須評価セット'!$B$4:$B$153,T45,'30_必須評価セット'!$C$4:$C$153,U45,'30_必須評価セット'!$E$4:$E$153,"E18")=0)),"必須分類・集合不足",IF(OR(AND('03_AIリスクTier・適用判定'!$B$27="使用",OR('17_ロードマップ・案件実行管理'!$AA$86&lt;&gt;1,NOT(AND(COUNTIFS('30_必須評価セット'!$B$4:$B$153,T45,'30_必須評価セット'!$C$4:$C$153,U45,'30_必須評価セット'!$E$4:$E$153,"E03",'30_必須評価セット'!$F$4:$F$153,"必須")&gt;0,COUNTIFS('30_必須評価セット'!$B$4:$B$153,T45,'30_必須評価セット'!$C$4:$C$153,U45,'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45,'30_必須評価セット'!$C$4:$C$153,U45,'30_必須評価セット'!$E$4:$E$153,"E05",'30_必須評価セット'!$F$4:$F$153,"必須")&gt;0)))),AND('03_AIリスクTier・適用判定'!$B$28="不使用",'17_ロードマップ・案件実行管理'!$W$87&lt;&gt;"除外記録済")),"機能別評価・対象外未完",IF(COUNTIFS('30_必須評価セット'!$B$4:$B$153,T45,'30_必須評価セット'!$C$4:$C$153,U45)&lt;&gt;SUMIFS('30_必須評価セット'!$N$4:$N$153,'30_必須評価セット'!$B$4:$B$153,T45,'30_必須評価セット'!$C$4:$C$153,U45),"必須評価セット未充足","必須評価セット充足"))))))</f>
        <v/>
      </c>
      <c r="AC45" s="28" t="str">
        <f>IF(F45="","",IF(OR(AG45="",AG45="未判定"),"条件有無未判定",IF(AND(AG45="なし",OR(L45="条件付承認",COUNTIF('31_条件・有効性'!$B$4:$B$83,F45)&gt;0)),"条件有無不一致",IF(AND(AG45="条件あり",COUNTIF('31_条件・有効性'!$B$4:$B$83,F45)=0),"Condition未登録",IF(AND(AG45="条件あり",COUNTIF('31_条件・有効性'!$B$4:$B$83,F45)&lt;&gt;(COUNTIFS('31_条件・有効性'!$B$4:$B$83,F45,'31_条件・有効性'!$Q$4:$Q$83,"解消確認済")+COUNTIFS('31_条件・有効性'!$B$4:$B$83,F45,'31_条件・有効性'!$Q$4:$Q$83,"期限内・制約継続"))),"条件失効・定義不備",IF(AND(AG45&lt;&gt;"なし",AG45&lt;&gt;"条件あり"),"条件有無不正","条件整合"))))))</f>
        <v/>
      </c>
      <c r="AD45" s="28" t="str">
        <f t="shared" si="1"/>
        <v/>
      </c>
      <c r="AE45" s="29"/>
      <c r="AF45" s="29"/>
      <c r="AG45" s="29"/>
    </row>
    <row r="46" spans="1:33" ht="78" customHeight="1" x14ac:dyDescent="0.2">
      <c r="A46" s="29"/>
      <c r="B46" s="28" t="str">
        <f>IF(A46="","",IF(COUNTIF('32_定義マスター'!$A$4:$A$9,A46)&lt;&gt;1,"参照ID不正",IF(INDEX('32_定義マスター'!$B$4:$B$9,MATCH(A46,'32_定義マスター'!$A$4:$A$9,0))="","",INDEX('32_定義マスター'!$B$4:$B$9,MATCH(A46,'32_定義マスター'!$A$4:$A$9,0)))))</f>
        <v/>
      </c>
      <c r="C46" s="28" t="str">
        <f>IF(A46="","",IF(COUNTIF('32_定義マスター'!$A$4:$A$9,A46)&lt;&gt;1,"参照ID不正",IF(INDEX('32_定義マスター'!$C$4:$C$9,MATCH(A46,'32_定義マスター'!$A$4:$A$9,0))="","",INDEX('32_定義マスター'!$C$4:$C$9,MATCH(A46,'32_定義マスター'!$A$4:$A$9,0)))))</f>
        <v/>
      </c>
      <c r="D46" s="28" t="str">
        <f>IF(A46="","",IF(COUNTIF('32_定義マスター'!$A$4:$A$9,A46)&lt;&gt;1,"参照ID不正",IF(INDEX('32_定義マスター'!$D$4:$D$9,MATCH(A46,'32_定義マスター'!$A$4:$A$9,0))="","",INDEX('32_定義マスター'!$D$4:$D$9,MATCH(A46,'32_定義マスター'!$A$4:$A$9,0)))))</f>
        <v/>
      </c>
      <c r="E46" s="28" t="str">
        <f>IF(A46="","",IF(COUNTIF('32_定義マスター'!$A$4:$A$9,A46)&lt;&gt;1,"参照ID不正",IF(INDEX('32_定義マスター'!$E$4:$E$9,MATCH(A46,'32_定義マスター'!$A$4:$A$9,0))="","",INDEX('32_定義マスター'!$E$4:$E$9,MATCH(A46,'32_定義マスター'!$A$4:$A$9,0)))))</f>
        <v/>
      </c>
      <c r="F46" s="29"/>
      <c r="G46" s="29"/>
      <c r="H46" s="29"/>
      <c r="I46" s="29"/>
      <c r="J46" s="29"/>
      <c r="K46" s="29"/>
      <c r="L46" s="29"/>
      <c r="M46" s="29"/>
      <c r="N46" s="32"/>
      <c r="O46" s="29"/>
      <c r="P46" s="32"/>
      <c r="Q46" s="29"/>
      <c r="R46" s="29"/>
      <c r="S46" s="28" t="str">
        <f>IF(A46="","",IF(COUNTIF('32_定義マスター'!$A$4:$A$9,A46)&lt;&gt;1,"Gate ID不正",IF(OR(L46="",L46="未審査"),"未承認",IF(OR(OR(F46="",G46="",H46="",I46="",J46="",K46="",O46="",AE46="",AF46=""),NOT(ISNUMBER(P46))),"判断証拠不足",IF(COUNTIF($F$4:$F$83,F46)&lt;&gt;1,"判断Run ID重複",IF(OR(AND(P46&lt;&gt;"",OR(NOT(ISNUMBER(P46)),IFERROR(P46&lt;1,TRUE),IFERROR(INT(P46)&gt;INT(AsOfDate),TRUE)))),"判断日不正",IF(AND(A46="G3",OR(T46="",U46="",V46="",W46="",X46="")),"公開対象・集合不足","判断記録あり・内容審査別")))))))</f>
        <v/>
      </c>
      <c r="T46" s="29"/>
      <c r="U46" s="29"/>
      <c r="V46" s="29"/>
      <c r="W46" s="29"/>
      <c r="X46" s="29"/>
      <c r="Y46" s="32"/>
      <c r="Z46" s="29"/>
      <c r="AA46" s="28" t="str">
        <f>IF(A46="","",IF(NOT(IFERROR(ISNUMBER(SEARCH("|"&amp;L46&amp;"|",IF(COUNTIF('32_定義マスター'!$A$4:$A$9,A46)&lt;&gt;1,"参照ID不正",IF(INDEX('32_定義マスター'!$F$4:$F$9,MATCH(A46,'32_定義マスター'!$A$4:$A$9,0))="","",INDEX('32_定義マスター'!$F$4:$F$9,MATCH(A46,'32_定義マスター'!$A$4:$A$9,0)))))),FALSE)),"Gate判断不適合",IF(AND(OR(L46="承認",L46="条件付承認",L46="Scale",L46="Continue",L46="廃止完了承認"),OR(I46="不合格",J46="不合格",V46="不合格",I46="FAIL",J46="FAIL",V46="FAIL")),"停止判定と承認が矛盾",IF(AND(OR(L46="承認",L46="条件付承認",L46="Scale",L46="Continue",L46="廃止完了承認"),OR(I46="未判定",J46="未判定",AND(A46="G3",V46="未判定"))),"必要判定未確定",IF(AND(OR(L46="承認",L46="条件付承認",L46="Scale",L46="Continue",L46="廃止完了承認"),OR(AND(I46&lt;&gt;"合格",I46&lt;&gt;"対象外承認"),AND(J46&lt;&gt;"合格",J46&lt;&gt;"対象外承認"),AND(A46="G3",V46&lt;&gt;"合格",V46&lt;&gt;"対象外承認"))),"判定値不正",IF(AND(A46="G4",L46="Scale",OR(COUNTIF('25_事業仮説・実験・GTM'!$Q$4:$Q$15,F46)=0,COUNTIFS('25_事業仮説・実験・GTM'!$Q$4:$Q$15,F46,'25_事業仮説・実験・GTM'!$AF$4:$AF$15,"&lt;&gt;充足")&gt;0,COUNTIFS('25_事業仮説・実験・GTM'!$Q$4:$Q$15,F46,'25_事業仮説・実験・GTM'!$AD$4:$AD$15,"&lt;&gt;拡大可能")&gt;0)),"拡大の行動証拠不足","判定整合"))))))</f>
        <v/>
      </c>
      <c r="AB46" s="28" t="str">
        <f>IF(A46="","",IF(A46&lt;&gt;"G3",IF(A46="G0",IF(OR(COUNTIF('25_事業仮説・実験・GTM'!$Q$4:$Q$15,F46)=0,COUNTIFS('25_事業仮説・実験・GTM'!$Q$4:$Q$15,F46,'25_事業仮説・実験・GTM'!$AE$4:$AE$15,"&lt;&gt;仮説記録あり")&gt;0),"仮説・持越し確認不足","G0仮説記録接続"),IF(A46="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46="",U46="",W46="",X46="",OR(COUNTIFS('30_必須評価セット'!$B$4:$B$153,T46,'30_必須評価セット'!$C$4:$C$153,U46,'30_必須評価セット'!$E$4:$E$153,"E01")=0,COUNTIFS('30_必須評価セット'!$B$4:$B$153,T46,'30_必須評価セット'!$C$4:$C$153,U46,'30_必須評価セット'!$E$4:$E$153,"E02")=0,COUNTIFS('30_必須評価セット'!$B$4:$B$153,T46,'30_必須評価セット'!$C$4:$C$153,U46,'30_必須評価セット'!$E$4:$E$153,"E03")=0,COUNTIFS('30_必須評価セット'!$B$4:$B$153,T46,'30_必須評価セット'!$C$4:$C$153,U46,'30_必須評価セット'!$E$4:$E$153,"E04")=0,COUNTIFS('30_必須評価セット'!$B$4:$B$153,T46,'30_必須評価セット'!$C$4:$C$153,U46,'30_必須評価セット'!$E$4:$E$153,"E05")=0,COUNTIFS('30_必須評価セット'!$B$4:$B$153,T46,'30_必須評価セット'!$C$4:$C$153,U46,'30_必須評価セット'!$E$4:$E$153,"E06")=0,COUNTIFS('30_必須評価セット'!$B$4:$B$153,T46,'30_必須評価セット'!$C$4:$C$153,U46,'30_必須評価セット'!$E$4:$E$153,"E07")=0,COUNTIFS('30_必須評価セット'!$B$4:$B$153,T46,'30_必須評価セット'!$C$4:$C$153,U46,'30_必須評価セット'!$E$4:$E$153,"E08")=0,COUNTIFS('30_必須評価セット'!$B$4:$B$153,T46,'30_必須評価セット'!$C$4:$C$153,U46,'30_必須評価セット'!$E$4:$E$153,"E09")=0,COUNTIFS('30_必須評価セット'!$B$4:$B$153,T46,'30_必須評価セット'!$C$4:$C$153,U46,'30_必須評価セット'!$E$4:$E$153,"E10")=0,COUNTIFS('30_必須評価セット'!$B$4:$B$153,T46,'30_必須評価セット'!$C$4:$C$153,U46,'30_必須評価セット'!$E$4:$E$153,"E11")=0,COUNTIFS('30_必須評価セット'!$B$4:$B$153,T46,'30_必須評価セット'!$C$4:$C$153,U46,'30_必須評価セット'!$E$4:$E$153,"E12")=0,COUNTIFS('30_必須評価セット'!$B$4:$B$153,T46,'30_必須評価セット'!$C$4:$C$153,U46,'30_必須評価セット'!$E$4:$E$153,"E13")=0,COUNTIFS('30_必須評価セット'!$B$4:$B$153,T46,'30_必須評価セット'!$C$4:$C$153,U46,'30_必須評価セット'!$E$4:$E$153,"E14")=0,COUNTIFS('30_必須評価セット'!$B$4:$B$153,T46,'30_必須評価セット'!$C$4:$C$153,U46,'30_必須評価セット'!$E$4:$E$153,"E15")=0,COUNTIFS('30_必須評価セット'!$B$4:$B$153,T46,'30_必須評価セット'!$C$4:$C$153,U46,'30_必須評価セット'!$E$4:$E$153,"E16")=0,COUNTIFS('30_必須評価セット'!$B$4:$B$153,T46,'30_必須評価セット'!$C$4:$C$153,U46,'30_必須評価セット'!$E$4:$E$153,"E17")=0,COUNTIFS('30_必須評価セット'!$B$4:$B$153,T46,'30_必須評価セット'!$C$4:$C$153,U46,'30_必須評価セット'!$E$4:$E$153,"E18")=0)),"必須分類・集合不足",IF(OR(AND('03_AIリスクTier・適用判定'!$B$27="使用",OR('17_ロードマップ・案件実行管理'!$AA$86&lt;&gt;1,NOT(AND(COUNTIFS('30_必須評価セット'!$B$4:$B$153,T46,'30_必須評価セット'!$C$4:$C$153,U46,'30_必須評価セット'!$E$4:$E$153,"E03",'30_必須評価セット'!$F$4:$F$153,"必須")&gt;0,COUNTIFS('30_必須評価セット'!$B$4:$B$153,T46,'30_必須評価セット'!$C$4:$C$153,U46,'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46,'30_必須評価セット'!$C$4:$C$153,U46,'30_必須評価セット'!$E$4:$E$153,"E05",'30_必須評価セット'!$F$4:$F$153,"必須")&gt;0)))),AND('03_AIリスクTier・適用判定'!$B$28="不使用",'17_ロードマップ・案件実行管理'!$W$87&lt;&gt;"除外記録済")),"機能別評価・対象外未完",IF(COUNTIFS('30_必須評価セット'!$B$4:$B$153,T46,'30_必須評価セット'!$C$4:$C$153,U46)&lt;&gt;SUMIFS('30_必須評価セット'!$N$4:$N$153,'30_必須評価セット'!$B$4:$B$153,T46,'30_必須評価セット'!$C$4:$C$153,U46),"必須評価セット未充足","必須評価セット充足"))))))</f>
        <v/>
      </c>
      <c r="AC46" s="28" t="str">
        <f>IF(F46="","",IF(OR(AG46="",AG46="未判定"),"条件有無未判定",IF(AND(AG46="なし",OR(L46="条件付承認",COUNTIF('31_条件・有効性'!$B$4:$B$83,F46)&gt;0)),"条件有無不一致",IF(AND(AG46="条件あり",COUNTIF('31_条件・有効性'!$B$4:$B$83,F46)=0),"Condition未登録",IF(AND(AG46="条件あり",COUNTIF('31_条件・有効性'!$B$4:$B$83,F46)&lt;&gt;(COUNTIFS('31_条件・有効性'!$B$4:$B$83,F46,'31_条件・有効性'!$Q$4:$Q$83,"解消確認済")+COUNTIFS('31_条件・有効性'!$B$4:$B$83,F46,'31_条件・有効性'!$Q$4:$Q$83,"期限内・制約継続"))),"条件失効・定義不備",IF(AND(AG46&lt;&gt;"なし",AG46&lt;&gt;"条件あり"),"条件有無不正","条件整合"))))))</f>
        <v/>
      </c>
      <c r="AD46" s="28" t="str">
        <f t="shared" si="1"/>
        <v/>
      </c>
      <c r="AE46" s="29"/>
      <c r="AF46" s="29"/>
      <c r="AG46" s="29"/>
    </row>
    <row r="47" spans="1:33" ht="78" customHeight="1" x14ac:dyDescent="0.2">
      <c r="A47" s="29"/>
      <c r="B47" s="28" t="str">
        <f>IF(A47="","",IF(COUNTIF('32_定義マスター'!$A$4:$A$9,A47)&lt;&gt;1,"参照ID不正",IF(INDEX('32_定義マスター'!$B$4:$B$9,MATCH(A47,'32_定義マスター'!$A$4:$A$9,0))="","",INDEX('32_定義マスター'!$B$4:$B$9,MATCH(A47,'32_定義マスター'!$A$4:$A$9,0)))))</f>
        <v/>
      </c>
      <c r="C47" s="28" t="str">
        <f>IF(A47="","",IF(COUNTIF('32_定義マスター'!$A$4:$A$9,A47)&lt;&gt;1,"参照ID不正",IF(INDEX('32_定義マスター'!$C$4:$C$9,MATCH(A47,'32_定義マスター'!$A$4:$A$9,0))="","",INDEX('32_定義マスター'!$C$4:$C$9,MATCH(A47,'32_定義マスター'!$A$4:$A$9,0)))))</f>
        <v/>
      </c>
      <c r="D47" s="28" t="str">
        <f>IF(A47="","",IF(COUNTIF('32_定義マスター'!$A$4:$A$9,A47)&lt;&gt;1,"参照ID不正",IF(INDEX('32_定義マスター'!$D$4:$D$9,MATCH(A47,'32_定義マスター'!$A$4:$A$9,0))="","",INDEX('32_定義マスター'!$D$4:$D$9,MATCH(A47,'32_定義マスター'!$A$4:$A$9,0)))))</f>
        <v/>
      </c>
      <c r="E47" s="28" t="str">
        <f>IF(A47="","",IF(COUNTIF('32_定義マスター'!$A$4:$A$9,A47)&lt;&gt;1,"参照ID不正",IF(INDEX('32_定義マスター'!$E$4:$E$9,MATCH(A47,'32_定義マスター'!$A$4:$A$9,0))="","",INDEX('32_定義マスター'!$E$4:$E$9,MATCH(A47,'32_定義マスター'!$A$4:$A$9,0)))))</f>
        <v/>
      </c>
      <c r="F47" s="29"/>
      <c r="G47" s="29"/>
      <c r="H47" s="29"/>
      <c r="I47" s="29"/>
      <c r="J47" s="29"/>
      <c r="K47" s="29"/>
      <c r="L47" s="29"/>
      <c r="M47" s="29"/>
      <c r="N47" s="32"/>
      <c r="O47" s="29"/>
      <c r="P47" s="32"/>
      <c r="Q47" s="29"/>
      <c r="R47" s="29"/>
      <c r="S47" s="28" t="str">
        <f>IF(A47="","",IF(COUNTIF('32_定義マスター'!$A$4:$A$9,A47)&lt;&gt;1,"Gate ID不正",IF(OR(L47="",L47="未審査"),"未承認",IF(OR(OR(F47="",G47="",H47="",I47="",J47="",K47="",O47="",AE47="",AF47=""),NOT(ISNUMBER(P47))),"判断証拠不足",IF(COUNTIF($F$4:$F$83,F47)&lt;&gt;1,"判断Run ID重複",IF(OR(AND(P47&lt;&gt;"",OR(NOT(ISNUMBER(P47)),IFERROR(P47&lt;1,TRUE),IFERROR(INT(P47)&gt;INT(AsOfDate),TRUE)))),"判断日不正",IF(AND(A47="G3",OR(T47="",U47="",V47="",W47="",X47="")),"公開対象・集合不足","判断記録あり・内容審査別")))))))</f>
        <v/>
      </c>
      <c r="T47" s="29"/>
      <c r="U47" s="29"/>
      <c r="V47" s="29"/>
      <c r="W47" s="29"/>
      <c r="X47" s="29"/>
      <c r="Y47" s="32"/>
      <c r="Z47" s="29"/>
      <c r="AA47" s="28" t="str">
        <f>IF(A47="","",IF(NOT(IFERROR(ISNUMBER(SEARCH("|"&amp;L47&amp;"|",IF(COUNTIF('32_定義マスター'!$A$4:$A$9,A47)&lt;&gt;1,"参照ID不正",IF(INDEX('32_定義マスター'!$F$4:$F$9,MATCH(A47,'32_定義マスター'!$A$4:$A$9,0))="","",INDEX('32_定義マスター'!$F$4:$F$9,MATCH(A47,'32_定義マスター'!$A$4:$A$9,0)))))),FALSE)),"Gate判断不適合",IF(AND(OR(L47="承認",L47="条件付承認",L47="Scale",L47="Continue",L47="廃止完了承認"),OR(I47="不合格",J47="不合格",V47="不合格",I47="FAIL",J47="FAIL",V47="FAIL")),"停止判定と承認が矛盾",IF(AND(OR(L47="承認",L47="条件付承認",L47="Scale",L47="Continue",L47="廃止完了承認"),OR(I47="未判定",J47="未判定",AND(A47="G3",V47="未判定"))),"必要判定未確定",IF(AND(OR(L47="承認",L47="条件付承認",L47="Scale",L47="Continue",L47="廃止完了承認"),OR(AND(I47&lt;&gt;"合格",I47&lt;&gt;"対象外承認"),AND(J47&lt;&gt;"合格",J47&lt;&gt;"対象外承認"),AND(A47="G3",V47&lt;&gt;"合格",V47&lt;&gt;"対象外承認"))),"判定値不正",IF(AND(A47="G4",L47="Scale",OR(COUNTIF('25_事業仮説・実験・GTM'!$Q$4:$Q$15,F47)=0,COUNTIFS('25_事業仮説・実験・GTM'!$Q$4:$Q$15,F47,'25_事業仮説・実験・GTM'!$AF$4:$AF$15,"&lt;&gt;充足")&gt;0,COUNTIFS('25_事業仮説・実験・GTM'!$Q$4:$Q$15,F47,'25_事業仮説・実験・GTM'!$AD$4:$AD$15,"&lt;&gt;拡大可能")&gt;0)),"拡大の行動証拠不足","判定整合"))))))</f>
        <v/>
      </c>
      <c r="AB47" s="28" t="str">
        <f>IF(A47="","",IF(A47&lt;&gt;"G3",IF(A47="G0",IF(OR(COUNTIF('25_事業仮説・実験・GTM'!$Q$4:$Q$15,F47)=0,COUNTIFS('25_事業仮説・実験・GTM'!$Q$4:$Q$15,F47,'25_事業仮説・実験・GTM'!$AE$4:$AE$15,"&lt;&gt;仮説記録あり")&gt;0),"仮説・持越し確認不足","G0仮説記録接続"),IF(A47="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47="",U47="",W47="",X47="",OR(COUNTIFS('30_必須評価セット'!$B$4:$B$153,T47,'30_必須評価セット'!$C$4:$C$153,U47,'30_必須評価セット'!$E$4:$E$153,"E01")=0,COUNTIFS('30_必須評価セット'!$B$4:$B$153,T47,'30_必須評価セット'!$C$4:$C$153,U47,'30_必須評価セット'!$E$4:$E$153,"E02")=0,COUNTIFS('30_必須評価セット'!$B$4:$B$153,T47,'30_必須評価セット'!$C$4:$C$153,U47,'30_必須評価セット'!$E$4:$E$153,"E03")=0,COUNTIFS('30_必須評価セット'!$B$4:$B$153,T47,'30_必須評価セット'!$C$4:$C$153,U47,'30_必須評価セット'!$E$4:$E$153,"E04")=0,COUNTIFS('30_必須評価セット'!$B$4:$B$153,T47,'30_必須評価セット'!$C$4:$C$153,U47,'30_必須評価セット'!$E$4:$E$153,"E05")=0,COUNTIFS('30_必須評価セット'!$B$4:$B$153,T47,'30_必須評価セット'!$C$4:$C$153,U47,'30_必須評価セット'!$E$4:$E$153,"E06")=0,COUNTIFS('30_必須評価セット'!$B$4:$B$153,T47,'30_必須評価セット'!$C$4:$C$153,U47,'30_必須評価セット'!$E$4:$E$153,"E07")=0,COUNTIFS('30_必須評価セット'!$B$4:$B$153,T47,'30_必須評価セット'!$C$4:$C$153,U47,'30_必須評価セット'!$E$4:$E$153,"E08")=0,COUNTIFS('30_必須評価セット'!$B$4:$B$153,T47,'30_必須評価セット'!$C$4:$C$153,U47,'30_必須評価セット'!$E$4:$E$153,"E09")=0,COUNTIFS('30_必須評価セット'!$B$4:$B$153,T47,'30_必須評価セット'!$C$4:$C$153,U47,'30_必須評価セット'!$E$4:$E$153,"E10")=0,COUNTIFS('30_必須評価セット'!$B$4:$B$153,T47,'30_必須評価セット'!$C$4:$C$153,U47,'30_必須評価セット'!$E$4:$E$153,"E11")=0,COUNTIFS('30_必須評価セット'!$B$4:$B$153,T47,'30_必須評価セット'!$C$4:$C$153,U47,'30_必須評価セット'!$E$4:$E$153,"E12")=0,COUNTIFS('30_必須評価セット'!$B$4:$B$153,T47,'30_必須評価セット'!$C$4:$C$153,U47,'30_必須評価セット'!$E$4:$E$153,"E13")=0,COUNTIFS('30_必須評価セット'!$B$4:$B$153,T47,'30_必須評価セット'!$C$4:$C$153,U47,'30_必須評価セット'!$E$4:$E$153,"E14")=0,COUNTIFS('30_必須評価セット'!$B$4:$B$153,T47,'30_必須評価セット'!$C$4:$C$153,U47,'30_必須評価セット'!$E$4:$E$153,"E15")=0,COUNTIFS('30_必須評価セット'!$B$4:$B$153,T47,'30_必須評価セット'!$C$4:$C$153,U47,'30_必須評価セット'!$E$4:$E$153,"E16")=0,COUNTIFS('30_必須評価セット'!$B$4:$B$153,T47,'30_必須評価セット'!$C$4:$C$153,U47,'30_必須評価セット'!$E$4:$E$153,"E17")=0,COUNTIFS('30_必須評価セット'!$B$4:$B$153,T47,'30_必須評価セット'!$C$4:$C$153,U47,'30_必須評価セット'!$E$4:$E$153,"E18")=0)),"必須分類・集合不足",IF(OR(AND('03_AIリスクTier・適用判定'!$B$27="使用",OR('17_ロードマップ・案件実行管理'!$AA$86&lt;&gt;1,NOT(AND(COUNTIFS('30_必須評価セット'!$B$4:$B$153,T47,'30_必須評価セット'!$C$4:$C$153,U47,'30_必須評価セット'!$E$4:$E$153,"E03",'30_必須評価セット'!$F$4:$F$153,"必須")&gt;0,COUNTIFS('30_必須評価セット'!$B$4:$B$153,T47,'30_必須評価セット'!$C$4:$C$153,U47,'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47,'30_必須評価セット'!$C$4:$C$153,U47,'30_必須評価セット'!$E$4:$E$153,"E05",'30_必須評価セット'!$F$4:$F$153,"必須")&gt;0)))),AND('03_AIリスクTier・適用判定'!$B$28="不使用",'17_ロードマップ・案件実行管理'!$W$87&lt;&gt;"除外記録済")),"機能別評価・対象外未完",IF(COUNTIFS('30_必須評価セット'!$B$4:$B$153,T47,'30_必須評価セット'!$C$4:$C$153,U47)&lt;&gt;SUMIFS('30_必須評価セット'!$N$4:$N$153,'30_必須評価セット'!$B$4:$B$153,T47,'30_必須評価セット'!$C$4:$C$153,U47),"必須評価セット未充足","必須評価セット充足"))))))</f>
        <v/>
      </c>
      <c r="AC47" s="28" t="str">
        <f>IF(F47="","",IF(OR(AG47="",AG47="未判定"),"条件有無未判定",IF(AND(AG47="なし",OR(L47="条件付承認",COUNTIF('31_条件・有効性'!$B$4:$B$83,F47)&gt;0)),"条件有無不一致",IF(AND(AG47="条件あり",COUNTIF('31_条件・有効性'!$B$4:$B$83,F47)=0),"Condition未登録",IF(AND(AG47="条件あり",COUNTIF('31_条件・有効性'!$B$4:$B$83,F47)&lt;&gt;(COUNTIFS('31_条件・有効性'!$B$4:$B$83,F47,'31_条件・有効性'!$Q$4:$Q$83,"解消確認済")+COUNTIFS('31_条件・有効性'!$B$4:$B$83,F47,'31_条件・有効性'!$Q$4:$Q$83,"期限内・制約継続"))),"条件失効・定義不備",IF(AND(AG47&lt;&gt;"なし",AG47&lt;&gt;"条件あり"),"条件有無不正","条件整合"))))))</f>
        <v/>
      </c>
      <c r="AD47" s="28" t="str">
        <f t="shared" si="1"/>
        <v/>
      </c>
      <c r="AE47" s="29"/>
      <c r="AF47" s="29"/>
      <c r="AG47" s="29"/>
    </row>
    <row r="48" spans="1:33" ht="78" customHeight="1" x14ac:dyDescent="0.2">
      <c r="A48" s="29"/>
      <c r="B48" s="28" t="str">
        <f>IF(A48="","",IF(COUNTIF('32_定義マスター'!$A$4:$A$9,A48)&lt;&gt;1,"参照ID不正",IF(INDEX('32_定義マスター'!$B$4:$B$9,MATCH(A48,'32_定義マスター'!$A$4:$A$9,0))="","",INDEX('32_定義マスター'!$B$4:$B$9,MATCH(A48,'32_定義マスター'!$A$4:$A$9,0)))))</f>
        <v/>
      </c>
      <c r="C48" s="28" t="str">
        <f>IF(A48="","",IF(COUNTIF('32_定義マスター'!$A$4:$A$9,A48)&lt;&gt;1,"参照ID不正",IF(INDEX('32_定義マスター'!$C$4:$C$9,MATCH(A48,'32_定義マスター'!$A$4:$A$9,0))="","",INDEX('32_定義マスター'!$C$4:$C$9,MATCH(A48,'32_定義マスター'!$A$4:$A$9,0)))))</f>
        <v/>
      </c>
      <c r="D48" s="28" t="str">
        <f>IF(A48="","",IF(COUNTIF('32_定義マスター'!$A$4:$A$9,A48)&lt;&gt;1,"参照ID不正",IF(INDEX('32_定義マスター'!$D$4:$D$9,MATCH(A48,'32_定義マスター'!$A$4:$A$9,0))="","",INDEX('32_定義マスター'!$D$4:$D$9,MATCH(A48,'32_定義マスター'!$A$4:$A$9,0)))))</f>
        <v/>
      </c>
      <c r="E48" s="28" t="str">
        <f>IF(A48="","",IF(COUNTIF('32_定義マスター'!$A$4:$A$9,A48)&lt;&gt;1,"参照ID不正",IF(INDEX('32_定義マスター'!$E$4:$E$9,MATCH(A48,'32_定義マスター'!$A$4:$A$9,0))="","",INDEX('32_定義マスター'!$E$4:$E$9,MATCH(A48,'32_定義マスター'!$A$4:$A$9,0)))))</f>
        <v/>
      </c>
      <c r="F48" s="29"/>
      <c r="G48" s="29"/>
      <c r="H48" s="29"/>
      <c r="I48" s="29"/>
      <c r="J48" s="29"/>
      <c r="K48" s="29"/>
      <c r="L48" s="29"/>
      <c r="M48" s="29"/>
      <c r="N48" s="32"/>
      <c r="O48" s="29"/>
      <c r="P48" s="32"/>
      <c r="Q48" s="29"/>
      <c r="R48" s="29"/>
      <c r="S48" s="28" t="str">
        <f>IF(A48="","",IF(COUNTIF('32_定義マスター'!$A$4:$A$9,A48)&lt;&gt;1,"Gate ID不正",IF(OR(L48="",L48="未審査"),"未承認",IF(OR(OR(F48="",G48="",H48="",I48="",J48="",K48="",O48="",AE48="",AF48=""),NOT(ISNUMBER(P48))),"判断証拠不足",IF(COUNTIF($F$4:$F$83,F48)&lt;&gt;1,"判断Run ID重複",IF(OR(AND(P48&lt;&gt;"",OR(NOT(ISNUMBER(P48)),IFERROR(P48&lt;1,TRUE),IFERROR(INT(P48)&gt;INT(AsOfDate),TRUE)))),"判断日不正",IF(AND(A48="G3",OR(T48="",U48="",V48="",W48="",X48="")),"公開対象・集合不足","判断記録あり・内容審査別")))))))</f>
        <v/>
      </c>
      <c r="T48" s="29"/>
      <c r="U48" s="29"/>
      <c r="V48" s="29"/>
      <c r="W48" s="29"/>
      <c r="X48" s="29"/>
      <c r="Y48" s="32"/>
      <c r="Z48" s="29"/>
      <c r="AA48" s="28" t="str">
        <f>IF(A48="","",IF(NOT(IFERROR(ISNUMBER(SEARCH("|"&amp;L48&amp;"|",IF(COUNTIF('32_定義マスター'!$A$4:$A$9,A48)&lt;&gt;1,"参照ID不正",IF(INDEX('32_定義マスター'!$F$4:$F$9,MATCH(A48,'32_定義マスター'!$A$4:$A$9,0))="","",INDEX('32_定義マスター'!$F$4:$F$9,MATCH(A48,'32_定義マスター'!$A$4:$A$9,0)))))),FALSE)),"Gate判断不適合",IF(AND(OR(L48="承認",L48="条件付承認",L48="Scale",L48="Continue",L48="廃止完了承認"),OR(I48="不合格",J48="不合格",V48="不合格",I48="FAIL",J48="FAIL",V48="FAIL")),"停止判定と承認が矛盾",IF(AND(OR(L48="承認",L48="条件付承認",L48="Scale",L48="Continue",L48="廃止完了承認"),OR(I48="未判定",J48="未判定",AND(A48="G3",V48="未判定"))),"必要判定未確定",IF(AND(OR(L48="承認",L48="条件付承認",L48="Scale",L48="Continue",L48="廃止完了承認"),OR(AND(I48&lt;&gt;"合格",I48&lt;&gt;"対象外承認"),AND(J48&lt;&gt;"合格",J48&lt;&gt;"対象外承認"),AND(A48="G3",V48&lt;&gt;"合格",V48&lt;&gt;"対象外承認"))),"判定値不正",IF(AND(A48="G4",L48="Scale",OR(COUNTIF('25_事業仮説・実験・GTM'!$Q$4:$Q$15,F48)=0,COUNTIFS('25_事業仮説・実験・GTM'!$Q$4:$Q$15,F48,'25_事業仮説・実験・GTM'!$AF$4:$AF$15,"&lt;&gt;充足")&gt;0,COUNTIFS('25_事業仮説・実験・GTM'!$Q$4:$Q$15,F48,'25_事業仮説・実験・GTM'!$AD$4:$AD$15,"&lt;&gt;拡大可能")&gt;0)),"拡大の行動証拠不足","判定整合"))))))</f>
        <v/>
      </c>
      <c r="AB48" s="28" t="str">
        <f>IF(A48="","",IF(A48&lt;&gt;"G3",IF(A48="G0",IF(OR(COUNTIF('25_事業仮説・実験・GTM'!$Q$4:$Q$15,F48)=0,COUNTIFS('25_事業仮説・実験・GTM'!$Q$4:$Q$15,F48,'25_事業仮説・実験・GTM'!$AE$4:$AE$15,"&lt;&gt;仮説記録あり")&gt;0),"仮説・持越し確認不足","G0仮説記録接続"),IF(A48="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48="",U48="",W48="",X48="",OR(COUNTIFS('30_必須評価セット'!$B$4:$B$153,T48,'30_必須評価セット'!$C$4:$C$153,U48,'30_必須評価セット'!$E$4:$E$153,"E01")=0,COUNTIFS('30_必須評価セット'!$B$4:$B$153,T48,'30_必須評価セット'!$C$4:$C$153,U48,'30_必須評価セット'!$E$4:$E$153,"E02")=0,COUNTIFS('30_必須評価セット'!$B$4:$B$153,T48,'30_必須評価セット'!$C$4:$C$153,U48,'30_必須評価セット'!$E$4:$E$153,"E03")=0,COUNTIFS('30_必須評価セット'!$B$4:$B$153,T48,'30_必須評価セット'!$C$4:$C$153,U48,'30_必須評価セット'!$E$4:$E$153,"E04")=0,COUNTIFS('30_必須評価セット'!$B$4:$B$153,T48,'30_必須評価セット'!$C$4:$C$153,U48,'30_必須評価セット'!$E$4:$E$153,"E05")=0,COUNTIFS('30_必須評価セット'!$B$4:$B$153,T48,'30_必須評価セット'!$C$4:$C$153,U48,'30_必須評価セット'!$E$4:$E$153,"E06")=0,COUNTIFS('30_必須評価セット'!$B$4:$B$153,T48,'30_必須評価セット'!$C$4:$C$153,U48,'30_必須評価セット'!$E$4:$E$153,"E07")=0,COUNTIFS('30_必須評価セット'!$B$4:$B$153,T48,'30_必須評価セット'!$C$4:$C$153,U48,'30_必須評価セット'!$E$4:$E$153,"E08")=0,COUNTIFS('30_必須評価セット'!$B$4:$B$153,T48,'30_必須評価セット'!$C$4:$C$153,U48,'30_必須評価セット'!$E$4:$E$153,"E09")=0,COUNTIFS('30_必須評価セット'!$B$4:$B$153,T48,'30_必須評価セット'!$C$4:$C$153,U48,'30_必須評価セット'!$E$4:$E$153,"E10")=0,COUNTIFS('30_必須評価セット'!$B$4:$B$153,T48,'30_必須評価セット'!$C$4:$C$153,U48,'30_必須評価セット'!$E$4:$E$153,"E11")=0,COUNTIFS('30_必須評価セット'!$B$4:$B$153,T48,'30_必須評価セット'!$C$4:$C$153,U48,'30_必須評価セット'!$E$4:$E$153,"E12")=0,COUNTIFS('30_必須評価セット'!$B$4:$B$153,T48,'30_必須評価セット'!$C$4:$C$153,U48,'30_必須評価セット'!$E$4:$E$153,"E13")=0,COUNTIFS('30_必須評価セット'!$B$4:$B$153,T48,'30_必須評価セット'!$C$4:$C$153,U48,'30_必須評価セット'!$E$4:$E$153,"E14")=0,COUNTIFS('30_必須評価セット'!$B$4:$B$153,T48,'30_必須評価セット'!$C$4:$C$153,U48,'30_必須評価セット'!$E$4:$E$153,"E15")=0,COUNTIFS('30_必須評価セット'!$B$4:$B$153,T48,'30_必須評価セット'!$C$4:$C$153,U48,'30_必須評価セット'!$E$4:$E$153,"E16")=0,COUNTIFS('30_必須評価セット'!$B$4:$B$153,T48,'30_必須評価セット'!$C$4:$C$153,U48,'30_必須評価セット'!$E$4:$E$153,"E17")=0,COUNTIFS('30_必須評価セット'!$B$4:$B$153,T48,'30_必須評価セット'!$C$4:$C$153,U48,'30_必須評価セット'!$E$4:$E$153,"E18")=0)),"必須分類・集合不足",IF(OR(AND('03_AIリスクTier・適用判定'!$B$27="使用",OR('17_ロードマップ・案件実行管理'!$AA$86&lt;&gt;1,NOT(AND(COUNTIFS('30_必須評価セット'!$B$4:$B$153,T48,'30_必須評価セット'!$C$4:$C$153,U48,'30_必須評価セット'!$E$4:$E$153,"E03",'30_必須評価セット'!$F$4:$F$153,"必須")&gt;0,COUNTIFS('30_必須評価セット'!$B$4:$B$153,T48,'30_必須評価セット'!$C$4:$C$153,U48,'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48,'30_必須評価セット'!$C$4:$C$153,U48,'30_必須評価セット'!$E$4:$E$153,"E05",'30_必須評価セット'!$F$4:$F$153,"必須")&gt;0)))),AND('03_AIリスクTier・適用判定'!$B$28="不使用",'17_ロードマップ・案件実行管理'!$W$87&lt;&gt;"除外記録済")),"機能別評価・対象外未完",IF(COUNTIFS('30_必須評価セット'!$B$4:$B$153,T48,'30_必須評価セット'!$C$4:$C$153,U48)&lt;&gt;SUMIFS('30_必須評価セット'!$N$4:$N$153,'30_必須評価セット'!$B$4:$B$153,T48,'30_必須評価セット'!$C$4:$C$153,U48),"必須評価セット未充足","必須評価セット充足"))))))</f>
        <v/>
      </c>
      <c r="AC48" s="28" t="str">
        <f>IF(F48="","",IF(OR(AG48="",AG48="未判定"),"条件有無未判定",IF(AND(AG48="なし",OR(L48="条件付承認",COUNTIF('31_条件・有効性'!$B$4:$B$83,F48)&gt;0)),"条件有無不一致",IF(AND(AG48="条件あり",COUNTIF('31_条件・有効性'!$B$4:$B$83,F48)=0),"Condition未登録",IF(AND(AG48="条件あり",COUNTIF('31_条件・有効性'!$B$4:$B$83,F48)&lt;&gt;(COUNTIFS('31_条件・有効性'!$B$4:$B$83,F48,'31_条件・有効性'!$Q$4:$Q$83,"解消確認済")+COUNTIFS('31_条件・有効性'!$B$4:$B$83,F48,'31_条件・有効性'!$Q$4:$Q$83,"期限内・制約継続"))),"条件失効・定義不備",IF(AND(AG48&lt;&gt;"なし",AG48&lt;&gt;"条件あり"),"条件有無不正","条件整合"))))))</f>
        <v/>
      </c>
      <c r="AD48" s="28" t="str">
        <f t="shared" si="1"/>
        <v/>
      </c>
      <c r="AE48" s="29"/>
      <c r="AF48" s="29"/>
      <c r="AG48" s="29"/>
    </row>
    <row r="49" spans="1:33" ht="78" customHeight="1" x14ac:dyDescent="0.2">
      <c r="A49" s="29"/>
      <c r="B49" s="28" t="str">
        <f>IF(A49="","",IF(COUNTIF('32_定義マスター'!$A$4:$A$9,A49)&lt;&gt;1,"参照ID不正",IF(INDEX('32_定義マスター'!$B$4:$B$9,MATCH(A49,'32_定義マスター'!$A$4:$A$9,0))="","",INDEX('32_定義マスター'!$B$4:$B$9,MATCH(A49,'32_定義マスター'!$A$4:$A$9,0)))))</f>
        <v/>
      </c>
      <c r="C49" s="28" t="str">
        <f>IF(A49="","",IF(COUNTIF('32_定義マスター'!$A$4:$A$9,A49)&lt;&gt;1,"参照ID不正",IF(INDEX('32_定義マスター'!$C$4:$C$9,MATCH(A49,'32_定義マスター'!$A$4:$A$9,0))="","",INDEX('32_定義マスター'!$C$4:$C$9,MATCH(A49,'32_定義マスター'!$A$4:$A$9,0)))))</f>
        <v/>
      </c>
      <c r="D49" s="28" t="str">
        <f>IF(A49="","",IF(COUNTIF('32_定義マスター'!$A$4:$A$9,A49)&lt;&gt;1,"参照ID不正",IF(INDEX('32_定義マスター'!$D$4:$D$9,MATCH(A49,'32_定義マスター'!$A$4:$A$9,0))="","",INDEX('32_定義マスター'!$D$4:$D$9,MATCH(A49,'32_定義マスター'!$A$4:$A$9,0)))))</f>
        <v/>
      </c>
      <c r="E49" s="28" t="str">
        <f>IF(A49="","",IF(COUNTIF('32_定義マスター'!$A$4:$A$9,A49)&lt;&gt;1,"参照ID不正",IF(INDEX('32_定義マスター'!$E$4:$E$9,MATCH(A49,'32_定義マスター'!$A$4:$A$9,0))="","",INDEX('32_定義マスター'!$E$4:$E$9,MATCH(A49,'32_定義マスター'!$A$4:$A$9,0)))))</f>
        <v/>
      </c>
      <c r="F49" s="29"/>
      <c r="G49" s="29"/>
      <c r="H49" s="29"/>
      <c r="I49" s="29"/>
      <c r="J49" s="29"/>
      <c r="K49" s="29"/>
      <c r="L49" s="29"/>
      <c r="M49" s="29"/>
      <c r="N49" s="32"/>
      <c r="O49" s="29"/>
      <c r="P49" s="32"/>
      <c r="Q49" s="29"/>
      <c r="R49" s="29"/>
      <c r="S49" s="28" t="str">
        <f>IF(A49="","",IF(COUNTIF('32_定義マスター'!$A$4:$A$9,A49)&lt;&gt;1,"Gate ID不正",IF(OR(L49="",L49="未審査"),"未承認",IF(OR(OR(F49="",G49="",H49="",I49="",J49="",K49="",O49="",AE49="",AF49=""),NOT(ISNUMBER(P49))),"判断証拠不足",IF(COUNTIF($F$4:$F$83,F49)&lt;&gt;1,"判断Run ID重複",IF(OR(AND(P49&lt;&gt;"",OR(NOT(ISNUMBER(P49)),IFERROR(P49&lt;1,TRUE),IFERROR(INT(P49)&gt;INT(AsOfDate),TRUE)))),"判断日不正",IF(AND(A49="G3",OR(T49="",U49="",V49="",W49="",X49="")),"公開対象・集合不足","判断記録あり・内容審査別")))))))</f>
        <v/>
      </c>
      <c r="T49" s="29"/>
      <c r="U49" s="29"/>
      <c r="V49" s="29"/>
      <c r="W49" s="29"/>
      <c r="X49" s="29"/>
      <c r="Y49" s="32"/>
      <c r="Z49" s="29"/>
      <c r="AA49" s="28" t="str">
        <f>IF(A49="","",IF(NOT(IFERROR(ISNUMBER(SEARCH("|"&amp;L49&amp;"|",IF(COUNTIF('32_定義マスター'!$A$4:$A$9,A49)&lt;&gt;1,"参照ID不正",IF(INDEX('32_定義マスター'!$F$4:$F$9,MATCH(A49,'32_定義マスター'!$A$4:$A$9,0))="","",INDEX('32_定義マスター'!$F$4:$F$9,MATCH(A49,'32_定義マスター'!$A$4:$A$9,0)))))),FALSE)),"Gate判断不適合",IF(AND(OR(L49="承認",L49="条件付承認",L49="Scale",L49="Continue",L49="廃止完了承認"),OR(I49="不合格",J49="不合格",V49="不合格",I49="FAIL",J49="FAIL",V49="FAIL")),"停止判定と承認が矛盾",IF(AND(OR(L49="承認",L49="条件付承認",L49="Scale",L49="Continue",L49="廃止完了承認"),OR(I49="未判定",J49="未判定",AND(A49="G3",V49="未判定"))),"必要判定未確定",IF(AND(OR(L49="承認",L49="条件付承認",L49="Scale",L49="Continue",L49="廃止完了承認"),OR(AND(I49&lt;&gt;"合格",I49&lt;&gt;"対象外承認"),AND(J49&lt;&gt;"合格",J49&lt;&gt;"対象外承認"),AND(A49="G3",V49&lt;&gt;"合格",V49&lt;&gt;"対象外承認"))),"判定値不正",IF(AND(A49="G4",L49="Scale",OR(COUNTIF('25_事業仮説・実験・GTM'!$Q$4:$Q$15,F49)=0,COUNTIFS('25_事業仮説・実験・GTM'!$Q$4:$Q$15,F49,'25_事業仮説・実験・GTM'!$AF$4:$AF$15,"&lt;&gt;充足")&gt;0,COUNTIFS('25_事業仮説・実験・GTM'!$Q$4:$Q$15,F49,'25_事業仮説・実験・GTM'!$AD$4:$AD$15,"&lt;&gt;拡大可能")&gt;0)),"拡大の行動証拠不足","判定整合"))))))</f>
        <v/>
      </c>
      <c r="AB49" s="28" t="str">
        <f>IF(A49="","",IF(A49&lt;&gt;"G3",IF(A49="G0",IF(OR(COUNTIF('25_事業仮説・実験・GTM'!$Q$4:$Q$15,F49)=0,COUNTIFS('25_事業仮説・実験・GTM'!$Q$4:$Q$15,F49,'25_事業仮説・実験・GTM'!$AE$4:$AE$15,"&lt;&gt;仮説記録あり")&gt;0),"仮説・持越し確認不足","G0仮説記録接続"),IF(A49="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49="",U49="",W49="",X49="",OR(COUNTIFS('30_必須評価セット'!$B$4:$B$153,T49,'30_必須評価セット'!$C$4:$C$153,U49,'30_必須評価セット'!$E$4:$E$153,"E01")=0,COUNTIFS('30_必須評価セット'!$B$4:$B$153,T49,'30_必須評価セット'!$C$4:$C$153,U49,'30_必須評価セット'!$E$4:$E$153,"E02")=0,COUNTIFS('30_必須評価セット'!$B$4:$B$153,T49,'30_必須評価セット'!$C$4:$C$153,U49,'30_必須評価セット'!$E$4:$E$153,"E03")=0,COUNTIFS('30_必須評価セット'!$B$4:$B$153,T49,'30_必須評価セット'!$C$4:$C$153,U49,'30_必須評価セット'!$E$4:$E$153,"E04")=0,COUNTIFS('30_必須評価セット'!$B$4:$B$153,T49,'30_必須評価セット'!$C$4:$C$153,U49,'30_必須評価セット'!$E$4:$E$153,"E05")=0,COUNTIFS('30_必須評価セット'!$B$4:$B$153,T49,'30_必須評価セット'!$C$4:$C$153,U49,'30_必須評価セット'!$E$4:$E$153,"E06")=0,COUNTIFS('30_必須評価セット'!$B$4:$B$153,T49,'30_必須評価セット'!$C$4:$C$153,U49,'30_必須評価セット'!$E$4:$E$153,"E07")=0,COUNTIFS('30_必須評価セット'!$B$4:$B$153,T49,'30_必須評価セット'!$C$4:$C$153,U49,'30_必須評価セット'!$E$4:$E$153,"E08")=0,COUNTIFS('30_必須評価セット'!$B$4:$B$153,T49,'30_必須評価セット'!$C$4:$C$153,U49,'30_必須評価セット'!$E$4:$E$153,"E09")=0,COUNTIFS('30_必須評価セット'!$B$4:$B$153,T49,'30_必須評価セット'!$C$4:$C$153,U49,'30_必須評価セット'!$E$4:$E$153,"E10")=0,COUNTIFS('30_必須評価セット'!$B$4:$B$153,T49,'30_必須評価セット'!$C$4:$C$153,U49,'30_必須評価セット'!$E$4:$E$153,"E11")=0,COUNTIFS('30_必須評価セット'!$B$4:$B$153,T49,'30_必須評価セット'!$C$4:$C$153,U49,'30_必須評価セット'!$E$4:$E$153,"E12")=0,COUNTIFS('30_必須評価セット'!$B$4:$B$153,T49,'30_必須評価セット'!$C$4:$C$153,U49,'30_必須評価セット'!$E$4:$E$153,"E13")=0,COUNTIFS('30_必須評価セット'!$B$4:$B$153,T49,'30_必須評価セット'!$C$4:$C$153,U49,'30_必須評価セット'!$E$4:$E$153,"E14")=0,COUNTIFS('30_必須評価セット'!$B$4:$B$153,T49,'30_必須評価セット'!$C$4:$C$153,U49,'30_必須評価セット'!$E$4:$E$153,"E15")=0,COUNTIFS('30_必須評価セット'!$B$4:$B$153,T49,'30_必須評価セット'!$C$4:$C$153,U49,'30_必須評価セット'!$E$4:$E$153,"E16")=0,COUNTIFS('30_必須評価セット'!$B$4:$B$153,T49,'30_必須評価セット'!$C$4:$C$153,U49,'30_必須評価セット'!$E$4:$E$153,"E17")=0,COUNTIFS('30_必須評価セット'!$B$4:$B$153,T49,'30_必須評価セット'!$C$4:$C$153,U49,'30_必須評価セット'!$E$4:$E$153,"E18")=0)),"必須分類・集合不足",IF(OR(AND('03_AIリスクTier・適用判定'!$B$27="使用",OR('17_ロードマップ・案件実行管理'!$AA$86&lt;&gt;1,NOT(AND(COUNTIFS('30_必須評価セット'!$B$4:$B$153,T49,'30_必須評価セット'!$C$4:$C$153,U49,'30_必須評価セット'!$E$4:$E$153,"E03",'30_必須評価セット'!$F$4:$F$153,"必須")&gt;0,COUNTIFS('30_必須評価セット'!$B$4:$B$153,T49,'30_必須評価セット'!$C$4:$C$153,U49,'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49,'30_必須評価セット'!$C$4:$C$153,U49,'30_必須評価セット'!$E$4:$E$153,"E05",'30_必須評価セット'!$F$4:$F$153,"必須")&gt;0)))),AND('03_AIリスクTier・適用判定'!$B$28="不使用",'17_ロードマップ・案件実行管理'!$W$87&lt;&gt;"除外記録済")),"機能別評価・対象外未完",IF(COUNTIFS('30_必須評価セット'!$B$4:$B$153,T49,'30_必須評価セット'!$C$4:$C$153,U49)&lt;&gt;SUMIFS('30_必須評価セット'!$N$4:$N$153,'30_必須評価セット'!$B$4:$B$153,T49,'30_必須評価セット'!$C$4:$C$153,U49),"必須評価セット未充足","必須評価セット充足"))))))</f>
        <v/>
      </c>
      <c r="AC49" s="28" t="str">
        <f>IF(F49="","",IF(OR(AG49="",AG49="未判定"),"条件有無未判定",IF(AND(AG49="なし",OR(L49="条件付承認",COUNTIF('31_条件・有効性'!$B$4:$B$83,F49)&gt;0)),"条件有無不一致",IF(AND(AG49="条件あり",COUNTIF('31_条件・有効性'!$B$4:$B$83,F49)=0),"Condition未登録",IF(AND(AG49="条件あり",COUNTIF('31_条件・有効性'!$B$4:$B$83,F49)&lt;&gt;(COUNTIFS('31_条件・有効性'!$B$4:$B$83,F49,'31_条件・有効性'!$Q$4:$Q$83,"解消確認済")+COUNTIFS('31_条件・有効性'!$B$4:$B$83,F49,'31_条件・有効性'!$Q$4:$Q$83,"期限内・制約継続"))),"条件失効・定義不備",IF(AND(AG49&lt;&gt;"なし",AG49&lt;&gt;"条件あり"),"条件有無不正","条件整合"))))))</f>
        <v/>
      </c>
      <c r="AD49" s="28" t="str">
        <f t="shared" si="1"/>
        <v/>
      </c>
      <c r="AE49" s="29"/>
      <c r="AF49" s="29"/>
      <c r="AG49" s="29"/>
    </row>
    <row r="50" spans="1:33" ht="78" customHeight="1" x14ac:dyDescent="0.2">
      <c r="A50" s="29"/>
      <c r="B50" s="28" t="str">
        <f>IF(A50="","",IF(COUNTIF('32_定義マスター'!$A$4:$A$9,A50)&lt;&gt;1,"参照ID不正",IF(INDEX('32_定義マスター'!$B$4:$B$9,MATCH(A50,'32_定義マスター'!$A$4:$A$9,0))="","",INDEX('32_定義マスター'!$B$4:$B$9,MATCH(A50,'32_定義マスター'!$A$4:$A$9,0)))))</f>
        <v/>
      </c>
      <c r="C50" s="28" t="str">
        <f>IF(A50="","",IF(COUNTIF('32_定義マスター'!$A$4:$A$9,A50)&lt;&gt;1,"参照ID不正",IF(INDEX('32_定義マスター'!$C$4:$C$9,MATCH(A50,'32_定義マスター'!$A$4:$A$9,0))="","",INDEX('32_定義マスター'!$C$4:$C$9,MATCH(A50,'32_定義マスター'!$A$4:$A$9,0)))))</f>
        <v/>
      </c>
      <c r="D50" s="28" t="str">
        <f>IF(A50="","",IF(COUNTIF('32_定義マスター'!$A$4:$A$9,A50)&lt;&gt;1,"参照ID不正",IF(INDEX('32_定義マスター'!$D$4:$D$9,MATCH(A50,'32_定義マスター'!$A$4:$A$9,0))="","",INDEX('32_定義マスター'!$D$4:$D$9,MATCH(A50,'32_定義マスター'!$A$4:$A$9,0)))))</f>
        <v/>
      </c>
      <c r="E50" s="28" t="str">
        <f>IF(A50="","",IF(COUNTIF('32_定義マスター'!$A$4:$A$9,A50)&lt;&gt;1,"参照ID不正",IF(INDEX('32_定義マスター'!$E$4:$E$9,MATCH(A50,'32_定義マスター'!$A$4:$A$9,0))="","",INDEX('32_定義マスター'!$E$4:$E$9,MATCH(A50,'32_定義マスター'!$A$4:$A$9,0)))))</f>
        <v/>
      </c>
      <c r="F50" s="29"/>
      <c r="G50" s="29"/>
      <c r="H50" s="29"/>
      <c r="I50" s="29"/>
      <c r="J50" s="29"/>
      <c r="K50" s="29"/>
      <c r="L50" s="29"/>
      <c r="M50" s="29"/>
      <c r="N50" s="32"/>
      <c r="O50" s="29"/>
      <c r="P50" s="32"/>
      <c r="Q50" s="29"/>
      <c r="R50" s="29"/>
      <c r="S50" s="28" t="str">
        <f>IF(A50="","",IF(COUNTIF('32_定義マスター'!$A$4:$A$9,A50)&lt;&gt;1,"Gate ID不正",IF(OR(L50="",L50="未審査"),"未承認",IF(OR(OR(F50="",G50="",H50="",I50="",J50="",K50="",O50="",AE50="",AF50=""),NOT(ISNUMBER(P50))),"判断証拠不足",IF(COUNTIF($F$4:$F$83,F50)&lt;&gt;1,"判断Run ID重複",IF(OR(AND(P50&lt;&gt;"",OR(NOT(ISNUMBER(P50)),IFERROR(P50&lt;1,TRUE),IFERROR(INT(P50)&gt;INT(AsOfDate),TRUE)))),"判断日不正",IF(AND(A50="G3",OR(T50="",U50="",V50="",W50="",X50="")),"公開対象・集合不足","判断記録あり・内容審査別")))))))</f>
        <v/>
      </c>
      <c r="T50" s="29"/>
      <c r="U50" s="29"/>
      <c r="V50" s="29"/>
      <c r="W50" s="29"/>
      <c r="X50" s="29"/>
      <c r="Y50" s="32"/>
      <c r="Z50" s="29"/>
      <c r="AA50" s="28" t="str">
        <f>IF(A50="","",IF(NOT(IFERROR(ISNUMBER(SEARCH("|"&amp;L50&amp;"|",IF(COUNTIF('32_定義マスター'!$A$4:$A$9,A50)&lt;&gt;1,"参照ID不正",IF(INDEX('32_定義マスター'!$F$4:$F$9,MATCH(A50,'32_定義マスター'!$A$4:$A$9,0))="","",INDEX('32_定義マスター'!$F$4:$F$9,MATCH(A50,'32_定義マスター'!$A$4:$A$9,0)))))),FALSE)),"Gate判断不適合",IF(AND(OR(L50="承認",L50="条件付承認",L50="Scale",L50="Continue",L50="廃止完了承認"),OR(I50="不合格",J50="不合格",V50="不合格",I50="FAIL",J50="FAIL",V50="FAIL")),"停止判定と承認が矛盾",IF(AND(OR(L50="承認",L50="条件付承認",L50="Scale",L50="Continue",L50="廃止完了承認"),OR(I50="未判定",J50="未判定",AND(A50="G3",V50="未判定"))),"必要判定未確定",IF(AND(OR(L50="承認",L50="条件付承認",L50="Scale",L50="Continue",L50="廃止完了承認"),OR(AND(I50&lt;&gt;"合格",I50&lt;&gt;"対象外承認"),AND(J50&lt;&gt;"合格",J50&lt;&gt;"対象外承認"),AND(A50="G3",V50&lt;&gt;"合格",V50&lt;&gt;"対象外承認"))),"判定値不正",IF(AND(A50="G4",L50="Scale",OR(COUNTIF('25_事業仮説・実験・GTM'!$Q$4:$Q$15,F50)=0,COUNTIFS('25_事業仮説・実験・GTM'!$Q$4:$Q$15,F50,'25_事業仮説・実験・GTM'!$AF$4:$AF$15,"&lt;&gt;充足")&gt;0,COUNTIFS('25_事業仮説・実験・GTM'!$Q$4:$Q$15,F50,'25_事業仮説・実験・GTM'!$AD$4:$AD$15,"&lt;&gt;拡大可能")&gt;0)),"拡大の行動証拠不足","判定整合"))))))</f>
        <v/>
      </c>
      <c r="AB50" s="28" t="str">
        <f>IF(A50="","",IF(A50&lt;&gt;"G3",IF(A50="G0",IF(OR(COUNTIF('25_事業仮説・実験・GTM'!$Q$4:$Q$15,F50)=0,COUNTIFS('25_事業仮説・実験・GTM'!$Q$4:$Q$15,F50,'25_事業仮説・実験・GTM'!$AE$4:$AE$15,"&lt;&gt;仮説記録あり")&gt;0),"仮説・持越し確認不足","G0仮説記録接続"),IF(A50="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50="",U50="",W50="",X50="",OR(COUNTIFS('30_必須評価セット'!$B$4:$B$153,T50,'30_必須評価セット'!$C$4:$C$153,U50,'30_必須評価セット'!$E$4:$E$153,"E01")=0,COUNTIFS('30_必須評価セット'!$B$4:$B$153,T50,'30_必須評価セット'!$C$4:$C$153,U50,'30_必須評価セット'!$E$4:$E$153,"E02")=0,COUNTIFS('30_必須評価セット'!$B$4:$B$153,T50,'30_必須評価セット'!$C$4:$C$153,U50,'30_必須評価セット'!$E$4:$E$153,"E03")=0,COUNTIFS('30_必須評価セット'!$B$4:$B$153,T50,'30_必須評価セット'!$C$4:$C$153,U50,'30_必須評価セット'!$E$4:$E$153,"E04")=0,COUNTIFS('30_必須評価セット'!$B$4:$B$153,T50,'30_必須評価セット'!$C$4:$C$153,U50,'30_必須評価セット'!$E$4:$E$153,"E05")=0,COUNTIFS('30_必須評価セット'!$B$4:$B$153,T50,'30_必須評価セット'!$C$4:$C$153,U50,'30_必須評価セット'!$E$4:$E$153,"E06")=0,COUNTIFS('30_必須評価セット'!$B$4:$B$153,T50,'30_必須評価セット'!$C$4:$C$153,U50,'30_必須評価セット'!$E$4:$E$153,"E07")=0,COUNTIFS('30_必須評価セット'!$B$4:$B$153,T50,'30_必須評価セット'!$C$4:$C$153,U50,'30_必須評価セット'!$E$4:$E$153,"E08")=0,COUNTIFS('30_必須評価セット'!$B$4:$B$153,T50,'30_必須評価セット'!$C$4:$C$153,U50,'30_必須評価セット'!$E$4:$E$153,"E09")=0,COUNTIFS('30_必須評価セット'!$B$4:$B$153,T50,'30_必須評価セット'!$C$4:$C$153,U50,'30_必須評価セット'!$E$4:$E$153,"E10")=0,COUNTIFS('30_必須評価セット'!$B$4:$B$153,T50,'30_必須評価セット'!$C$4:$C$153,U50,'30_必須評価セット'!$E$4:$E$153,"E11")=0,COUNTIFS('30_必須評価セット'!$B$4:$B$153,T50,'30_必須評価セット'!$C$4:$C$153,U50,'30_必須評価セット'!$E$4:$E$153,"E12")=0,COUNTIFS('30_必須評価セット'!$B$4:$B$153,T50,'30_必須評価セット'!$C$4:$C$153,U50,'30_必須評価セット'!$E$4:$E$153,"E13")=0,COUNTIFS('30_必須評価セット'!$B$4:$B$153,T50,'30_必須評価セット'!$C$4:$C$153,U50,'30_必須評価セット'!$E$4:$E$153,"E14")=0,COUNTIFS('30_必須評価セット'!$B$4:$B$153,T50,'30_必須評価セット'!$C$4:$C$153,U50,'30_必須評価セット'!$E$4:$E$153,"E15")=0,COUNTIFS('30_必須評価セット'!$B$4:$B$153,T50,'30_必須評価セット'!$C$4:$C$153,U50,'30_必須評価セット'!$E$4:$E$153,"E16")=0,COUNTIFS('30_必須評価セット'!$B$4:$B$153,T50,'30_必須評価セット'!$C$4:$C$153,U50,'30_必須評価セット'!$E$4:$E$153,"E17")=0,COUNTIFS('30_必須評価セット'!$B$4:$B$153,T50,'30_必須評価セット'!$C$4:$C$153,U50,'30_必須評価セット'!$E$4:$E$153,"E18")=0)),"必須分類・集合不足",IF(OR(AND('03_AIリスクTier・適用判定'!$B$27="使用",OR('17_ロードマップ・案件実行管理'!$AA$86&lt;&gt;1,NOT(AND(COUNTIFS('30_必須評価セット'!$B$4:$B$153,T50,'30_必須評価セット'!$C$4:$C$153,U50,'30_必須評価セット'!$E$4:$E$153,"E03",'30_必須評価セット'!$F$4:$F$153,"必須")&gt;0,COUNTIFS('30_必須評価セット'!$B$4:$B$153,T50,'30_必須評価セット'!$C$4:$C$153,U50,'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50,'30_必須評価セット'!$C$4:$C$153,U50,'30_必須評価セット'!$E$4:$E$153,"E05",'30_必須評価セット'!$F$4:$F$153,"必須")&gt;0)))),AND('03_AIリスクTier・適用判定'!$B$28="不使用",'17_ロードマップ・案件実行管理'!$W$87&lt;&gt;"除外記録済")),"機能別評価・対象外未完",IF(COUNTIFS('30_必須評価セット'!$B$4:$B$153,T50,'30_必須評価セット'!$C$4:$C$153,U50)&lt;&gt;SUMIFS('30_必須評価セット'!$N$4:$N$153,'30_必須評価セット'!$B$4:$B$153,T50,'30_必須評価セット'!$C$4:$C$153,U50),"必須評価セット未充足","必須評価セット充足"))))))</f>
        <v/>
      </c>
      <c r="AC50" s="28" t="str">
        <f>IF(F50="","",IF(OR(AG50="",AG50="未判定"),"条件有無未判定",IF(AND(AG50="なし",OR(L50="条件付承認",COUNTIF('31_条件・有効性'!$B$4:$B$83,F50)&gt;0)),"条件有無不一致",IF(AND(AG50="条件あり",COUNTIF('31_条件・有効性'!$B$4:$B$83,F50)=0),"Condition未登録",IF(AND(AG50="条件あり",COUNTIF('31_条件・有効性'!$B$4:$B$83,F50)&lt;&gt;(COUNTIFS('31_条件・有効性'!$B$4:$B$83,F50,'31_条件・有効性'!$Q$4:$Q$83,"解消確認済")+COUNTIFS('31_条件・有効性'!$B$4:$B$83,F50,'31_条件・有効性'!$Q$4:$Q$83,"期限内・制約継続"))),"条件失効・定義不備",IF(AND(AG50&lt;&gt;"なし",AG50&lt;&gt;"条件あり"),"条件有無不正","条件整合"))))))</f>
        <v/>
      </c>
      <c r="AD50" s="28" t="str">
        <f t="shared" si="1"/>
        <v/>
      </c>
      <c r="AE50" s="29"/>
      <c r="AF50" s="29"/>
      <c r="AG50" s="29"/>
    </row>
    <row r="51" spans="1:33" ht="78" customHeight="1" x14ac:dyDescent="0.2">
      <c r="A51" s="29"/>
      <c r="B51" s="28" t="str">
        <f>IF(A51="","",IF(COUNTIF('32_定義マスター'!$A$4:$A$9,A51)&lt;&gt;1,"参照ID不正",IF(INDEX('32_定義マスター'!$B$4:$B$9,MATCH(A51,'32_定義マスター'!$A$4:$A$9,0))="","",INDEX('32_定義マスター'!$B$4:$B$9,MATCH(A51,'32_定義マスター'!$A$4:$A$9,0)))))</f>
        <v/>
      </c>
      <c r="C51" s="28" t="str">
        <f>IF(A51="","",IF(COUNTIF('32_定義マスター'!$A$4:$A$9,A51)&lt;&gt;1,"参照ID不正",IF(INDEX('32_定義マスター'!$C$4:$C$9,MATCH(A51,'32_定義マスター'!$A$4:$A$9,0))="","",INDEX('32_定義マスター'!$C$4:$C$9,MATCH(A51,'32_定義マスター'!$A$4:$A$9,0)))))</f>
        <v/>
      </c>
      <c r="D51" s="28" t="str">
        <f>IF(A51="","",IF(COUNTIF('32_定義マスター'!$A$4:$A$9,A51)&lt;&gt;1,"参照ID不正",IF(INDEX('32_定義マスター'!$D$4:$D$9,MATCH(A51,'32_定義マスター'!$A$4:$A$9,0))="","",INDEX('32_定義マスター'!$D$4:$D$9,MATCH(A51,'32_定義マスター'!$A$4:$A$9,0)))))</f>
        <v/>
      </c>
      <c r="E51" s="28" t="str">
        <f>IF(A51="","",IF(COUNTIF('32_定義マスター'!$A$4:$A$9,A51)&lt;&gt;1,"参照ID不正",IF(INDEX('32_定義マスター'!$E$4:$E$9,MATCH(A51,'32_定義マスター'!$A$4:$A$9,0))="","",INDEX('32_定義マスター'!$E$4:$E$9,MATCH(A51,'32_定義マスター'!$A$4:$A$9,0)))))</f>
        <v/>
      </c>
      <c r="F51" s="29"/>
      <c r="G51" s="29"/>
      <c r="H51" s="29"/>
      <c r="I51" s="29"/>
      <c r="J51" s="29"/>
      <c r="K51" s="29"/>
      <c r="L51" s="29"/>
      <c r="M51" s="29"/>
      <c r="N51" s="32"/>
      <c r="O51" s="29"/>
      <c r="P51" s="32"/>
      <c r="Q51" s="29"/>
      <c r="R51" s="29"/>
      <c r="S51" s="28" t="str">
        <f>IF(A51="","",IF(COUNTIF('32_定義マスター'!$A$4:$A$9,A51)&lt;&gt;1,"Gate ID不正",IF(OR(L51="",L51="未審査"),"未承認",IF(OR(OR(F51="",G51="",H51="",I51="",J51="",K51="",O51="",AE51="",AF51=""),NOT(ISNUMBER(P51))),"判断証拠不足",IF(COUNTIF($F$4:$F$83,F51)&lt;&gt;1,"判断Run ID重複",IF(OR(AND(P51&lt;&gt;"",OR(NOT(ISNUMBER(P51)),IFERROR(P51&lt;1,TRUE),IFERROR(INT(P51)&gt;INT(AsOfDate),TRUE)))),"判断日不正",IF(AND(A51="G3",OR(T51="",U51="",V51="",W51="",X51="")),"公開対象・集合不足","判断記録あり・内容審査別")))))))</f>
        <v/>
      </c>
      <c r="T51" s="29"/>
      <c r="U51" s="29"/>
      <c r="V51" s="29"/>
      <c r="W51" s="29"/>
      <c r="X51" s="29"/>
      <c r="Y51" s="32"/>
      <c r="Z51" s="29"/>
      <c r="AA51" s="28" t="str">
        <f>IF(A51="","",IF(NOT(IFERROR(ISNUMBER(SEARCH("|"&amp;L51&amp;"|",IF(COUNTIF('32_定義マスター'!$A$4:$A$9,A51)&lt;&gt;1,"参照ID不正",IF(INDEX('32_定義マスター'!$F$4:$F$9,MATCH(A51,'32_定義マスター'!$A$4:$A$9,0))="","",INDEX('32_定義マスター'!$F$4:$F$9,MATCH(A51,'32_定義マスター'!$A$4:$A$9,0)))))),FALSE)),"Gate判断不適合",IF(AND(OR(L51="承認",L51="条件付承認",L51="Scale",L51="Continue",L51="廃止完了承認"),OR(I51="不合格",J51="不合格",V51="不合格",I51="FAIL",J51="FAIL",V51="FAIL")),"停止判定と承認が矛盾",IF(AND(OR(L51="承認",L51="条件付承認",L51="Scale",L51="Continue",L51="廃止完了承認"),OR(I51="未判定",J51="未判定",AND(A51="G3",V51="未判定"))),"必要判定未確定",IF(AND(OR(L51="承認",L51="条件付承認",L51="Scale",L51="Continue",L51="廃止完了承認"),OR(AND(I51&lt;&gt;"合格",I51&lt;&gt;"対象外承認"),AND(J51&lt;&gt;"合格",J51&lt;&gt;"対象外承認"),AND(A51="G3",V51&lt;&gt;"合格",V51&lt;&gt;"対象外承認"))),"判定値不正",IF(AND(A51="G4",L51="Scale",OR(COUNTIF('25_事業仮説・実験・GTM'!$Q$4:$Q$15,F51)=0,COUNTIFS('25_事業仮説・実験・GTM'!$Q$4:$Q$15,F51,'25_事業仮説・実験・GTM'!$AF$4:$AF$15,"&lt;&gt;充足")&gt;0,COUNTIFS('25_事業仮説・実験・GTM'!$Q$4:$Q$15,F51,'25_事業仮説・実験・GTM'!$AD$4:$AD$15,"&lt;&gt;拡大可能")&gt;0)),"拡大の行動証拠不足","判定整合"))))))</f>
        <v/>
      </c>
      <c r="AB51" s="28" t="str">
        <f>IF(A51="","",IF(A51&lt;&gt;"G3",IF(A51="G0",IF(OR(COUNTIF('25_事業仮説・実験・GTM'!$Q$4:$Q$15,F51)=0,COUNTIFS('25_事業仮説・実験・GTM'!$Q$4:$Q$15,F51,'25_事業仮説・実験・GTM'!$AE$4:$AE$15,"&lt;&gt;仮説記録あり")&gt;0),"仮説・持越し確認不足","G0仮説記録接続"),IF(A51="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51="",U51="",W51="",X51="",OR(COUNTIFS('30_必須評価セット'!$B$4:$B$153,T51,'30_必須評価セット'!$C$4:$C$153,U51,'30_必須評価セット'!$E$4:$E$153,"E01")=0,COUNTIFS('30_必須評価セット'!$B$4:$B$153,T51,'30_必須評価セット'!$C$4:$C$153,U51,'30_必須評価セット'!$E$4:$E$153,"E02")=0,COUNTIFS('30_必須評価セット'!$B$4:$B$153,T51,'30_必須評価セット'!$C$4:$C$153,U51,'30_必須評価セット'!$E$4:$E$153,"E03")=0,COUNTIFS('30_必須評価セット'!$B$4:$B$153,T51,'30_必須評価セット'!$C$4:$C$153,U51,'30_必須評価セット'!$E$4:$E$153,"E04")=0,COUNTIFS('30_必須評価セット'!$B$4:$B$153,T51,'30_必須評価セット'!$C$4:$C$153,U51,'30_必須評価セット'!$E$4:$E$153,"E05")=0,COUNTIFS('30_必須評価セット'!$B$4:$B$153,T51,'30_必須評価セット'!$C$4:$C$153,U51,'30_必須評価セット'!$E$4:$E$153,"E06")=0,COUNTIFS('30_必須評価セット'!$B$4:$B$153,T51,'30_必須評価セット'!$C$4:$C$153,U51,'30_必須評価セット'!$E$4:$E$153,"E07")=0,COUNTIFS('30_必須評価セット'!$B$4:$B$153,T51,'30_必須評価セット'!$C$4:$C$153,U51,'30_必須評価セット'!$E$4:$E$153,"E08")=0,COUNTIFS('30_必須評価セット'!$B$4:$B$153,T51,'30_必須評価セット'!$C$4:$C$153,U51,'30_必須評価セット'!$E$4:$E$153,"E09")=0,COUNTIFS('30_必須評価セット'!$B$4:$B$153,T51,'30_必須評価セット'!$C$4:$C$153,U51,'30_必須評価セット'!$E$4:$E$153,"E10")=0,COUNTIFS('30_必須評価セット'!$B$4:$B$153,T51,'30_必須評価セット'!$C$4:$C$153,U51,'30_必須評価セット'!$E$4:$E$153,"E11")=0,COUNTIFS('30_必須評価セット'!$B$4:$B$153,T51,'30_必須評価セット'!$C$4:$C$153,U51,'30_必須評価セット'!$E$4:$E$153,"E12")=0,COUNTIFS('30_必須評価セット'!$B$4:$B$153,T51,'30_必須評価セット'!$C$4:$C$153,U51,'30_必須評価セット'!$E$4:$E$153,"E13")=0,COUNTIFS('30_必須評価セット'!$B$4:$B$153,T51,'30_必須評価セット'!$C$4:$C$153,U51,'30_必須評価セット'!$E$4:$E$153,"E14")=0,COUNTIFS('30_必須評価セット'!$B$4:$B$153,T51,'30_必須評価セット'!$C$4:$C$153,U51,'30_必須評価セット'!$E$4:$E$153,"E15")=0,COUNTIFS('30_必須評価セット'!$B$4:$B$153,T51,'30_必須評価セット'!$C$4:$C$153,U51,'30_必須評価セット'!$E$4:$E$153,"E16")=0,COUNTIFS('30_必須評価セット'!$B$4:$B$153,T51,'30_必須評価セット'!$C$4:$C$153,U51,'30_必須評価セット'!$E$4:$E$153,"E17")=0,COUNTIFS('30_必須評価セット'!$B$4:$B$153,T51,'30_必須評価セット'!$C$4:$C$153,U51,'30_必須評価セット'!$E$4:$E$153,"E18")=0)),"必須分類・集合不足",IF(OR(AND('03_AIリスクTier・適用判定'!$B$27="使用",OR('17_ロードマップ・案件実行管理'!$AA$86&lt;&gt;1,NOT(AND(COUNTIFS('30_必須評価セット'!$B$4:$B$153,T51,'30_必須評価セット'!$C$4:$C$153,U51,'30_必須評価セット'!$E$4:$E$153,"E03",'30_必須評価セット'!$F$4:$F$153,"必須")&gt;0,COUNTIFS('30_必須評価セット'!$B$4:$B$153,T51,'30_必須評価セット'!$C$4:$C$153,U51,'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51,'30_必須評価セット'!$C$4:$C$153,U51,'30_必須評価セット'!$E$4:$E$153,"E05",'30_必須評価セット'!$F$4:$F$153,"必須")&gt;0)))),AND('03_AIリスクTier・適用判定'!$B$28="不使用",'17_ロードマップ・案件実行管理'!$W$87&lt;&gt;"除外記録済")),"機能別評価・対象外未完",IF(COUNTIFS('30_必須評価セット'!$B$4:$B$153,T51,'30_必須評価セット'!$C$4:$C$153,U51)&lt;&gt;SUMIFS('30_必須評価セット'!$N$4:$N$153,'30_必須評価セット'!$B$4:$B$153,T51,'30_必須評価セット'!$C$4:$C$153,U51),"必須評価セット未充足","必須評価セット充足"))))))</f>
        <v/>
      </c>
      <c r="AC51" s="28" t="str">
        <f>IF(F51="","",IF(OR(AG51="",AG51="未判定"),"条件有無未判定",IF(AND(AG51="なし",OR(L51="条件付承認",COUNTIF('31_条件・有効性'!$B$4:$B$83,F51)&gt;0)),"条件有無不一致",IF(AND(AG51="条件あり",COUNTIF('31_条件・有効性'!$B$4:$B$83,F51)=0),"Condition未登録",IF(AND(AG51="条件あり",COUNTIF('31_条件・有効性'!$B$4:$B$83,F51)&lt;&gt;(COUNTIFS('31_条件・有効性'!$B$4:$B$83,F51,'31_条件・有効性'!$Q$4:$Q$83,"解消確認済")+COUNTIFS('31_条件・有効性'!$B$4:$B$83,F51,'31_条件・有効性'!$Q$4:$Q$83,"期限内・制約継続"))),"条件失効・定義不備",IF(AND(AG51&lt;&gt;"なし",AG51&lt;&gt;"条件あり"),"条件有無不正","条件整合"))))))</f>
        <v/>
      </c>
      <c r="AD51" s="28" t="str">
        <f t="shared" si="1"/>
        <v/>
      </c>
      <c r="AE51" s="29"/>
      <c r="AF51" s="29"/>
      <c r="AG51" s="29"/>
    </row>
    <row r="52" spans="1:33" ht="78" customHeight="1" x14ac:dyDescent="0.2">
      <c r="A52" s="29"/>
      <c r="B52" s="28" t="str">
        <f>IF(A52="","",IF(COUNTIF('32_定義マスター'!$A$4:$A$9,A52)&lt;&gt;1,"参照ID不正",IF(INDEX('32_定義マスター'!$B$4:$B$9,MATCH(A52,'32_定義マスター'!$A$4:$A$9,0))="","",INDEX('32_定義マスター'!$B$4:$B$9,MATCH(A52,'32_定義マスター'!$A$4:$A$9,0)))))</f>
        <v/>
      </c>
      <c r="C52" s="28" t="str">
        <f>IF(A52="","",IF(COUNTIF('32_定義マスター'!$A$4:$A$9,A52)&lt;&gt;1,"参照ID不正",IF(INDEX('32_定義マスター'!$C$4:$C$9,MATCH(A52,'32_定義マスター'!$A$4:$A$9,0))="","",INDEX('32_定義マスター'!$C$4:$C$9,MATCH(A52,'32_定義マスター'!$A$4:$A$9,0)))))</f>
        <v/>
      </c>
      <c r="D52" s="28" t="str">
        <f>IF(A52="","",IF(COUNTIF('32_定義マスター'!$A$4:$A$9,A52)&lt;&gt;1,"参照ID不正",IF(INDEX('32_定義マスター'!$D$4:$D$9,MATCH(A52,'32_定義マスター'!$A$4:$A$9,0))="","",INDEX('32_定義マスター'!$D$4:$D$9,MATCH(A52,'32_定義マスター'!$A$4:$A$9,0)))))</f>
        <v/>
      </c>
      <c r="E52" s="28" t="str">
        <f>IF(A52="","",IF(COUNTIF('32_定義マスター'!$A$4:$A$9,A52)&lt;&gt;1,"参照ID不正",IF(INDEX('32_定義マスター'!$E$4:$E$9,MATCH(A52,'32_定義マスター'!$A$4:$A$9,0))="","",INDEX('32_定義マスター'!$E$4:$E$9,MATCH(A52,'32_定義マスター'!$A$4:$A$9,0)))))</f>
        <v/>
      </c>
      <c r="F52" s="29"/>
      <c r="G52" s="29"/>
      <c r="H52" s="29"/>
      <c r="I52" s="29"/>
      <c r="J52" s="29"/>
      <c r="K52" s="29"/>
      <c r="L52" s="29"/>
      <c r="M52" s="29"/>
      <c r="N52" s="32"/>
      <c r="O52" s="29"/>
      <c r="P52" s="32"/>
      <c r="Q52" s="29"/>
      <c r="R52" s="29"/>
      <c r="S52" s="28" t="str">
        <f>IF(A52="","",IF(COUNTIF('32_定義マスター'!$A$4:$A$9,A52)&lt;&gt;1,"Gate ID不正",IF(OR(L52="",L52="未審査"),"未承認",IF(OR(OR(F52="",G52="",H52="",I52="",J52="",K52="",O52="",AE52="",AF52=""),NOT(ISNUMBER(P52))),"判断証拠不足",IF(COUNTIF($F$4:$F$83,F52)&lt;&gt;1,"判断Run ID重複",IF(OR(AND(P52&lt;&gt;"",OR(NOT(ISNUMBER(P52)),IFERROR(P52&lt;1,TRUE),IFERROR(INT(P52)&gt;INT(AsOfDate),TRUE)))),"判断日不正",IF(AND(A52="G3",OR(T52="",U52="",V52="",W52="",X52="")),"公開対象・集合不足","判断記録あり・内容審査別")))))))</f>
        <v/>
      </c>
      <c r="T52" s="29"/>
      <c r="U52" s="29"/>
      <c r="V52" s="29"/>
      <c r="W52" s="29"/>
      <c r="X52" s="29"/>
      <c r="Y52" s="32"/>
      <c r="Z52" s="29"/>
      <c r="AA52" s="28" t="str">
        <f>IF(A52="","",IF(NOT(IFERROR(ISNUMBER(SEARCH("|"&amp;L52&amp;"|",IF(COUNTIF('32_定義マスター'!$A$4:$A$9,A52)&lt;&gt;1,"参照ID不正",IF(INDEX('32_定義マスター'!$F$4:$F$9,MATCH(A52,'32_定義マスター'!$A$4:$A$9,0))="","",INDEX('32_定義マスター'!$F$4:$F$9,MATCH(A52,'32_定義マスター'!$A$4:$A$9,0)))))),FALSE)),"Gate判断不適合",IF(AND(OR(L52="承認",L52="条件付承認",L52="Scale",L52="Continue",L52="廃止完了承認"),OR(I52="不合格",J52="不合格",V52="不合格",I52="FAIL",J52="FAIL",V52="FAIL")),"停止判定と承認が矛盾",IF(AND(OR(L52="承認",L52="条件付承認",L52="Scale",L52="Continue",L52="廃止完了承認"),OR(I52="未判定",J52="未判定",AND(A52="G3",V52="未判定"))),"必要判定未確定",IF(AND(OR(L52="承認",L52="条件付承認",L52="Scale",L52="Continue",L52="廃止完了承認"),OR(AND(I52&lt;&gt;"合格",I52&lt;&gt;"対象外承認"),AND(J52&lt;&gt;"合格",J52&lt;&gt;"対象外承認"),AND(A52="G3",V52&lt;&gt;"合格",V52&lt;&gt;"対象外承認"))),"判定値不正",IF(AND(A52="G4",L52="Scale",OR(COUNTIF('25_事業仮説・実験・GTM'!$Q$4:$Q$15,F52)=0,COUNTIFS('25_事業仮説・実験・GTM'!$Q$4:$Q$15,F52,'25_事業仮説・実験・GTM'!$AF$4:$AF$15,"&lt;&gt;充足")&gt;0,COUNTIFS('25_事業仮説・実験・GTM'!$Q$4:$Q$15,F52,'25_事業仮説・実験・GTM'!$AD$4:$AD$15,"&lt;&gt;拡大可能")&gt;0)),"拡大の行動証拠不足","判定整合"))))))</f>
        <v/>
      </c>
      <c r="AB52" s="28" t="str">
        <f>IF(A52="","",IF(A52&lt;&gt;"G3",IF(A52="G0",IF(OR(COUNTIF('25_事業仮説・実験・GTM'!$Q$4:$Q$15,F52)=0,COUNTIFS('25_事業仮説・実験・GTM'!$Q$4:$Q$15,F52,'25_事業仮説・実験・GTM'!$AE$4:$AE$15,"&lt;&gt;仮説記録あり")&gt;0),"仮説・持越し確認不足","G0仮説記録接続"),IF(A52="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52="",U52="",W52="",X52="",OR(COUNTIFS('30_必須評価セット'!$B$4:$B$153,T52,'30_必須評価セット'!$C$4:$C$153,U52,'30_必須評価セット'!$E$4:$E$153,"E01")=0,COUNTIFS('30_必須評価セット'!$B$4:$B$153,T52,'30_必須評価セット'!$C$4:$C$153,U52,'30_必須評価セット'!$E$4:$E$153,"E02")=0,COUNTIFS('30_必須評価セット'!$B$4:$B$153,T52,'30_必須評価セット'!$C$4:$C$153,U52,'30_必須評価セット'!$E$4:$E$153,"E03")=0,COUNTIFS('30_必須評価セット'!$B$4:$B$153,T52,'30_必須評価セット'!$C$4:$C$153,U52,'30_必須評価セット'!$E$4:$E$153,"E04")=0,COUNTIFS('30_必須評価セット'!$B$4:$B$153,T52,'30_必須評価セット'!$C$4:$C$153,U52,'30_必須評価セット'!$E$4:$E$153,"E05")=0,COUNTIFS('30_必須評価セット'!$B$4:$B$153,T52,'30_必須評価セット'!$C$4:$C$153,U52,'30_必須評価セット'!$E$4:$E$153,"E06")=0,COUNTIFS('30_必須評価セット'!$B$4:$B$153,T52,'30_必須評価セット'!$C$4:$C$153,U52,'30_必須評価セット'!$E$4:$E$153,"E07")=0,COUNTIFS('30_必須評価セット'!$B$4:$B$153,T52,'30_必須評価セット'!$C$4:$C$153,U52,'30_必須評価セット'!$E$4:$E$153,"E08")=0,COUNTIFS('30_必須評価セット'!$B$4:$B$153,T52,'30_必須評価セット'!$C$4:$C$153,U52,'30_必須評価セット'!$E$4:$E$153,"E09")=0,COUNTIFS('30_必須評価セット'!$B$4:$B$153,T52,'30_必須評価セット'!$C$4:$C$153,U52,'30_必須評価セット'!$E$4:$E$153,"E10")=0,COUNTIFS('30_必須評価セット'!$B$4:$B$153,T52,'30_必須評価セット'!$C$4:$C$153,U52,'30_必須評価セット'!$E$4:$E$153,"E11")=0,COUNTIFS('30_必須評価セット'!$B$4:$B$153,T52,'30_必須評価セット'!$C$4:$C$153,U52,'30_必須評価セット'!$E$4:$E$153,"E12")=0,COUNTIFS('30_必須評価セット'!$B$4:$B$153,T52,'30_必須評価セット'!$C$4:$C$153,U52,'30_必須評価セット'!$E$4:$E$153,"E13")=0,COUNTIFS('30_必須評価セット'!$B$4:$B$153,T52,'30_必須評価セット'!$C$4:$C$153,U52,'30_必須評価セット'!$E$4:$E$153,"E14")=0,COUNTIFS('30_必須評価セット'!$B$4:$B$153,T52,'30_必須評価セット'!$C$4:$C$153,U52,'30_必須評価セット'!$E$4:$E$153,"E15")=0,COUNTIFS('30_必須評価セット'!$B$4:$B$153,T52,'30_必須評価セット'!$C$4:$C$153,U52,'30_必須評価セット'!$E$4:$E$153,"E16")=0,COUNTIFS('30_必須評価セット'!$B$4:$B$153,T52,'30_必須評価セット'!$C$4:$C$153,U52,'30_必須評価セット'!$E$4:$E$153,"E17")=0,COUNTIFS('30_必須評価セット'!$B$4:$B$153,T52,'30_必須評価セット'!$C$4:$C$153,U52,'30_必須評価セット'!$E$4:$E$153,"E18")=0)),"必須分類・集合不足",IF(OR(AND('03_AIリスクTier・適用判定'!$B$27="使用",OR('17_ロードマップ・案件実行管理'!$AA$86&lt;&gt;1,NOT(AND(COUNTIFS('30_必須評価セット'!$B$4:$B$153,T52,'30_必須評価セット'!$C$4:$C$153,U52,'30_必須評価セット'!$E$4:$E$153,"E03",'30_必須評価セット'!$F$4:$F$153,"必須")&gt;0,COUNTIFS('30_必須評価セット'!$B$4:$B$153,T52,'30_必須評価セット'!$C$4:$C$153,U52,'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52,'30_必須評価セット'!$C$4:$C$153,U52,'30_必須評価セット'!$E$4:$E$153,"E05",'30_必須評価セット'!$F$4:$F$153,"必須")&gt;0)))),AND('03_AIリスクTier・適用判定'!$B$28="不使用",'17_ロードマップ・案件実行管理'!$W$87&lt;&gt;"除外記録済")),"機能別評価・対象外未完",IF(COUNTIFS('30_必須評価セット'!$B$4:$B$153,T52,'30_必須評価セット'!$C$4:$C$153,U52)&lt;&gt;SUMIFS('30_必須評価セット'!$N$4:$N$153,'30_必須評価セット'!$B$4:$B$153,T52,'30_必須評価セット'!$C$4:$C$153,U52),"必須評価セット未充足","必須評価セット充足"))))))</f>
        <v/>
      </c>
      <c r="AC52" s="28" t="str">
        <f>IF(F52="","",IF(OR(AG52="",AG52="未判定"),"条件有無未判定",IF(AND(AG52="なし",OR(L52="条件付承認",COUNTIF('31_条件・有効性'!$B$4:$B$83,F52)&gt;0)),"条件有無不一致",IF(AND(AG52="条件あり",COUNTIF('31_条件・有効性'!$B$4:$B$83,F52)=0),"Condition未登録",IF(AND(AG52="条件あり",COUNTIF('31_条件・有効性'!$B$4:$B$83,F52)&lt;&gt;(COUNTIFS('31_条件・有効性'!$B$4:$B$83,F52,'31_条件・有効性'!$Q$4:$Q$83,"解消確認済")+COUNTIFS('31_条件・有効性'!$B$4:$B$83,F52,'31_条件・有効性'!$Q$4:$Q$83,"期限内・制約継続"))),"条件失効・定義不備",IF(AND(AG52&lt;&gt;"なし",AG52&lt;&gt;"条件あり"),"条件有無不正","条件整合"))))))</f>
        <v/>
      </c>
      <c r="AD52" s="28" t="str">
        <f t="shared" si="1"/>
        <v/>
      </c>
      <c r="AE52" s="29"/>
      <c r="AF52" s="29"/>
      <c r="AG52" s="29"/>
    </row>
    <row r="53" spans="1:33" ht="78" customHeight="1" x14ac:dyDescent="0.2">
      <c r="A53" s="29"/>
      <c r="B53" s="28" t="str">
        <f>IF(A53="","",IF(COUNTIF('32_定義マスター'!$A$4:$A$9,A53)&lt;&gt;1,"参照ID不正",IF(INDEX('32_定義マスター'!$B$4:$B$9,MATCH(A53,'32_定義マスター'!$A$4:$A$9,0))="","",INDEX('32_定義マスター'!$B$4:$B$9,MATCH(A53,'32_定義マスター'!$A$4:$A$9,0)))))</f>
        <v/>
      </c>
      <c r="C53" s="28" t="str">
        <f>IF(A53="","",IF(COUNTIF('32_定義マスター'!$A$4:$A$9,A53)&lt;&gt;1,"参照ID不正",IF(INDEX('32_定義マスター'!$C$4:$C$9,MATCH(A53,'32_定義マスター'!$A$4:$A$9,0))="","",INDEX('32_定義マスター'!$C$4:$C$9,MATCH(A53,'32_定義マスター'!$A$4:$A$9,0)))))</f>
        <v/>
      </c>
      <c r="D53" s="28" t="str">
        <f>IF(A53="","",IF(COUNTIF('32_定義マスター'!$A$4:$A$9,A53)&lt;&gt;1,"参照ID不正",IF(INDEX('32_定義マスター'!$D$4:$D$9,MATCH(A53,'32_定義マスター'!$A$4:$A$9,0))="","",INDEX('32_定義マスター'!$D$4:$D$9,MATCH(A53,'32_定義マスター'!$A$4:$A$9,0)))))</f>
        <v/>
      </c>
      <c r="E53" s="28" t="str">
        <f>IF(A53="","",IF(COUNTIF('32_定義マスター'!$A$4:$A$9,A53)&lt;&gt;1,"参照ID不正",IF(INDEX('32_定義マスター'!$E$4:$E$9,MATCH(A53,'32_定義マスター'!$A$4:$A$9,0))="","",INDEX('32_定義マスター'!$E$4:$E$9,MATCH(A53,'32_定義マスター'!$A$4:$A$9,0)))))</f>
        <v/>
      </c>
      <c r="F53" s="29"/>
      <c r="G53" s="29"/>
      <c r="H53" s="29"/>
      <c r="I53" s="29"/>
      <c r="J53" s="29"/>
      <c r="K53" s="29"/>
      <c r="L53" s="29"/>
      <c r="M53" s="29"/>
      <c r="N53" s="32"/>
      <c r="O53" s="29"/>
      <c r="P53" s="32"/>
      <c r="Q53" s="29"/>
      <c r="R53" s="29"/>
      <c r="S53" s="28" t="str">
        <f>IF(A53="","",IF(COUNTIF('32_定義マスター'!$A$4:$A$9,A53)&lt;&gt;1,"Gate ID不正",IF(OR(L53="",L53="未審査"),"未承認",IF(OR(OR(F53="",G53="",H53="",I53="",J53="",K53="",O53="",AE53="",AF53=""),NOT(ISNUMBER(P53))),"判断証拠不足",IF(COUNTIF($F$4:$F$83,F53)&lt;&gt;1,"判断Run ID重複",IF(OR(AND(P53&lt;&gt;"",OR(NOT(ISNUMBER(P53)),IFERROR(P53&lt;1,TRUE),IFERROR(INT(P53)&gt;INT(AsOfDate),TRUE)))),"判断日不正",IF(AND(A53="G3",OR(T53="",U53="",V53="",W53="",X53="")),"公開対象・集合不足","判断記録あり・内容審査別")))))))</f>
        <v/>
      </c>
      <c r="T53" s="29"/>
      <c r="U53" s="29"/>
      <c r="V53" s="29"/>
      <c r="W53" s="29"/>
      <c r="X53" s="29"/>
      <c r="Y53" s="32"/>
      <c r="Z53" s="29"/>
      <c r="AA53" s="28" t="str">
        <f>IF(A53="","",IF(NOT(IFERROR(ISNUMBER(SEARCH("|"&amp;L53&amp;"|",IF(COUNTIF('32_定義マスター'!$A$4:$A$9,A53)&lt;&gt;1,"参照ID不正",IF(INDEX('32_定義マスター'!$F$4:$F$9,MATCH(A53,'32_定義マスター'!$A$4:$A$9,0))="","",INDEX('32_定義マスター'!$F$4:$F$9,MATCH(A53,'32_定義マスター'!$A$4:$A$9,0)))))),FALSE)),"Gate判断不適合",IF(AND(OR(L53="承認",L53="条件付承認",L53="Scale",L53="Continue",L53="廃止完了承認"),OR(I53="不合格",J53="不合格",V53="不合格",I53="FAIL",J53="FAIL",V53="FAIL")),"停止判定と承認が矛盾",IF(AND(OR(L53="承認",L53="条件付承認",L53="Scale",L53="Continue",L53="廃止完了承認"),OR(I53="未判定",J53="未判定",AND(A53="G3",V53="未判定"))),"必要判定未確定",IF(AND(OR(L53="承認",L53="条件付承認",L53="Scale",L53="Continue",L53="廃止完了承認"),OR(AND(I53&lt;&gt;"合格",I53&lt;&gt;"対象外承認"),AND(J53&lt;&gt;"合格",J53&lt;&gt;"対象外承認"),AND(A53="G3",V53&lt;&gt;"合格",V53&lt;&gt;"対象外承認"))),"判定値不正",IF(AND(A53="G4",L53="Scale",OR(COUNTIF('25_事業仮説・実験・GTM'!$Q$4:$Q$15,F53)=0,COUNTIFS('25_事業仮説・実験・GTM'!$Q$4:$Q$15,F53,'25_事業仮説・実験・GTM'!$AF$4:$AF$15,"&lt;&gt;充足")&gt;0,COUNTIFS('25_事業仮説・実験・GTM'!$Q$4:$Q$15,F53,'25_事業仮説・実験・GTM'!$AD$4:$AD$15,"&lt;&gt;拡大可能")&gt;0)),"拡大の行動証拠不足","判定整合"))))))</f>
        <v/>
      </c>
      <c r="AB53" s="28" t="str">
        <f>IF(A53="","",IF(A53&lt;&gt;"G3",IF(A53="G0",IF(OR(COUNTIF('25_事業仮説・実験・GTM'!$Q$4:$Q$15,F53)=0,COUNTIFS('25_事業仮説・実験・GTM'!$Q$4:$Q$15,F53,'25_事業仮説・実験・GTM'!$AE$4:$AE$15,"&lt;&gt;仮説記録あり")&gt;0),"仮説・持越し確認不足","G0仮説記録接続"),IF(A53="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53="",U53="",W53="",X53="",OR(COUNTIFS('30_必須評価セット'!$B$4:$B$153,T53,'30_必須評価セット'!$C$4:$C$153,U53,'30_必須評価セット'!$E$4:$E$153,"E01")=0,COUNTIFS('30_必須評価セット'!$B$4:$B$153,T53,'30_必須評価セット'!$C$4:$C$153,U53,'30_必須評価セット'!$E$4:$E$153,"E02")=0,COUNTIFS('30_必須評価セット'!$B$4:$B$153,T53,'30_必須評価セット'!$C$4:$C$153,U53,'30_必須評価セット'!$E$4:$E$153,"E03")=0,COUNTIFS('30_必須評価セット'!$B$4:$B$153,T53,'30_必須評価セット'!$C$4:$C$153,U53,'30_必須評価セット'!$E$4:$E$153,"E04")=0,COUNTIFS('30_必須評価セット'!$B$4:$B$153,T53,'30_必須評価セット'!$C$4:$C$153,U53,'30_必須評価セット'!$E$4:$E$153,"E05")=0,COUNTIFS('30_必須評価セット'!$B$4:$B$153,T53,'30_必須評価セット'!$C$4:$C$153,U53,'30_必須評価セット'!$E$4:$E$153,"E06")=0,COUNTIFS('30_必須評価セット'!$B$4:$B$153,T53,'30_必須評価セット'!$C$4:$C$153,U53,'30_必須評価セット'!$E$4:$E$153,"E07")=0,COUNTIFS('30_必須評価セット'!$B$4:$B$153,T53,'30_必須評価セット'!$C$4:$C$153,U53,'30_必須評価セット'!$E$4:$E$153,"E08")=0,COUNTIFS('30_必須評価セット'!$B$4:$B$153,T53,'30_必須評価セット'!$C$4:$C$153,U53,'30_必須評価セット'!$E$4:$E$153,"E09")=0,COUNTIFS('30_必須評価セット'!$B$4:$B$153,T53,'30_必須評価セット'!$C$4:$C$153,U53,'30_必須評価セット'!$E$4:$E$153,"E10")=0,COUNTIFS('30_必須評価セット'!$B$4:$B$153,T53,'30_必須評価セット'!$C$4:$C$153,U53,'30_必須評価セット'!$E$4:$E$153,"E11")=0,COUNTIFS('30_必須評価セット'!$B$4:$B$153,T53,'30_必須評価セット'!$C$4:$C$153,U53,'30_必須評価セット'!$E$4:$E$153,"E12")=0,COUNTIFS('30_必須評価セット'!$B$4:$B$153,T53,'30_必須評価セット'!$C$4:$C$153,U53,'30_必須評価セット'!$E$4:$E$153,"E13")=0,COUNTIFS('30_必須評価セット'!$B$4:$B$153,T53,'30_必須評価セット'!$C$4:$C$153,U53,'30_必須評価セット'!$E$4:$E$153,"E14")=0,COUNTIFS('30_必須評価セット'!$B$4:$B$153,T53,'30_必須評価セット'!$C$4:$C$153,U53,'30_必須評価セット'!$E$4:$E$153,"E15")=0,COUNTIFS('30_必須評価セット'!$B$4:$B$153,T53,'30_必須評価セット'!$C$4:$C$153,U53,'30_必須評価セット'!$E$4:$E$153,"E16")=0,COUNTIFS('30_必須評価セット'!$B$4:$B$153,T53,'30_必須評価セット'!$C$4:$C$153,U53,'30_必須評価セット'!$E$4:$E$153,"E17")=0,COUNTIFS('30_必須評価セット'!$B$4:$B$153,T53,'30_必須評価セット'!$C$4:$C$153,U53,'30_必須評価セット'!$E$4:$E$153,"E18")=0)),"必須分類・集合不足",IF(OR(AND('03_AIリスクTier・適用判定'!$B$27="使用",OR('17_ロードマップ・案件実行管理'!$AA$86&lt;&gt;1,NOT(AND(COUNTIFS('30_必須評価セット'!$B$4:$B$153,T53,'30_必須評価セット'!$C$4:$C$153,U53,'30_必須評価セット'!$E$4:$E$153,"E03",'30_必須評価セット'!$F$4:$F$153,"必須")&gt;0,COUNTIFS('30_必須評価セット'!$B$4:$B$153,T53,'30_必須評価セット'!$C$4:$C$153,U53,'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53,'30_必須評価セット'!$C$4:$C$153,U53,'30_必須評価セット'!$E$4:$E$153,"E05",'30_必須評価セット'!$F$4:$F$153,"必須")&gt;0)))),AND('03_AIリスクTier・適用判定'!$B$28="不使用",'17_ロードマップ・案件実行管理'!$W$87&lt;&gt;"除外記録済")),"機能別評価・対象外未完",IF(COUNTIFS('30_必須評価セット'!$B$4:$B$153,T53,'30_必須評価セット'!$C$4:$C$153,U53)&lt;&gt;SUMIFS('30_必須評価セット'!$N$4:$N$153,'30_必須評価セット'!$B$4:$B$153,T53,'30_必須評価セット'!$C$4:$C$153,U53),"必須評価セット未充足","必須評価セット充足"))))))</f>
        <v/>
      </c>
      <c r="AC53" s="28" t="str">
        <f>IF(F53="","",IF(OR(AG53="",AG53="未判定"),"条件有無未判定",IF(AND(AG53="なし",OR(L53="条件付承認",COUNTIF('31_条件・有効性'!$B$4:$B$83,F53)&gt;0)),"条件有無不一致",IF(AND(AG53="条件あり",COUNTIF('31_条件・有効性'!$B$4:$B$83,F53)=0),"Condition未登録",IF(AND(AG53="条件あり",COUNTIF('31_条件・有効性'!$B$4:$B$83,F53)&lt;&gt;(COUNTIFS('31_条件・有効性'!$B$4:$B$83,F53,'31_条件・有効性'!$Q$4:$Q$83,"解消確認済")+COUNTIFS('31_条件・有効性'!$B$4:$B$83,F53,'31_条件・有効性'!$Q$4:$Q$83,"期限内・制約継続"))),"条件失効・定義不備",IF(AND(AG53&lt;&gt;"なし",AG53&lt;&gt;"条件あり"),"条件有無不正","条件整合"))))))</f>
        <v/>
      </c>
      <c r="AD53" s="28" t="str">
        <f t="shared" si="1"/>
        <v/>
      </c>
      <c r="AE53" s="29"/>
      <c r="AF53" s="29"/>
      <c r="AG53" s="29"/>
    </row>
    <row r="54" spans="1:33" ht="78" customHeight="1" x14ac:dyDescent="0.2">
      <c r="A54" s="29"/>
      <c r="B54" s="28" t="str">
        <f>IF(A54="","",IF(COUNTIF('32_定義マスター'!$A$4:$A$9,A54)&lt;&gt;1,"参照ID不正",IF(INDEX('32_定義マスター'!$B$4:$B$9,MATCH(A54,'32_定義マスター'!$A$4:$A$9,0))="","",INDEX('32_定義マスター'!$B$4:$B$9,MATCH(A54,'32_定義マスター'!$A$4:$A$9,0)))))</f>
        <v/>
      </c>
      <c r="C54" s="28" t="str">
        <f>IF(A54="","",IF(COUNTIF('32_定義マスター'!$A$4:$A$9,A54)&lt;&gt;1,"参照ID不正",IF(INDEX('32_定義マスター'!$C$4:$C$9,MATCH(A54,'32_定義マスター'!$A$4:$A$9,0))="","",INDEX('32_定義マスター'!$C$4:$C$9,MATCH(A54,'32_定義マスター'!$A$4:$A$9,0)))))</f>
        <v/>
      </c>
      <c r="D54" s="28" t="str">
        <f>IF(A54="","",IF(COUNTIF('32_定義マスター'!$A$4:$A$9,A54)&lt;&gt;1,"参照ID不正",IF(INDEX('32_定義マスター'!$D$4:$D$9,MATCH(A54,'32_定義マスター'!$A$4:$A$9,0))="","",INDEX('32_定義マスター'!$D$4:$D$9,MATCH(A54,'32_定義マスター'!$A$4:$A$9,0)))))</f>
        <v/>
      </c>
      <c r="E54" s="28" t="str">
        <f>IF(A54="","",IF(COUNTIF('32_定義マスター'!$A$4:$A$9,A54)&lt;&gt;1,"参照ID不正",IF(INDEX('32_定義マスター'!$E$4:$E$9,MATCH(A54,'32_定義マスター'!$A$4:$A$9,0))="","",INDEX('32_定義マスター'!$E$4:$E$9,MATCH(A54,'32_定義マスター'!$A$4:$A$9,0)))))</f>
        <v/>
      </c>
      <c r="F54" s="29"/>
      <c r="G54" s="29"/>
      <c r="H54" s="29"/>
      <c r="I54" s="29"/>
      <c r="J54" s="29"/>
      <c r="K54" s="29"/>
      <c r="L54" s="29"/>
      <c r="M54" s="29"/>
      <c r="N54" s="32"/>
      <c r="O54" s="29"/>
      <c r="P54" s="32"/>
      <c r="Q54" s="29"/>
      <c r="R54" s="29"/>
      <c r="S54" s="28" t="str">
        <f>IF(A54="","",IF(COUNTIF('32_定義マスター'!$A$4:$A$9,A54)&lt;&gt;1,"Gate ID不正",IF(OR(L54="",L54="未審査"),"未承認",IF(OR(OR(F54="",G54="",H54="",I54="",J54="",K54="",O54="",AE54="",AF54=""),NOT(ISNUMBER(P54))),"判断証拠不足",IF(COUNTIF($F$4:$F$83,F54)&lt;&gt;1,"判断Run ID重複",IF(OR(AND(P54&lt;&gt;"",OR(NOT(ISNUMBER(P54)),IFERROR(P54&lt;1,TRUE),IFERROR(INT(P54)&gt;INT(AsOfDate),TRUE)))),"判断日不正",IF(AND(A54="G3",OR(T54="",U54="",V54="",W54="",X54="")),"公開対象・集合不足","判断記録あり・内容審査別")))))))</f>
        <v/>
      </c>
      <c r="T54" s="29"/>
      <c r="U54" s="29"/>
      <c r="V54" s="29"/>
      <c r="W54" s="29"/>
      <c r="X54" s="29"/>
      <c r="Y54" s="32"/>
      <c r="Z54" s="29"/>
      <c r="AA54" s="28" t="str">
        <f>IF(A54="","",IF(NOT(IFERROR(ISNUMBER(SEARCH("|"&amp;L54&amp;"|",IF(COUNTIF('32_定義マスター'!$A$4:$A$9,A54)&lt;&gt;1,"参照ID不正",IF(INDEX('32_定義マスター'!$F$4:$F$9,MATCH(A54,'32_定義マスター'!$A$4:$A$9,0))="","",INDEX('32_定義マスター'!$F$4:$F$9,MATCH(A54,'32_定義マスター'!$A$4:$A$9,0)))))),FALSE)),"Gate判断不適合",IF(AND(OR(L54="承認",L54="条件付承認",L54="Scale",L54="Continue",L54="廃止完了承認"),OR(I54="不合格",J54="不合格",V54="不合格",I54="FAIL",J54="FAIL",V54="FAIL")),"停止判定と承認が矛盾",IF(AND(OR(L54="承認",L54="条件付承認",L54="Scale",L54="Continue",L54="廃止完了承認"),OR(I54="未判定",J54="未判定",AND(A54="G3",V54="未判定"))),"必要判定未確定",IF(AND(OR(L54="承認",L54="条件付承認",L54="Scale",L54="Continue",L54="廃止完了承認"),OR(AND(I54&lt;&gt;"合格",I54&lt;&gt;"対象外承認"),AND(J54&lt;&gt;"合格",J54&lt;&gt;"対象外承認"),AND(A54="G3",V54&lt;&gt;"合格",V54&lt;&gt;"対象外承認"))),"判定値不正",IF(AND(A54="G4",L54="Scale",OR(COUNTIF('25_事業仮説・実験・GTM'!$Q$4:$Q$15,F54)=0,COUNTIFS('25_事業仮説・実験・GTM'!$Q$4:$Q$15,F54,'25_事業仮説・実験・GTM'!$AF$4:$AF$15,"&lt;&gt;充足")&gt;0,COUNTIFS('25_事業仮説・実験・GTM'!$Q$4:$Q$15,F54,'25_事業仮説・実験・GTM'!$AD$4:$AD$15,"&lt;&gt;拡大可能")&gt;0)),"拡大の行動証拠不足","判定整合"))))))</f>
        <v/>
      </c>
      <c r="AB54" s="28" t="str">
        <f>IF(A54="","",IF(A54&lt;&gt;"G3",IF(A54="G0",IF(OR(COUNTIF('25_事業仮説・実験・GTM'!$Q$4:$Q$15,F54)=0,COUNTIFS('25_事業仮説・実験・GTM'!$Q$4:$Q$15,F54,'25_事業仮説・実験・GTM'!$AE$4:$AE$15,"&lt;&gt;仮説記録あり")&gt;0),"仮説・持越し確認不足","G0仮説記録接続"),IF(A54="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54="",U54="",W54="",X54="",OR(COUNTIFS('30_必須評価セット'!$B$4:$B$153,T54,'30_必須評価セット'!$C$4:$C$153,U54,'30_必須評価セット'!$E$4:$E$153,"E01")=0,COUNTIFS('30_必須評価セット'!$B$4:$B$153,T54,'30_必須評価セット'!$C$4:$C$153,U54,'30_必須評価セット'!$E$4:$E$153,"E02")=0,COUNTIFS('30_必須評価セット'!$B$4:$B$153,T54,'30_必須評価セット'!$C$4:$C$153,U54,'30_必須評価セット'!$E$4:$E$153,"E03")=0,COUNTIFS('30_必須評価セット'!$B$4:$B$153,T54,'30_必須評価セット'!$C$4:$C$153,U54,'30_必須評価セット'!$E$4:$E$153,"E04")=0,COUNTIFS('30_必須評価セット'!$B$4:$B$153,T54,'30_必須評価セット'!$C$4:$C$153,U54,'30_必須評価セット'!$E$4:$E$153,"E05")=0,COUNTIFS('30_必須評価セット'!$B$4:$B$153,T54,'30_必須評価セット'!$C$4:$C$153,U54,'30_必須評価セット'!$E$4:$E$153,"E06")=0,COUNTIFS('30_必須評価セット'!$B$4:$B$153,T54,'30_必須評価セット'!$C$4:$C$153,U54,'30_必須評価セット'!$E$4:$E$153,"E07")=0,COUNTIFS('30_必須評価セット'!$B$4:$B$153,T54,'30_必須評価セット'!$C$4:$C$153,U54,'30_必須評価セット'!$E$4:$E$153,"E08")=0,COUNTIFS('30_必須評価セット'!$B$4:$B$153,T54,'30_必須評価セット'!$C$4:$C$153,U54,'30_必須評価セット'!$E$4:$E$153,"E09")=0,COUNTIFS('30_必須評価セット'!$B$4:$B$153,T54,'30_必須評価セット'!$C$4:$C$153,U54,'30_必須評価セット'!$E$4:$E$153,"E10")=0,COUNTIFS('30_必須評価セット'!$B$4:$B$153,T54,'30_必須評価セット'!$C$4:$C$153,U54,'30_必須評価セット'!$E$4:$E$153,"E11")=0,COUNTIFS('30_必須評価セット'!$B$4:$B$153,T54,'30_必須評価セット'!$C$4:$C$153,U54,'30_必須評価セット'!$E$4:$E$153,"E12")=0,COUNTIFS('30_必須評価セット'!$B$4:$B$153,T54,'30_必須評価セット'!$C$4:$C$153,U54,'30_必須評価セット'!$E$4:$E$153,"E13")=0,COUNTIFS('30_必須評価セット'!$B$4:$B$153,T54,'30_必須評価セット'!$C$4:$C$153,U54,'30_必須評価セット'!$E$4:$E$153,"E14")=0,COUNTIFS('30_必須評価セット'!$B$4:$B$153,T54,'30_必須評価セット'!$C$4:$C$153,U54,'30_必須評価セット'!$E$4:$E$153,"E15")=0,COUNTIFS('30_必須評価セット'!$B$4:$B$153,T54,'30_必須評価セット'!$C$4:$C$153,U54,'30_必須評価セット'!$E$4:$E$153,"E16")=0,COUNTIFS('30_必須評価セット'!$B$4:$B$153,T54,'30_必須評価セット'!$C$4:$C$153,U54,'30_必須評価セット'!$E$4:$E$153,"E17")=0,COUNTIFS('30_必須評価セット'!$B$4:$B$153,T54,'30_必須評価セット'!$C$4:$C$153,U54,'30_必須評価セット'!$E$4:$E$153,"E18")=0)),"必須分類・集合不足",IF(OR(AND('03_AIリスクTier・適用判定'!$B$27="使用",OR('17_ロードマップ・案件実行管理'!$AA$86&lt;&gt;1,NOT(AND(COUNTIFS('30_必須評価セット'!$B$4:$B$153,T54,'30_必須評価セット'!$C$4:$C$153,U54,'30_必須評価セット'!$E$4:$E$153,"E03",'30_必須評価セット'!$F$4:$F$153,"必須")&gt;0,COUNTIFS('30_必須評価セット'!$B$4:$B$153,T54,'30_必須評価セット'!$C$4:$C$153,U54,'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54,'30_必須評価セット'!$C$4:$C$153,U54,'30_必須評価セット'!$E$4:$E$153,"E05",'30_必須評価セット'!$F$4:$F$153,"必須")&gt;0)))),AND('03_AIリスクTier・適用判定'!$B$28="不使用",'17_ロードマップ・案件実行管理'!$W$87&lt;&gt;"除外記録済")),"機能別評価・対象外未完",IF(COUNTIFS('30_必須評価セット'!$B$4:$B$153,T54,'30_必須評価セット'!$C$4:$C$153,U54)&lt;&gt;SUMIFS('30_必須評価セット'!$N$4:$N$153,'30_必須評価セット'!$B$4:$B$153,T54,'30_必須評価セット'!$C$4:$C$153,U54),"必須評価セット未充足","必須評価セット充足"))))))</f>
        <v/>
      </c>
      <c r="AC54" s="28" t="str">
        <f>IF(F54="","",IF(OR(AG54="",AG54="未判定"),"条件有無未判定",IF(AND(AG54="なし",OR(L54="条件付承認",COUNTIF('31_条件・有効性'!$B$4:$B$83,F54)&gt;0)),"条件有無不一致",IF(AND(AG54="条件あり",COUNTIF('31_条件・有効性'!$B$4:$B$83,F54)=0),"Condition未登録",IF(AND(AG54="条件あり",COUNTIF('31_条件・有効性'!$B$4:$B$83,F54)&lt;&gt;(COUNTIFS('31_条件・有効性'!$B$4:$B$83,F54,'31_条件・有効性'!$Q$4:$Q$83,"解消確認済")+COUNTIFS('31_条件・有効性'!$B$4:$B$83,F54,'31_条件・有効性'!$Q$4:$Q$83,"期限内・制約継続"))),"条件失効・定義不備",IF(AND(AG54&lt;&gt;"なし",AG54&lt;&gt;"条件あり"),"条件有無不正","条件整合"))))))</f>
        <v/>
      </c>
      <c r="AD54" s="28" t="str">
        <f t="shared" si="1"/>
        <v/>
      </c>
      <c r="AE54" s="29"/>
      <c r="AF54" s="29"/>
      <c r="AG54" s="29"/>
    </row>
    <row r="55" spans="1:33" ht="78" customHeight="1" x14ac:dyDescent="0.2">
      <c r="A55" s="29"/>
      <c r="B55" s="28" t="str">
        <f>IF(A55="","",IF(COUNTIF('32_定義マスター'!$A$4:$A$9,A55)&lt;&gt;1,"参照ID不正",IF(INDEX('32_定義マスター'!$B$4:$B$9,MATCH(A55,'32_定義マスター'!$A$4:$A$9,0))="","",INDEX('32_定義マスター'!$B$4:$B$9,MATCH(A55,'32_定義マスター'!$A$4:$A$9,0)))))</f>
        <v/>
      </c>
      <c r="C55" s="28" t="str">
        <f>IF(A55="","",IF(COUNTIF('32_定義マスター'!$A$4:$A$9,A55)&lt;&gt;1,"参照ID不正",IF(INDEX('32_定義マスター'!$C$4:$C$9,MATCH(A55,'32_定義マスター'!$A$4:$A$9,0))="","",INDEX('32_定義マスター'!$C$4:$C$9,MATCH(A55,'32_定義マスター'!$A$4:$A$9,0)))))</f>
        <v/>
      </c>
      <c r="D55" s="28" t="str">
        <f>IF(A55="","",IF(COUNTIF('32_定義マスター'!$A$4:$A$9,A55)&lt;&gt;1,"参照ID不正",IF(INDEX('32_定義マスター'!$D$4:$D$9,MATCH(A55,'32_定義マスター'!$A$4:$A$9,0))="","",INDEX('32_定義マスター'!$D$4:$D$9,MATCH(A55,'32_定義マスター'!$A$4:$A$9,0)))))</f>
        <v/>
      </c>
      <c r="E55" s="28" t="str">
        <f>IF(A55="","",IF(COUNTIF('32_定義マスター'!$A$4:$A$9,A55)&lt;&gt;1,"参照ID不正",IF(INDEX('32_定義マスター'!$E$4:$E$9,MATCH(A55,'32_定義マスター'!$A$4:$A$9,0))="","",INDEX('32_定義マスター'!$E$4:$E$9,MATCH(A55,'32_定義マスター'!$A$4:$A$9,0)))))</f>
        <v/>
      </c>
      <c r="F55" s="29"/>
      <c r="G55" s="29"/>
      <c r="H55" s="29"/>
      <c r="I55" s="29"/>
      <c r="J55" s="29"/>
      <c r="K55" s="29"/>
      <c r="L55" s="29"/>
      <c r="M55" s="29"/>
      <c r="N55" s="32"/>
      <c r="O55" s="29"/>
      <c r="P55" s="32"/>
      <c r="Q55" s="29"/>
      <c r="R55" s="29"/>
      <c r="S55" s="28" t="str">
        <f>IF(A55="","",IF(COUNTIF('32_定義マスター'!$A$4:$A$9,A55)&lt;&gt;1,"Gate ID不正",IF(OR(L55="",L55="未審査"),"未承認",IF(OR(OR(F55="",G55="",H55="",I55="",J55="",K55="",O55="",AE55="",AF55=""),NOT(ISNUMBER(P55))),"判断証拠不足",IF(COUNTIF($F$4:$F$83,F55)&lt;&gt;1,"判断Run ID重複",IF(OR(AND(P55&lt;&gt;"",OR(NOT(ISNUMBER(P55)),IFERROR(P55&lt;1,TRUE),IFERROR(INT(P55)&gt;INT(AsOfDate),TRUE)))),"判断日不正",IF(AND(A55="G3",OR(T55="",U55="",V55="",W55="",X55="")),"公開対象・集合不足","判断記録あり・内容審査別")))))))</f>
        <v/>
      </c>
      <c r="T55" s="29"/>
      <c r="U55" s="29"/>
      <c r="V55" s="29"/>
      <c r="W55" s="29"/>
      <c r="X55" s="29"/>
      <c r="Y55" s="32"/>
      <c r="Z55" s="29"/>
      <c r="AA55" s="28" t="str">
        <f>IF(A55="","",IF(NOT(IFERROR(ISNUMBER(SEARCH("|"&amp;L55&amp;"|",IF(COUNTIF('32_定義マスター'!$A$4:$A$9,A55)&lt;&gt;1,"参照ID不正",IF(INDEX('32_定義マスター'!$F$4:$F$9,MATCH(A55,'32_定義マスター'!$A$4:$A$9,0))="","",INDEX('32_定義マスター'!$F$4:$F$9,MATCH(A55,'32_定義マスター'!$A$4:$A$9,0)))))),FALSE)),"Gate判断不適合",IF(AND(OR(L55="承認",L55="条件付承認",L55="Scale",L55="Continue",L55="廃止完了承認"),OR(I55="不合格",J55="不合格",V55="不合格",I55="FAIL",J55="FAIL",V55="FAIL")),"停止判定と承認が矛盾",IF(AND(OR(L55="承認",L55="条件付承認",L55="Scale",L55="Continue",L55="廃止完了承認"),OR(I55="未判定",J55="未判定",AND(A55="G3",V55="未判定"))),"必要判定未確定",IF(AND(OR(L55="承認",L55="条件付承認",L55="Scale",L55="Continue",L55="廃止完了承認"),OR(AND(I55&lt;&gt;"合格",I55&lt;&gt;"対象外承認"),AND(J55&lt;&gt;"合格",J55&lt;&gt;"対象外承認"),AND(A55="G3",V55&lt;&gt;"合格",V55&lt;&gt;"対象外承認"))),"判定値不正",IF(AND(A55="G4",L55="Scale",OR(COUNTIF('25_事業仮説・実験・GTM'!$Q$4:$Q$15,F55)=0,COUNTIFS('25_事業仮説・実験・GTM'!$Q$4:$Q$15,F55,'25_事業仮説・実験・GTM'!$AF$4:$AF$15,"&lt;&gt;充足")&gt;0,COUNTIFS('25_事業仮説・実験・GTM'!$Q$4:$Q$15,F55,'25_事業仮説・実験・GTM'!$AD$4:$AD$15,"&lt;&gt;拡大可能")&gt;0)),"拡大の行動証拠不足","判定整合"))))))</f>
        <v/>
      </c>
      <c r="AB55" s="28" t="str">
        <f>IF(A55="","",IF(A55&lt;&gt;"G3",IF(A55="G0",IF(OR(COUNTIF('25_事業仮説・実験・GTM'!$Q$4:$Q$15,F55)=0,COUNTIFS('25_事業仮説・実験・GTM'!$Q$4:$Q$15,F55,'25_事業仮説・実験・GTM'!$AE$4:$AE$15,"&lt;&gt;仮説記録あり")&gt;0),"仮説・持越し確認不足","G0仮説記録接続"),IF(A55="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55="",U55="",W55="",X55="",OR(COUNTIFS('30_必須評価セット'!$B$4:$B$153,T55,'30_必須評価セット'!$C$4:$C$153,U55,'30_必須評価セット'!$E$4:$E$153,"E01")=0,COUNTIFS('30_必須評価セット'!$B$4:$B$153,T55,'30_必須評価セット'!$C$4:$C$153,U55,'30_必須評価セット'!$E$4:$E$153,"E02")=0,COUNTIFS('30_必須評価セット'!$B$4:$B$153,T55,'30_必須評価セット'!$C$4:$C$153,U55,'30_必須評価セット'!$E$4:$E$153,"E03")=0,COUNTIFS('30_必須評価セット'!$B$4:$B$153,T55,'30_必須評価セット'!$C$4:$C$153,U55,'30_必須評価セット'!$E$4:$E$153,"E04")=0,COUNTIFS('30_必須評価セット'!$B$4:$B$153,T55,'30_必須評価セット'!$C$4:$C$153,U55,'30_必須評価セット'!$E$4:$E$153,"E05")=0,COUNTIFS('30_必須評価セット'!$B$4:$B$153,T55,'30_必須評価セット'!$C$4:$C$153,U55,'30_必須評価セット'!$E$4:$E$153,"E06")=0,COUNTIFS('30_必須評価セット'!$B$4:$B$153,T55,'30_必須評価セット'!$C$4:$C$153,U55,'30_必須評価セット'!$E$4:$E$153,"E07")=0,COUNTIFS('30_必須評価セット'!$B$4:$B$153,T55,'30_必須評価セット'!$C$4:$C$153,U55,'30_必須評価セット'!$E$4:$E$153,"E08")=0,COUNTIFS('30_必須評価セット'!$B$4:$B$153,T55,'30_必須評価セット'!$C$4:$C$153,U55,'30_必須評価セット'!$E$4:$E$153,"E09")=0,COUNTIFS('30_必須評価セット'!$B$4:$B$153,T55,'30_必須評価セット'!$C$4:$C$153,U55,'30_必須評価セット'!$E$4:$E$153,"E10")=0,COUNTIFS('30_必須評価セット'!$B$4:$B$153,T55,'30_必須評価セット'!$C$4:$C$153,U55,'30_必須評価セット'!$E$4:$E$153,"E11")=0,COUNTIFS('30_必須評価セット'!$B$4:$B$153,T55,'30_必須評価セット'!$C$4:$C$153,U55,'30_必須評価セット'!$E$4:$E$153,"E12")=0,COUNTIFS('30_必須評価セット'!$B$4:$B$153,T55,'30_必須評価セット'!$C$4:$C$153,U55,'30_必須評価セット'!$E$4:$E$153,"E13")=0,COUNTIFS('30_必須評価セット'!$B$4:$B$153,T55,'30_必須評価セット'!$C$4:$C$153,U55,'30_必須評価セット'!$E$4:$E$153,"E14")=0,COUNTIFS('30_必須評価セット'!$B$4:$B$153,T55,'30_必須評価セット'!$C$4:$C$153,U55,'30_必須評価セット'!$E$4:$E$153,"E15")=0,COUNTIFS('30_必須評価セット'!$B$4:$B$153,T55,'30_必須評価セット'!$C$4:$C$153,U55,'30_必須評価セット'!$E$4:$E$153,"E16")=0,COUNTIFS('30_必須評価セット'!$B$4:$B$153,T55,'30_必須評価セット'!$C$4:$C$153,U55,'30_必須評価セット'!$E$4:$E$153,"E17")=0,COUNTIFS('30_必須評価セット'!$B$4:$B$153,T55,'30_必須評価セット'!$C$4:$C$153,U55,'30_必須評価セット'!$E$4:$E$153,"E18")=0)),"必須分類・集合不足",IF(OR(AND('03_AIリスクTier・適用判定'!$B$27="使用",OR('17_ロードマップ・案件実行管理'!$AA$86&lt;&gt;1,NOT(AND(COUNTIFS('30_必須評価セット'!$B$4:$B$153,T55,'30_必須評価セット'!$C$4:$C$153,U55,'30_必須評価セット'!$E$4:$E$153,"E03",'30_必須評価セット'!$F$4:$F$153,"必須")&gt;0,COUNTIFS('30_必須評価セット'!$B$4:$B$153,T55,'30_必須評価セット'!$C$4:$C$153,U55,'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55,'30_必須評価セット'!$C$4:$C$153,U55,'30_必須評価セット'!$E$4:$E$153,"E05",'30_必須評価セット'!$F$4:$F$153,"必須")&gt;0)))),AND('03_AIリスクTier・適用判定'!$B$28="不使用",'17_ロードマップ・案件実行管理'!$W$87&lt;&gt;"除外記録済")),"機能別評価・対象外未完",IF(COUNTIFS('30_必須評価セット'!$B$4:$B$153,T55,'30_必須評価セット'!$C$4:$C$153,U55)&lt;&gt;SUMIFS('30_必須評価セット'!$N$4:$N$153,'30_必須評価セット'!$B$4:$B$153,T55,'30_必須評価セット'!$C$4:$C$153,U55),"必須評価セット未充足","必須評価セット充足"))))))</f>
        <v/>
      </c>
      <c r="AC55" s="28" t="str">
        <f>IF(F55="","",IF(OR(AG55="",AG55="未判定"),"条件有無未判定",IF(AND(AG55="なし",OR(L55="条件付承認",COUNTIF('31_条件・有効性'!$B$4:$B$83,F55)&gt;0)),"条件有無不一致",IF(AND(AG55="条件あり",COUNTIF('31_条件・有効性'!$B$4:$B$83,F55)=0),"Condition未登録",IF(AND(AG55="条件あり",COUNTIF('31_条件・有効性'!$B$4:$B$83,F55)&lt;&gt;(COUNTIFS('31_条件・有効性'!$B$4:$B$83,F55,'31_条件・有効性'!$Q$4:$Q$83,"解消確認済")+COUNTIFS('31_条件・有効性'!$B$4:$B$83,F55,'31_条件・有効性'!$Q$4:$Q$83,"期限内・制約継続"))),"条件失効・定義不備",IF(AND(AG55&lt;&gt;"なし",AG55&lt;&gt;"条件あり"),"条件有無不正","条件整合"))))))</f>
        <v/>
      </c>
      <c r="AD55" s="28" t="str">
        <f t="shared" si="1"/>
        <v/>
      </c>
      <c r="AE55" s="29"/>
      <c r="AF55" s="29"/>
      <c r="AG55" s="29"/>
    </row>
    <row r="56" spans="1:33" ht="78" customHeight="1" x14ac:dyDescent="0.2">
      <c r="A56" s="29"/>
      <c r="B56" s="28" t="str">
        <f>IF(A56="","",IF(COUNTIF('32_定義マスター'!$A$4:$A$9,A56)&lt;&gt;1,"参照ID不正",IF(INDEX('32_定義マスター'!$B$4:$B$9,MATCH(A56,'32_定義マスター'!$A$4:$A$9,0))="","",INDEX('32_定義マスター'!$B$4:$B$9,MATCH(A56,'32_定義マスター'!$A$4:$A$9,0)))))</f>
        <v/>
      </c>
      <c r="C56" s="28" t="str">
        <f>IF(A56="","",IF(COUNTIF('32_定義マスター'!$A$4:$A$9,A56)&lt;&gt;1,"参照ID不正",IF(INDEX('32_定義マスター'!$C$4:$C$9,MATCH(A56,'32_定義マスター'!$A$4:$A$9,0))="","",INDEX('32_定義マスター'!$C$4:$C$9,MATCH(A56,'32_定義マスター'!$A$4:$A$9,0)))))</f>
        <v/>
      </c>
      <c r="D56" s="28" t="str">
        <f>IF(A56="","",IF(COUNTIF('32_定義マスター'!$A$4:$A$9,A56)&lt;&gt;1,"参照ID不正",IF(INDEX('32_定義マスター'!$D$4:$D$9,MATCH(A56,'32_定義マスター'!$A$4:$A$9,0))="","",INDEX('32_定義マスター'!$D$4:$D$9,MATCH(A56,'32_定義マスター'!$A$4:$A$9,0)))))</f>
        <v/>
      </c>
      <c r="E56" s="28" t="str">
        <f>IF(A56="","",IF(COUNTIF('32_定義マスター'!$A$4:$A$9,A56)&lt;&gt;1,"参照ID不正",IF(INDEX('32_定義マスター'!$E$4:$E$9,MATCH(A56,'32_定義マスター'!$A$4:$A$9,0))="","",INDEX('32_定義マスター'!$E$4:$E$9,MATCH(A56,'32_定義マスター'!$A$4:$A$9,0)))))</f>
        <v/>
      </c>
      <c r="F56" s="29"/>
      <c r="G56" s="29"/>
      <c r="H56" s="29"/>
      <c r="I56" s="29"/>
      <c r="J56" s="29"/>
      <c r="K56" s="29"/>
      <c r="L56" s="29"/>
      <c r="M56" s="29"/>
      <c r="N56" s="32"/>
      <c r="O56" s="29"/>
      <c r="P56" s="32"/>
      <c r="Q56" s="29"/>
      <c r="R56" s="29"/>
      <c r="S56" s="28" t="str">
        <f>IF(A56="","",IF(COUNTIF('32_定義マスター'!$A$4:$A$9,A56)&lt;&gt;1,"Gate ID不正",IF(OR(L56="",L56="未審査"),"未承認",IF(OR(OR(F56="",G56="",H56="",I56="",J56="",K56="",O56="",AE56="",AF56=""),NOT(ISNUMBER(P56))),"判断証拠不足",IF(COUNTIF($F$4:$F$83,F56)&lt;&gt;1,"判断Run ID重複",IF(OR(AND(P56&lt;&gt;"",OR(NOT(ISNUMBER(P56)),IFERROR(P56&lt;1,TRUE),IFERROR(INT(P56)&gt;INT(AsOfDate),TRUE)))),"判断日不正",IF(AND(A56="G3",OR(T56="",U56="",V56="",W56="",X56="")),"公開対象・集合不足","判断記録あり・内容審査別")))))))</f>
        <v/>
      </c>
      <c r="T56" s="29"/>
      <c r="U56" s="29"/>
      <c r="V56" s="29"/>
      <c r="W56" s="29"/>
      <c r="X56" s="29"/>
      <c r="Y56" s="32"/>
      <c r="Z56" s="29"/>
      <c r="AA56" s="28" t="str">
        <f>IF(A56="","",IF(NOT(IFERROR(ISNUMBER(SEARCH("|"&amp;L56&amp;"|",IF(COUNTIF('32_定義マスター'!$A$4:$A$9,A56)&lt;&gt;1,"参照ID不正",IF(INDEX('32_定義マスター'!$F$4:$F$9,MATCH(A56,'32_定義マスター'!$A$4:$A$9,0))="","",INDEX('32_定義マスター'!$F$4:$F$9,MATCH(A56,'32_定義マスター'!$A$4:$A$9,0)))))),FALSE)),"Gate判断不適合",IF(AND(OR(L56="承認",L56="条件付承認",L56="Scale",L56="Continue",L56="廃止完了承認"),OR(I56="不合格",J56="不合格",V56="不合格",I56="FAIL",J56="FAIL",V56="FAIL")),"停止判定と承認が矛盾",IF(AND(OR(L56="承認",L56="条件付承認",L56="Scale",L56="Continue",L56="廃止完了承認"),OR(I56="未判定",J56="未判定",AND(A56="G3",V56="未判定"))),"必要判定未確定",IF(AND(OR(L56="承認",L56="条件付承認",L56="Scale",L56="Continue",L56="廃止完了承認"),OR(AND(I56&lt;&gt;"合格",I56&lt;&gt;"対象外承認"),AND(J56&lt;&gt;"合格",J56&lt;&gt;"対象外承認"),AND(A56="G3",V56&lt;&gt;"合格",V56&lt;&gt;"対象外承認"))),"判定値不正",IF(AND(A56="G4",L56="Scale",OR(COUNTIF('25_事業仮説・実験・GTM'!$Q$4:$Q$15,F56)=0,COUNTIFS('25_事業仮説・実験・GTM'!$Q$4:$Q$15,F56,'25_事業仮説・実験・GTM'!$AF$4:$AF$15,"&lt;&gt;充足")&gt;0,COUNTIFS('25_事業仮説・実験・GTM'!$Q$4:$Q$15,F56,'25_事業仮説・実験・GTM'!$AD$4:$AD$15,"&lt;&gt;拡大可能")&gt;0)),"拡大の行動証拠不足","判定整合"))))))</f>
        <v/>
      </c>
      <c r="AB56" s="28" t="str">
        <f>IF(A56="","",IF(A56&lt;&gt;"G3",IF(A56="G0",IF(OR(COUNTIF('25_事業仮説・実験・GTM'!$Q$4:$Q$15,F56)=0,COUNTIFS('25_事業仮説・実験・GTM'!$Q$4:$Q$15,F56,'25_事業仮説・実験・GTM'!$AE$4:$AE$15,"&lt;&gt;仮説記録あり")&gt;0),"仮説・持越し確認不足","G0仮説記録接続"),IF(A56="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56="",U56="",W56="",X56="",OR(COUNTIFS('30_必須評価セット'!$B$4:$B$153,T56,'30_必須評価セット'!$C$4:$C$153,U56,'30_必須評価セット'!$E$4:$E$153,"E01")=0,COUNTIFS('30_必須評価セット'!$B$4:$B$153,T56,'30_必須評価セット'!$C$4:$C$153,U56,'30_必須評価セット'!$E$4:$E$153,"E02")=0,COUNTIFS('30_必須評価セット'!$B$4:$B$153,T56,'30_必須評価セット'!$C$4:$C$153,U56,'30_必須評価セット'!$E$4:$E$153,"E03")=0,COUNTIFS('30_必須評価セット'!$B$4:$B$153,T56,'30_必須評価セット'!$C$4:$C$153,U56,'30_必須評価セット'!$E$4:$E$153,"E04")=0,COUNTIFS('30_必須評価セット'!$B$4:$B$153,T56,'30_必須評価セット'!$C$4:$C$153,U56,'30_必須評価セット'!$E$4:$E$153,"E05")=0,COUNTIFS('30_必須評価セット'!$B$4:$B$153,T56,'30_必須評価セット'!$C$4:$C$153,U56,'30_必須評価セット'!$E$4:$E$153,"E06")=0,COUNTIFS('30_必須評価セット'!$B$4:$B$153,T56,'30_必須評価セット'!$C$4:$C$153,U56,'30_必須評価セット'!$E$4:$E$153,"E07")=0,COUNTIFS('30_必須評価セット'!$B$4:$B$153,T56,'30_必須評価セット'!$C$4:$C$153,U56,'30_必須評価セット'!$E$4:$E$153,"E08")=0,COUNTIFS('30_必須評価セット'!$B$4:$B$153,T56,'30_必須評価セット'!$C$4:$C$153,U56,'30_必須評価セット'!$E$4:$E$153,"E09")=0,COUNTIFS('30_必須評価セット'!$B$4:$B$153,T56,'30_必須評価セット'!$C$4:$C$153,U56,'30_必須評価セット'!$E$4:$E$153,"E10")=0,COUNTIFS('30_必須評価セット'!$B$4:$B$153,T56,'30_必須評価セット'!$C$4:$C$153,U56,'30_必須評価セット'!$E$4:$E$153,"E11")=0,COUNTIFS('30_必須評価セット'!$B$4:$B$153,T56,'30_必須評価セット'!$C$4:$C$153,U56,'30_必須評価セット'!$E$4:$E$153,"E12")=0,COUNTIFS('30_必須評価セット'!$B$4:$B$153,T56,'30_必須評価セット'!$C$4:$C$153,U56,'30_必須評価セット'!$E$4:$E$153,"E13")=0,COUNTIFS('30_必須評価セット'!$B$4:$B$153,T56,'30_必須評価セット'!$C$4:$C$153,U56,'30_必須評価セット'!$E$4:$E$153,"E14")=0,COUNTIFS('30_必須評価セット'!$B$4:$B$153,T56,'30_必須評価セット'!$C$4:$C$153,U56,'30_必須評価セット'!$E$4:$E$153,"E15")=0,COUNTIFS('30_必須評価セット'!$B$4:$B$153,T56,'30_必須評価セット'!$C$4:$C$153,U56,'30_必須評価セット'!$E$4:$E$153,"E16")=0,COUNTIFS('30_必須評価セット'!$B$4:$B$153,T56,'30_必須評価セット'!$C$4:$C$153,U56,'30_必須評価セット'!$E$4:$E$153,"E17")=0,COUNTIFS('30_必須評価セット'!$B$4:$B$153,T56,'30_必須評価セット'!$C$4:$C$153,U56,'30_必須評価セット'!$E$4:$E$153,"E18")=0)),"必須分類・集合不足",IF(OR(AND('03_AIリスクTier・適用判定'!$B$27="使用",OR('17_ロードマップ・案件実行管理'!$AA$86&lt;&gt;1,NOT(AND(COUNTIFS('30_必須評価セット'!$B$4:$B$153,T56,'30_必須評価セット'!$C$4:$C$153,U56,'30_必須評価セット'!$E$4:$E$153,"E03",'30_必須評価セット'!$F$4:$F$153,"必須")&gt;0,COUNTIFS('30_必須評価セット'!$B$4:$B$153,T56,'30_必須評価セット'!$C$4:$C$153,U56,'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56,'30_必須評価セット'!$C$4:$C$153,U56,'30_必須評価セット'!$E$4:$E$153,"E05",'30_必須評価セット'!$F$4:$F$153,"必須")&gt;0)))),AND('03_AIリスクTier・適用判定'!$B$28="不使用",'17_ロードマップ・案件実行管理'!$W$87&lt;&gt;"除外記録済")),"機能別評価・対象外未完",IF(COUNTIFS('30_必須評価セット'!$B$4:$B$153,T56,'30_必須評価セット'!$C$4:$C$153,U56)&lt;&gt;SUMIFS('30_必須評価セット'!$N$4:$N$153,'30_必須評価セット'!$B$4:$B$153,T56,'30_必須評価セット'!$C$4:$C$153,U56),"必須評価セット未充足","必須評価セット充足"))))))</f>
        <v/>
      </c>
      <c r="AC56" s="28" t="str">
        <f>IF(F56="","",IF(OR(AG56="",AG56="未判定"),"条件有無未判定",IF(AND(AG56="なし",OR(L56="条件付承認",COUNTIF('31_条件・有効性'!$B$4:$B$83,F56)&gt;0)),"条件有無不一致",IF(AND(AG56="条件あり",COUNTIF('31_条件・有効性'!$B$4:$B$83,F56)=0),"Condition未登録",IF(AND(AG56="条件あり",COUNTIF('31_条件・有効性'!$B$4:$B$83,F56)&lt;&gt;(COUNTIFS('31_条件・有効性'!$B$4:$B$83,F56,'31_条件・有効性'!$Q$4:$Q$83,"解消確認済")+COUNTIFS('31_条件・有効性'!$B$4:$B$83,F56,'31_条件・有効性'!$Q$4:$Q$83,"期限内・制約継続"))),"条件失効・定義不備",IF(AND(AG56&lt;&gt;"なし",AG56&lt;&gt;"条件あり"),"条件有無不正","条件整合"))))))</f>
        <v/>
      </c>
      <c r="AD56" s="28" t="str">
        <f t="shared" si="1"/>
        <v/>
      </c>
      <c r="AE56" s="29"/>
      <c r="AF56" s="29"/>
      <c r="AG56" s="29"/>
    </row>
    <row r="57" spans="1:33" ht="78" customHeight="1" x14ac:dyDescent="0.2">
      <c r="A57" s="29"/>
      <c r="B57" s="28" t="str">
        <f>IF(A57="","",IF(COUNTIF('32_定義マスター'!$A$4:$A$9,A57)&lt;&gt;1,"参照ID不正",IF(INDEX('32_定義マスター'!$B$4:$B$9,MATCH(A57,'32_定義マスター'!$A$4:$A$9,0))="","",INDEX('32_定義マスター'!$B$4:$B$9,MATCH(A57,'32_定義マスター'!$A$4:$A$9,0)))))</f>
        <v/>
      </c>
      <c r="C57" s="28" t="str">
        <f>IF(A57="","",IF(COUNTIF('32_定義マスター'!$A$4:$A$9,A57)&lt;&gt;1,"参照ID不正",IF(INDEX('32_定義マスター'!$C$4:$C$9,MATCH(A57,'32_定義マスター'!$A$4:$A$9,0))="","",INDEX('32_定義マスター'!$C$4:$C$9,MATCH(A57,'32_定義マスター'!$A$4:$A$9,0)))))</f>
        <v/>
      </c>
      <c r="D57" s="28" t="str">
        <f>IF(A57="","",IF(COUNTIF('32_定義マスター'!$A$4:$A$9,A57)&lt;&gt;1,"参照ID不正",IF(INDEX('32_定義マスター'!$D$4:$D$9,MATCH(A57,'32_定義マスター'!$A$4:$A$9,0))="","",INDEX('32_定義マスター'!$D$4:$D$9,MATCH(A57,'32_定義マスター'!$A$4:$A$9,0)))))</f>
        <v/>
      </c>
      <c r="E57" s="28" t="str">
        <f>IF(A57="","",IF(COUNTIF('32_定義マスター'!$A$4:$A$9,A57)&lt;&gt;1,"参照ID不正",IF(INDEX('32_定義マスター'!$E$4:$E$9,MATCH(A57,'32_定義マスター'!$A$4:$A$9,0))="","",INDEX('32_定義マスター'!$E$4:$E$9,MATCH(A57,'32_定義マスター'!$A$4:$A$9,0)))))</f>
        <v/>
      </c>
      <c r="F57" s="29"/>
      <c r="G57" s="29"/>
      <c r="H57" s="29"/>
      <c r="I57" s="29"/>
      <c r="J57" s="29"/>
      <c r="K57" s="29"/>
      <c r="L57" s="29"/>
      <c r="M57" s="29"/>
      <c r="N57" s="32"/>
      <c r="O57" s="29"/>
      <c r="P57" s="32"/>
      <c r="Q57" s="29"/>
      <c r="R57" s="29"/>
      <c r="S57" s="28" t="str">
        <f>IF(A57="","",IF(COUNTIF('32_定義マスター'!$A$4:$A$9,A57)&lt;&gt;1,"Gate ID不正",IF(OR(L57="",L57="未審査"),"未承認",IF(OR(OR(F57="",G57="",H57="",I57="",J57="",K57="",O57="",AE57="",AF57=""),NOT(ISNUMBER(P57))),"判断証拠不足",IF(COUNTIF($F$4:$F$83,F57)&lt;&gt;1,"判断Run ID重複",IF(OR(AND(P57&lt;&gt;"",OR(NOT(ISNUMBER(P57)),IFERROR(P57&lt;1,TRUE),IFERROR(INT(P57)&gt;INT(AsOfDate),TRUE)))),"判断日不正",IF(AND(A57="G3",OR(T57="",U57="",V57="",W57="",X57="")),"公開対象・集合不足","判断記録あり・内容審査別")))))))</f>
        <v/>
      </c>
      <c r="T57" s="29"/>
      <c r="U57" s="29"/>
      <c r="V57" s="29"/>
      <c r="W57" s="29"/>
      <c r="X57" s="29"/>
      <c r="Y57" s="32"/>
      <c r="Z57" s="29"/>
      <c r="AA57" s="28" t="str">
        <f>IF(A57="","",IF(NOT(IFERROR(ISNUMBER(SEARCH("|"&amp;L57&amp;"|",IF(COUNTIF('32_定義マスター'!$A$4:$A$9,A57)&lt;&gt;1,"参照ID不正",IF(INDEX('32_定義マスター'!$F$4:$F$9,MATCH(A57,'32_定義マスター'!$A$4:$A$9,0))="","",INDEX('32_定義マスター'!$F$4:$F$9,MATCH(A57,'32_定義マスター'!$A$4:$A$9,0)))))),FALSE)),"Gate判断不適合",IF(AND(OR(L57="承認",L57="条件付承認",L57="Scale",L57="Continue",L57="廃止完了承認"),OR(I57="不合格",J57="不合格",V57="不合格",I57="FAIL",J57="FAIL",V57="FAIL")),"停止判定と承認が矛盾",IF(AND(OR(L57="承認",L57="条件付承認",L57="Scale",L57="Continue",L57="廃止完了承認"),OR(I57="未判定",J57="未判定",AND(A57="G3",V57="未判定"))),"必要判定未確定",IF(AND(OR(L57="承認",L57="条件付承認",L57="Scale",L57="Continue",L57="廃止完了承認"),OR(AND(I57&lt;&gt;"合格",I57&lt;&gt;"対象外承認"),AND(J57&lt;&gt;"合格",J57&lt;&gt;"対象外承認"),AND(A57="G3",V57&lt;&gt;"合格",V57&lt;&gt;"対象外承認"))),"判定値不正",IF(AND(A57="G4",L57="Scale",OR(COUNTIF('25_事業仮説・実験・GTM'!$Q$4:$Q$15,F57)=0,COUNTIFS('25_事業仮説・実験・GTM'!$Q$4:$Q$15,F57,'25_事業仮説・実験・GTM'!$AF$4:$AF$15,"&lt;&gt;充足")&gt;0,COUNTIFS('25_事業仮説・実験・GTM'!$Q$4:$Q$15,F57,'25_事業仮説・実験・GTM'!$AD$4:$AD$15,"&lt;&gt;拡大可能")&gt;0)),"拡大の行動証拠不足","判定整合"))))))</f>
        <v/>
      </c>
      <c r="AB57" s="28" t="str">
        <f>IF(A57="","",IF(A57&lt;&gt;"G3",IF(A57="G0",IF(OR(COUNTIF('25_事業仮説・実験・GTM'!$Q$4:$Q$15,F57)=0,COUNTIFS('25_事業仮説・実験・GTM'!$Q$4:$Q$15,F57,'25_事業仮説・実験・GTM'!$AE$4:$AE$15,"&lt;&gt;仮説記録あり")&gt;0),"仮説・持越し確認不足","G0仮説記録接続"),IF(A57="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57="",U57="",W57="",X57="",OR(COUNTIFS('30_必須評価セット'!$B$4:$B$153,T57,'30_必須評価セット'!$C$4:$C$153,U57,'30_必須評価セット'!$E$4:$E$153,"E01")=0,COUNTIFS('30_必須評価セット'!$B$4:$B$153,T57,'30_必須評価セット'!$C$4:$C$153,U57,'30_必須評価セット'!$E$4:$E$153,"E02")=0,COUNTIFS('30_必須評価セット'!$B$4:$B$153,T57,'30_必須評価セット'!$C$4:$C$153,U57,'30_必須評価セット'!$E$4:$E$153,"E03")=0,COUNTIFS('30_必須評価セット'!$B$4:$B$153,T57,'30_必須評価セット'!$C$4:$C$153,U57,'30_必須評価セット'!$E$4:$E$153,"E04")=0,COUNTIFS('30_必須評価セット'!$B$4:$B$153,T57,'30_必須評価セット'!$C$4:$C$153,U57,'30_必須評価セット'!$E$4:$E$153,"E05")=0,COUNTIFS('30_必須評価セット'!$B$4:$B$153,T57,'30_必須評価セット'!$C$4:$C$153,U57,'30_必須評価セット'!$E$4:$E$153,"E06")=0,COUNTIFS('30_必須評価セット'!$B$4:$B$153,T57,'30_必須評価セット'!$C$4:$C$153,U57,'30_必須評価セット'!$E$4:$E$153,"E07")=0,COUNTIFS('30_必須評価セット'!$B$4:$B$153,T57,'30_必須評価セット'!$C$4:$C$153,U57,'30_必須評価セット'!$E$4:$E$153,"E08")=0,COUNTIFS('30_必須評価セット'!$B$4:$B$153,T57,'30_必須評価セット'!$C$4:$C$153,U57,'30_必須評価セット'!$E$4:$E$153,"E09")=0,COUNTIFS('30_必須評価セット'!$B$4:$B$153,T57,'30_必須評価セット'!$C$4:$C$153,U57,'30_必須評価セット'!$E$4:$E$153,"E10")=0,COUNTIFS('30_必須評価セット'!$B$4:$B$153,T57,'30_必須評価セット'!$C$4:$C$153,U57,'30_必須評価セット'!$E$4:$E$153,"E11")=0,COUNTIFS('30_必須評価セット'!$B$4:$B$153,T57,'30_必須評価セット'!$C$4:$C$153,U57,'30_必須評価セット'!$E$4:$E$153,"E12")=0,COUNTIFS('30_必須評価セット'!$B$4:$B$153,T57,'30_必須評価セット'!$C$4:$C$153,U57,'30_必須評価セット'!$E$4:$E$153,"E13")=0,COUNTIFS('30_必須評価セット'!$B$4:$B$153,T57,'30_必須評価セット'!$C$4:$C$153,U57,'30_必須評価セット'!$E$4:$E$153,"E14")=0,COUNTIFS('30_必須評価セット'!$B$4:$B$153,T57,'30_必須評価セット'!$C$4:$C$153,U57,'30_必須評価セット'!$E$4:$E$153,"E15")=0,COUNTIFS('30_必須評価セット'!$B$4:$B$153,T57,'30_必須評価セット'!$C$4:$C$153,U57,'30_必須評価セット'!$E$4:$E$153,"E16")=0,COUNTIFS('30_必須評価セット'!$B$4:$B$153,T57,'30_必須評価セット'!$C$4:$C$153,U57,'30_必須評価セット'!$E$4:$E$153,"E17")=0,COUNTIFS('30_必須評価セット'!$B$4:$B$153,T57,'30_必須評価セット'!$C$4:$C$153,U57,'30_必須評価セット'!$E$4:$E$153,"E18")=0)),"必須分類・集合不足",IF(OR(AND('03_AIリスクTier・適用判定'!$B$27="使用",OR('17_ロードマップ・案件実行管理'!$AA$86&lt;&gt;1,NOT(AND(COUNTIFS('30_必須評価セット'!$B$4:$B$153,T57,'30_必須評価セット'!$C$4:$C$153,U57,'30_必須評価セット'!$E$4:$E$153,"E03",'30_必須評価セット'!$F$4:$F$153,"必須")&gt;0,COUNTIFS('30_必須評価セット'!$B$4:$B$153,T57,'30_必須評価セット'!$C$4:$C$153,U57,'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57,'30_必須評価セット'!$C$4:$C$153,U57,'30_必須評価セット'!$E$4:$E$153,"E05",'30_必須評価セット'!$F$4:$F$153,"必須")&gt;0)))),AND('03_AIリスクTier・適用判定'!$B$28="不使用",'17_ロードマップ・案件実行管理'!$W$87&lt;&gt;"除外記録済")),"機能別評価・対象外未完",IF(COUNTIFS('30_必須評価セット'!$B$4:$B$153,T57,'30_必須評価セット'!$C$4:$C$153,U57)&lt;&gt;SUMIFS('30_必須評価セット'!$N$4:$N$153,'30_必須評価セット'!$B$4:$B$153,T57,'30_必須評価セット'!$C$4:$C$153,U57),"必須評価セット未充足","必須評価セット充足"))))))</f>
        <v/>
      </c>
      <c r="AC57" s="28" t="str">
        <f>IF(F57="","",IF(OR(AG57="",AG57="未判定"),"条件有無未判定",IF(AND(AG57="なし",OR(L57="条件付承認",COUNTIF('31_条件・有効性'!$B$4:$B$83,F57)&gt;0)),"条件有無不一致",IF(AND(AG57="条件あり",COUNTIF('31_条件・有効性'!$B$4:$B$83,F57)=0),"Condition未登録",IF(AND(AG57="条件あり",COUNTIF('31_条件・有効性'!$B$4:$B$83,F57)&lt;&gt;(COUNTIFS('31_条件・有効性'!$B$4:$B$83,F57,'31_条件・有効性'!$Q$4:$Q$83,"解消確認済")+COUNTIFS('31_条件・有効性'!$B$4:$B$83,F57,'31_条件・有効性'!$Q$4:$Q$83,"期限内・制約継続"))),"条件失効・定義不備",IF(AND(AG57&lt;&gt;"なし",AG57&lt;&gt;"条件あり"),"条件有無不正","条件整合"))))))</f>
        <v/>
      </c>
      <c r="AD57" s="28" t="str">
        <f t="shared" si="1"/>
        <v/>
      </c>
      <c r="AE57" s="29"/>
      <c r="AF57" s="29"/>
      <c r="AG57" s="29"/>
    </row>
    <row r="58" spans="1:33" ht="78" customHeight="1" x14ac:dyDescent="0.2">
      <c r="A58" s="29"/>
      <c r="B58" s="28" t="str">
        <f>IF(A58="","",IF(COUNTIF('32_定義マスター'!$A$4:$A$9,A58)&lt;&gt;1,"参照ID不正",IF(INDEX('32_定義マスター'!$B$4:$B$9,MATCH(A58,'32_定義マスター'!$A$4:$A$9,0))="","",INDEX('32_定義マスター'!$B$4:$B$9,MATCH(A58,'32_定義マスター'!$A$4:$A$9,0)))))</f>
        <v/>
      </c>
      <c r="C58" s="28" t="str">
        <f>IF(A58="","",IF(COUNTIF('32_定義マスター'!$A$4:$A$9,A58)&lt;&gt;1,"参照ID不正",IF(INDEX('32_定義マスター'!$C$4:$C$9,MATCH(A58,'32_定義マスター'!$A$4:$A$9,0))="","",INDEX('32_定義マスター'!$C$4:$C$9,MATCH(A58,'32_定義マスター'!$A$4:$A$9,0)))))</f>
        <v/>
      </c>
      <c r="D58" s="28" t="str">
        <f>IF(A58="","",IF(COUNTIF('32_定義マスター'!$A$4:$A$9,A58)&lt;&gt;1,"参照ID不正",IF(INDEX('32_定義マスター'!$D$4:$D$9,MATCH(A58,'32_定義マスター'!$A$4:$A$9,0))="","",INDEX('32_定義マスター'!$D$4:$D$9,MATCH(A58,'32_定義マスター'!$A$4:$A$9,0)))))</f>
        <v/>
      </c>
      <c r="E58" s="28" t="str">
        <f>IF(A58="","",IF(COUNTIF('32_定義マスター'!$A$4:$A$9,A58)&lt;&gt;1,"参照ID不正",IF(INDEX('32_定義マスター'!$E$4:$E$9,MATCH(A58,'32_定義マスター'!$A$4:$A$9,0))="","",INDEX('32_定義マスター'!$E$4:$E$9,MATCH(A58,'32_定義マスター'!$A$4:$A$9,0)))))</f>
        <v/>
      </c>
      <c r="F58" s="29"/>
      <c r="G58" s="29"/>
      <c r="H58" s="29"/>
      <c r="I58" s="29"/>
      <c r="J58" s="29"/>
      <c r="K58" s="29"/>
      <c r="L58" s="29"/>
      <c r="M58" s="29"/>
      <c r="N58" s="32"/>
      <c r="O58" s="29"/>
      <c r="P58" s="32"/>
      <c r="Q58" s="29"/>
      <c r="R58" s="29"/>
      <c r="S58" s="28" t="str">
        <f>IF(A58="","",IF(COUNTIF('32_定義マスター'!$A$4:$A$9,A58)&lt;&gt;1,"Gate ID不正",IF(OR(L58="",L58="未審査"),"未承認",IF(OR(OR(F58="",G58="",H58="",I58="",J58="",K58="",O58="",AE58="",AF58=""),NOT(ISNUMBER(P58))),"判断証拠不足",IF(COUNTIF($F$4:$F$83,F58)&lt;&gt;1,"判断Run ID重複",IF(OR(AND(P58&lt;&gt;"",OR(NOT(ISNUMBER(P58)),IFERROR(P58&lt;1,TRUE),IFERROR(INT(P58)&gt;INT(AsOfDate),TRUE)))),"判断日不正",IF(AND(A58="G3",OR(T58="",U58="",V58="",W58="",X58="")),"公開対象・集合不足","判断記録あり・内容審査別")))))))</f>
        <v/>
      </c>
      <c r="T58" s="29"/>
      <c r="U58" s="29"/>
      <c r="V58" s="29"/>
      <c r="W58" s="29"/>
      <c r="X58" s="29"/>
      <c r="Y58" s="32"/>
      <c r="Z58" s="29"/>
      <c r="AA58" s="28" t="str">
        <f>IF(A58="","",IF(NOT(IFERROR(ISNUMBER(SEARCH("|"&amp;L58&amp;"|",IF(COUNTIF('32_定義マスター'!$A$4:$A$9,A58)&lt;&gt;1,"参照ID不正",IF(INDEX('32_定義マスター'!$F$4:$F$9,MATCH(A58,'32_定義マスター'!$A$4:$A$9,0))="","",INDEX('32_定義マスター'!$F$4:$F$9,MATCH(A58,'32_定義マスター'!$A$4:$A$9,0)))))),FALSE)),"Gate判断不適合",IF(AND(OR(L58="承認",L58="条件付承認",L58="Scale",L58="Continue",L58="廃止完了承認"),OR(I58="不合格",J58="不合格",V58="不合格",I58="FAIL",J58="FAIL",V58="FAIL")),"停止判定と承認が矛盾",IF(AND(OR(L58="承認",L58="条件付承認",L58="Scale",L58="Continue",L58="廃止完了承認"),OR(I58="未判定",J58="未判定",AND(A58="G3",V58="未判定"))),"必要判定未確定",IF(AND(OR(L58="承認",L58="条件付承認",L58="Scale",L58="Continue",L58="廃止完了承認"),OR(AND(I58&lt;&gt;"合格",I58&lt;&gt;"対象外承認"),AND(J58&lt;&gt;"合格",J58&lt;&gt;"対象外承認"),AND(A58="G3",V58&lt;&gt;"合格",V58&lt;&gt;"対象外承認"))),"判定値不正",IF(AND(A58="G4",L58="Scale",OR(COUNTIF('25_事業仮説・実験・GTM'!$Q$4:$Q$15,F58)=0,COUNTIFS('25_事業仮説・実験・GTM'!$Q$4:$Q$15,F58,'25_事業仮説・実験・GTM'!$AF$4:$AF$15,"&lt;&gt;充足")&gt;0,COUNTIFS('25_事業仮説・実験・GTM'!$Q$4:$Q$15,F58,'25_事業仮説・実験・GTM'!$AD$4:$AD$15,"&lt;&gt;拡大可能")&gt;0)),"拡大の行動証拠不足","判定整合"))))))</f>
        <v/>
      </c>
      <c r="AB58" s="28" t="str">
        <f>IF(A58="","",IF(A58&lt;&gt;"G3",IF(A58="G0",IF(OR(COUNTIF('25_事業仮説・実験・GTM'!$Q$4:$Q$15,F58)=0,COUNTIFS('25_事業仮説・実験・GTM'!$Q$4:$Q$15,F58,'25_事業仮説・実験・GTM'!$AE$4:$AE$15,"&lt;&gt;仮説記録あり")&gt;0),"仮説・持越し確認不足","G0仮説記録接続"),IF(A58="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58="",U58="",W58="",X58="",OR(COUNTIFS('30_必須評価セット'!$B$4:$B$153,T58,'30_必須評価セット'!$C$4:$C$153,U58,'30_必須評価セット'!$E$4:$E$153,"E01")=0,COUNTIFS('30_必須評価セット'!$B$4:$B$153,T58,'30_必須評価セット'!$C$4:$C$153,U58,'30_必須評価セット'!$E$4:$E$153,"E02")=0,COUNTIFS('30_必須評価セット'!$B$4:$B$153,T58,'30_必須評価セット'!$C$4:$C$153,U58,'30_必須評価セット'!$E$4:$E$153,"E03")=0,COUNTIFS('30_必須評価セット'!$B$4:$B$153,T58,'30_必須評価セット'!$C$4:$C$153,U58,'30_必須評価セット'!$E$4:$E$153,"E04")=0,COUNTIFS('30_必須評価セット'!$B$4:$B$153,T58,'30_必須評価セット'!$C$4:$C$153,U58,'30_必須評価セット'!$E$4:$E$153,"E05")=0,COUNTIFS('30_必須評価セット'!$B$4:$B$153,T58,'30_必須評価セット'!$C$4:$C$153,U58,'30_必須評価セット'!$E$4:$E$153,"E06")=0,COUNTIFS('30_必須評価セット'!$B$4:$B$153,T58,'30_必須評価セット'!$C$4:$C$153,U58,'30_必須評価セット'!$E$4:$E$153,"E07")=0,COUNTIFS('30_必須評価セット'!$B$4:$B$153,T58,'30_必須評価セット'!$C$4:$C$153,U58,'30_必須評価セット'!$E$4:$E$153,"E08")=0,COUNTIFS('30_必須評価セット'!$B$4:$B$153,T58,'30_必須評価セット'!$C$4:$C$153,U58,'30_必須評価セット'!$E$4:$E$153,"E09")=0,COUNTIFS('30_必須評価セット'!$B$4:$B$153,T58,'30_必須評価セット'!$C$4:$C$153,U58,'30_必須評価セット'!$E$4:$E$153,"E10")=0,COUNTIFS('30_必須評価セット'!$B$4:$B$153,T58,'30_必須評価セット'!$C$4:$C$153,U58,'30_必須評価セット'!$E$4:$E$153,"E11")=0,COUNTIFS('30_必須評価セット'!$B$4:$B$153,T58,'30_必須評価セット'!$C$4:$C$153,U58,'30_必須評価セット'!$E$4:$E$153,"E12")=0,COUNTIFS('30_必須評価セット'!$B$4:$B$153,T58,'30_必須評価セット'!$C$4:$C$153,U58,'30_必須評価セット'!$E$4:$E$153,"E13")=0,COUNTIFS('30_必須評価セット'!$B$4:$B$153,T58,'30_必須評価セット'!$C$4:$C$153,U58,'30_必須評価セット'!$E$4:$E$153,"E14")=0,COUNTIFS('30_必須評価セット'!$B$4:$B$153,T58,'30_必須評価セット'!$C$4:$C$153,U58,'30_必須評価セット'!$E$4:$E$153,"E15")=0,COUNTIFS('30_必須評価セット'!$B$4:$B$153,T58,'30_必須評価セット'!$C$4:$C$153,U58,'30_必須評価セット'!$E$4:$E$153,"E16")=0,COUNTIFS('30_必須評価セット'!$B$4:$B$153,T58,'30_必須評価セット'!$C$4:$C$153,U58,'30_必須評価セット'!$E$4:$E$153,"E17")=0,COUNTIFS('30_必須評価セット'!$B$4:$B$153,T58,'30_必須評価セット'!$C$4:$C$153,U58,'30_必須評価セット'!$E$4:$E$153,"E18")=0)),"必須分類・集合不足",IF(OR(AND('03_AIリスクTier・適用判定'!$B$27="使用",OR('17_ロードマップ・案件実行管理'!$AA$86&lt;&gt;1,NOT(AND(COUNTIFS('30_必須評価セット'!$B$4:$B$153,T58,'30_必須評価セット'!$C$4:$C$153,U58,'30_必須評価セット'!$E$4:$E$153,"E03",'30_必須評価セット'!$F$4:$F$153,"必須")&gt;0,COUNTIFS('30_必須評価セット'!$B$4:$B$153,T58,'30_必須評価セット'!$C$4:$C$153,U58,'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58,'30_必須評価セット'!$C$4:$C$153,U58,'30_必須評価セット'!$E$4:$E$153,"E05",'30_必須評価セット'!$F$4:$F$153,"必須")&gt;0)))),AND('03_AIリスクTier・適用判定'!$B$28="不使用",'17_ロードマップ・案件実行管理'!$W$87&lt;&gt;"除外記録済")),"機能別評価・対象外未完",IF(COUNTIFS('30_必須評価セット'!$B$4:$B$153,T58,'30_必須評価セット'!$C$4:$C$153,U58)&lt;&gt;SUMIFS('30_必須評価セット'!$N$4:$N$153,'30_必須評価セット'!$B$4:$B$153,T58,'30_必須評価セット'!$C$4:$C$153,U58),"必須評価セット未充足","必須評価セット充足"))))))</f>
        <v/>
      </c>
      <c r="AC58" s="28" t="str">
        <f>IF(F58="","",IF(OR(AG58="",AG58="未判定"),"条件有無未判定",IF(AND(AG58="なし",OR(L58="条件付承認",COUNTIF('31_条件・有効性'!$B$4:$B$83,F58)&gt;0)),"条件有無不一致",IF(AND(AG58="条件あり",COUNTIF('31_条件・有効性'!$B$4:$B$83,F58)=0),"Condition未登録",IF(AND(AG58="条件あり",COUNTIF('31_条件・有効性'!$B$4:$B$83,F58)&lt;&gt;(COUNTIFS('31_条件・有効性'!$B$4:$B$83,F58,'31_条件・有効性'!$Q$4:$Q$83,"解消確認済")+COUNTIFS('31_条件・有効性'!$B$4:$B$83,F58,'31_条件・有効性'!$Q$4:$Q$83,"期限内・制約継続"))),"条件失効・定義不備",IF(AND(AG58&lt;&gt;"なし",AG58&lt;&gt;"条件あり"),"条件有無不正","条件整合"))))))</f>
        <v/>
      </c>
      <c r="AD58" s="28" t="str">
        <f t="shared" si="1"/>
        <v/>
      </c>
      <c r="AE58" s="29"/>
      <c r="AF58" s="29"/>
      <c r="AG58" s="29"/>
    </row>
    <row r="59" spans="1:33" ht="78" customHeight="1" x14ac:dyDescent="0.2">
      <c r="A59" s="29"/>
      <c r="B59" s="28" t="str">
        <f>IF(A59="","",IF(COUNTIF('32_定義マスター'!$A$4:$A$9,A59)&lt;&gt;1,"参照ID不正",IF(INDEX('32_定義マスター'!$B$4:$B$9,MATCH(A59,'32_定義マスター'!$A$4:$A$9,0))="","",INDEX('32_定義マスター'!$B$4:$B$9,MATCH(A59,'32_定義マスター'!$A$4:$A$9,0)))))</f>
        <v/>
      </c>
      <c r="C59" s="28" t="str">
        <f>IF(A59="","",IF(COUNTIF('32_定義マスター'!$A$4:$A$9,A59)&lt;&gt;1,"参照ID不正",IF(INDEX('32_定義マスター'!$C$4:$C$9,MATCH(A59,'32_定義マスター'!$A$4:$A$9,0))="","",INDEX('32_定義マスター'!$C$4:$C$9,MATCH(A59,'32_定義マスター'!$A$4:$A$9,0)))))</f>
        <v/>
      </c>
      <c r="D59" s="28" t="str">
        <f>IF(A59="","",IF(COUNTIF('32_定義マスター'!$A$4:$A$9,A59)&lt;&gt;1,"参照ID不正",IF(INDEX('32_定義マスター'!$D$4:$D$9,MATCH(A59,'32_定義マスター'!$A$4:$A$9,0))="","",INDEX('32_定義マスター'!$D$4:$D$9,MATCH(A59,'32_定義マスター'!$A$4:$A$9,0)))))</f>
        <v/>
      </c>
      <c r="E59" s="28" t="str">
        <f>IF(A59="","",IF(COUNTIF('32_定義マスター'!$A$4:$A$9,A59)&lt;&gt;1,"参照ID不正",IF(INDEX('32_定義マスター'!$E$4:$E$9,MATCH(A59,'32_定義マスター'!$A$4:$A$9,0))="","",INDEX('32_定義マスター'!$E$4:$E$9,MATCH(A59,'32_定義マスター'!$A$4:$A$9,0)))))</f>
        <v/>
      </c>
      <c r="F59" s="29"/>
      <c r="G59" s="29"/>
      <c r="H59" s="29"/>
      <c r="I59" s="29"/>
      <c r="J59" s="29"/>
      <c r="K59" s="29"/>
      <c r="L59" s="29"/>
      <c r="M59" s="29"/>
      <c r="N59" s="32"/>
      <c r="O59" s="29"/>
      <c r="P59" s="32"/>
      <c r="Q59" s="29"/>
      <c r="R59" s="29"/>
      <c r="S59" s="28" t="str">
        <f>IF(A59="","",IF(COUNTIF('32_定義マスター'!$A$4:$A$9,A59)&lt;&gt;1,"Gate ID不正",IF(OR(L59="",L59="未審査"),"未承認",IF(OR(OR(F59="",G59="",H59="",I59="",J59="",K59="",O59="",AE59="",AF59=""),NOT(ISNUMBER(P59))),"判断証拠不足",IF(COUNTIF($F$4:$F$83,F59)&lt;&gt;1,"判断Run ID重複",IF(OR(AND(P59&lt;&gt;"",OR(NOT(ISNUMBER(P59)),IFERROR(P59&lt;1,TRUE),IFERROR(INT(P59)&gt;INT(AsOfDate),TRUE)))),"判断日不正",IF(AND(A59="G3",OR(T59="",U59="",V59="",W59="",X59="")),"公開対象・集合不足","判断記録あり・内容審査別")))))))</f>
        <v/>
      </c>
      <c r="T59" s="29"/>
      <c r="U59" s="29"/>
      <c r="V59" s="29"/>
      <c r="W59" s="29"/>
      <c r="X59" s="29"/>
      <c r="Y59" s="32"/>
      <c r="Z59" s="29"/>
      <c r="AA59" s="28" t="str">
        <f>IF(A59="","",IF(NOT(IFERROR(ISNUMBER(SEARCH("|"&amp;L59&amp;"|",IF(COUNTIF('32_定義マスター'!$A$4:$A$9,A59)&lt;&gt;1,"参照ID不正",IF(INDEX('32_定義マスター'!$F$4:$F$9,MATCH(A59,'32_定義マスター'!$A$4:$A$9,0))="","",INDEX('32_定義マスター'!$F$4:$F$9,MATCH(A59,'32_定義マスター'!$A$4:$A$9,0)))))),FALSE)),"Gate判断不適合",IF(AND(OR(L59="承認",L59="条件付承認",L59="Scale",L59="Continue",L59="廃止完了承認"),OR(I59="不合格",J59="不合格",V59="不合格",I59="FAIL",J59="FAIL",V59="FAIL")),"停止判定と承認が矛盾",IF(AND(OR(L59="承認",L59="条件付承認",L59="Scale",L59="Continue",L59="廃止完了承認"),OR(I59="未判定",J59="未判定",AND(A59="G3",V59="未判定"))),"必要判定未確定",IF(AND(OR(L59="承認",L59="条件付承認",L59="Scale",L59="Continue",L59="廃止完了承認"),OR(AND(I59&lt;&gt;"合格",I59&lt;&gt;"対象外承認"),AND(J59&lt;&gt;"合格",J59&lt;&gt;"対象外承認"),AND(A59="G3",V59&lt;&gt;"合格",V59&lt;&gt;"対象外承認"))),"判定値不正",IF(AND(A59="G4",L59="Scale",OR(COUNTIF('25_事業仮説・実験・GTM'!$Q$4:$Q$15,F59)=0,COUNTIFS('25_事業仮説・実験・GTM'!$Q$4:$Q$15,F59,'25_事業仮説・実験・GTM'!$AF$4:$AF$15,"&lt;&gt;充足")&gt;0,COUNTIFS('25_事業仮説・実験・GTM'!$Q$4:$Q$15,F59,'25_事業仮説・実験・GTM'!$AD$4:$AD$15,"&lt;&gt;拡大可能")&gt;0)),"拡大の行動証拠不足","判定整合"))))))</f>
        <v/>
      </c>
      <c r="AB59" s="28" t="str">
        <f>IF(A59="","",IF(A59&lt;&gt;"G3",IF(A59="G0",IF(OR(COUNTIF('25_事業仮説・実験・GTM'!$Q$4:$Q$15,F59)=0,COUNTIFS('25_事業仮説・実験・GTM'!$Q$4:$Q$15,F59,'25_事業仮説・実験・GTM'!$AE$4:$AE$15,"&lt;&gt;仮説記録あり")&gt;0),"仮説・持越し確認不足","G0仮説記録接続"),IF(A59="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59="",U59="",W59="",X59="",OR(COUNTIFS('30_必須評価セット'!$B$4:$B$153,T59,'30_必須評価セット'!$C$4:$C$153,U59,'30_必須評価セット'!$E$4:$E$153,"E01")=0,COUNTIFS('30_必須評価セット'!$B$4:$B$153,T59,'30_必須評価セット'!$C$4:$C$153,U59,'30_必須評価セット'!$E$4:$E$153,"E02")=0,COUNTIFS('30_必須評価セット'!$B$4:$B$153,T59,'30_必須評価セット'!$C$4:$C$153,U59,'30_必須評価セット'!$E$4:$E$153,"E03")=0,COUNTIFS('30_必須評価セット'!$B$4:$B$153,T59,'30_必須評価セット'!$C$4:$C$153,U59,'30_必須評価セット'!$E$4:$E$153,"E04")=0,COUNTIFS('30_必須評価セット'!$B$4:$B$153,T59,'30_必須評価セット'!$C$4:$C$153,U59,'30_必須評価セット'!$E$4:$E$153,"E05")=0,COUNTIFS('30_必須評価セット'!$B$4:$B$153,T59,'30_必須評価セット'!$C$4:$C$153,U59,'30_必須評価セット'!$E$4:$E$153,"E06")=0,COUNTIFS('30_必須評価セット'!$B$4:$B$153,T59,'30_必須評価セット'!$C$4:$C$153,U59,'30_必須評価セット'!$E$4:$E$153,"E07")=0,COUNTIFS('30_必須評価セット'!$B$4:$B$153,T59,'30_必須評価セット'!$C$4:$C$153,U59,'30_必須評価セット'!$E$4:$E$153,"E08")=0,COUNTIFS('30_必須評価セット'!$B$4:$B$153,T59,'30_必須評価セット'!$C$4:$C$153,U59,'30_必須評価セット'!$E$4:$E$153,"E09")=0,COUNTIFS('30_必須評価セット'!$B$4:$B$153,T59,'30_必須評価セット'!$C$4:$C$153,U59,'30_必須評価セット'!$E$4:$E$153,"E10")=0,COUNTIFS('30_必須評価セット'!$B$4:$B$153,T59,'30_必須評価セット'!$C$4:$C$153,U59,'30_必須評価セット'!$E$4:$E$153,"E11")=0,COUNTIFS('30_必須評価セット'!$B$4:$B$153,T59,'30_必須評価セット'!$C$4:$C$153,U59,'30_必須評価セット'!$E$4:$E$153,"E12")=0,COUNTIFS('30_必須評価セット'!$B$4:$B$153,T59,'30_必須評価セット'!$C$4:$C$153,U59,'30_必須評価セット'!$E$4:$E$153,"E13")=0,COUNTIFS('30_必須評価セット'!$B$4:$B$153,T59,'30_必須評価セット'!$C$4:$C$153,U59,'30_必須評価セット'!$E$4:$E$153,"E14")=0,COUNTIFS('30_必須評価セット'!$B$4:$B$153,T59,'30_必須評価セット'!$C$4:$C$153,U59,'30_必須評価セット'!$E$4:$E$153,"E15")=0,COUNTIFS('30_必須評価セット'!$B$4:$B$153,T59,'30_必須評価セット'!$C$4:$C$153,U59,'30_必須評価セット'!$E$4:$E$153,"E16")=0,COUNTIFS('30_必須評価セット'!$B$4:$B$153,T59,'30_必須評価セット'!$C$4:$C$153,U59,'30_必須評価セット'!$E$4:$E$153,"E17")=0,COUNTIFS('30_必須評価セット'!$B$4:$B$153,T59,'30_必須評価セット'!$C$4:$C$153,U59,'30_必須評価セット'!$E$4:$E$153,"E18")=0)),"必須分類・集合不足",IF(OR(AND('03_AIリスクTier・適用判定'!$B$27="使用",OR('17_ロードマップ・案件実行管理'!$AA$86&lt;&gt;1,NOT(AND(COUNTIFS('30_必須評価セット'!$B$4:$B$153,T59,'30_必須評価セット'!$C$4:$C$153,U59,'30_必須評価セット'!$E$4:$E$153,"E03",'30_必須評価セット'!$F$4:$F$153,"必須")&gt;0,COUNTIFS('30_必須評価セット'!$B$4:$B$153,T59,'30_必須評価セット'!$C$4:$C$153,U59,'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59,'30_必須評価セット'!$C$4:$C$153,U59,'30_必須評価セット'!$E$4:$E$153,"E05",'30_必須評価セット'!$F$4:$F$153,"必須")&gt;0)))),AND('03_AIリスクTier・適用判定'!$B$28="不使用",'17_ロードマップ・案件実行管理'!$W$87&lt;&gt;"除外記録済")),"機能別評価・対象外未完",IF(COUNTIFS('30_必須評価セット'!$B$4:$B$153,T59,'30_必須評価セット'!$C$4:$C$153,U59)&lt;&gt;SUMIFS('30_必須評価セット'!$N$4:$N$153,'30_必須評価セット'!$B$4:$B$153,T59,'30_必須評価セット'!$C$4:$C$153,U59),"必須評価セット未充足","必須評価セット充足"))))))</f>
        <v/>
      </c>
      <c r="AC59" s="28" t="str">
        <f>IF(F59="","",IF(OR(AG59="",AG59="未判定"),"条件有無未判定",IF(AND(AG59="なし",OR(L59="条件付承認",COUNTIF('31_条件・有効性'!$B$4:$B$83,F59)&gt;0)),"条件有無不一致",IF(AND(AG59="条件あり",COUNTIF('31_条件・有効性'!$B$4:$B$83,F59)=0),"Condition未登録",IF(AND(AG59="条件あり",COUNTIF('31_条件・有効性'!$B$4:$B$83,F59)&lt;&gt;(COUNTIFS('31_条件・有効性'!$B$4:$B$83,F59,'31_条件・有効性'!$Q$4:$Q$83,"解消確認済")+COUNTIFS('31_条件・有効性'!$B$4:$B$83,F59,'31_条件・有効性'!$Q$4:$Q$83,"期限内・制約継続"))),"条件失効・定義不備",IF(AND(AG59&lt;&gt;"なし",AG59&lt;&gt;"条件あり"),"条件有無不正","条件整合"))))))</f>
        <v/>
      </c>
      <c r="AD59" s="28" t="str">
        <f t="shared" si="1"/>
        <v/>
      </c>
      <c r="AE59" s="29"/>
      <c r="AF59" s="29"/>
      <c r="AG59" s="29"/>
    </row>
    <row r="60" spans="1:33" ht="78" customHeight="1" x14ac:dyDescent="0.2">
      <c r="A60" s="29"/>
      <c r="B60" s="28" t="str">
        <f>IF(A60="","",IF(COUNTIF('32_定義マスター'!$A$4:$A$9,A60)&lt;&gt;1,"参照ID不正",IF(INDEX('32_定義マスター'!$B$4:$B$9,MATCH(A60,'32_定義マスター'!$A$4:$A$9,0))="","",INDEX('32_定義マスター'!$B$4:$B$9,MATCH(A60,'32_定義マスター'!$A$4:$A$9,0)))))</f>
        <v/>
      </c>
      <c r="C60" s="28" t="str">
        <f>IF(A60="","",IF(COUNTIF('32_定義マスター'!$A$4:$A$9,A60)&lt;&gt;1,"参照ID不正",IF(INDEX('32_定義マスター'!$C$4:$C$9,MATCH(A60,'32_定義マスター'!$A$4:$A$9,0))="","",INDEX('32_定義マスター'!$C$4:$C$9,MATCH(A60,'32_定義マスター'!$A$4:$A$9,0)))))</f>
        <v/>
      </c>
      <c r="D60" s="28" t="str">
        <f>IF(A60="","",IF(COUNTIF('32_定義マスター'!$A$4:$A$9,A60)&lt;&gt;1,"参照ID不正",IF(INDEX('32_定義マスター'!$D$4:$D$9,MATCH(A60,'32_定義マスター'!$A$4:$A$9,0))="","",INDEX('32_定義マスター'!$D$4:$D$9,MATCH(A60,'32_定義マスター'!$A$4:$A$9,0)))))</f>
        <v/>
      </c>
      <c r="E60" s="28" t="str">
        <f>IF(A60="","",IF(COUNTIF('32_定義マスター'!$A$4:$A$9,A60)&lt;&gt;1,"参照ID不正",IF(INDEX('32_定義マスター'!$E$4:$E$9,MATCH(A60,'32_定義マスター'!$A$4:$A$9,0))="","",INDEX('32_定義マスター'!$E$4:$E$9,MATCH(A60,'32_定義マスター'!$A$4:$A$9,0)))))</f>
        <v/>
      </c>
      <c r="F60" s="29"/>
      <c r="G60" s="29"/>
      <c r="H60" s="29"/>
      <c r="I60" s="29"/>
      <c r="J60" s="29"/>
      <c r="K60" s="29"/>
      <c r="L60" s="29"/>
      <c r="M60" s="29"/>
      <c r="N60" s="32"/>
      <c r="O60" s="29"/>
      <c r="P60" s="32"/>
      <c r="Q60" s="29"/>
      <c r="R60" s="29"/>
      <c r="S60" s="28" t="str">
        <f>IF(A60="","",IF(COUNTIF('32_定義マスター'!$A$4:$A$9,A60)&lt;&gt;1,"Gate ID不正",IF(OR(L60="",L60="未審査"),"未承認",IF(OR(OR(F60="",G60="",H60="",I60="",J60="",K60="",O60="",AE60="",AF60=""),NOT(ISNUMBER(P60))),"判断証拠不足",IF(COUNTIF($F$4:$F$83,F60)&lt;&gt;1,"判断Run ID重複",IF(OR(AND(P60&lt;&gt;"",OR(NOT(ISNUMBER(P60)),IFERROR(P60&lt;1,TRUE),IFERROR(INT(P60)&gt;INT(AsOfDate),TRUE)))),"判断日不正",IF(AND(A60="G3",OR(T60="",U60="",V60="",W60="",X60="")),"公開対象・集合不足","判断記録あり・内容審査別")))))))</f>
        <v/>
      </c>
      <c r="T60" s="29"/>
      <c r="U60" s="29"/>
      <c r="V60" s="29"/>
      <c r="W60" s="29"/>
      <c r="X60" s="29"/>
      <c r="Y60" s="32"/>
      <c r="Z60" s="29"/>
      <c r="AA60" s="28" t="str">
        <f>IF(A60="","",IF(NOT(IFERROR(ISNUMBER(SEARCH("|"&amp;L60&amp;"|",IF(COUNTIF('32_定義マスター'!$A$4:$A$9,A60)&lt;&gt;1,"参照ID不正",IF(INDEX('32_定義マスター'!$F$4:$F$9,MATCH(A60,'32_定義マスター'!$A$4:$A$9,0))="","",INDEX('32_定義マスター'!$F$4:$F$9,MATCH(A60,'32_定義マスター'!$A$4:$A$9,0)))))),FALSE)),"Gate判断不適合",IF(AND(OR(L60="承認",L60="条件付承認",L60="Scale",L60="Continue",L60="廃止完了承認"),OR(I60="不合格",J60="不合格",V60="不合格",I60="FAIL",J60="FAIL",V60="FAIL")),"停止判定と承認が矛盾",IF(AND(OR(L60="承認",L60="条件付承認",L60="Scale",L60="Continue",L60="廃止完了承認"),OR(I60="未判定",J60="未判定",AND(A60="G3",V60="未判定"))),"必要判定未確定",IF(AND(OR(L60="承認",L60="条件付承認",L60="Scale",L60="Continue",L60="廃止完了承認"),OR(AND(I60&lt;&gt;"合格",I60&lt;&gt;"対象外承認"),AND(J60&lt;&gt;"合格",J60&lt;&gt;"対象外承認"),AND(A60="G3",V60&lt;&gt;"合格",V60&lt;&gt;"対象外承認"))),"判定値不正",IF(AND(A60="G4",L60="Scale",OR(COUNTIF('25_事業仮説・実験・GTM'!$Q$4:$Q$15,F60)=0,COUNTIFS('25_事業仮説・実験・GTM'!$Q$4:$Q$15,F60,'25_事業仮説・実験・GTM'!$AF$4:$AF$15,"&lt;&gt;充足")&gt;0,COUNTIFS('25_事業仮説・実験・GTM'!$Q$4:$Q$15,F60,'25_事業仮説・実験・GTM'!$AD$4:$AD$15,"&lt;&gt;拡大可能")&gt;0)),"拡大の行動証拠不足","判定整合"))))))</f>
        <v/>
      </c>
      <c r="AB60" s="28" t="str">
        <f>IF(A60="","",IF(A60&lt;&gt;"G3",IF(A60="G0",IF(OR(COUNTIF('25_事業仮説・実験・GTM'!$Q$4:$Q$15,F60)=0,COUNTIFS('25_事業仮説・実験・GTM'!$Q$4:$Q$15,F60,'25_事業仮説・実験・GTM'!$AE$4:$AE$15,"&lt;&gt;仮説記録あり")&gt;0),"仮説・持越し確認不足","G0仮説記録接続"),IF(A60="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60="",U60="",W60="",X60="",OR(COUNTIFS('30_必須評価セット'!$B$4:$B$153,T60,'30_必須評価セット'!$C$4:$C$153,U60,'30_必須評価セット'!$E$4:$E$153,"E01")=0,COUNTIFS('30_必須評価セット'!$B$4:$B$153,T60,'30_必須評価セット'!$C$4:$C$153,U60,'30_必須評価セット'!$E$4:$E$153,"E02")=0,COUNTIFS('30_必須評価セット'!$B$4:$B$153,T60,'30_必須評価セット'!$C$4:$C$153,U60,'30_必須評価セット'!$E$4:$E$153,"E03")=0,COUNTIFS('30_必須評価セット'!$B$4:$B$153,T60,'30_必須評価セット'!$C$4:$C$153,U60,'30_必須評価セット'!$E$4:$E$153,"E04")=0,COUNTIFS('30_必須評価セット'!$B$4:$B$153,T60,'30_必須評価セット'!$C$4:$C$153,U60,'30_必須評価セット'!$E$4:$E$153,"E05")=0,COUNTIFS('30_必須評価セット'!$B$4:$B$153,T60,'30_必須評価セット'!$C$4:$C$153,U60,'30_必須評価セット'!$E$4:$E$153,"E06")=0,COUNTIFS('30_必須評価セット'!$B$4:$B$153,T60,'30_必須評価セット'!$C$4:$C$153,U60,'30_必須評価セット'!$E$4:$E$153,"E07")=0,COUNTIFS('30_必須評価セット'!$B$4:$B$153,T60,'30_必須評価セット'!$C$4:$C$153,U60,'30_必須評価セット'!$E$4:$E$153,"E08")=0,COUNTIFS('30_必須評価セット'!$B$4:$B$153,T60,'30_必須評価セット'!$C$4:$C$153,U60,'30_必須評価セット'!$E$4:$E$153,"E09")=0,COUNTIFS('30_必須評価セット'!$B$4:$B$153,T60,'30_必須評価セット'!$C$4:$C$153,U60,'30_必須評価セット'!$E$4:$E$153,"E10")=0,COUNTIFS('30_必須評価セット'!$B$4:$B$153,T60,'30_必須評価セット'!$C$4:$C$153,U60,'30_必須評価セット'!$E$4:$E$153,"E11")=0,COUNTIFS('30_必須評価セット'!$B$4:$B$153,T60,'30_必須評価セット'!$C$4:$C$153,U60,'30_必須評価セット'!$E$4:$E$153,"E12")=0,COUNTIFS('30_必須評価セット'!$B$4:$B$153,T60,'30_必須評価セット'!$C$4:$C$153,U60,'30_必須評価セット'!$E$4:$E$153,"E13")=0,COUNTIFS('30_必須評価セット'!$B$4:$B$153,T60,'30_必須評価セット'!$C$4:$C$153,U60,'30_必須評価セット'!$E$4:$E$153,"E14")=0,COUNTIFS('30_必須評価セット'!$B$4:$B$153,T60,'30_必須評価セット'!$C$4:$C$153,U60,'30_必須評価セット'!$E$4:$E$153,"E15")=0,COUNTIFS('30_必須評価セット'!$B$4:$B$153,T60,'30_必須評価セット'!$C$4:$C$153,U60,'30_必須評価セット'!$E$4:$E$153,"E16")=0,COUNTIFS('30_必須評価セット'!$B$4:$B$153,T60,'30_必須評価セット'!$C$4:$C$153,U60,'30_必須評価セット'!$E$4:$E$153,"E17")=0,COUNTIFS('30_必須評価セット'!$B$4:$B$153,T60,'30_必須評価セット'!$C$4:$C$153,U60,'30_必須評価セット'!$E$4:$E$153,"E18")=0)),"必須分類・集合不足",IF(OR(AND('03_AIリスクTier・適用判定'!$B$27="使用",OR('17_ロードマップ・案件実行管理'!$AA$86&lt;&gt;1,NOT(AND(COUNTIFS('30_必須評価セット'!$B$4:$B$153,T60,'30_必須評価セット'!$C$4:$C$153,U60,'30_必須評価セット'!$E$4:$E$153,"E03",'30_必須評価セット'!$F$4:$F$153,"必須")&gt;0,COUNTIFS('30_必須評価セット'!$B$4:$B$153,T60,'30_必須評価セット'!$C$4:$C$153,U60,'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60,'30_必須評価セット'!$C$4:$C$153,U60,'30_必須評価セット'!$E$4:$E$153,"E05",'30_必須評価セット'!$F$4:$F$153,"必須")&gt;0)))),AND('03_AIリスクTier・適用判定'!$B$28="不使用",'17_ロードマップ・案件実行管理'!$W$87&lt;&gt;"除外記録済")),"機能別評価・対象外未完",IF(COUNTIFS('30_必須評価セット'!$B$4:$B$153,T60,'30_必須評価セット'!$C$4:$C$153,U60)&lt;&gt;SUMIFS('30_必須評価セット'!$N$4:$N$153,'30_必須評価セット'!$B$4:$B$153,T60,'30_必須評価セット'!$C$4:$C$153,U60),"必須評価セット未充足","必須評価セット充足"))))))</f>
        <v/>
      </c>
      <c r="AC60" s="28" t="str">
        <f>IF(F60="","",IF(OR(AG60="",AG60="未判定"),"条件有無未判定",IF(AND(AG60="なし",OR(L60="条件付承認",COUNTIF('31_条件・有効性'!$B$4:$B$83,F60)&gt;0)),"条件有無不一致",IF(AND(AG60="条件あり",COUNTIF('31_条件・有効性'!$B$4:$B$83,F60)=0),"Condition未登録",IF(AND(AG60="条件あり",COUNTIF('31_条件・有効性'!$B$4:$B$83,F60)&lt;&gt;(COUNTIFS('31_条件・有効性'!$B$4:$B$83,F60,'31_条件・有効性'!$Q$4:$Q$83,"解消確認済")+COUNTIFS('31_条件・有効性'!$B$4:$B$83,F60,'31_条件・有効性'!$Q$4:$Q$83,"期限内・制約継続"))),"条件失効・定義不備",IF(AND(AG60&lt;&gt;"なし",AG60&lt;&gt;"条件あり"),"条件有無不正","条件整合"))))))</f>
        <v/>
      </c>
      <c r="AD60" s="28" t="str">
        <f t="shared" si="1"/>
        <v/>
      </c>
      <c r="AE60" s="29"/>
      <c r="AF60" s="29"/>
      <c r="AG60" s="29"/>
    </row>
    <row r="61" spans="1:33" ht="78" customHeight="1" x14ac:dyDescent="0.2">
      <c r="A61" s="29"/>
      <c r="B61" s="28" t="str">
        <f>IF(A61="","",IF(COUNTIF('32_定義マスター'!$A$4:$A$9,A61)&lt;&gt;1,"参照ID不正",IF(INDEX('32_定義マスター'!$B$4:$B$9,MATCH(A61,'32_定義マスター'!$A$4:$A$9,0))="","",INDEX('32_定義マスター'!$B$4:$B$9,MATCH(A61,'32_定義マスター'!$A$4:$A$9,0)))))</f>
        <v/>
      </c>
      <c r="C61" s="28" t="str">
        <f>IF(A61="","",IF(COUNTIF('32_定義マスター'!$A$4:$A$9,A61)&lt;&gt;1,"参照ID不正",IF(INDEX('32_定義マスター'!$C$4:$C$9,MATCH(A61,'32_定義マスター'!$A$4:$A$9,0))="","",INDEX('32_定義マスター'!$C$4:$C$9,MATCH(A61,'32_定義マスター'!$A$4:$A$9,0)))))</f>
        <v/>
      </c>
      <c r="D61" s="28" t="str">
        <f>IF(A61="","",IF(COUNTIF('32_定義マスター'!$A$4:$A$9,A61)&lt;&gt;1,"参照ID不正",IF(INDEX('32_定義マスター'!$D$4:$D$9,MATCH(A61,'32_定義マスター'!$A$4:$A$9,0))="","",INDEX('32_定義マスター'!$D$4:$D$9,MATCH(A61,'32_定義マスター'!$A$4:$A$9,0)))))</f>
        <v/>
      </c>
      <c r="E61" s="28" t="str">
        <f>IF(A61="","",IF(COUNTIF('32_定義マスター'!$A$4:$A$9,A61)&lt;&gt;1,"参照ID不正",IF(INDEX('32_定義マスター'!$E$4:$E$9,MATCH(A61,'32_定義マスター'!$A$4:$A$9,0))="","",INDEX('32_定義マスター'!$E$4:$E$9,MATCH(A61,'32_定義マスター'!$A$4:$A$9,0)))))</f>
        <v/>
      </c>
      <c r="F61" s="29"/>
      <c r="G61" s="29"/>
      <c r="H61" s="29"/>
      <c r="I61" s="29"/>
      <c r="J61" s="29"/>
      <c r="K61" s="29"/>
      <c r="L61" s="29"/>
      <c r="M61" s="29"/>
      <c r="N61" s="32"/>
      <c r="O61" s="29"/>
      <c r="P61" s="32"/>
      <c r="Q61" s="29"/>
      <c r="R61" s="29"/>
      <c r="S61" s="28" t="str">
        <f>IF(A61="","",IF(COUNTIF('32_定義マスター'!$A$4:$A$9,A61)&lt;&gt;1,"Gate ID不正",IF(OR(L61="",L61="未審査"),"未承認",IF(OR(OR(F61="",G61="",H61="",I61="",J61="",K61="",O61="",AE61="",AF61=""),NOT(ISNUMBER(P61))),"判断証拠不足",IF(COUNTIF($F$4:$F$83,F61)&lt;&gt;1,"判断Run ID重複",IF(OR(AND(P61&lt;&gt;"",OR(NOT(ISNUMBER(P61)),IFERROR(P61&lt;1,TRUE),IFERROR(INT(P61)&gt;INT(AsOfDate),TRUE)))),"判断日不正",IF(AND(A61="G3",OR(T61="",U61="",V61="",W61="",X61="")),"公開対象・集合不足","判断記録あり・内容審査別")))))))</f>
        <v/>
      </c>
      <c r="T61" s="29"/>
      <c r="U61" s="29"/>
      <c r="V61" s="29"/>
      <c r="W61" s="29"/>
      <c r="X61" s="29"/>
      <c r="Y61" s="32"/>
      <c r="Z61" s="29"/>
      <c r="AA61" s="28" t="str">
        <f>IF(A61="","",IF(NOT(IFERROR(ISNUMBER(SEARCH("|"&amp;L61&amp;"|",IF(COUNTIF('32_定義マスター'!$A$4:$A$9,A61)&lt;&gt;1,"参照ID不正",IF(INDEX('32_定義マスター'!$F$4:$F$9,MATCH(A61,'32_定義マスター'!$A$4:$A$9,0))="","",INDEX('32_定義マスター'!$F$4:$F$9,MATCH(A61,'32_定義マスター'!$A$4:$A$9,0)))))),FALSE)),"Gate判断不適合",IF(AND(OR(L61="承認",L61="条件付承認",L61="Scale",L61="Continue",L61="廃止完了承認"),OR(I61="不合格",J61="不合格",V61="不合格",I61="FAIL",J61="FAIL",V61="FAIL")),"停止判定と承認が矛盾",IF(AND(OR(L61="承認",L61="条件付承認",L61="Scale",L61="Continue",L61="廃止完了承認"),OR(I61="未判定",J61="未判定",AND(A61="G3",V61="未判定"))),"必要判定未確定",IF(AND(OR(L61="承認",L61="条件付承認",L61="Scale",L61="Continue",L61="廃止完了承認"),OR(AND(I61&lt;&gt;"合格",I61&lt;&gt;"対象外承認"),AND(J61&lt;&gt;"合格",J61&lt;&gt;"対象外承認"),AND(A61="G3",V61&lt;&gt;"合格",V61&lt;&gt;"対象外承認"))),"判定値不正",IF(AND(A61="G4",L61="Scale",OR(COUNTIF('25_事業仮説・実験・GTM'!$Q$4:$Q$15,F61)=0,COUNTIFS('25_事業仮説・実験・GTM'!$Q$4:$Q$15,F61,'25_事業仮説・実験・GTM'!$AF$4:$AF$15,"&lt;&gt;充足")&gt;0,COUNTIFS('25_事業仮説・実験・GTM'!$Q$4:$Q$15,F61,'25_事業仮説・実験・GTM'!$AD$4:$AD$15,"&lt;&gt;拡大可能")&gt;0)),"拡大の行動証拠不足","判定整合"))))))</f>
        <v/>
      </c>
      <c r="AB61" s="28" t="str">
        <f>IF(A61="","",IF(A61&lt;&gt;"G3",IF(A61="G0",IF(OR(COUNTIF('25_事業仮説・実験・GTM'!$Q$4:$Q$15,F61)=0,COUNTIFS('25_事業仮説・実験・GTM'!$Q$4:$Q$15,F61,'25_事業仮説・実験・GTM'!$AE$4:$AE$15,"&lt;&gt;仮説記録あり")&gt;0),"仮説・持越し確認不足","G0仮説記録接続"),IF(A61="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61="",U61="",W61="",X61="",OR(COUNTIFS('30_必須評価セット'!$B$4:$B$153,T61,'30_必須評価セット'!$C$4:$C$153,U61,'30_必須評価セット'!$E$4:$E$153,"E01")=0,COUNTIFS('30_必須評価セット'!$B$4:$B$153,T61,'30_必須評価セット'!$C$4:$C$153,U61,'30_必須評価セット'!$E$4:$E$153,"E02")=0,COUNTIFS('30_必須評価セット'!$B$4:$B$153,T61,'30_必須評価セット'!$C$4:$C$153,U61,'30_必須評価セット'!$E$4:$E$153,"E03")=0,COUNTIFS('30_必須評価セット'!$B$4:$B$153,T61,'30_必須評価セット'!$C$4:$C$153,U61,'30_必須評価セット'!$E$4:$E$153,"E04")=0,COUNTIFS('30_必須評価セット'!$B$4:$B$153,T61,'30_必須評価セット'!$C$4:$C$153,U61,'30_必須評価セット'!$E$4:$E$153,"E05")=0,COUNTIFS('30_必須評価セット'!$B$4:$B$153,T61,'30_必須評価セット'!$C$4:$C$153,U61,'30_必須評価セット'!$E$4:$E$153,"E06")=0,COUNTIFS('30_必須評価セット'!$B$4:$B$153,T61,'30_必須評価セット'!$C$4:$C$153,U61,'30_必須評価セット'!$E$4:$E$153,"E07")=0,COUNTIFS('30_必須評価セット'!$B$4:$B$153,T61,'30_必須評価セット'!$C$4:$C$153,U61,'30_必須評価セット'!$E$4:$E$153,"E08")=0,COUNTIFS('30_必須評価セット'!$B$4:$B$153,T61,'30_必須評価セット'!$C$4:$C$153,U61,'30_必須評価セット'!$E$4:$E$153,"E09")=0,COUNTIFS('30_必須評価セット'!$B$4:$B$153,T61,'30_必須評価セット'!$C$4:$C$153,U61,'30_必須評価セット'!$E$4:$E$153,"E10")=0,COUNTIFS('30_必須評価セット'!$B$4:$B$153,T61,'30_必須評価セット'!$C$4:$C$153,U61,'30_必須評価セット'!$E$4:$E$153,"E11")=0,COUNTIFS('30_必須評価セット'!$B$4:$B$153,T61,'30_必須評価セット'!$C$4:$C$153,U61,'30_必須評価セット'!$E$4:$E$153,"E12")=0,COUNTIFS('30_必須評価セット'!$B$4:$B$153,T61,'30_必須評価セット'!$C$4:$C$153,U61,'30_必須評価セット'!$E$4:$E$153,"E13")=0,COUNTIFS('30_必須評価セット'!$B$4:$B$153,T61,'30_必須評価セット'!$C$4:$C$153,U61,'30_必須評価セット'!$E$4:$E$153,"E14")=0,COUNTIFS('30_必須評価セット'!$B$4:$B$153,T61,'30_必須評価セット'!$C$4:$C$153,U61,'30_必須評価セット'!$E$4:$E$153,"E15")=0,COUNTIFS('30_必須評価セット'!$B$4:$B$153,T61,'30_必須評価セット'!$C$4:$C$153,U61,'30_必須評価セット'!$E$4:$E$153,"E16")=0,COUNTIFS('30_必須評価セット'!$B$4:$B$153,T61,'30_必須評価セット'!$C$4:$C$153,U61,'30_必須評価セット'!$E$4:$E$153,"E17")=0,COUNTIFS('30_必須評価セット'!$B$4:$B$153,T61,'30_必須評価セット'!$C$4:$C$153,U61,'30_必須評価セット'!$E$4:$E$153,"E18")=0)),"必須分類・集合不足",IF(OR(AND('03_AIリスクTier・適用判定'!$B$27="使用",OR('17_ロードマップ・案件実行管理'!$AA$86&lt;&gt;1,NOT(AND(COUNTIFS('30_必須評価セット'!$B$4:$B$153,T61,'30_必須評価セット'!$C$4:$C$153,U61,'30_必須評価セット'!$E$4:$E$153,"E03",'30_必須評価セット'!$F$4:$F$153,"必須")&gt;0,COUNTIFS('30_必須評価セット'!$B$4:$B$153,T61,'30_必須評価セット'!$C$4:$C$153,U61,'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61,'30_必須評価セット'!$C$4:$C$153,U61,'30_必須評価セット'!$E$4:$E$153,"E05",'30_必須評価セット'!$F$4:$F$153,"必須")&gt;0)))),AND('03_AIリスクTier・適用判定'!$B$28="不使用",'17_ロードマップ・案件実行管理'!$W$87&lt;&gt;"除外記録済")),"機能別評価・対象外未完",IF(COUNTIFS('30_必須評価セット'!$B$4:$B$153,T61,'30_必須評価セット'!$C$4:$C$153,U61)&lt;&gt;SUMIFS('30_必須評価セット'!$N$4:$N$153,'30_必須評価セット'!$B$4:$B$153,T61,'30_必須評価セット'!$C$4:$C$153,U61),"必須評価セット未充足","必須評価セット充足"))))))</f>
        <v/>
      </c>
      <c r="AC61" s="28" t="str">
        <f>IF(F61="","",IF(OR(AG61="",AG61="未判定"),"条件有無未判定",IF(AND(AG61="なし",OR(L61="条件付承認",COUNTIF('31_条件・有効性'!$B$4:$B$83,F61)&gt;0)),"条件有無不一致",IF(AND(AG61="条件あり",COUNTIF('31_条件・有効性'!$B$4:$B$83,F61)=0),"Condition未登録",IF(AND(AG61="条件あり",COUNTIF('31_条件・有効性'!$B$4:$B$83,F61)&lt;&gt;(COUNTIFS('31_条件・有効性'!$B$4:$B$83,F61,'31_条件・有効性'!$Q$4:$Q$83,"解消確認済")+COUNTIFS('31_条件・有効性'!$B$4:$B$83,F61,'31_条件・有効性'!$Q$4:$Q$83,"期限内・制約継続"))),"条件失効・定義不備",IF(AND(AG61&lt;&gt;"なし",AG61&lt;&gt;"条件あり"),"条件有無不正","条件整合"))))))</f>
        <v/>
      </c>
      <c r="AD61" s="28" t="str">
        <f t="shared" si="1"/>
        <v/>
      </c>
      <c r="AE61" s="29"/>
      <c r="AF61" s="29"/>
      <c r="AG61" s="29"/>
    </row>
    <row r="62" spans="1:33" ht="78" customHeight="1" x14ac:dyDescent="0.2">
      <c r="A62" s="29"/>
      <c r="B62" s="28" t="str">
        <f>IF(A62="","",IF(COUNTIF('32_定義マスター'!$A$4:$A$9,A62)&lt;&gt;1,"参照ID不正",IF(INDEX('32_定義マスター'!$B$4:$B$9,MATCH(A62,'32_定義マスター'!$A$4:$A$9,0))="","",INDEX('32_定義マスター'!$B$4:$B$9,MATCH(A62,'32_定義マスター'!$A$4:$A$9,0)))))</f>
        <v/>
      </c>
      <c r="C62" s="28" t="str">
        <f>IF(A62="","",IF(COUNTIF('32_定義マスター'!$A$4:$A$9,A62)&lt;&gt;1,"参照ID不正",IF(INDEX('32_定義マスター'!$C$4:$C$9,MATCH(A62,'32_定義マスター'!$A$4:$A$9,0))="","",INDEX('32_定義マスター'!$C$4:$C$9,MATCH(A62,'32_定義マスター'!$A$4:$A$9,0)))))</f>
        <v/>
      </c>
      <c r="D62" s="28" t="str">
        <f>IF(A62="","",IF(COUNTIF('32_定義マスター'!$A$4:$A$9,A62)&lt;&gt;1,"参照ID不正",IF(INDEX('32_定義マスター'!$D$4:$D$9,MATCH(A62,'32_定義マスター'!$A$4:$A$9,0))="","",INDEX('32_定義マスター'!$D$4:$D$9,MATCH(A62,'32_定義マスター'!$A$4:$A$9,0)))))</f>
        <v/>
      </c>
      <c r="E62" s="28" t="str">
        <f>IF(A62="","",IF(COUNTIF('32_定義マスター'!$A$4:$A$9,A62)&lt;&gt;1,"参照ID不正",IF(INDEX('32_定義マスター'!$E$4:$E$9,MATCH(A62,'32_定義マスター'!$A$4:$A$9,0))="","",INDEX('32_定義マスター'!$E$4:$E$9,MATCH(A62,'32_定義マスター'!$A$4:$A$9,0)))))</f>
        <v/>
      </c>
      <c r="F62" s="29"/>
      <c r="G62" s="29"/>
      <c r="H62" s="29"/>
      <c r="I62" s="29"/>
      <c r="J62" s="29"/>
      <c r="K62" s="29"/>
      <c r="L62" s="29"/>
      <c r="M62" s="29"/>
      <c r="N62" s="32"/>
      <c r="O62" s="29"/>
      <c r="P62" s="32"/>
      <c r="Q62" s="29"/>
      <c r="R62" s="29"/>
      <c r="S62" s="28" t="str">
        <f>IF(A62="","",IF(COUNTIF('32_定義マスター'!$A$4:$A$9,A62)&lt;&gt;1,"Gate ID不正",IF(OR(L62="",L62="未審査"),"未承認",IF(OR(OR(F62="",G62="",H62="",I62="",J62="",K62="",O62="",AE62="",AF62=""),NOT(ISNUMBER(P62))),"判断証拠不足",IF(COUNTIF($F$4:$F$83,F62)&lt;&gt;1,"判断Run ID重複",IF(OR(AND(P62&lt;&gt;"",OR(NOT(ISNUMBER(P62)),IFERROR(P62&lt;1,TRUE),IFERROR(INT(P62)&gt;INT(AsOfDate),TRUE)))),"判断日不正",IF(AND(A62="G3",OR(T62="",U62="",V62="",W62="",X62="")),"公開対象・集合不足","判断記録あり・内容審査別")))))))</f>
        <v/>
      </c>
      <c r="T62" s="29"/>
      <c r="U62" s="29"/>
      <c r="V62" s="29"/>
      <c r="W62" s="29"/>
      <c r="X62" s="29"/>
      <c r="Y62" s="32"/>
      <c r="Z62" s="29"/>
      <c r="AA62" s="28" t="str">
        <f>IF(A62="","",IF(NOT(IFERROR(ISNUMBER(SEARCH("|"&amp;L62&amp;"|",IF(COUNTIF('32_定義マスター'!$A$4:$A$9,A62)&lt;&gt;1,"参照ID不正",IF(INDEX('32_定義マスター'!$F$4:$F$9,MATCH(A62,'32_定義マスター'!$A$4:$A$9,0))="","",INDEX('32_定義マスター'!$F$4:$F$9,MATCH(A62,'32_定義マスター'!$A$4:$A$9,0)))))),FALSE)),"Gate判断不適合",IF(AND(OR(L62="承認",L62="条件付承認",L62="Scale",L62="Continue",L62="廃止完了承認"),OR(I62="不合格",J62="不合格",V62="不合格",I62="FAIL",J62="FAIL",V62="FAIL")),"停止判定と承認が矛盾",IF(AND(OR(L62="承認",L62="条件付承認",L62="Scale",L62="Continue",L62="廃止完了承認"),OR(I62="未判定",J62="未判定",AND(A62="G3",V62="未判定"))),"必要判定未確定",IF(AND(OR(L62="承認",L62="条件付承認",L62="Scale",L62="Continue",L62="廃止完了承認"),OR(AND(I62&lt;&gt;"合格",I62&lt;&gt;"対象外承認"),AND(J62&lt;&gt;"合格",J62&lt;&gt;"対象外承認"),AND(A62="G3",V62&lt;&gt;"合格",V62&lt;&gt;"対象外承認"))),"判定値不正",IF(AND(A62="G4",L62="Scale",OR(COUNTIF('25_事業仮説・実験・GTM'!$Q$4:$Q$15,F62)=0,COUNTIFS('25_事業仮説・実験・GTM'!$Q$4:$Q$15,F62,'25_事業仮説・実験・GTM'!$AF$4:$AF$15,"&lt;&gt;充足")&gt;0,COUNTIFS('25_事業仮説・実験・GTM'!$Q$4:$Q$15,F62,'25_事業仮説・実験・GTM'!$AD$4:$AD$15,"&lt;&gt;拡大可能")&gt;0)),"拡大の行動証拠不足","判定整合"))))))</f>
        <v/>
      </c>
      <c r="AB62" s="28" t="str">
        <f>IF(A62="","",IF(A62&lt;&gt;"G3",IF(A62="G0",IF(OR(COUNTIF('25_事業仮説・実験・GTM'!$Q$4:$Q$15,F62)=0,COUNTIFS('25_事業仮説・実験・GTM'!$Q$4:$Q$15,F62,'25_事業仮説・実験・GTM'!$AE$4:$AE$15,"&lt;&gt;仮説記録あり")&gt;0),"仮説・持越し確認不足","G0仮説記録接続"),IF(A62="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62="",U62="",W62="",X62="",OR(COUNTIFS('30_必須評価セット'!$B$4:$B$153,T62,'30_必須評価セット'!$C$4:$C$153,U62,'30_必須評価セット'!$E$4:$E$153,"E01")=0,COUNTIFS('30_必須評価セット'!$B$4:$B$153,T62,'30_必須評価セット'!$C$4:$C$153,U62,'30_必須評価セット'!$E$4:$E$153,"E02")=0,COUNTIFS('30_必須評価セット'!$B$4:$B$153,T62,'30_必須評価セット'!$C$4:$C$153,U62,'30_必須評価セット'!$E$4:$E$153,"E03")=0,COUNTIFS('30_必須評価セット'!$B$4:$B$153,T62,'30_必須評価セット'!$C$4:$C$153,U62,'30_必須評価セット'!$E$4:$E$153,"E04")=0,COUNTIFS('30_必須評価セット'!$B$4:$B$153,T62,'30_必須評価セット'!$C$4:$C$153,U62,'30_必須評価セット'!$E$4:$E$153,"E05")=0,COUNTIFS('30_必須評価セット'!$B$4:$B$153,T62,'30_必須評価セット'!$C$4:$C$153,U62,'30_必須評価セット'!$E$4:$E$153,"E06")=0,COUNTIFS('30_必須評価セット'!$B$4:$B$153,T62,'30_必須評価セット'!$C$4:$C$153,U62,'30_必須評価セット'!$E$4:$E$153,"E07")=0,COUNTIFS('30_必須評価セット'!$B$4:$B$153,T62,'30_必須評価セット'!$C$4:$C$153,U62,'30_必須評価セット'!$E$4:$E$153,"E08")=0,COUNTIFS('30_必須評価セット'!$B$4:$B$153,T62,'30_必須評価セット'!$C$4:$C$153,U62,'30_必須評価セット'!$E$4:$E$153,"E09")=0,COUNTIFS('30_必須評価セット'!$B$4:$B$153,T62,'30_必須評価セット'!$C$4:$C$153,U62,'30_必須評価セット'!$E$4:$E$153,"E10")=0,COUNTIFS('30_必須評価セット'!$B$4:$B$153,T62,'30_必須評価セット'!$C$4:$C$153,U62,'30_必須評価セット'!$E$4:$E$153,"E11")=0,COUNTIFS('30_必須評価セット'!$B$4:$B$153,T62,'30_必須評価セット'!$C$4:$C$153,U62,'30_必須評価セット'!$E$4:$E$153,"E12")=0,COUNTIFS('30_必須評価セット'!$B$4:$B$153,T62,'30_必須評価セット'!$C$4:$C$153,U62,'30_必須評価セット'!$E$4:$E$153,"E13")=0,COUNTIFS('30_必須評価セット'!$B$4:$B$153,T62,'30_必須評価セット'!$C$4:$C$153,U62,'30_必須評価セット'!$E$4:$E$153,"E14")=0,COUNTIFS('30_必須評価セット'!$B$4:$B$153,T62,'30_必須評価セット'!$C$4:$C$153,U62,'30_必須評価セット'!$E$4:$E$153,"E15")=0,COUNTIFS('30_必須評価セット'!$B$4:$B$153,T62,'30_必須評価セット'!$C$4:$C$153,U62,'30_必須評価セット'!$E$4:$E$153,"E16")=0,COUNTIFS('30_必須評価セット'!$B$4:$B$153,T62,'30_必須評価セット'!$C$4:$C$153,U62,'30_必須評価セット'!$E$4:$E$153,"E17")=0,COUNTIFS('30_必須評価セット'!$B$4:$B$153,T62,'30_必須評価セット'!$C$4:$C$153,U62,'30_必須評価セット'!$E$4:$E$153,"E18")=0)),"必須分類・集合不足",IF(OR(AND('03_AIリスクTier・適用判定'!$B$27="使用",OR('17_ロードマップ・案件実行管理'!$AA$86&lt;&gt;1,NOT(AND(COUNTIFS('30_必須評価セット'!$B$4:$B$153,T62,'30_必須評価セット'!$C$4:$C$153,U62,'30_必須評価セット'!$E$4:$E$153,"E03",'30_必須評価セット'!$F$4:$F$153,"必須")&gt;0,COUNTIFS('30_必須評価セット'!$B$4:$B$153,T62,'30_必須評価セット'!$C$4:$C$153,U62,'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62,'30_必須評価セット'!$C$4:$C$153,U62,'30_必須評価セット'!$E$4:$E$153,"E05",'30_必須評価セット'!$F$4:$F$153,"必須")&gt;0)))),AND('03_AIリスクTier・適用判定'!$B$28="不使用",'17_ロードマップ・案件実行管理'!$W$87&lt;&gt;"除外記録済")),"機能別評価・対象外未完",IF(COUNTIFS('30_必須評価セット'!$B$4:$B$153,T62,'30_必須評価セット'!$C$4:$C$153,U62)&lt;&gt;SUMIFS('30_必須評価セット'!$N$4:$N$153,'30_必須評価セット'!$B$4:$B$153,T62,'30_必須評価セット'!$C$4:$C$153,U62),"必須評価セット未充足","必須評価セット充足"))))))</f>
        <v/>
      </c>
      <c r="AC62" s="28" t="str">
        <f>IF(F62="","",IF(OR(AG62="",AG62="未判定"),"条件有無未判定",IF(AND(AG62="なし",OR(L62="条件付承認",COUNTIF('31_条件・有効性'!$B$4:$B$83,F62)&gt;0)),"条件有無不一致",IF(AND(AG62="条件あり",COUNTIF('31_条件・有効性'!$B$4:$B$83,F62)=0),"Condition未登録",IF(AND(AG62="条件あり",COUNTIF('31_条件・有効性'!$B$4:$B$83,F62)&lt;&gt;(COUNTIFS('31_条件・有効性'!$B$4:$B$83,F62,'31_条件・有効性'!$Q$4:$Q$83,"解消確認済")+COUNTIFS('31_条件・有効性'!$B$4:$B$83,F62,'31_条件・有効性'!$Q$4:$Q$83,"期限内・制約継続"))),"条件失効・定義不備",IF(AND(AG62&lt;&gt;"なし",AG62&lt;&gt;"条件あり"),"条件有無不正","条件整合"))))))</f>
        <v/>
      </c>
      <c r="AD62" s="28" t="str">
        <f t="shared" si="1"/>
        <v/>
      </c>
      <c r="AE62" s="29"/>
      <c r="AF62" s="29"/>
      <c r="AG62" s="29"/>
    </row>
    <row r="63" spans="1:33" ht="78" customHeight="1" x14ac:dyDescent="0.2">
      <c r="A63" s="29"/>
      <c r="B63" s="28" t="str">
        <f>IF(A63="","",IF(COUNTIF('32_定義マスター'!$A$4:$A$9,A63)&lt;&gt;1,"参照ID不正",IF(INDEX('32_定義マスター'!$B$4:$B$9,MATCH(A63,'32_定義マスター'!$A$4:$A$9,0))="","",INDEX('32_定義マスター'!$B$4:$B$9,MATCH(A63,'32_定義マスター'!$A$4:$A$9,0)))))</f>
        <v/>
      </c>
      <c r="C63" s="28" t="str">
        <f>IF(A63="","",IF(COUNTIF('32_定義マスター'!$A$4:$A$9,A63)&lt;&gt;1,"参照ID不正",IF(INDEX('32_定義マスター'!$C$4:$C$9,MATCH(A63,'32_定義マスター'!$A$4:$A$9,0))="","",INDEX('32_定義マスター'!$C$4:$C$9,MATCH(A63,'32_定義マスター'!$A$4:$A$9,0)))))</f>
        <v/>
      </c>
      <c r="D63" s="28" t="str">
        <f>IF(A63="","",IF(COUNTIF('32_定義マスター'!$A$4:$A$9,A63)&lt;&gt;1,"参照ID不正",IF(INDEX('32_定義マスター'!$D$4:$D$9,MATCH(A63,'32_定義マスター'!$A$4:$A$9,0))="","",INDEX('32_定義マスター'!$D$4:$D$9,MATCH(A63,'32_定義マスター'!$A$4:$A$9,0)))))</f>
        <v/>
      </c>
      <c r="E63" s="28" t="str">
        <f>IF(A63="","",IF(COUNTIF('32_定義マスター'!$A$4:$A$9,A63)&lt;&gt;1,"参照ID不正",IF(INDEX('32_定義マスター'!$E$4:$E$9,MATCH(A63,'32_定義マスター'!$A$4:$A$9,0))="","",INDEX('32_定義マスター'!$E$4:$E$9,MATCH(A63,'32_定義マスター'!$A$4:$A$9,0)))))</f>
        <v/>
      </c>
      <c r="F63" s="29"/>
      <c r="G63" s="29"/>
      <c r="H63" s="29"/>
      <c r="I63" s="29"/>
      <c r="J63" s="29"/>
      <c r="K63" s="29"/>
      <c r="L63" s="29"/>
      <c r="M63" s="29"/>
      <c r="N63" s="32"/>
      <c r="O63" s="29"/>
      <c r="P63" s="32"/>
      <c r="Q63" s="29"/>
      <c r="R63" s="29"/>
      <c r="S63" s="28" t="str">
        <f>IF(A63="","",IF(COUNTIF('32_定義マスター'!$A$4:$A$9,A63)&lt;&gt;1,"Gate ID不正",IF(OR(L63="",L63="未審査"),"未承認",IF(OR(OR(F63="",G63="",H63="",I63="",J63="",K63="",O63="",AE63="",AF63=""),NOT(ISNUMBER(P63))),"判断証拠不足",IF(COUNTIF($F$4:$F$83,F63)&lt;&gt;1,"判断Run ID重複",IF(OR(AND(P63&lt;&gt;"",OR(NOT(ISNUMBER(P63)),IFERROR(P63&lt;1,TRUE),IFERROR(INT(P63)&gt;INT(AsOfDate),TRUE)))),"判断日不正",IF(AND(A63="G3",OR(T63="",U63="",V63="",W63="",X63="")),"公開対象・集合不足","判断記録あり・内容審査別")))))))</f>
        <v/>
      </c>
      <c r="T63" s="29"/>
      <c r="U63" s="29"/>
      <c r="V63" s="29"/>
      <c r="W63" s="29"/>
      <c r="X63" s="29"/>
      <c r="Y63" s="32"/>
      <c r="Z63" s="29"/>
      <c r="AA63" s="28" t="str">
        <f>IF(A63="","",IF(NOT(IFERROR(ISNUMBER(SEARCH("|"&amp;L63&amp;"|",IF(COUNTIF('32_定義マスター'!$A$4:$A$9,A63)&lt;&gt;1,"参照ID不正",IF(INDEX('32_定義マスター'!$F$4:$F$9,MATCH(A63,'32_定義マスター'!$A$4:$A$9,0))="","",INDEX('32_定義マスター'!$F$4:$F$9,MATCH(A63,'32_定義マスター'!$A$4:$A$9,0)))))),FALSE)),"Gate判断不適合",IF(AND(OR(L63="承認",L63="条件付承認",L63="Scale",L63="Continue",L63="廃止完了承認"),OR(I63="不合格",J63="不合格",V63="不合格",I63="FAIL",J63="FAIL",V63="FAIL")),"停止判定と承認が矛盾",IF(AND(OR(L63="承認",L63="条件付承認",L63="Scale",L63="Continue",L63="廃止完了承認"),OR(I63="未判定",J63="未判定",AND(A63="G3",V63="未判定"))),"必要判定未確定",IF(AND(OR(L63="承認",L63="条件付承認",L63="Scale",L63="Continue",L63="廃止完了承認"),OR(AND(I63&lt;&gt;"合格",I63&lt;&gt;"対象外承認"),AND(J63&lt;&gt;"合格",J63&lt;&gt;"対象外承認"),AND(A63="G3",V63&lt;&gt;"合格",V63&lt;&gt;"対象外承認"))),"判定値不正",IF(AND(A63="G4",L63="Scale",OR(COUNTIF('25_事業仮説・実験・GTM'!$Q$4:$Q$15,F63)=0,COUNTIFS('25_事業仮説・実験・GTM'!$Q$4:$Q$15,F63,'25_事業仮説・実験・GTM'!$AF$4:$AF$15,"&lt;&gt;充足")&gt;0,COUNTIFS('25_事業仮説・実験・GTM'!$Q$4:$Q$15,F63,'25_事業仮説・実験・GTM'!$AD$4:$AD$15,"&lt;&gt;拡大可能")&gt;0)),"拡大の行動証拠不足","判定整合"))))))</f>
        <v/>
      </c>
      <c r="AB63" s="28" t="str">
        <f>IF(A63="","",IF(A63&lt;&gt;"G3",IF(A63="G0",IF(OR(COUNTIF('25_事業仮説・実験・GTM'!$Q$4:$Q$15,F63)=0,COUNTIFS('25_事業仮説・実験・GTM'!$Q$4:$Q$15,F63,'25_事業仮説・実験・GTM'!$AE$4:$AE$15,"&lt;&gt;仮説記録あり")&gt;0),"仮説・持越し確認不足","G0仮説記録接続"),IF(A63="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63="",U63="",W63="",X63="",OR(COUNTIFS('30_必須評価セット'!$B$4:$B$153,T63,'30_必須評価セット'!$C$4:$C$153,U63,'30_必須評価セット'!$E$4:$E$153,"E01")=0,COUNTIFS('30_必須評価セット'!$B$4:$B$153,T63,'30_必須評価セット'!$C$4:$C$153,U63,'30_必須評価セット'!$E$4:$E$153,"E02")=0,COUNTIFS('30_必須評価セット'!$B$4:$B$153,T63,'30_必須評価セット'!$C$4:$C$153,U63,'30_必須評価セット'!$E$4:$E$153,"E03")=0,COUNTIFS('30_必須評価セット'!$B$4:$B$153,T63,'30_必須評価セット'!$C$4:$C$153,U63,'30_必須評価セット'!$E$4:$E$153,"E04")=0,COUNTIFS('30_必須評価セット'!$B$4:$B$153,T63,'30_必須評価セット'!$C$4:$C$153,U63,'30_必須評価セット'!$E$4:$E$153,"E05")=0,COUNTIFS('30_必須評価セット'!$B$4:$B$153,T63,'30_必須評価セット'!$C$4:$C$153,U63,'30_必須評価セット'!$E$4:$E$153,"E06")=0,COUNTIFS('30_必須評価セット'!$B$4:$B$153,T63,'30_必須評価セット'!$C$4:$C$153,U63,'30_必須評価セット'!$E$4:$E$153,"E07")=0,COUNTIFS('30_必須評価セット'!$B$4:$B$153,T63,'30_必須評価セット'!$C$4:$C$153,U63,'30_必須評価セット'!$E$4:$E$153,"E08")=0,COUNTIFS('30_必須評価セット'!$B$4:$B$153,T63,'30_必須評価セット'!$C$4:$C$153,U63,'30_必須評価セット'!$E$4:$E$153,"E09")=0,COUNTIFS('30_必須評価セット'!$B$4:$B$153,T63,'30_必須評価セット'!$C$4:$C$153,U63,'30_必須評価セット'!$E$4:$E$153,"E10")=0,COUNTIFS('30_必須評価セット'!$B$4:$B$153,T63,'30_必須評価セット'!$C$4:$C$153,U63,'30_必須評価セット'!$E$4:$E$153,"E11")=0,COUNTIFS('30_必須評価セット'!$B$4:$B$153,T63,'30_必須評価セット'!$C$4:$C$153,U63,'30_必須評価セット'!$E$4:$E$153,"E12")=0,COUNTIFS('30_必須評価セット'!$B$4:$B$153,T63,'30_必須評価セット'!$C$4:$C$153,U63,'30_必須評価セット'!$E$4:$E$153,"E13")=0,COUNTIFS('30_必須評価セット'!$B$4:$B$153,T63,'30_必須評価セット'!$C$4:$C$153,U63,'30_必須評価セット'!$E$4:$E$153,"E14")=0,COUNTIFS('30_必須評価セット'!$B$4:$B$153,T63,'30_必須評価セット'!$C$4:$C$153,U63,'30_必須評価セット'!$E$4:$E$153,"E15")=0,COUNTIFS('30_必須評価セット'!$B$4:$B$153,T63,'30_必須評価セット'!$C$4:$C$153,U63,'30_必須評価セット'!$E$4:$E$153,"E16")=0,COUNTIFS('30_必須評価セット'!$B$4:$B$153,T63,'30_必須評価セット'!$C$4:$C$153,U63,'30_必須評価セット'!$E$4:$E$153,"E17")=0,COUNTIFS('30_必須評価セット'!$B$4:$B$153,T63,'30_必須評価セット'!$C$4:$C$153,U63,'30_必須評価セット'!$E$4:$E$153,"E18")=0)),"必須分類・集合不足",IF(OR(AND('03_AIリスクTier・適用判定'!$B$27="使用",OR('17_ロードマップ・案件実行管理'!$AA$86&lt;&gt;1,NOT(AND(COUNTIFS('30_必須評価セット'!$B$4:$B$153,T63,'30_必須評価セット'!$C$4:$C$153,U63,'30_必須評価セット'!$E$4:$E$153,"E03",'30_必須評価セット'!$F$4:$F$153,"必須")&gt;0,COUNTIFS('30_必須評価セット'!$B$4:$B$153,T63,'30_必須評価セット'!$C$4:$C$153,U63,'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63,'30_必須評価セット'!$C$4:$C$153,U63,'30_必須評価セット'!$E$4:$E$153,"E05",'30_必須評価セット'!$F$4:$F$153,"必須")&gt;0)))),AND('03_AIリスクTier・適用判定'!$B$28="不使用",'17_ロードマップ・案件実行管理'!$W$87&lt;&gt;"除外記録済")),"機能別評価・対象外未完",IF(COUNTIFS('30_必須評価セット'!$B$4:$B$153,T63,'30_必須評価セット'!$C$4:$C$153,U63)&lt;&gt;SUMIFS('30_必須評価セット'!$N$4:$N$153,'30_必須評価セット'!$B$4:$B$153,T63,'30_必須評価セット'!$C$4:$C$153,U63),"必須評価セット未充足","必須評価セット充足"))))))</f>
        <v/>
      </c>
      <c r="AC63" s="28" t="str">
        <f>IF(F63="","",IF(OR(AG63="",AG63="未判定"),"条件有無未判定",IF(AND(AG63="なし",OR(L63="条件付承認",COUNTIF('31_条件・有効性'!$B$4:$B$83,F63)&gt;0)),"条件有無不一致",IF(AND(AG63="条件あり",COUNTIF('31_条件・有効性'!$B$4:$B$83,F63)=0),"Condition未登録",IF(AND(AG63="条件あり",COUNTIF('31_条件・有効性'!$B$4:$B$83,F63)&lt;&gt;(COUNTIFS('31_条件・有効性'!$B$4:$B$83,F63,'31_条件・有効性'!$Q$4:$Q$83,"解消確認済")+COUNTIFS('31_条件・有効性'!$B$4:$B$83,F63,'31_条件・有効性'!$Q$4:$Q$83,"期限内・制約継続"))),"条件失効・定義不備",IF(AND(AG63&lt;&gt;"なし",AG63&lt;&gt;"条件あり"),"条件有無不正","条件整合"))))))</f>
        <v/>
      </c>
      <c r="AD63" s="28" t="str">
        <f t="shared" si="1"/>
        <v/>
      </c>
      <c r="AE63" s="29"/>
      <c r="AF63" s="29"/>
      <c r="AG63" s="29"/>
    </row>
    <row r="64" spans="1:33" ht="78" customHeight="1" x14ac:dyDescent="0.2">
      <c r="A64" s="29"/>
      <c r="B64" s="28" t="str">
        <f>IF(A64="","",IF(COUNTIF('32_定義マスター'!$A$4:$A$9,A64)&lt;&gt;1,"参照ID不正",IF(INDEX('32_定義マスター'!$B$4:$B$9,MATCH(A64,'32_定義マスター'!$A$4:$A$9,0))="","",INDEX('32_定義マスター'!$B$4:$B$9,MATCH(A64,'32_定義マスター'!$A$4:$A$9,0)))))</f>
        <v/>
      </c>
      <c r="C64" s="28" t="str">
        <f>IF(A64="","",IF(COUNTIF('32_定義マスター'!$A$4:$A$9,A64)&lt;&gt;1,"参照ID不正",IF(INDEX('32_定義マスター'!$C$4:$C$9,MATCH(A64,'32_定義マスター'!$A$4:$A$9,0))="","",INDEX('32_定義マスター'!$C$4:$C$9,MATCH(A64,'32_定義マスター'!$A$4:$A$9,0)))))</f>
        <v/>
      </c>
      <c r="D64" s="28" t="str">
        <f>IF(A64="","",IF(COUNTIF('32_定義マスター'!$A$4:$A$9,A64)&lt;&gt;1,"参照ID不正",IF(INDEX('32_定義マスター'!$D$4:$D$9,MATCH(A64,'32_定義マスター'!$A$4:$A$9,0))="","",INDEX('32_定義マスター'!$D$4:$D$9,MATCH(A64,'32_定義マスター'!$A$4:$A$9,0)))))</f>
        <v/>
      </c>
      <c r="E64" s="28" t="str">
        <f>IF(A64="","",IF(COUNTIF('32_定義マスター'!$A$4:$A$9,A64)&lt;&gt;1,"参照ID不正",IF(INDEX('32_定義マスター'!$E$4:$E$9,MATCH(A64,'32_定義マスター'!$A$4:$A$9,0))="","",INDEX('32_定義マスター'!$E$4:$E$9,MATCH(A64,'32_定義マスター'!$A$4:$A$9,0)))))</f>
        <v/>
      </c>
      <c r="F64" s="29"/>
      <c r="G64" s="29"/>
      <c r="H64" s="29"/>
      <c r="I64" s="29"/>
      <c r="J64" s="29"/>
      <c r="K64" s="29"/>
      <c r="L64" s="29"/>
      <c r="M64" s="29"/>
      <c r="N64" s="32"/>
      <c r="O64" s="29"/>
      <c r="P64" s="32"/>
      <c r="Q64" s="29"/>
      <c r="R64" s="29"/>
      <c r="S64" s="28" t="str">
        <f>IF(A64="","",IF(COUNTIF('32_定義マスター'!$A$4:$A$9,A64)&lt;&gt;1,"Gate ID不正",IF(OR(L64="",L64="未審査"),"未承認",IF(OR(OR(F64="",G64="",H64="",I64="",J64="",K64="",O64="",AE64="",AF64=""),NOT(ISNUMBER(P64))),"判断証拠不足",IF(COUNTIF($F$4:$F$83,F64)&lt;&gt;1,"判断Run ID重複",IF(OR(AND(P64&lt;&gt;"",OR(NOT(ISNUMBER(P64)),IFERROR(P64&lt;1,TRUE),IFERROR(INT(P64)&gt;INT(AsOfDate),TRUE)))),"判断日不正",IF(AND(A64="G3",OR(T64="",U64="",V64="",W64="",X64="")),"公開対象・集合不足","判断記録あり・内容審査別")))))))</f>
        <v/>
      </c>
      <c r="T64" s="29"/>
      <c r="U64" s="29"/>
      <c r="V64" s="29"/>
      <c r="W64" s="29"/>
      <c r="X64" s="29"/>
      <c r="Y64" s="32"/>
      <c r="Z64" s="29"/>
      <c r="AA64" s="28" t="str">
        <f>IF(A64="","",IF(NOT(IFERROR(ISNUMBER(SEARCH("|"&amp;L64&amp;"|",IF(COUNTIF('32_定義マスター'!$A$4:$A$9,A64)&lt;&gt;1,"参照ID不正",IF(INDEX('32_定義マスター'!$F$4:$F$9,MATCH(A64,'32_定義マスター'!$A$4:$A$9,0))="","",INDEX('32_定義マスター'!$F$4:$F$9,MATCH(A64,'32_定義マスター'!$A$4:$A$9,0)))))),FALSE)),"Gate判断不適合",IF(AND(OR(L64="承認",L64="条件付承認",L64="Scale",L64="Continue",L64="廃止完了承認"),OR(I64="不合格",J64="不合格",V64="不合格",I64="FAIL",J64="FAIL",V64="FAIL")),"停止判定と承認が矛盾",IF(AND(OR(L64="承認",L64="条件付承認",L64="Scale",L64="Continue",L64="廃止完了承認"),OR(I64="未判定",J64="未判定",AND(A64="G3",V64="未判定"))),"必要判定未確定",IF(AND(OR(L64="承認",L64="条件付承認",L64="Scale",L64="Continue",L64="廃止完了承認"),OR(AND(I64&lt;&gt;"合格",I64&lt;&gt;"対象外承認"),AND(J64&lt;&gt;"合格",J64&lt;&gt;"対象外承認"),AND(A64="G3",V64&lt;&gt;"合格",V64&lt;&gt;"対象外承認"))),"判定値不正",IF(AND(A64="G4",L64="Scale",OR(COUNTIF('25_事業仮説・実験・GTM'!$Q$4:$Q$15,F64)=0,COUNTIFS('25_事業仮説・実験・GTM'!$Q$4:$Q$15,F64,'25_事業仮説・実験・GTM'!$AF$4:$AF$15,"&lt;&gt;充足")&gt;0,COUNTIFS('25_事業仮説・実験・GTM'!$Q$4:$Q$15,F64,'25_事業仮説・実験・GTM'!$AD$4:$AD$15,"&lt;&gt;拡大可能")&gt;0)),"拡大の行動証拠不足","判定整合"))))))</f>
        <v/>
      </c>
      <c r="AB64" s="28" t="str">
        <f>IF(A64="","",IF(A64&lt;&gt;"G3",IF(A64="G0",IF(OR(COUNTIF('25_事業仮説・実験・GTM'!$Q$4:$Q$15,F64)=0,COUNTIFS('25_事業仮説・実験・GTM'!$Q$4:$Q$15,F64,'25_事業仮説・実験・GTM'!$AE$4:$AE$15,"&lt;&gt;仮説記録あり")&gt;0),"仮説・持越し確認不足","G0仮説記録接続"),IF(A64="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64="",U64="",W64="",X64="",OR(COUNTIFS('30_必須評価セット'!$B$4:$B$153,T64,'30_必須評価セット'!$C$4:$C$153,U64,'30_必須評価セット'!$E$4:$E$153,"E01")=0,COUNTIFS('30_必須評価セット'!$B$4:$B$153,T64,'30_必須評価セット'!$C$4:$C$153,U64,'30_必須評価セット'!$E$4:$E$153,"E02")=0,COUNTIFS('30_必須評価セット'!$B$4:$B$153,T64,'30_必須評価セット'!$C$4:$C$153,U64,'30_必須評価セット'!$E$4:$E$153,"E03")=0,COUNTIFS('30_必須評価セット'!$B$4:$B$153,T64,'30_必須評価セット'!$C$4:$C$153,U64,'30_必須評価セット'!$E$4:$E$153,"E04")=0,COUNTIFS('30_必須評価セット'!$B$4:$B$153,T64,'30_必須評価セット'!$C$4:$C$153,U64,'30_必須評価セット'!$E$4:$E$153,"E05")=0,COUNTIFS('30_必須評価セット'!$B$4:$B$153,T64,'30_必須評価セット'!$C$4:$C$153,U64,'30_必須評価セット'!$E$4:$E$153,"E06")=0,COUNTIFS('30_必須評価セット'!$B$4:$B$153,T64,'30_必須評価セット'!$C$4:$C$153,U64,'30_必須評価セット'!$E$4:$E$153,"E07")=0,COUNTIFS('30_必須評価セット'!$B$4:$B$153,T64,'30_必須評価セット'!$C$4:$C$153,U64,'30_必須評価セット'!$E$4:$E$153,"E08")=0,COUNTIFS('30_必須評価セット'!$B$4:$B$153,T64,'30_必須評価セット'!$C$4:$C$153,U64,'30_必須評価セット'!$E$4:$E$153,"E09")=0,COUNTIFS('30_必須評価セット'!$B$4:$B$153,T64,'30_必須評価セット'!$C$4:$C$153,U64,'30_必須評価セット'!$E$4:$E$153,"E10")=0,COUNTIFS('30_必須評価セット'!$B$4:$B$153,T64,'30_必須評価セット'!$C$4:$C$153,U64,'30_必須評価セット'!$E$4:$E$153,"E11")=0,COUNTIFS('30_必須評価セット'!$B$4:$B$153,T64,'30_必須評価セット'!$C$4:$C$153,U64,'30_必須評価セット'!$E$4:$E$153,"E12")=0,COUNTIFS('30_必須評価セット'!$B$4:$B$153,T64,'30_必須評価セット'!$C$4:$C$153,U64,'30_必須評価セット'!$E$4:$E$153,"E13")=0,COUNTIFS('30_必須評価セット'!$B$4:$B$153,T64,'30_必須評価セット'!$C$4:$C$153,U64,'30_必須評価セット'!$E$4:$E$153,"E14")=0,COUNTIFS('30_必須評価セット'!$B$4:$B$153,T64,'30_必須評価セット'!$C$4:$C$153,U64,'30_必須評価セット'!$E$4:$E$153,"E15")=0,COUNTIFS('30_必須評価セット'!$B$4:$B$153,T64,'30_必須評価セット'!$C$4:$C$153,U64,'30_必須評価セット'!$E$4:$E$153,"E16")=0,COUNTIFS('30_必須評価セット'!$B$4:$B$153,T64,'30_必須評価セット'!$C$4:$C$153,U64,'30_必須評価セット'!$E$4:$E$153,"E17")=0,COUNTIFS('30_必須評価セット'!$B$4:$B$153,T64,'30_必須評価セット'!$C$4:$C$153,U64,'30_必須評価セット'!$E$4:$E$153,"E18")=0)),"必須分類・集合不足",IF(OR(AND('03_AIリスクTier・適用判定'!$B$27="使用",OR('17_ロードマップ・案件実行管理'!$AA$86&lt;&gt;1,NOT(AND(COUNTIFS('30_必須評価セット'!$B$4:$B$153,T64,'30_必須評価セット'!$C$4:$C$153,U64,'30_必須評価セット'!$E$4:$E$153,"E03",'30_必須評価セット'!$F$4:$F$153,"必須")&gt;0,COUNTIFS('30_必須評価セット'!$B$4:$B$153,T64,'30_必須評価セット'!$C$4:$C$153,U64,'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64,'30_必須評価セット'!$C$4:$C$153,U64,'30_必須評価セット'!$E$4:$E$153,"E05",'30_必須評価セット'!$F$4:$F$153,"必須")&gt;0)))),AND('03_AIリスクTier・適用判定'!$B$28="不使用",'17_ロードマップ・案件実行管理'!$W$87&lt;&gt;"除外記録済")),"機能別評価・対象外未完",IF(COUNTIFS('30_必須評価セット'!$B$4:$B$153,T64,'30_必須評価セット'!$C$4:$C$153,U64)&lt;&gt;SUMIFS('30_必須評価セット'!$N$4:$N$153,'30_必須評価セット'!$B$4:$B$153,T64,'30_必須評価セット'!$C$4:$C$153,U64),"必須評価セット未充足","必須評価セット充足"))))))</f>
        <v/>
      </c>
      <c r="AC64" s="28" t="str">
        <f>IF(F64="","",IF(OR(AG64="",AG64="未判定"),"条件有無未判定",IF(AND(AG64="なし",OR(L64="条件付承認",COUNTIF('31_条件・有効性'!$B$4:$B$83,F64)&gt;0)),"条件有無不一致",IF(AND(AG64="条件あり",COUNTIF('31_条件・有効性'!$B$4:$B$83,F64)=0),"Condition未登録",IF(AND(AG64="条件あり",COUNTIF('31_条件・有効性'!$B$4:$B$83,F64)&lt;&gt;(COUNTIFS('31_条件・有効性'!$B$4:$B$83,F64,'31_条件・有効性'!$Q$4:$Q$83,"解消確認済")+COUNTIFS('31_条件・有効性'!$B$4:$B$83,F64,'31_条件・有効性'!$Q$4:$Q$83,"期限内・制約継続"))),"条件失効・定義不備",IF(AND(AG64&lt;&gt;"なし",AG64&lt;&gt;"条件あり"),"条件有無不正","条件整合"))))))</f>
        <v/>
      </c>
      <c r="AD64" s="28" t="str">
        <f t="shared" si="1"/>
        <v/>
      </c>
      <c r="AE64" s="29"/>
      <c r="AF64" s="29"/>
      <c r="AG64" s="29"/>
    </row>
    <row r="65" spans="1:33" ht="78" customHeight="1" x14ac:dyDescent="0.2">
      <c r="A65" s="29"/>
      <c r="B65" s="28" t="str">
        <f>IF(A65="","",IF(COUNTIF('32_定義マスター'!$A$4:$A$9,A65)&lt;&gt;1,"参照ID不正",IF(INDEX('32_定義マスター'!$B$4:$B$9,MATCH(A65,'32_定義マスター'!$A$4:$A$9,0))="","",INDEX('32_定義マスター'!$B$4:$B$9,MATCH(A65,'32_定義マスター'!$A$4:$A$9,0)))))</f>
        <v/>
      </c>
      <c r="C65" s="28" t="str">
        <f>IF(A65="","",IF(COUNTIF('32_定義マスター'!$A$4:$A$9,A65)&lt;&gt;1,"参照ID不正",IF(INDEX('32_定義マスター'!$C$4:$C$9,MATCH(A65,'32_定義マスター'!$A$4:$A$9,0))="","",INDEX('32_定義マスター'!$C$4:$C$9,MATCH(A65,'32_定義マスター'!$A$4:$A$9,0)))))</f>
        <v/>
      </c>
      <c r="D65" s="28" t="str">
        <f>IF(A65="","",IF(COUNTIF('32_定義マスター'!$A$4:$A$9,A65)&lt;&gt;1,"参照ID不正",IF(INDEX('32_定義マスター'!$D$4:$D$9,MATCH(A65,'32_定義マスター'!$A$4:$A$9,0))="","",INDEX('32_定義マスター'!$D$4:$D$9,MATCH(A65,'32_定義マスター'!$A$4:$A$9,0)))))</f>
        <v/>
      </c>
      <c r="E65" s="28" t="str">
        <f>IF(A65="","",IF(COUNTIF('32_定義マスター'!$A$4:$A$9,A65)&lt;&gt;1,"参照ID不正",IF(INDEX('32_定義マスター'!$E$4:$E$9,MATCH(A65,'32_定義マスター'!$A$4:$A$9,0))="","",INDEX('32_定義マスター'!$E$4:$E$9,MATCH(A65,'32_定義マスター'!$A$4:$A$9,0)))))</f>
        <v/>
      </c>
      <c r="F65" s="29"/>
      <c r="G65" s="29"/>
      <c r="H65" s="29"/>
      <c r="I65" s="29"/>
      <c r="J65" s="29"/>
      <c r="K65" s="29"/>
      <c r="L65" s="29"/>
      <c r="M65" s="29"/>
      <c r="N65" s="32"/>
      <c r="O65" s="29"/>
      <c r="P65" s="32"/>
      <c r="Q65" s="29"/>
      <c r="R65" s="29"/>
      <c r="S65" s="28" t="str">
        <f>IF(A65="","",IF(COUNTIF('32_定義マスター'!$A$4:$A$9,A65)&lt;&gt;1,"Gate ID不正",IF(OR(L65="",L65="未審査"),"未承認",IF(OR(OR(F65="",G65="",H65="",I65="",J65="",K65="",O65="",AE65="",AF65=""),NOT(ISNUMBER(P65))),"判断証拠不足",IF(COUNTIF($F$4:$F$83,F65)&lt;&gt;1,"判断Run ID重複",IF(OR(AND(P65&lt;&gt;"",OR(NOT(ISNUMBER(P65)),IFERROR(P65&lt;1,TRUE),IFERROR(INT(P65)&gt;INT(AsOfDate),TRUE)))),"判断日不正",IF(AND(A65="G3",OR(T65="",U65="",V65="",W65="",X65="")),"公開対象・集合不足","判断記録あり・内容審査別")))))))</f>
        <v/>
      </c>
      <c r="T65" s="29"/>
      <c r="U65" s="29"/>
      <c r="V65" s="29"/>
      <c r="W65" s="29"/>
      <c r="X65" s="29"/>
      <c r="Y65" s="32"/>
      <c r="Z65" s="29"/>
      <c r="AA65" s="28" t="str">
        <f>IF(A65="","",IF(NOT(IFERROR(ISNUMBER(SEARCH("|"&amp;L65&amp;"|",IF(COUNTIF('32_定義マスター'!$A$4:$A$9,A65)&lt;&gt;1,"参照ID不正",IF(INDEX('32_定義マスター'!$F$4:$F$9,MATCH(A65,'32_定義マスター'!$A$4:$A$9,0))="","",INDEX('32_定義マスター'!$F$4:$F$9,MATCH(A65,'32_定義マスター'!$A$4:$A$9,0)))))),FALSE)),"Gate判断不適合",IF(AND(OR(L65="承認",L65="条件付承認",L65="Scale",L65="Continue",L65="廃止完了承認"),OR(I65="不合格",J65="不合格",V65="不合格",I65="FAIL",J65="FAIL",V65="FAIL")),"停止判定と承認が矛盾",IF(AND(OR(L65="承認",L65="条件付承認",L65="Scale",L65="Continue",L65="廃止完了承認"),OR(I65="未判定",J65="未判定",AND(A65="G3",V65="未判定"))),"必要判定未確定",IF(AND(OR(L65="承認",L65="条件付承認",L65="Scale",L65="Continue",L65="廃止完了承認"),OR(AND(I65&lt;&gt;"合格",I65&lt;&gt;"対象外承認"),AND(J65&lt;&gt;"合格",J65&lt;&gt;"対象外承認"),AND(A65="G3",V65&lt;&gt;"合格",V65&lt;&gt;"対象外承認"))),"判定値不正",IF(AND(A65="G4",L65="Scale",OR(COUNTIF('25_事業仮説・実験・GTM'!$Q$4:$Q$15,F65)=0,COUNTIFS('25_事業仮説・実験・GTM'!$Q$4:$Q$15,F65,'25_事業仮説・実験・GTM'!$AF$4:$AF$15,"&lt;&gt;充足")&gt;0,COUNTIFS('25_事業仮説・実験・GTM'!$Q$4:$Q$15,F65,'25_事業仮説・実験・GTM'!$AD$4:$AD$15,"&lt;&gt;拡大可能")&gt;0)),"拡大の行動証拠不足","判定整合"))))))</f>
        <v/>
      </c>
      <c r="AB65" s="28" t="str">
        <f>IF(A65="","",IF(A65&lt;&gt;"G3",IF(A65="G0",IF(OR(COUNTIF('25_事業仮説・実験・GTM'!$Q$4:$Q$15,F65)=0,COUNTIFS('25_事業仮説・実験・GTM'!$Q$4:$Q$15,F65,'25_事業仮説・実験・GTM'!$AE$4:$AE$15,"&lt;&gt;仮説記録あり")&gt;0),"仮説・持越し確認不足","G0仮説記録接続"),IF(A65="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65="",U65="",W65="",X65="",OR(COUNTIFS('30_必須評価セット'!$B$4:$B$153,T65,'30_必須評価セット'!$C$4:$C$153,U65,'30_必須評価セット'!$E$4:$E$153,"E01")=0,COUNTIFS('30_必須評価セット'!$B$4:$B$153,T65,'30_必須評価セット'!$C$4:$C$153,U65,'30_必須評価セット'!$E$4:$E$153,"E02")=0,COUNTIFS('30_必須評価セット'!$B$4:$B$153,T65,'30_必須評価セット'!$C$4:$C$153,U65,'30_必須評価セット'!$E$4:$E$153,"E03")=0,COUNTIFS('30_必須評価セット'!$B$4:$B$153,T65,'30_必須評価セット'!$C$4:$C$153,U65,'30_必須評価セット'!$E$4:$E$153,"E04")=0,COUNTIFS('30_必須評価セット'!$B$4:$B$153,T65,'30_必須評価セット'!$C$4:$C$153,U65,'30_必須評価セット'!$E$4:$E$153,"E05")=0,COUNTIFS('30_必須評価セット'!$B$4:$B$153,T65,'30_必須評価セット'!$C$4:$C$153,U65,'30_必須評価セット'!$E$4:$E$153,"E06")=0,COUNTIFS('30_必須評価セット'!$B$4:$B$153,T65,'30_必須評価セット'!$C$4:$C$153,U65,'30_必須評価セット'!$E$4:$E$153,"E07")=0,COUNTIFS('30_必須評価セット'!$B$4:$B$153,T65,'30_必須評価セット'!$C$4:$C$153,U65,'30_必須評価セット'!$E$4:$E$153,"E08")=0,COUNTIFS('30_必須評価セット'!$B$4:$B$153,T65,'30_必須評価セット'!$C$4:$C$153,U65,'30_必須評価セット'!$E$4:$E$153,"E09")=0,COUNTIFS('30_必須評価セット'!$B$4:$B$153,T65,'30_必須評価セット'!$C$4:$C$153,U65,'30_必須評価セット'!$E$4:$E$153,"E10")=0,COUNTIFS('30_必須評価セット'!$B$4:$B$153,T65,'30_必須評価セット'!$C$4:$C$153,U65,'30_必須評価セット'!$E$4:$E$153,"E11")=0,COUNTIFS('30_必須評価セット'!$B$4:$B$153,T65,'30_必須評価セット'!$C$4:$C$153,U65,'30_必須評価セット'!$E$4:$E$153,"E12")=0,COUNTIFS('30_必須評価セット'!$B$4:$B$153,T65,'30_必須評価セット'!$C$4:$C$153,U65,'30_必須評価セット'!$E$4:$E$153,"E13")=0,COUNTIFS('30_必須評価セット'!$B$4:$B$153,T65,'30_必須評価セット'!$C$4:$C$153,U65,'30_必須評価セット'!$E$4:$E$153,"E14")=0,COUNTIFS('30_必須評価セット'!$B$4:$B$153,T65,'30_必須評価セット'!$C$4:$C$153,U65,'30_必須評価セット'!$E$4:$E$153,"E15")=0,COUNTIFS('30_必須評価セット'!$B$4:$B$153,T65,'30_必須評価セット'!$C$4:$C$153,U65,'30_必須評価セット'!$E$4:$E$153,"E16")=0,COUNTIFS('30_必須評価セット'!$B$4:$B$153,T65,'30_必須評価セット'!$C$4:$C$153,U65,'30_必須評価セット'!$E$4:$E$153,"E17")=0,COUNTIFS('30_必須評価セット'!$B$4:$B$153,T65,'30_必須評価セット'!$C$4:$C$153,U65,'30_必須評価セット'!$E$4:$E$153,"E18")=0)),"必須分類・集合不足",IF(OR(AND('03_AIリスクTier・適用判定'!$B$27="使用",OR('17_ロードマップ・案件実行管理'!$AA$86&lt;&gt;1,NOT(AND(COUNTIFS('30_必須評価セット'!$B$4:$B$153,T65,'30_必須評価セット'!$C$4:$C$153,U65,'30_必須評価セット'!$E$4:$E$153,"E03",'30_必須評価セット'!$F$4:$F$153,"必須")&gt;0,COUNTIFS('30_必須評価セット'!$B$4:$B$153,T65,'30_必須評価セット'!$C$4:$C$153,U65,'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65,'30_必須評価セット'!$C$4:$C$153,U65,'30_必須評価セット'!$E$4:$E$153,"E05",'30_必須評価セット'!$F$4:$F$153,"必須")&gt;0)))),AND('03_AIリスクTier・適用判定'!$B$28="不使用",'17_ロードマップ・案件実行管理'!$W$87&lt;&gt;"除外記録済")),"機能別評価・対象外未完",IF(COUNTIFS('30_必須評価セット'!$B$4:$B$153,T65,'30_必須評価セット'!$C$4:$C$153,U65)&lt;&gt;SUMIFS('30_必須評価セット'!$N$4:$N$153,'30_必須評価セット'!$B$4:$B$153,T65,'30_必須評価セット'!$C$4:$C$153,U65),"必須評価セット未充足","必須評価セット充足"))))))</f>
        <v/>
      </c>
      <c r="AC65" s="28" t="str">
        <f>IF(F65="","",IF(OR(AG65="",AG65="未判定"),"条件有無未判定",IF(AND(AG65="なし",OR(L65="条件付承認",COUNTIF('31_条件・有効性'!$B$4:$B$83,F65)&gt;0)),"条件有無不一致",IF(AND(AG65="条件あり",COUNTIF('31_条件・有効性'!$B$4:$B$83,F65)=0),"Condition未登録",IF(AND(AG65="条件あり",COUNTIF('31_条件・有効性'!$B$4:$B$83,F65)&lt;&gt;(COUNTIFS('31_条件・有効性'!$B$4:$B$83,F65,'31_条件・有効性'!$Q$4:$Q$83,"解消確認済")+COUNTIFS('31_条件・有効性'!$B$4:$B$83,F65,'31_条件・有効性'!$Q$4:$Q$83,"期限内・制約継続"))),"条件失効・定義不備",IF(AND(AG65&lt;&gt;"なし",AG65&lt;&gt;"条件あり"),"条件有無不正","条件整合"))))))</f>
        <v/>
      </c>
      <c r="AD65" s="28" t="str">
        <f t="shared" si="1"/>
        <v/>
      </c>
      <c r="AE65" s="29"/>
      <c r="AF65" s="29"/>
      <c r="AG65" s="29"/>
    </row>
    <row r="66" spans="1:33" ht="78" customHeight="1" x14ac:dyDescent="0.2">
      <c r="A66" s="29"/>
      <c r="B66" s="28" t="str">
        <f>IF(A66="","",IF(COUNTIF('32_定義マスター'!$A$4:$A$9,A66)&lt;&gt;1,"参照ID不正",IF(INDEX('32_定義マスター'!$B$4:$B$9,MATCH(A66,'32_定義マスター'!$A$4:$A$9,0))="","",INDEX('32_定義マスター'!$B$4:$B$9,MATCH(A66,'32_定義マスター'!$A$4:$A$9,0)))))</f>
        <v/>
      </c>
      <c r="C66" s="28" t="str">
        <f>IF(A66="","",IF(COUNTIF('32_定義マスター'!$A$4:$A$9,A66)&lt;&gt;1,"参照ID不正",IF(INDEX('32_定義マスター'!$C$4:$C$9,MATCH(A66,'32_定義マスター'!$A$4:$A$9,0))="","",INDEX('32_定義マスター'!$C$4:$C$9,MATCH(A66,'32_定義マスター'!$A$4:$A$9,0)))))</f>
        <v/>
      </c>
      <c r="D66" s="28" t="str">
        <f>IF(A66="","",IF(COUNTIF('32_定義マスター'!$A$4:$A$9,A66)&lt;&gt;1,"参照ID不正",IF(INDEX('32_定義マスター'!$D$4:$D$9,MATCH(A66,'32_定義マスター'!$A$4:$A$9,0))="","",INDEX('32_定義マスター'!$D$4:$D$9,MATCH(A66,'32_定義マスター'!$A$4:$A$9,0)))))</f>
        <v/>
      </c>
      <c r="E66" s="28" t="str">
        <f>IF(A66="","",IF(COUNTIF('32_定義マスター'!$A$4:$A$9,A66)&lt;&gt;1,"参照ID不正",IF(INDEX('32_定義マスター'!$E$4:$E$9,MATCH(A66,'32_定義マスター'!$A$4:$A$9,0))="","",INDEX('32_定義マスター'!$E$4:$E$9,MATCH(A66,'32_定義マスター'!$A$4:$A$9,0)))))</f>
        <v/>
      </c>
      <c r="F66" s="29"/>
      <c r="G66" s="29"/>
      <c r="H66" s="29"/>
      <c r="I66" s="29"/>
      <c r="J66" s="29"/>
      <c r="K66" s="29"/>
      <c r="L66" s="29"/>
      <c r="M66" s="29"/>
      <c r="N66" s="32"/>
      <c r="O66" s="29"/>
      <c r="P66" s="32"/>
      <c r="Q66" s="29"/>
      <c r="R66" s="29"/>
      <c r="S66" s="28" t="str">
        <f>IF(A66="","",IF(COUNTIF('32_定義マスター'!$A$4:$A$9,A66)&lt;&gt;1,"Gate ID不正",IF(OR(L66="",L66="未審査"),"未承認",IF(OR(OR(F66="",G66="",H66="",I66="",J66="",K66="",O66="",AE66="",AF66=""),NOT(ISNUMBER(P66))),"判断証拠不足",IF(COUNTIF($F$4:$F$83,F66)&lt;&gt;1,"判断Run ID重複",IF(OR(AND(P66&lt;&gt;"",OR(NOT(ISNUMBER(P66)),IFERROR(P66&lt;1,TRUE),IFERROR(INT(P66)&gt;INT(AsOfDate),TRUE)))),"判断日不正",IF(AND(A66="G3",OR(T66="",U66="",V66="",W66="",X66="")),"公開対象・集合不足","判断記録あり・内容審査別")))))))</f>
        <v/>
      </c>
      <c r="T66" s="29"/>
      <c r="U66" s="29"/>
      <c r="V66" s="29"/>
      <c r="W66" s="29"/>
      <c r="X66" s="29"/>
      <c r="Y66" s="32"/>
      <c r="Z66" s="29"/>
      <c r="AA66" s="28" t="str">
        <f>IF(A66="","",IF(NOT(IFERROR(ISNUMBER(SEARCH("|"&amp;L66&amp;"|",IF(COUNTIF('32_定義マスター'!$A$4:$A$9,A66)&lt;&gt;1,"参照ID不正",IF(INDEX('32_定義マスター'!$F$4:$F$9,MATCH(A66,'32_定義マスター'!$A$4:$A$9,0))="","",INDEX('32_定義マスター'!$F$4:$F$9,MATCH(A66,'32_定義マスター'!$A$4:$A$9,0)))))),FALSE)),"Gate判断不適合",IF(AND(OR(L66="承認",L66="条件付承認",L66="Scale",L66="Continue",L66="廃止完了承認"),OR(I66="不合格",J66="不合格",V66="不合格",I66="FAIL",J66="FAIL",V66="FAIL")),"停止判定と承認が矛盾",IF(AND(OR(L66="承認",L66="条件付承認",L66="Scale",L66="Continue",L66="廃止完了承認"),OR(I66="未判定",J66="未判定",AND(A66="G3",V66="未判定"))),"必要判定未確定",IF(AND(OR(L66="承認",L66="条件付承認",L66="Scale",L66="Continue",L66="廃止完了承認"),OR(AND(I66&lt;&gt;"合格",I66&lt;&gt;"対象外承認"),AND(J66&lt;&gt;"合格",J66&lt;&gt;"対象外承認"),AND(A66="G3",V66&lt;&gt;"合格",V66&lt;&gt;"対象外承認"))),"判定値不正",IF(AND(A66="G4",L66="Scale",OR(COUNTIF('25_事業仮説・実験・GTM'!$Q$4:$Q$15,F66)=0,COUNTIFS('25_事業仮説・実験・GTM'!$Q$4:$Q$15,F66,'25_事業仮説・実験・GTM'!$AF$4:$AF$15,"&lt;&gt;充足")&gt;0,COUNTIFS('25_事業仮説・実験・GTM'!$Q$4:$Q$15,F66,'25_事業仮説・実験・GTM'!$AD$4:$AD$15,"&lt;&gt;拡大可能")&gt;0)),"拡大の行動証拠不足","判定整合"))))))</f>
        <v/>
      </c>
      <c r="AB66" s="28" t="str">
        <f>IF(A66="","",IF(A66&lt;&gt;"G3",IF(A66="G0",IF(OR(COUNTIF('25_事業仮説・実験・GTM'!$Q$4:$Q$15,F66)=0,COUNTIFS('25_事業仮説・実験・GTM'!$Q$4:$Q$15,F66,'25_事業仮説・実験・GTM'!$AE$4:$AE$15,"&lt;&gt;仮説記録あり")&gt;0),"仮説・持越し確認不足","G0仮説記録接続"),IF(A66="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66="",U66="",W66="",X66="",OR(COUNTIFS('30_必須評価セット'!$B$4:$B$153,T66,'30_必須評価セット'!$C$4:$C$153,U66,'30_必須評価セット'!$E$4:$E$153,"E01")=0,COUNTIFS('30_必須評価セット'!$B$4:$B$153,T66,'30_必須評価セット'!$C$4:$C$153,U66,'30_必須評価セット'!$E$4:$E$153,"E02")=0,COUNTIFS('30_必須評価セット'!$B$4:$B$153,T66,'30_必須評価セット'!$C$4:$C$153,U66,'30_必須評価セット'!$E$4:$E$153,"E03")=0,COUNTIFS('30_必須評価セット'!$B$4:$B$153,T66,'30_必須評価セット'!$C$4:$C$153,U66,'30_必須評価セット'!$E$4:$E$153,"E04")=0,COUNTIFS('30_必須評価セット'!$B$4:$B$153,T66,'30_必須評価セット'!$C$4:$C$153,U66,'30_必須評価セット'!$E$4:$E$153,"E05")=0,COUNTIFS('30_必須評価セット'!$B$4:$B$153,T66,'30_必須評価セット'!$C$4:$C$153,U66,'30_必須評価セット'!$E$4:$E$153,"E06")=0,COUNTIFS('30_必須評価セット'!$B$4:$B$153,T66,'30_必須評価セット'!$C$4:$C$153,U66,'30_必須評価セット'!$E$4:$E$153,"E07")=0,COUNTIFS('30_必須評価セット'!$B$4:$B$153,T66,'30_必須評価セット'!$C$4:$C$153,U66,'30_必須評価セット'!$E$4:$E$153,"E08")=0,COUNTIFS('30_必須評価セット'!$B$4:$B$153,T66,'30_必須評価セット'!$C$4:$C$153,U66,'30_必須評価セット'!$E$4:$E$153,"E09")=0,COUNTIFS('30_必須評価セット'!$B$4:$B$153,T66,'30_必須評価セット'!$C$4:$C$153,U66,'30_必須評価セット'!$E$4:$E$153,"E10")=0,COUNTIFS('30_必須評価セット'!$B$4:$B$153,T66,'30_必須評価セット'!$C$4:$C$153,U66,'30_必須評価セット'!$E$4:$E$153,"E11")=0,COUNTIFS('30_必須評価セット'!$B$4:$B$153,T66,'30_必須評価セット'!$C$4:$C$153,U66,'30_必須評価セット'!$E$4:$E$153,"E12")=0,COUNTIFS('30_必須評価セット'!$B$4:$B$153,T66,'30_必須評価セット'!$C$4:$C$153,U66,'30_必須評価セット'!$E$4:$E$153,"E13")=0,COUNTIFS('30_必須評価セット'!$B$4:$B$153,T66,'30_必須評価セット'!$C$4:$C$153,U66,'30_必須評価セット'!$E$4:$E$153,"E14")=0,COUNTIFS('30_必須評価セット'!$B$4:$B$153,T66,'30_必須評価セット'!$C$4:$C$153,U66,'30_必須評価セット'!$E$4:$E$153,"E15")=0,COUNTIFS('30_必須評価セット'!$B$4:$B$153,T66,'30_必須評価セット'!$C$4:$C$153,U66,'30_必須評価セット'!$E$4:$E$153,"E16")=0,COUNTIFS('30_必須評価セット'!$B$4:$B$153,T66,'30_必須評価セット'!$C$4:$C$153,U66,'30_必須評価セット'!$E$4:$E$153,"E17")=0,COUNTIFS('30_必須評価セット'!$B$4:$B$153,T66,'30_必須評価セット'!$C$4:$C$153,U66,'30_必須評価セット'!$E$4:$E$153,"E18")=0)),"必須分類・集合不足",IF(OR(AND('03_AIリスクTier・適用判定'!$B$27="使用",OR('17_ロードマップ・案件実行管理'!$AA$86&lt;&gt;1,NOT(AND(COUNTIFS('30_必須評価セット'!$B$4:$B$153,T66,'30_必須評価セット'!$C$4:$C$153,U66,'30_必須評価セット'!$E$4:$E$153,"E03",'30_必須評価セット'!$F$4:$F$153,"必須")&gt;0,COUNTIFS('30_必須評価セット'!$B$4:$B$153,T66,'30_必須評価セット'!$C$4:$C$153,U66,'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66,'30_必須評価セット'!$C$4:$C$153,U66,'30_必須評価セット'!$E$4:$E$153,"E05",'30_必須評価セット'!$F$4:$F$153,"必須")&gt;0)))),AND('03_AIリスクTier・適用判定'!$B$28="不使用",'17_ロードマップ・案件実行管理'!$W$87&lt;&gt;"除外記録済")),"機能別評価・対象外未完",IF(COUNTIFS('30_必須評価セット'!$B$4:$B$153,T66,'30_必須評価セット'!$C$4:$C$153,U66)&lt;&gt;SUMIFS('30_必須評価セット'!$N$4:$N$153,'30_必須評価セット'!$B$4:$B$153,T66,'30_必須評価セット'!$C$4:$C$153,U66),"必須評価セット未充足","必須評価セット充足"))))))</f>
        <v/>
      </c>
      <c r="AC66" s="28" t="str">
        <f>IF(F66="","",IF(OR(AG66="",AG66="未判定"),"条件有無未判定",IF(AND(AG66="なし",OR(L66="条件付承認",COUNTIF('31_条件・有効性'!$B$4:$B$83,F66)&gt;0)),"条件有無不一致",IF(AND(AG66="条件あり",COUNTIF('31_条件・有効性'!$B$4:$B$83,F66)=0),"Condition未登録",IF(AND(AG66="条件あり",COUNTIF('31_条件・有効性'!$B$4:$B$83,F66)&lt;&gt;(COUNTIFS('31_条件・有効性'!$B$4:$B$83,F66,'31_条件・有効性'!$Q$4:$Q$83,"解消確認済")+COUNTIFS('31_条件・有効性'!$B$4:$B$83,F66,'31_条件・有効性'!$Q$4:$Q$83,"期限内・制約継続"))),"条件失効・定義不備",IF(AND(AG66&lt;&gt;"なし",AG66&lt;&gt;"条件あり"),"条件有無不正","条件整合"))))))</f>
        <v/>
      </c>
      <c r="AD66" s="28" t="str">
        <f t="shared" si="1"/>
        <v/>
      </c>
      <c r="AE66" s="29"/>
      <c r="AF66" s="29"/>
      <c r="AG66" s="29"/>
    </row>
    <row r="67" spans="1:33" ht="78" customHeight="1" x14ac:dyDescent="0.2">
      <c r="A67" s="29"/>
      <c r="B67" s="28" t="str">
        <f>IF(A67="","",IF(COUNTIF('32_定義マスター'!$A$4:$A$9,A67)&lt;&gt;1,"参照ID不正",IF(INDEX('32_定義マスター'!$B$4:$B$9,MATCH(A67,'32_定義マスター'!$A$4:$A$9,0))="","",INDEX('32_定義マスター'!$B$4:$B$9,MATCH(A67,'32_定義マスター'!$A$4:$A$9,0)))))</f>
        <v/>
      </c>
      <c r="C67" s="28" t="str">
        <f>IF(A67="","",IF(COUNTIF('32_定義マスター'!$A$4:$A$9,A67)&lt;&gt;1,"参照ID不正",IF(INDEX('32_定義マスター'!$C$4:$C$9,MATCH(A67,'32_定義マスター'!$A$4:$A$9,0))="","",INDEX('32_定義マスター'!$C$4:$C$9,MATCH(A67,'32_定義マスター'!$A$4:$A$9,0)))))</f>
        <v/>
      </c>
      <c r="D67" s="28" t="str">
        <f>IF(A67="","",IF(COUNTIF('32_定義マスター'!$A$4:$A$9,A67)&lt;&gt;1,"参照ID不正",IF(INDEX('32_定義マスター'!$D$4:$D$9,MATCH(A67,'32_定義マスター'!$A$4:$A$9,0))="","",INDEX('32_定義マスター'!$D$4:$D$9,MATCH(A67,'32_定義マスター'!$A$4:$A$9,0)))))</f>
        <v/>
      </c>
      <c r="E67" s="28" t="str">
        <f>IF(A67="","",IF(COUNTIF('32_定義マスター'!$A$4:$A$9,A67)&lt;&gt;1,"参照ID不正",IF(INDEX('32_定義マスター'!$E$4:$E$9,MATCH(A67,'32_定義マスター'!$A$4:$A$9,0))="","",INDEX('32_定義マスター'!$E$4:$E$9,MATCH(A67,'32_定義マスター'!$A$4:$A$9,0)))))</f>
        <v/>
      </c>
      <c r="F67" s="29"/>
      <c r="G67" s="29"/>
      <c r="H67" s="29"/>
      <c r="I67" s="29"/>
      <c r="J67" s="29"/>
      <c r="K67" s="29"/>
      <c r="L67" s="29"/>
      <c r="M67" s="29"/>
      <c r="N67" s="32"/>
      <c r="O67" s="29"/>
      <c r="P67" s="32"/>
      <c r="Q67" s="29"/>
      <c r="R67" s="29"/>
      <c r="S67" s="28" t="str">
        <f>IF(A67="","",IF(COUNTIF('32_定義マスター'!$A$4:$A$9,A67)&lt;&gt;1,"Gate ID不正",IF(OR(L67="",L67="未審査"),"未承認",IF(OR(OR(F67="",G67="",H67="",I67="",J67="",K67="",O67="",AE67="",AF67=""),NOT(ISNUMBER(P67))),"判断証拠不足",IF(COUNTIF($F$4:$F$83,F67)&lt;&gt;1,"判断Run ID重複",IF(OR(AND(P67&lt;&gt;"",OR(NOT(ISNUMBER(P67)),IFERROR(P67&lt;1,TRUE),IFERROR(INT(P67)&gt;INT(AsOfDate),TRUE)))),"判断日不正",IF(AND(A67="G3",OR(T67="",U67="",V67="",W67="",X67="")),"公開対象・集合不足","判断記録あり・内容審査別")))))))</f>
        <v/>
      </c>
      <c r="T67" s="29"/>
      <c r="U67" s="29"/>
      <c r="V67" s="29"/>
      <c r="W67" s="29"/>
      <c r="X67" s="29"/>
      <c r="Y67" s="32"/>
      <c r="Z67" s="29"/>
      <c r="AA67" s="28" t="str">
        <f>IF(A67="","",IF(NOT(IFERROR(ISNUMBER(SEARCH("|"&amp;L67&amp;"|",IF(COUNTIF('32_定義マスター'!$A$4:$A$9,A67)&lt;&gt;1,"参照ID不正",IF(INDEX('32_定義マスター'!$F$4:$F$9,MATCH(A67,'32_定義マスター'!$A$4:$A$9,0))="","",INDEX('32_定義マスター'!$F$4:$F$9,MATCH(A67,'32_定義マスター'!$A$4:$A$9,0)))))),FALSE)),"Gate判断不適合",IF(AND(OR(L67="承認",L67="条件付承認",L67="Scale",L67="Continue",L67="廃止完了承認"),OR(I67="不合格",J67="不合格",V67="不合格",I67="FAIL",J67="FAIL",V67="FAIL")),"停止判定と承認が矛盾",IF(AND(OR(L67="承認",L67="条件付承認",L67="Scale",L67="Continue",L67="廃止完了承認"),OR(I67="未判定",J67="未判定",AND(A67="G3",V67="未判定"))),"必要判定未確定",IF(AND(OR(L67="承認",L67="条件付承認",L67="Scale",L67="Continue",L67="廃止完了承認"),OR(AND(I67&lt;&gt;"合格",I67&lt;&gt;"対象外承認"),AND(J67&lt;&gt;"合格",J67&lt;&gt;"対象外承認"),AND(A67="G3",V67&lt;&gt;"合格",V67&lt;&gt;"対象外承認"))),"判定値不正",IF(AND(A67="G4",L67="Scale",OR(COUNTIF('25_事業仮説・実験・GTM'!$Q$4:$Q$15,F67)=0,COUNTIFS('25_事業仮説・実験・GTM'!$Q$4:$Q$15,F67,'25_事業仮説・実験・GTM'!$AF$4:$AF$15,"&lt;&gt;充足")&gt;0,COUNTIFS('25_事業仮説・実験・GTM'!$Q$4:$Q$15,F67,'25_事業仮説・実験・GTM'!$AD$4:$AD$15,"&lt;&gt;拡大可能")&gt;0)),"拡大の行動証拠不足","判定整合"))))))</f>
        <v/>
      </c>
      <c r="AB67" s="28" t="str">
        <f>IF(A67="","",IF(A67&lt;&gt;"G3",IF(A67="G0",IF(OR(COUNTIF('25_事業仮説・実験・GTM'!$Q$4:$Q$15,F67)=0,COUNTIFS('25_事業仮説・実験・GTM'!$Q$4:$Q$15,F67,'25_事業仮説・実験・GTM'!$AE$4:$AE$15,"&lt;&gt;仮説記録あり")&gt;0),"仮説・持越し確認不足","G0仮説記録接続"),IF(A67="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67="",U67="",W67="",X67="",OR(COUNTIFS('30_必須評価セット'!$B$4:$B$153,T67,'30_必須評価セット'!$C$4:$C$153,U67,'30_必須評価セット'!$E$4:$E$153,"E01")=0,COUNTIFS('30_必須評価セット'!$B$4:$B$153,T67,'30_必須評価セット'!$C$4:$C$153,U67,'30_必須評価セット'!$E$4:$E$153,"E02")=0,COUNTIFS('30_必須評価セット'!$B$4:$B$153,T67,'30_必須評価セット'!$C$4:$C$153,U67,'30_必須評価セット'!$E$4:$E$153,"E03")=0,COUNTIFS('30_必須評価セット'!$B$4:$B$153,T67,'30_必須評価セット'!$C$4:$C$153,U67,'30_必須評価セット'!$E$4:$E$153,"E04")=0,COUNTIFS('30_必須評価セット'!$B$4:$B$153,T67,'30_必須評価セット'!$C$4:$C$153,U67,'30_必須評価セット'!$E$4:$E$153,"E05")=0,COUNTIFS('30_必須評価セット'!$B$4:$B$153,T67,'30_必須評価セット'!$C$4:$C$153,U67,'30_必須評価セット'!$E$4:$E$153,"E06")=0,COUNTIFS('30_必須評価セット'!$B$4:$B$153,T67,'30_必須評価セット'!$C$4:$C$153,U67,'30_必須評価セット'!$E$4:$E$153,"E07")=0,COUNTIFS('30_必須評価セット'!$B$4:$B$153,T67,'30_必須評価セット'!$C$4:$C$153,U67,'30_必須評価セット'!$E$4:$E$153,"E08")=0,COUNTIFS('30_必須評価セット'!$B$4:$B$153,T67,'30_必須評価セット'!$C$4:$C$153,U67,'30_必須評価セット'!$E$4:$E$153,"E09")=0,COUNTIFS('30_必須評価セット'!$B$4:$B$153,T67,'30_必須評価セット'!$C$4:$C$153,U67,'30_必須評価セット'!$E$4:$E$153,"E10")=0,COUNTIFS('30_必須評価セット'!$B$4:$B$153,T67,'30_必須評価セット'!$C$4:$C$153,U67,'30_必須評価セット'!$E$4:$E$153,"E11")=0,COUNTIFS('30_必須評価セット'!$B$4:$B$153,T67,'30_必須評価セット'!$C$4:$C$153,U67,'30_必須評価セット'!$E$4:$E$153,"E12")=0,COUNTIFS('30_必須評価セット'!$B$4:$B$153,T67,'30_必須評価セット'!$C$4:$C$153,U67,'30_必須評価セット'!$E$4:$E$153,"E13")=0,COUNTIFS('30_必須評価セット'!$B$4:$B$153,T67,'30_必須評価セット'!$C$4:$C$153,U67,'30_必須評価セット'!$E$4:$E$153,"E14")=0,COUNTIFS('30_必須評価セット'!$B$4:$B$153,T67,'30_必須評価セット'!$C$4:$C$153,U67,'30_必須評価セット'!$E$4:$E$153,"E15")=0,COUNTIFS('30_必須評価セット'!$B$4:$B$153,T67,'30_必須評価セット'!$C$4:$C$153,U67,'30_必須評価セット'!$E$4:$E$153,"E16")=0,COUNTIFS('30_必須評価セット'!$B$4:$B$153,T67,'30_必須評価セット'!$C$4:$C$153,U67,'30_必須評価セット'!$E$4:$E$153,"E17")=0,COUNTIFS('30_必須評価セット'!$B$4:$B$153,T67,'30_必須評価セット'!$C$4:$C$153,U67,'30_必須評価セット'!$E$4:$E$153,"E18")=0)),"必須分類・集合不足",IF(OR(AND('03_AIリスクTier・適用判定'!$B$27="使用",OR('17_ロードマップ・案件実行管理'!$AA$86&lt;&gt;1,NOT(AND(COUNTIFS('30_必須評価セット'!$B$4:$B$153,T67,'30_必須評価セット'!$C$4:$C$153,U67,'30_必須評価セット'!$E$4:$E$153,"E03",'30_必須評価セット'!$F$4:$F$153,"必須")&gt;0,COUNTIFS('30_必須評価セット'!$B$4:$B$153,T67,'30_必須評価セット'!$C$4:$C$153,U67,'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67,'30_必須評価セット'!$C$4:$C$153,U67,'30_必須評価セット'!$E$4:$E$153,"E05",'30_必須評価セット'!$F$4:$F$153,"必須")&gt;0)))),AND('03_AIリスクTier・適用判定'!$B$28="不使用",'17_ロードマップ・案件実行管理'!$W$87&lt;&gt;"除外記録済")),"機能別評価・対象外未完",IF(COUNTIFS('30_必須評価セット'!$B$4:$B$153,T67,'30_必須評価セット'!$C$4:$C$153,U67)&lt;&gt;SUMIFS('30_必須評価セット'!$N$4:$N$153,'30_必須評価セット'!$B$4:$B$153,T67,'30_必須評価セット'!$C$4:$C$153,U67),"必須評価セット未充足","必須評価セット充足"))))))</f>
        <v/>
      </c>
      <c r="AC67" s="28" t="str">
        <f>IF(F67="","",IF(OR(AG67="",AG67="未判定"),"条件有無未判定",IF(AND(AG67="なし",OR(L67="条件付承認",COUNTIF('31_条件・有効性'!$B$4:$B$83,F67)&gt;0)),"条件有無不一致",IF(AND(AG67="条件あり",COUNTIF('31_条件・有効性'!$B$4:$B$83,F67)=0),"Condition未登録",IF(AND(AG67="条件あり",COUNTIF('31_条件・有効性'!$B$4:$B$83,F67)&lt;&gt;(COUNTIFS('31_条件・有効性'!$B$4:$B$83,F67,'31_条件・有効性'!$Q$4:$Q$83,"解消確認済")+COUNTIFS('31_条件・有効性'!$B$4:$B$83,F67,'31_条件・有効性'!$Q$4:$Q$83,"期限内・制約継続"))),"条件失効・定義不備",IF(AND(AG67&lt;&gt;"なし",AG67&lt;&gt;"条件あり"),"条件有無不正","条件整合"))))))</f>
        <v/>
      </c>
      <c r="AD67" s="28" t="str">
        <f t="shared" si="1"/>
        <v/>
      </c>
      <c r="AE67" s="29"/>
      <c r="AF67" s="29"/>
      <c r="AG67" s="29"/>
    </row>
    <row r="68" spans="1:33" ht="78" customHeight="1" x14ac:dyDescent="0.2">
      <c r="A68" s="29"/>
      <c r="B68" s="28" t="str">
        <f>IF(A68="","",IF(COUNTIF('32_定義マスター'!$A$4:$A$9,A68)&lt;&gt;1,"参照ID不正",IF(INDEX('32_定義マスター'!$B$4:$B$9,MATCH(A68,'32_定義マスター'!$A$4:$A$9,0))="","",INDEX('32_定義マスター'!$B$4:$B$9,MATCH(A68,'32_定義マスター'!$A$4:$A$9,0)))))</f>
        <v/>
      </c>
      <c r="C68" s="28" t="str">
        <f>IF(A68="","",IF(COUNTIF('32_定義マスター'!$A$4:$A$9,A68)&lt;&gt;1,"参照ID不正",IF(INDEX('32_定義マスター'!$C$4:$C$9,MATCH(A68,'32_定義マスター'!$A$4:$A$9,0))="","",INDEX('32_定義マスター'!$C$4:$C$9,MATCH(A68,'32_定義マスター'!$A$4:$A$9,0)))))</f>
        <v/>
      </c>
      <c r="D68" s="28" t="str">
        <f>IF(A68="","",IF(COUNTIF('32_定義マスター'!$A$4:$A$9,A68)&lt;&gt;1,"参照ID不正",IF(INDEX('32_定義マスター'!$D$4:$D$9,MATCH(A68,'32_定義マスター'!$A$4:$A$9,0))="","",INDEX('32_定義マスター'!$D$4:$D$9,MATCH(A68,'32_定義マスター'!$A$4:$A$9,0)))))</f>
        <v/>
      </c>
      <c r="E68" s="28" t="str">
        <f>IF(A68="","",IF(COUNTIF('32_定義マスター'!$A$4:$A$9,A68)&lt;&gt;1,"参照ID不正",IF(INDEX('32_定義マスター'!$E$4:$E$9,MATCH(A68,'32_定義マスター'!$A$4:$A$9,0))="","",INDEX('32_定義マスター'!$E$4:$E$9,MATCH(A68,'32_定義マスター'!$A$4:$A$9,0)))))</f>
        <v/>
      </c>
      <c r="F68" s="29"/>
      <c r="G68" s="29"/>
      <c r="H68" s="29"/>
      <c r="I68" s="29"/>
      <c r="J68" s="29"/>
      <c r="K68" s="29"/>
      <c r="L68" s="29"/>
      <c r="M68" s="29"/>
      <c r="N68" s="32"/>
      <c r="O68" s="29"/>
      <c r="P68" s="32"/>
      <c r="Q68" s="29"/>
      <c r="R68" s="29"/>
      <c r="S68" s="28" t="str">
        <f>IF(A68="","",IF(COUNTIF('32_定義マスター'!$A$4:$A$9,A68)&lt;&gt;1,"Gate ID不正",IF(OR(L68="",L68="未審査"),"未承認",IF(OR(OR(F68="",G68="",H68="",I68="",J68="",K68="",O68="",AE68="",AF68=""),NOT(ISNUMBER(P68))),"判断証拠不足",IF(COUNTIF($F$4:$F$83,F68)&lt;&gt;1,"判断Run ID重複",IF(OR(AND(P68&lt;&gt;"",OR(NOT(ISNUMBER(P68)),IFERROR(P68&lt;1,TRUE),IFERROR(INT(P68)&gt;INT(AsOfDate),TRUE)))),"判断日不正",IF(AND(A68="G3",OR(T68="",U68="",V68="",W68="",X68="")),"公開対象・集合不足","判断記録あり・内容審査別")))))))</f>
        <v/>
      </c>
      <c r="T68" s="29"/>
      <c r="U68" s="29"/>
      <c r="V68" s="29"/>
      <c r="W68" s="29"/>
      <c r="X68" s="29"/>
      <c r="Y68" s="32"/>
      <c r="Z68" s="29"/>
      <c r="AA68" s="28" t="str">
        <f>IF(A68="","",IF(NOT(IFERROR(ISNUMBER(SEARCH("|"&amp;L68&amp;"|",IF(COUNTIF('32_定義マスター'!$A$4:$A$9,A68)&lt;&gt;1,"参照ID不正",IF(INDEX('32_定義マスター'!$F$4:$F$9,MATCH(A68,'32_定義マスター'!$A$4:$A$9,0))="","",INDEX('32_定義マスター'!$F$4:$F$9,MATCH(A68,'32_定義マスター'!$A$4:$A$9,0)))))),FALSE)),"Gate判断不適合",IF(AND(OR(L68="承認",L68="条件付承認",L68="Scale",L68="Continue",L68="廃止完了承認"),OR(I68="不合格",J68="不合格",V68="不合格",I68="FAIL",J68="FAIL",V68="FAIL")),"停止判定と承認が矛盾",IF(AND(OR(L68="承認",L68="条件付承認",L68="Scale",L68="Continue",L68="廃止完了承認"),OR(I68="未判定",J68="未判定",AND(A68="G3",V68="未判定"))),"必要判定未確定",IF(AND(OR(L68="承認",L68="条件付承認",L68="Scale",L68="Continue",L68="廃止完了承認"),OR(AND(I68&lt;&gt;"合格",I68&lt;&gt;"対象外承認"),AND(J68&lt;&gt;"合格",J68&lt;&gt;"対象外承認"),AND(A68="G3",V68&lt;&gt;"合格",V68&lt;&gt;"対象外承認"))),"判定値不正",IF(AND(A68="G4",L68="Scale",OR(COUNTIF('25_事業仮説・実験・GTM'!$Q$4:$Q$15,F68)=0,COUNTIFS('25_事業仮説・実験・GTM'!$Q$4:$Q$15,F68,'25_事業仮説・実験・GTM'!$AF$4:$AF$15,"&lt;&gt;充足")&gt;0,COUNTIFS('25_事業仮説・実験・GTM'!$Q$4:$Q$15,F68,'25_事業仮説・実験・GTM'!$AD$4:$AD$15,"&lt;&gt;拡大可能")&gt;0)),"拡大の行動証拠不足","判定整合"))))))</f>
        <v/>
      </c>
      <c r="AB68" s="28" t="str">
        <f>IF(A68="","",IF(A68&lt;&gt;"G3",IF(A68="G0",IF(OR(COUNTIF('25_事業仮説・実験・GTM'!$Q$4:$Q$15,F68)=0,COUNTIFS('25_事業仮説・実験・GTM'!$Q$4:$Q$15,F68,'25_事業仮説・実験・GTM'!$AE$4:$AE$15,"&lt;&gt;仮説記録あり")&gt;0),"仮説・持越し確認不足","G0仮説記録接続"),IF(A68="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68="",U68="",W68="",X68="",OR(COUNTIFS('30_必須評価セット'!$B$4:$B$153,T68,'30_必須評価セット'!$C$4:$C$153,U68,'30_必須評価セット'!$E$4:$E$153,"E01")=0,COUNTIFS('30_必須評価セット'!$B$4:$B$153,T68,'30_必須評価セット'!$C$4:$C$153,U68,'30_必須評価セット'!$E$4:$E$153,"E02")=0,COUNTIFS('30_必須評価セット'!$B$4:$B$153,T68,'30_必須評価セット'!$C$4:$C$153,U68,'30_必須評価セット'!$E$4:$E$153,"E03")=0,COUNTIFS('30_必須評価セット'!$B$4:$B$153,T68,'30_必須評価セット'!$C$4:$C$153,U68,'30_必須評価セット'!$E$4:$E$153,"E04")=0,COUNTIFS('30_必須評価セット'!$B$4:$B$153,T68,'30_必須評価セット'!$C$4:$C$153,U68,'30_必須評価セット'!$E$4:$E$153,"E05")=0,COUNTIFS('30_必須評価セット'!$B$4:$B$153,T68,'30_必須評価セット'!$C$4:$C$153,U68,'30_必須評価セット'!$E$4:$E$153,"E06")=0,COUNTIFS('30_必須評価セット'!$B$4:$B$153,T68,'30_必須評価セット'!$C$4:$C$153,U68,'30_必須評価セット'!$E$4:$E$153,"E07")=0,COUNTIFS('30_必須評価セット'!$B$4:$B$153,T68,'30_必須評価セット'!$C$4:$C$153,U68,'30_必須評価セット'!$E$4:$E$153,"E08")=0,COUNTIFS('30_必須評価セット'!$B$4:$B$153,T68,'30_必須評価セット'!$C$4:$C$153,U68,'30_必須評価セット'!$E$4:$E$153,"E09")=0,COUNTIFS('30_必須評価セット'!$B$4:$B$153,T68,'30_必須評価セット'!$C$4:$C$153,U68,'30_必須評価セット'!$E$4:$E$153,"E10")=0,COUNTIFS('30_必須評価セット'!$B$4:$B$153,T68,'30_必須評価セット'!$C$4:$C$153,U68,'30_必須評価セット'!$E$4:$E$153,"E11")=0,COUNTIFS('30_必須評価セット'!$B$4:$B$153,T68,'30_必須評価セット'!$C$4:$C$153,U68,'30_必須評価セット'!$E$4:$E$153,"E12")=0,COUNTIFS('30_必須評価セット'!$B$4:$B$153,T68,'30_必須評価セット'!$C$4:$C$153,U68,'30_必須評価セット'!$E$4:$E$153,"E13")=0,COUNTIFS('30_必須評価セット'!$B$4:$B$153,T68,'30_必須評価セット'!$C$4:$C$153,U68,'30_必須評価セット'!$E$4:$E$153,"E14")=0,COUNTIFS('30_必須評価セット'!$B$4:$B$153,T68,'30_必須評価セット'!$C$4:$C$153,U68,'30_必須評価セット'!$E$4:$E$153,"E15")=0,COUNTIFS('30_必須評価セット'!$B$4:$B$153,T68,'30_必須評価セット'!$C$4:$C$153,U68,'30_必須評価セット'!$E$4:$E$153,"E16")=0,COUNTIFS('30_必須評価セット'!$B$4:$B$153,T68,'30_必須評価セット'!$C$4:$C$153,U68,'30_必須評価セット'!$E$4:$E$153,"E17")=0,COUNTIFS('30_必須評価セット'!$B$4:$B$153,T68,'30_必須評価セット'!$C$4:$C$153,U68,'30_必須評価セット'!$E$4:$E$153,"E18")=0)),"必須分類・集合不足",IF(OR(AND('03_AIリスクTier・適用判定'!$B$27="使用",OR('17_ロードマップ・案件実行管理'!$AA$86&lt;&gt;1,NOT(AND(COUNTIFS('30_必須評価セット'!$B$4:$B$153,T68,'30_必須評価セット'!$C$4:$C$153,U68,'30_必須評価セット'!$E$4:$E$153,"E03",'30_必須評価セット'!$F$4:$F$153,"必須")&gt;0,COUNTIFS('30_必須評価セット'!$B$4:$B$153,T68,'30_必須評価セット'!$C$4:$C$153,U68,'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68,'30_必須評価セット'!$C$4:$C$153,U68,'30_必須評価セット'!$E$4:$E$153,"E05",'30_必須評価セット'!$F$4:$F$153,"必須")&gt;0)))),AND('03_AIリスクTier・適用判定'!$B$28="不使用",'17_ロードマップ・案件実行管理'!$W$87&lt;&gt;"除外記録済")),"機能別評価・対象外未完",IF(COUNTIFS('30_必須評価セット'!$B$4:$B$153,T68,'30_必須評価セット'!$C$4:$C$153,U68)&lt;&gt;SUMIFS('30_必須評価セット'!$N$4:$N$153,'30_必須評価セット'!$B$4:$B$153,T68,'30_必須評価セット'!$C$4:$C$153,U68),"必須評価セット未充足","必須評価セット充足"))))))</f>
        <v/>
      </c>
      <c r="AC68" s="28" t="str">
        <f>IF(F68="","",IF(OR(AG68="",AG68="未判定"),"条件有無未判定",IF(AND(AG68="なし",OR(L68="条件付承認",COUNTIF('31_条件・有効性'!$B$4:$B$83,F68)&gt;0)),"条件有無不一致",IF(AND(AG68="条件あり",COUNTIF('31_条件・有効性'!$B$4:$B$83,F68)=0),"Condition未登録",IF(AND(AG68="条件あり",COUNTIF('31_条件・有効性'!$B$4:$B$83,F68)&lt;&gt;(COUNTIFS('31_条件・有効性'!$B$4:$B$83,F68,'31_条件・有効性'!$Q$4:$Q$83,"解消確認済")+COUNTIFS('31_条件・有効性'!$B$4:$B$83,F68,'31_条件・有効性'!$Q$4:$Q$83,"期限内・制約継続"))),"条件失効・定義不備",IF(AND(AG68&lt;&gt;"なし",AG68&lt;&gt;"条件あり"),"条件有無不正","条件整合"))))))</f>
        <v/>
      </c>
      <c r="AD68" s="28" t="str">
        <f t="shared" ref="AD68:AD99" si="2">IF(A68="","",IF(S68&lt;&gt;"判断記録あり・内容審査別",S68,IF(AA68&lt;&gt;"判定整合",AA68,IF(Z68&lt;&gt;"","取消・置換済",IF(AND(Y68&lt;&gt;"",OR(NOT(ISNUMBER(Y68)),IFERROR(Y68&lt;AsOfDate,TRUE),IFERROR(Y68&lt;P68,TRUE))),"決裁期限失効・不正",IF(AC68&lt;&gt;"条件整合",AC68,IF(AND(A68="G3",AB68&lt;&gt;"必須評価セット充足"),AB68,IF(AND(A68="G0",AB68&lt;&gt;"G0仮説記録接続"),AB68,IF(NOT(OR(L68="承認",L68="条件付承認",L68="Scale",L68="Continue",L68="廃止完了承認")),"進行許可ではない判断",IF(AND(A68="G5",AB68&lt;&gt;"資産処理決定充足"),AB68,"整合済・正本決裁要確認"))))))))))</f>
        <v/>
      </c>
      <c r="AE68" s="29"/>
      <c r="AF68" s="29"/>
      <c r="AG68" s="29"/>
    </row>
    <row r="69" spans="1:33" ht="78" customHeight="1" x14ac:dyDescent="0.2">
      <c r="A69" s="29"/>
      <c r="B69" s="28" t="str">
        <f>IF(A69="","",IF(COUNTIF('32_定義マスター'!$A$4:$A$9,A69)&lt;&gt;1,"参照ID不正",IF(INDEX('32_定義マスター'!$B$4:$B$9,MATCH(A69,'32_定義マスター'!$A$4:$A$9,0))="","",INDEX('32_定義マスター'!$B$4:$B$9,MATCH(A69,'32_定義マスター'!$A$4:$A$9,0)))))</f>
        <v/>
      </c>
      <c r="C69" s="28" t="str">
        <f>IF(A69="","",IF(COUNTIF('32_定義マスター'!$A$4:$A$9,A69)&lt;&gt;1,"参照ID不正",IF(INDEX('32_定義マスター'!$C$4:$C$9,MATCH(A69,'32_定義マスター'!$A$4:$A$9,0))="","",INDEX('32_定義マスター'!$C$4:$C$9,MATCH(A69,'32_定義マスター'!$A$4:$A$9,0)))))</f>
        <v/>
      </c>
      <c r="D69" s="28" t="str">
        <f>IF(A69="","",IF(COUNTIF('32_定義マスター'!$A$4:$A$9,A69)&lt;&gt;1,"参照ID不正",IF(INDEX('32_定義マスター'!$D$4:$D$9,MATCH(A69,'32_定義マスター'!$A$4:$A$9,0))="","",INDEX('32_定義マスター'!$D$4:$D$9,MATCH(A69,'32_定義マスター'!$A$4:$A$9,0)))))</f>
        <v/>
      </c>
      <c r="E69" s="28" t="str">
        <f>IF(A69="","",IF(COUNTIF('32_定義マスター'!$A$4:$A$9,A69)&lt;&gt;1,"参照ID不正",IF(INDEX('32_定義マスター'!$E$4:$E$9,MATCH(A69,'32_定義マスター'!$A$4:$A$9,0))="","",INDEX('32_定義マスター'!$E$4:$E$9,MATCH(A69,'32_定義マスター'!$A$4:$A$9,0)))))</f>
        <v/>
      </c>
      <c r="F69" s="29"/>
      <c r="G69" s="29"/>
      <c r="H69" s="29"/>
      <c r="I69" s="29"/>
      <c r="J69" s="29"/>
      <c r="K69" s="29"/>
      <c r="L69" s="29"/>
      <c r="M69" s="29"/>
      <c r="N69" s="32"/>
      <c r="O69" s="29"/>
      <c r="P69" s="32"/>
      <c r="Q69" s="29"/>
      <c r="R69" s="29"/>
      <c r="S69" s="28" t="str">
        <f>IF(A69="","",IF(COUNTIF('32_定義マスター'!$A$4:$A$9,A69)&lt;&gt;1,"Gate ID不正",IF(OR(L69="",L69="未審査"),"未承認",IF(OR(OR(F69="",G69="",H69="",I69="",J69="",K69="",O69="",AE69="",AF69=""),NOT(ISNUMBER(P69))),"判断証拠不足",IF(COUNTIF($F$4:$F$83,F69)&lt;&gt;1,"判断Run ID重複",IF(OR(AND(P69&lt;&gt;"",OR(NOT(ISNUMBER(P69)),IFERROR(P69&lt;1,TRUE),IFERROR(INT(P69)&gt;INT(AsOfDate),TRUE)))),"判断日不正",IF(AND(A69="G3",OR(T69="",U69="",V69="",W69="",X69="")),"公開対象・集合不足","判断記録あり・内容審査別")))))))</f>
        <v/>
      </c>
      <c r="T69" s="29"/>
      <c r="U69" s="29"/>
      <c r="V69" s="29"/>
      <c r="W69" s="29"/>
      <c r="X69" s="29"/>
      <c r="Y69" s="32"/>
      <c r="Z69" s="29"/>
      <c r="AA69" s="28" t="str">
        <f>IF(A69="","",IF(NOT(IFERROR(ISNUMBER(SEARCH("|"&amp;L69&amp;"|",IF(COUNTIF('32_定義マスター'!$A$4:$A$9,A69)&lt;&gt;1,"参照ID不正",IF(INDEX('32_定義マスター'!$F$4:$F$9,MATCH(A69,'32_定義マスター'!$A$4:$A$9,0))="","",INDEX('32_定義マスター'!$F$4:$F$9,MATCH(A69,'32_定義マスター'!$A$4:$A$9,0)))))),FALSE)),"Gate判断不適合",IF(AND(OR(L69="承認",L69="条件付承認",L69="Scale",L69="Continue",L69="廃止完了承認"),OR(I69="不合格",J69="不合格",V69="不合格",I69="FAIL",J69="FAIL",V69="FAIL")),"停止判定と承認が矛盾",IF(AND(OR(L69="承認",L69="条件付承認",L69="Scale",L69="Continue",L69="廃止完了承認"),OR(I69="未判定",J69="未判定",AND(A69="G3",V69="未判定"))),"必要判定未確定",IF(AND(OR(L69="承認",L69="条件付承認",L69="Scale",L69="Continue",L69="廃止完了承認"),OR(AND(I69&lt;&gt;"合格",I69&lt;&gt;"対象外承認"),AND(J69&lt;&gt;"合格",J69&lt;&gt;"対象外承認"),AND(A69="G3",V69&lt;&gt;"合格",V69&lt;&gt;"対象外承認"))),"判定値不正",IF(AND(A69="G4",L69="Scale",OR(COUNTIF('25_事業仮説・実験・GTM'!$Q$4:$Q$15,F69)=0,COUNTIFS('25_事業仮説・実験・GTM'!$Q$4:$Q$15,F69,'25_事業仮説・実験・GTM'!$AF$4:$AF$15,"&lt;&gt;充足")&gt;0,COUNTIFS('25_事業仮説・実験・GTM'!$Q$4:$Q$15,F69,'25_事業仮説・実験・GTM'!$AD$4:$AD$15,"&lt;&gt;拡大可能")&gt;0)),"拡大の行動証拠不足","判定整合"))))))</f>
        <v/>
      </c>
      <c r="AB69" s="28" t="str">
        <f>IF(A69="","",IF(A69&lt;&gt;"G3",IF(A69="G0",IF(OR(COUNTIF('25_事業仮説・実験・GTM'!$Q$4:$Q$15,F69)=0,COUNTIFS('25_事業仮説・実験・GTM'!$Q$4:$Q$15,F69,'25_事業仮説・実験・GTM'!$AE$4:$AE$15,"&lt;&gt;仮説記録あり")&gt;0),"仮説・持越し確認不足","G0仮説記録接続"),IF(A69="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69="",U69="",W69="",X69="",OR(COUNTIFS('30_必須評価セット'!$B$4:$B$153,T69,'30_必須評価セット'!$C$4:$C$153,U69,'30_必須評価セット'!$E$4:$E$153,"E01")=0,COUNTIFS('30_必須評価セット'!$B$4:$B$153,T69,'30_必須評価セット'!$C$4:$C$153,U69,'30_必須評価セット'!$E$4:$E$153,"E02")=0,COUNTIFS('30_必須評価セット'!$B$4:$B$153,T69,'30_必須評価セット'!$C$4:$C$153,U69,'30_必須評価セット'!$E$4:$E$153,"E03")=0,COUNTIFS('30_必須評価セット'!$B$4:$B$153,T69,'30_必須評価セット'!$C$4:$C$153,U69,'30_必須評価セット'!$E$4:$E$153,"E04")=0,COUNTIFS('30_必須評価セット'!$B$4:$B$153,T69,'30_必須評価セット'!$C$4:$C$153,U69,'30_必須評価セット'!$E$4:$E$153,"E05")=0,COUNTIFS('30_必須評価セット'!$B$4:$B$153,T69,'30_必須評価セット'!$C$4:$C$153,U69,'30_必須評価セット'!$E$4:$E$153,"E06")=0,COUNTIFS('30_必須評価セット'!$B$4:$B$153,T69,'30_必須評価セット'!$C$4:$C$153,U69,'30_必須評価セット'!$E$4:$E$153,"E07")=0,COUNTIFS('30_必須評価セット'!$B$4:$B$153,T69,'30_必須評価セット'!$C$4:$C$153,U69,'30_必須評価セット'!$E$4:$E$153,"E08")=0,COUNTIFS('30_必須評価セット'!$B$4:$B$153,T69,'30_必須評価セット'!$C$4:$C$153,U69,'30_必須評価セット'!$E$4:$E$153,"E09")=0,COUNTIFS('30_必須評価セット'!$B$4:$B$153,T69,'30_必須評価セット'!$C$4:$C$153,U69,'30_必須評価セット'!$E$4:$E$153,"E10")=0,COUNTIFS('30_必須評価セット'!$B$4:$B$153,T69,'30_必須評価セット'!$C$4:$C$153,U69,'30_必須評価セット'!$E$4:$E$153,"E11")=0,COUNTIFS('30_必須評価セット'!$B$4:$B$153,T69,'30_必須評価セット'!$C$4:$C$153,U69,'30_必須評価セット'!$E$4:$E$153,"E12")=0,COUNTIFS('30_必須評価セット'!$B$4:$B$153,T69,'30_必須評価セット'!$C$4:$C$153,U69,'30_必須評価セット'!$E$4:$E$153,"E13")=0,COUNTIFS('30_必須評価セット'!$B$4:$B$153,T69,'30_必須評価セット'!$C$4:$C$153,U69,'30_必須評価セット'!$E$4:$E$153,"E14")=0,COUNTIFS('30_必須評価セット'!$B$4:$B$153,T69,'30_必須評価セット'!$C$4:$C$153,U69,'30_必須評価セット'!$E$4:$E$153,"E15")=0,COUNTIFS('30_必須評価セット'!$B$4:$B$153,T69,'30_必須評価セット'!$C$4:$C$153,U69,'30_必須評価セット'!$E$4:$E$153,"E16")=0,COUNTIFS('30_必須評価セット'!$B$4:$B$153,T69,'30_必須評価セット'!$C$4:$C$153,U69,'30_必須評価セット'!$E$4:$E$153,"E17")=0,COUNTIFS('30_必須評価セット'!$B$4:$B$153,T69,'30_必須評価セット'!$C$4:$C$153,U69,'30_必須評価セット'!$E$4:$E$153,"E18")=0)),"必須分類・集合不足",IF(OR(AND('03_AIリスクTier・適用判定'!$B$27="使用",OR('17_ロードマップ・案件実行管理'!$AA$86&lt;&gt;1,NOT(AND(COUNTIFS('30_必須評価セット'!$B$4:$B$153,T69,'30_必須評価セット'!$C$4:$C$153,U69,'30_必須評価セット'!$E$4:$E$153,"E03",'30_必須評価セット'!$F$4:$F$153,"必須")&gt;0,COUNTIFS('30_必須評価セット'!$B$4:$B$153,T69,'30_必須評価セット'!$C$4:$C$153,U69,'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69,'30_必須評価セット'!$C$4:$C$153,U69,'30_必須評価セット'!$E$4:$E$153,"E05",'30_必須評価セット'!$F$4:$F$153,"必須")&gt;0)))),AND('03_AIリスクTier・適用判定'!$B$28="不使用",'17_ロードマップ・案件実行管理'!$W$87&lt;&gt;"除外記録済")),"機能別評価・対象外未完",IF(COUNTIFS('30_必須評価セット'!$B$4:$B$153,T69,'30_必須評価セット'!$C$4:$C$153,U69)&lt;&gt;SUMIFS('30_必須評価セット'!$N$4:$N$153,'30_必須評価セット'!$B$4:$B$153,T69,'30_必須評価セット'!$C$4:$C$153,U69),"必須評価セット未充足","必須評価セット充足"))))))</f>
        <v/>
      </c>
      <c r="AC69" s="28" t="str">
        <f>IF(F69="","",IF(OR(AG69="",AG69="未判定"),"条件有無未判定",IF(AND(AG69="なし",OR(L69="条件付承認",COUNTIF('31_条件・有効性'!$B$4:$B$83,F69)&gt;0)),"条件有無不一致",IF(AND(AG69="条件あり",COUNTIF('31_条件・有効性'!$B$4:$B$83,F69)=0),"Condition未登録",IF(AND(AG69="条件あり",COUNTIF('31_条件・有効性'!$B$4:$B$83,F69)&lt;&gt;(COUNTIFS('31_条件・有効性'!$B$4:$B$83,F69,'31_条件・有効性'!$Q$4:$Q$83,"解消確認済")+COUNTIFS('31_条件・有効性'!$B$4:$B$83,F69,'31_条件・有効性'!$Q$4:$Q$83,"期限内・制約継続"))),"条件失効・定義不備",IF(AND(AG69&lt;&gt;"なし",AG69&lt;&gt;"条件あり"),"条件有無不正","条件整合"))))))</f>
        <v/>
      </c>
      <c r="AD69" s="28" t="str">
        <f t="shared" si="2"/>
        <v/>
      </c>
      <c r="AE69" s="29"/>
      <c r="AF69" s="29"/>
      <c r="AG69" s="29"/>
    </row>
    <row r="70" spans="1:33" ht="78" customHeight="1" x14ac:dyDescent="0.2">
      <c r="A70" s="29"/>
      <c r="B70" s="28" t="str">
        <f>IF(A70="","",IF(COUNTIF('32_定義マスター'!$A$4:$A$9,A70)&lt;&gt;1,"参照ID不正",IF(INDEX('32_定義マスター'!$B$4:$B$9,MATCH(A70,'32_定義マスター'!$A$4:$A$9,0))="","",INDEX('32_定義マスター'!$B$4:$B$9,MATCH(A70,'32_定義マスター'!$A$4:$A$9,0)))))</f>
        <v/>
      </c>
      <c r="C70" s="28" t="str">
        <f>IF(A70="","",IF(COUNTIF('32_定義マスター'!$A$4:$A$9,A70)&lt;&gt;1,"参照ID不正",IF(INDEX('32_定義マスター'!$C$4:$C$9,MATCH(A70,'32_定義マスター'!$A$4:$A$9,0))="","",INDEX('32_定義マスター'!$C$4:$C$9,MATCH(A70,'32_定義マスター'!$A$4:$A$9,0)))))</f>
        <v/>
      </c>
      <c r="D70" s="28" t="str">
        <f>IF(A70="","",IF(COUNTIF('32_定義マスター'!$A$4:$A$9,A70)&lt;&gt;1,"参照ID不正",IF(INDEX('32_定義マスター'!$D$4:$D$9,MATCH(A70,'32_定義マスター'!$A$4:$A$9,0))="","",INDEX('32_定義マスター'!$D$4:$D$9,MATCH(A70,'32_定義マスター'!$A$4:$A$9,0)))))</f>
        <v/>
      </c>
      <c r="E70" s="28" t="str">
        <f>IF(A70="","",IF(COUNTIF('32_定義マスター'!$A$4:$A$9,A70)&lt;&gt;1,"参照ID不正",IF(INDEX('32_定義マスター'!$E$4:$E$9,MATCH(A70,'32_定義マスター'!$A$4:$A$9,0))="","",INDEX('32_定義マスター'!$E$4:$E$9,MATCH(A70,'32_定義マスター'!$A$4:$A$9,0)))))</f>
        <v/>
      </c>
      <c r="F70" s="29"/>
      <c r="G70" s="29"/>
      <c r="H70" s="29"/>
      <c r="I70" s="29"/>
      <c r="J70" s="29"/>
      <c r="K70" s="29"/>
      <c r="L70" s="29"/>
      <c r="M70" s="29"/>
      <c r="N70" s="32"/>
      <c r="O70" s="29"/>
      <c r="P70" s="32"/>
      <c r="Q70" s="29"/>
      <c r="R70" s="29"/>
      <c r="S70" s="28" t="str">
        <f>IF(A70="","",IF(COUNTIF('32_定義マスター'!$A$4:$A$9,A70)&lt;&gt;1,"Gate ID不正",IF(OR(L70="",L70="未審査"),"未承認",IF(OR(OR(F70="",G70="",H70="",I70="",J70="",K70="",O70="",AE70="",AF70=""),NOT(ISNUMBER(P70))),"判断証拠不足",IF(COUNTIF($F$4:$F$83,F70)&lt;&gt;1,"判断Run ID重複",IF(OR(AND(P70&lt;&gt;"",OR(NOT(ISNUMBER(P70)),IFERROR(P70&lt;1,TRUE),IFERROR(INT(P70)&gt;INT(AsOfDate),TRUE)))),"判断日不正",IF(AND(A70="G3",OR(T70="",U70="",V70="",W70="",X70="")),"公開対象・集合不足","判断記録あり・内容審査別")))))))</f>
        <v/>
      </c>
      <c r="T70" s="29"/>
      <c r="U70" s="29"/>
      <c r="V70" s="29"/>
      <c r="W70" s="29"/>
      <c r="X70" s="29"/>
      <c r="Y70" s="32"/>
      <c r="Z70" s="29"/>
      <c r="AA70" s="28" t="str">
        <f>IF(A70="","",IF(NOT(IFERROR(ISNUMBER(SEARCH("|"&amp;L70&amp;"|",IF(COUNTIF('32_定義マスター'!$A$4:$A$9,A70)&lt;&gt;1,"参照ID不正",IF(INDEX('32_定義マスター'!$F$4:$F$9,MATCH(A70,'32_定義マスター'!$A$4:$A$9,0))="","",INDEX('32_定義マスター'!$F$4:$F$9,MATCH(A70,'32_定義マスター'!$A$4:$A$9,0)))))),FALSE)),"Gate判断不適合",IF(AND(OR(L70="承認",L70="条件付承認",L70="Scale",L70="Continue",L70="廃止完了承認"),OR(I70="不合格",J70="不合格",V70="不合格",I70="FAIL",J70="FAIL",V70="FAIL")),"停止判定と承認が矛盾",IF(AND(OR(L70="承認",L70="条件付承認",L70="Scale",L70="Continue",L70="廃止完了承認"),OR(I70="未判定",J70="未判定",AND(A70="G3",V70="未判定"))),"必要判定未確定",IF(AND(OR(L70="承認",L70="条件付承認",L70="Scale",L70="Continue",L70="廃止完了承認"),OR(AND(I70&lt;&gt;"合格",I70&lt;&gt;"対象外承認"),AND(J70&lt;&gt;"合格",J70&lt;&gt;"対象外承認"),AND(A70="G3",V70&lt;&gt;"合格",V70&lt;&gt;"対象外承認"))),"判定値不正",IF(AND(A70="G4",L70="Scale",OR(COUNTIF('25_事業仮説・実験・GTM'!$Q$4:$Q$15,F70)=0,COUNTIFS('25_事業仮説・実験・GTM'!$Q$4:$Q$15,F70,'25_事業仮説・実験・GTM'!$AF$4:$AF$15,"&lt;&gt;充足")&gt;0,COUNTIFS('25_事業仮説・実験・GTM'!$Q$4:$Q$15,F70,'25_事業仮説・実験・GTM'!$AD$4:$AD$15,"&lt;&gt;拡大可能")&gt;0)),"拡大の行動証拠不足","判定整合"))))))</f>
        <v/>
      </c>
      <c r="AB70" s="28" t="str">
        <f>IF(A70="","",IF(A70&lt;&gt;"G3",IF(A70="G0",IF(OR(COUNTIF('25_事業仮説・実験・GTM'!$Q$4:$Q$15,F70)=0,COUNTIFS('25_事業仮説・実験・GTM'!$Q$4:$Q$15,F70,'25_事業仮説・実験・GTM'!$AE$4:$AE$15,"&lt;&gt;仮説記録あり")&gt;0),"仮説・持越し確認不足","G0仮説記録接続"),IF(A70="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70="",U70="",W70="",X70="",OR(COUNTIFS('30_必須評価セット'!$B$4:$B$153,T70,'30_必須評価セット'!$C$4:$C$153,U70,'30_必須評価セット'!$E$4:$E$153,"E01")=0,COUNTIFS('30_必須評価セット'!$B$4:$B$153,T70,'30_必須評価セット'!$C$4:$C$153,U70,'30_必須評価セット'!$E$4:$E$153,"E02")=0,COUNTIFS('30_必須評価セット'!$B$4:$B$153,T70,'30_必須評価セット'!$C$4:$C$153,U70,'30_必須評価セット'!$E$4:$E$153,"E03")=0,COUNTIFS('30_必須評価セット'!$B$4:$B$153,T70,'30_必須評価セット'!$C$4:$C$153,U70,'30_必須評価セット'!$E$4:$E$153,"E04")=0,COUNTIFS('30_必須評価セット'!$B$4:$B$153,T70,'30_必須評価セット'!$C$4:$C$153,U70,'30_必須評価セット'!$E$4:$E$153,"E05")=0,COUNTIFS('30_必須評価セット'!$B$4:$B$153,T70,'30_必須評価セット'!$C$4:$C$153,U70,'30_必須評価セット'!$E$4:$E$153,"E06")=0,COUNTIFS('30_必須評価セット'!$B$4:$B$153,T70,'30_必須評価セット'!$C$4:$C$153,U70,'30_必須評価セット'!$E$4:$E$153,"E07")=0,COUNTIFS('30_必須評価セット'!$B$4:$B$153,T70,'30_必須評価セット'!$C$4:$C$153,U70,'30_必須評価セット'!$E$4:$E$153,"E08")=0,COUNTIFS('30_必須評価セット'!$B$4:$B$153,T70,'30_必須評価セット'!$C$4:$C$153,U70,'30_必須評価セット'!$E$4:$E$153,"E09")=0,COUNTIFS('30_必須評価セット'!$B$4:$B$153,T70,'30_必須評価セット'!$C$4:$C$153,U70,'30_必須評価セット'!$E$4:$E$153,"E10")=0,COUNTIFS('30_必須評価セット'!$B$4:$B$153,T70,'30_必須評価セット'!$C$4:$C$153,U70,'30_必須評価セット'!$E$4:$E$153,"E11")=0,COUNTIFS('30_必須評価セット'!$B$4:$B$153,T70,'30_必須評価セット'!$C$4:$C$153,U70,'30_必須評価セット'!$E$4:$E$153,"E12")=0,COUNTIFS('30_必須評価セット'!$B$4:$B$153,T70,'30_必須評価セット'!$C$4:$C$153,U70,'30_必須評価セット'!$E$4:$E$153,"E13")=0,COUNTIFS('30_必須評価セット'!$B$4:$B$153,T70,'30_必須評価セット'!$C$4:$C$153,U70,'30_必須評価セット'!$E$4:$E$153,"E14")=0,COUNTIFS('30_必須評価セット'!$B$4:$B$153,T70,'30_必須評価セット'!$C$4:$C$153,U70,'30_必須評価セット'!$E$4:$E$153,"E15")=0,COUNTIFS('30_必須評価セット'!$B$4:$B$153,T70,'30_必須評価セット'!$C$4:$C$153,U70,'30_必須評価セット'!$E$4:$E$153,"E16")=0,COUNTIFS('30_必須評価セット'!$B$4:$B$153,T70,'30_必須評価セット'!$C$4:$C$153,U70,'30_必須評価セット'!$E$4:$E$153,"E17")=0,COUNTIFS('30_必須評価セット'!$B$4:$B$153,T70,'30_必須評価セット'!$C$4:$C$153,U70,'30_必須評価セット'!$E$4:$E$153,"E18")=0)),"必須分類・集合不足",IF(OR(AND('03_AIリスクTier・適用判定'!$B$27="使用",OR('17_ロードマップ・案件実行管理'!$AA$86&lt;&gt;1,NOT(AND(COUNTIFS('30_必須評価セット'!$B$4:$B$153,T70,'30_必須評価セット'!$C$4:$C$153,U70,'30_必須評価セット'!$E$4:$E$153,"E03",'30_必須評価セット'!$F$4:$F$153,"必須")&gt;0,COUNTIFS('30_必須評価セット'!$B$4:$B$153,T70,'30_必須評価セット'!$C$4:$C$153,U70,'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70,'30_必須評価セット'!$C$4:$C$153,U70,'30_必須評価セット'!$E$4:$E$153,"E05",'30_必須評価セット'!$F$4:$F$153,"必須")&gt;0)))),AND('03_AIリスクTier・適用判定'!$B$28="不使用",'17_ロードマップ・案件実行管理'!$W$87&lt;&gt;"除外記録済")),"機能別評価・対象外未完",IF(COUNTIFS('30_必須評価セット'!$B$4:$B$153,T70,'30_必須評価セット'!$C$4:$C$153,U70)&lt;&gt;SUMIFS('30_必須評価セット'!$N$4:$N$153,'30_必須評価セット'!$B$4:$B$153,T70,'30_必須評価セット'!$C$4:$C$153,U70),"必須評価セット未充足","必須評価セット充足"))))))</f>
        <v/>
      </c>
      <c r="AC70" s="28" t="str">
        <f>IF(F70="","",IF(OR(AG70="",AG70="未判定"),"条件有無未判定",IF(AND(AG70="なし",OR(L70="条件付承認",COUNTIF('31_条件・有効性'!$B$4:$B$83,F70)&gt;0)),"条件有無不一致",IF(AND(AG70="条件あり",COUNTIF('31_条件・有効性'!$B$4:$B$83,F70)=0),"Condition未登録",IF(AND(AG70="条件あり",COUNTIF('31_条件・有効性'!$B$4:$B$83,F70)&lt;&gt;(COUNTIFS('31_条件・有効性'!$B$4:$B$83,F70,'31_条件・有効性'!$Q$4:$Q$83,"解消確認済")+COUNTIFS('31_条件・有効性'!$B$4:$B$83,F70,'31_条件・有効性'!$Q$4:$Q$83,"期限内・制約継続"))),"条件失効・定義不備",IF(AND(AG70&lt;&gt;"なし",AG70&lt;&gt;"条件あり"),"条件有無不正","条件整合"))))))</f>
        <v/>
      </c>
      <c r="AD70" s="28" t="str">
        <f t="shared" si="2"/>
        <v/>
      </c>
      <c r="AE70" s="29"/>
      <c r="AF70" s="29"/>
      <c r="AG70" s="29"/>
    </row>
    <row r="71" spans="1:33" ht="78" customHeight="1" x14ac:dyDescent="0.2">
      <c r="A71" s="29"/>
      <c r="B71" s="28" t="str">
        <f>IF(A71="","",IF(COUNTIF('32_定義マスター'!$A$4:$A$9,A71)&lt;&gt;1,"参照ID不正",IF(INDEX('32_定義マスター'!$B$4:$B$9,MATCH(A71,'32_定義マスター'!$A$4:$A$9,0))="","",INDEX('32_定義マスター'!$B$4:$B$9,MATCH(A71,'32_定義マスター'!$A$4:$A$9,0)))))</f>
        <v/>
      </c>
      <c r="C71" s="28" t="str">
        <f>IF(A71="","",IF(COUNTIF('32_定義マスター'!$A$4:$A$9,A71)&lt;&gt;1,"参照ID不正",IF(INDEX('32_定義マスター'!$C$4:$C$9,MATCH(A71,'32_定義マスター'!$A$4:$A$9,0))="","",INDEX('32_定義マスター'!$C$4:$C$9,MATCH(A71,'32_定義マスター'!$A$4:$A$9,0)))))</f>
        <v/>
      </c>
      <c r="D71" s="28" t="str">
        <f>IF(A71="","",IF(COUNTIF('32_定義マスター'!$A$4:$A$9,A71)&lt;&gt;1,"参照ID不正",IF(INDEX('32_定義マスター'!$D$4:$D$9,MATCH(A71,'32_定義マスター'!$A$4:$A$9,0))="","",INDEX('32_定義マスター'!$D$4:$D$9,MATCH(A71,'32_定義マスター'!$A$4:$A$9,0)))))</f>
        <v/>
      </c>
      <c r="E71" s="28" t="str">
        <f>IF(A71="","",IF(COUNTIF('32_定義マスター'!$A$4:$A$9,A71)&lt;&gt;1,"参照ID不正",IF(INDEX('32_定義マスター'!$E$4:$E$9,MATCH(A71,'32_定義マスター'!$A$4:$A$9,0))="","",INDEX('32_定義マスター'!$E$4:$E$9,MATCH(A71,'32_定義マスター'!$A$4:$A$9,0)))))</f>
        <v/>
      </c>
      <c r="F71" s="29"/>
      <c r="G71" s="29"/>
      <c r="H71" s="29"/>
      <c r="I71" s="29"/>
      <c r="J71" s="29"/>
      <c r="K71" s="29"/>
      <c r="L71" s="29"/>
      <c r="M71" s="29"/>
      <c r="N71" s="32"/>
      <c r="O71" s="29"/>
      <c r="P71" s="32"/>
      <c r="Q71" s="29"/>
      <c r="R71" s="29"/>
      <c r="S71" s="28" t="str">
        <f>IF(A71="","",IF(COUNTIF('32_定義マスター'!$A$4:$A$9,A71)&lt;&gt;1,"Gate ID不正",IF(OR(L71="",L71="未審査"),"未承認",IF(OR(OR(F71="",G71="",H71="",I71="",J71="",K71="",O71="",AE71="",AF71=""),NOT(ISNUMBER(P71))),"判断証拠不足",IF(COUNTIF($F$4:$F$83,F71)&lt;&gt;1,"判断Run ID重複",IF(OR(AND(P71&lt;&gt;"",OR(NOT(ISNUMBER(P71)),IFERROR(P71&lt;1,TRUE),IFERROR(INT(P71)&gt;INT(AsOfDate),TRUE)))),"判断日不正",IF(AND(A71="G3",OR(T71="",U71="",V71="",W71="",X71="")),"公開対象・集合不足","判断記録あり・内容審査別")))))))</f>
        <v/>
      </c>
      <c r="T71" s="29"/>
      <c r="U71" s="29"/>
      <c r="V71" s="29"/>
      <c r="W71" s="29"/>
      <c r="X71" s="29"/>
      <c r="Y71" s="32"/>
      <c r="Z71" s="29"/>
      <c r="AA71" s="28" t="str">
        <f>IF(A71="","",IF(NOT(IFERROR(ISNUMBER(SEARCH("|"&amp;L71&amp;"|",IF(COUNTIF('32_定義マスター'!$A$4:$A$9,A71)&lt;&gt;1,"参照ID不正",IF(INDEX('32_定義マスター'!$F$4:$F$9,MATCH(A71,'32_定義マスター'!$A$4:$A$9,0))="","",INDEX('32_定義マスター'!$F$4:$F$9,MATCH(A71,'32_定義マスター'!$A$4:$A$9,0)))))),FALSE)),"Gate判断不適合",IF(AND(OR(L71="承認",L71="条件付承認",L71="Scale",L71="Continue",L71="廃止完了承認"),OR(I71="不合格",J71="不合格",V71="不合格",I71="FAIL",J71="FAIL",V71="FAIL")),"停止判定と承認が矛盾",IF(AND(OR(L71="承認",L71="条件付承認",L71="Scale",L71="Continue",L71="廃止完了承認"),OR(I71="未判定",J71="未判定",AND(A71="G3",V71="未判定"))),"必要判定未確定",IF(AND(OR(L71="承認",L71="条件付承認",L71="Scale",L71="Continue",L71="廃止完了承認"),OR(AND(I71&lt;&gt;"合格",I71&lt;&gt;"対象外承認"),AND(J71&lt;&gt;"合格",J71&lt;&gt;"対象外承認"),AND(A71="G3",V71&lt;&gt;"合格",V71&lt;&gt;"対象外承認"))),"判定値不正",IF(AND(A71="G4",L71="Scale",OR(COUNTIF('25_事業仮説・実験・GTM'!$Q$4:$Q$15,F71)=0,COUNTIFS('25_事業仮説・実験・GTM'!$Q$4:$Q$15,F71,'25_事業仮説・実験・GTM'!$AF$4:$AF$15,"&lt;&gt;充足")&gt;0,COUNTIFS('25_事業仮説・実験・GTM'!$Q$4:$Q$15,F71,'25_事業仮説・実験・GTM'!$AD$4:$AD$15,"&lt;&gt;拡大可能")&gt;0)),"拡大の行動証拠不足","判定整合"))))))</f>
        <v/>
      </c>
      <c r="AB71" s="28" t="str">
        <f>IF(A71="","",IF(A71&lt;&gt;"G3",IF(A71="G0",IF(OR(COUNTIF('25_事業仮説・実験・GTM'!$Q$4:$Q$15,F71)=0,COUNTIFS('25_事業仮説・実験・GTM'!$Q$4:$Q$15,F71,'25_事業仮説・実験・GTM'!$AE$4:$AE$15,"&lt;&gt;仮説記録あり")&gt;0),"仮説・持越し確認不足","G0仮説記録接続"),IF(A71="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71="",U71="",W71="",X71="",OR(COUNTIFS('30_必須評価セット'!$B$4:$B$153,T71,'30_必須評価セット'!$C$4:$C$153,U71,'30_必須評価セット'!$E$4:$E$153,"E01")=0,COUNTIFS('30_必須評価セット'!$B$4:$B$153,T71,'30_必須評価セット'!$C$4:$C$153,U71,'30_必須評価セット'!$E$4:$E$153,"E02")=0,COUNTIFS('30_必須評価セット'!$B$4:$B$153,T71,'30_必須評価セット'!$C$4:$C$153,U71,'30_必須評価セット'!$E$4:$E$153,"E03")=0,COUNTIFS('30_必須評価セット'!$B$4:$B$153,T71,'30_必須評価セット'!$C$4:$C$153,U71,'30_必須評価セット'!$E$4:$E$153,"E04")=0,COUNTIFS('30_必須評価セット'!$B$4:$B$153,T71,'30_必須評価セット'!$C$4:$C$153,U71,'30_必須評価セット'!$E$4:$E$153,"E05")=0,COUNTIFS('30_必須評価セット'!$B$4:$B$153,T71,'30_必須評価セット'!$C$4:$C$153,U71,'30_必須評価セット'!$E$4:$E$153,"E06")=0,COUNTIFS('30_必須評価セット'!$B$4:$B$153,T71,'30_必須評価セット'!$C$4:$C$153,U71,'30_必須評価セット'!$E$4:$E$153,"E07")=0,COUNTIFS('30_必須評価セット'!$B$4:$B$153,T71,'30_必須評価セット'!$C$4:$C$153,U71,'30_必須評価セット'!$E$4:$E$153,"E08")=0,COUNTIFS('30_必須評価セット'!$B$4:$B$153,T71,'30_必須評価セット'!$C$4:$C$153,U71,'30_必須評価セット'!$E$4:$E$153,"E09")=0,COUNTIFS('30_必須評価セット'!$B$4:$B$153,T71,'30_必須評価セット'!$C$4:$C$153,U71,'30_必須評価セット'!$E$4:$E$153,"E10")=0,COUNTIFS('30_必須評価セット'!$B$4:$B$153,T71,'30_必須評価セット'!$C$4:$C$153,U71,'30_必須評価セット'!$E$4:$E$153,"E11")=0,COUNTIFS('30_必須評価セット'!$B$4:$B$153,T71,'30_必須評価セット'!$C$4:$C$153,U71,'30_必須評価セット'!$E$4:$E$153,"E12")=0,COUNTIFS('30_必須評価セット'!$B$4:$B$153,T71,'30_必須評価セット'!$C$4:$C$153,U71,'30_必須評価セット'!$E$4:$E$153,"E13")=0,COUNTIFS('30_必須評価セット'!$B$4:$B$153,T71,'30_必須評価セット'!$C$4:$C$153,U71,'30_必須評価セット'!$E$4:$E$153,"E14")=0,COUNTIFS('30_必須評価セット'!$B$4:$B$153,T71,'30_必須評価セット'!$C$4:$C$153,U71,'30_必須評価セット'!$E$4:$E$153,"E15")=0,COUNTIFS('30_必須評価セット'!$B$4:$B$153,T71,'30_必須評価セット'!$C$4:$C$153,U71,'30_必須評価セット'!$E$4:$E$153,"E16")=0,COUNTIFS('30_必須評価セット'!$B$4:$B$153,T71,'30_必須評価セット'!$C$4:$C$153,U71,'30_必須評価セット'!$E$4:$E$153,"E17")=0,COUNTIFS('30_必須評価セット'!$B$4:$B$153,T71,'30_必須評価セット'!$C$4:$C$153,U71,'30_必須評価セット'!$E$4:$E$153,"E18")=0)),"必須分類・集合不足",IF(OR(AND('03_AIリスクTier・適用判定'!$B$27="使用",OR('17_ロードマップ・案件実行管理'!$AA$86&lt;&gt;1,NOT(AND(COUNTIFS('30_必須評価セット'!$B$4:$B$153,T71,'30_必須評価セット'!$C$4:$C$153,U71,'30_必須評価セット'!$E$4:$E$153,"E03",'30_必須評価セット'!$F$4:$F$153,"必須")&gt;0,COUNTIFS('30_必須評価セット'!$B$4:$B$153,T71,'30_必須評価セット'!$C$4:$C$153,U71,'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71,'30_必須評価セット'!$C$4:$C$153,U71,'30_必須評価セット'!$E$4:$E$153,"E05",'30_必須評価セット'!$F$4:$F$153,"必須")&gt;0)))),AND('03_AIリスクTier・適用判定'!$B$28="不使用",'17_ロードマップ・案件実行管理'!$W$87&lt;&gt;"除外記録済")),"機能別評価・対象外未完",IF(COUNTIFS('30_必須評価セット'!$B$4:$B$153,T71,'30_必須評価セット'!$C$4:$C$153,U71)&lt;&gt;SUMIFS('30_必須評価セット'!$N$4:$N$153,'30_必須評価セット'!$B$4:$B$153,T71,'30_必須評価セット'!$C$4:$C$153,U71),"必須評価セット未充足","必須評価セット充足"))))))</f>
        <v/>
      </c>
      <c r="AC71" s="28" t="str">
        <f>IF(F71="","",IF(OR(AG71="",AG71="未判定"),"条件有無未判定",IF(AND(AG71="なし",OR(L71="条件付承認",COUNTIF('31_条件・有効性'!$B$4:$B$83,F71)&gt;0)),"条件有無不一致",IF(AND(AG71="条件あり",COUNTIF('31_条件・有効性'!$B$4:$B$83,F71)=0),"Condition未登録",IF(AND(AG71="条件あり",COUNTIF('31_条件・有効性'!$B$4:$B$83,F71)&lt;&gt;(COUNTIFS('31_条件・有効性'!$B$4:$B$83,F71,'31_条件・有効性'!$Q$4:$Q$83,"解消確認済")+COUNTIFS('31_条件・有効性'!$B$4:$B$83,F71,'31_条件・有効性'!$Q$4:$Q$83,"期限内・制約継続"))),"条件失効・定義不備",IF(AND(AG71&lt;&gt;"なし",AG71&lt;&gt;"条件あり"),"条件有無不正","条件整合"))))))</f>
        <v/>
      </c>
      <c r="AD71" s="28" t="str">
        <f t="shared" si="2"/>
        <v/>
      </c>
      <c r="AE71" s="29"/>
      <c r="AF71" s="29"/>
      <c r="AG71" s="29"/>
    </row>
    <row r="72" spans="1:33" ht="78" customHeight="1" x14ac:dyDescent="0.2">
      <c r="A72" s="29"/>
      <c r="B72" s="28" t="str">
        <f>IF(A72="","",IF(COUNTIF('32_定義マスター'!$A$4:$A$9,A72)&lt;&gt;1,"参照ID不正",IF(INDEX('32_定義マスター'!$B$4:$B$9,MATCH(A72,'32_定義マスター'!$A$4:$A$9,0))="","",INDEX('32_定義マスター'!$B$4:$B$9,MATCH(A72,'32_定義マスター'!$A$4:$A$9,0)))))</f>
        <v/>
      </c>
      <c r="C72" s="28" t="str">
        <f>IF(A72="","",IF(COUNTIF('32_定義マスター'!$A$4:$A$9,A72)&lt;&gt;1,"参照ID不正",IF(INDEX('32_定義マスター'!$C$4:$C$9,MATCH(A72,'32_定義マスター'!$A$4:$A$9,0))="","",INDEX('32_定義マスター'!$C$4:$C$9,MATCH(A72,'32_定義マスター'!$A$4:$A$9,0)))))</f>
        <v/>
      </c>
      <c r="D72" s="28" t="str">
        <f>IF(A72="","",IF(COUNTIF('32_定義マスター'!$A$4:$A$9,A72)&lt;&gt;1,"参照ID不正",IF(INDEX('32_定義マスター'!$D$4:$D$9,MATCH(A72,'32_定義マスター'!$A$4:$A$9,0))="","",INDEX('32_定義マスター'!$D$4:$D$9,MATCH(A72,'32_定義マスター'!$A$4:$A$9,0)))))</f>
        <v/>
      </c>
      <c r="E72" s="28" t="str">
        <f>IF(A72="","",IF(COUNTIF('32_定義マスター'!$A$4:$A$9,A72)&lt;&gt;1,"参照ID不正",IF(INDEX('32_定義マスター'!$E$4:$E$9,MATCH(A72,'32_定義マスター'!$A$4:$A$9,0))="","",INDEX('32_定義マスター'!$E$4:$E$9,MATCH(A72,'32_定義マスター'!$A$4:$A$9,0)))))</f>
        <v/>
      </c>
      <c r="F72" s="29"/>
      <c r="G72" s="29"/>
      <c r="H72" s="29"/>
      <c r="I72" s="29"/>
      <c r="J72" s="29"/>
      <c r="K72" s="29"/>
      <c r="L72" s="29"/>
      <c r="M72" s="29"/>
      <c r="N72" s="32"/>
      <c r="O72" s="29"/>
      <c r="P72" s="32"/>
      <c r="Q72" s="29"/>
      <c r="R72" s="29"/>
      <c r="S72" s="28" t="str">
        <f>IF(A72="","",IF(COUNTIF('32_定義マスター'!$A$4:$A$9,A72)&lt;&gt;1,"Gate ID不正",IF(OR(L72="",L72="未審査"),"未承認",IF(OR(OR(F72="",G72="",H72="",I72="",J72="",K72="",O72="",AE72="",AF72=""),NOT(ISNUMBER(P72))),"判断証拠不足",IF(COUNTIF($F$4:$F$83,F72)&lt;&gt;1,"判断Run ID重複",IF(OR(AND(P72&lt;&gt;"",OR(NOT(ISNUMBER(P72)),IFERROR(P72&lt;1,TRUE),IFERROR(INT(P72)&gt;INT(AsOfDate),TRUE)))),"判断日不正",IF(AND(A72="G3",OR(T72="",U72="",V72="",W72="",X72="")),"公開対象・集合不足","判断記録あり・内容審査別")))))))</f>
        <v/>
      </c>
      <c r="T72" s="29"/>
      <c r="U72" s="29"/>
      <c r="V72" s="29"/>
      <c r="W72" s="29"/>
      <c r="X72" s="29"/>
      <c r="Y72" s="32"/>
      <c r="Z72" s="29"/>
      <c r="AA72" s="28" t="str">
        <f>IF(A72="","",IF(NOT(IFERROR(ISNUMBER(SEARCH("|"&amp;L72&amp;"|",IF(COUNTIF('32_定義マスター'!$A$4:$A$9,A72)&lt;&gt;1,"参照ID不正",IF(INDEX('32_定義マスター'!$F$4:$F$9,MATCH(A72,'32_定義マスター'!$A$4:$A$9,0))="","",INDEX('32_定義マスター'!$F$4:$F$9,MATCH(A72,'32_定義マスター'!$A$4:$A$9,0)))))),FALSE)),"Gate判断不適合",IF(AND(OR(L72="承認",L72="条件付承認",L72="Scale",L72="Continue",L72="廃止完了承認"),OR(I72="不合格",J72="不合格",V72="不合格",I72="FAIL",J72="FAIL",V72="FAIL")),"停止判定と承認が矛盾",IF(AND(OR(L72="承認",L72="条件付承認",L72="Scale",L72="Continue",L72="廃止完了承認"),OR(I72="未判定",J72="未判定",AND(A72="G3",V72="未判定"))),"必要判定未確定",IF(AND(OR(L72="承認",L72="条件付承認",L72="Scale",L72="Continue",L72="廃止完了承認"),OR(AND(I72&lt;&gt;"合格",I72&lt;&gt;"対象外承認"),AND(J72&lt;&gt;"合格",J72&lt;&gt;"対象外承認"),AND(A72="G3",V72&lt;&gt;"合格",V72&lt;&gt;"対象外承認"))),"判定値不正",IF(AND(A72="G4",L72="Scale",OR(COUNTIF('25_事業仮説・実験・GTM'!$Q$4:$Q$15,F72)=0,COUNTIFS('25_事業仮説・実験・GTM'!$Q$4:$Q$15,F72,'25_事業仮説・実験・GTM'!$AF$4:$AF$15,"&lt;&gt;充足")&gt;0,COUNTIFS('25_事業仮説・実験・GTM'!$Q$4:$Q$15,F72,'25_事業仮説・実験・GTM'!$AD$4:$AD$15,"&lt;&gt;拡大可能")&gt;0)),"拡大の行動証拠不足","判定整合"))))))</f>
        <v/>
      </c>
      <c r="AB72" s="28" t="str">
        <f>IF(A72="","",IF(A72&lt;&gt;"G3",IF(A72="G0",IF(OR(COUNTIF('25_事業仮説・実験・GTM'!$Q$4:$Q$15,F72)=0,COUNTIFS('25_事業仮説・実験・GTM'!$Q$4:$Q$15,F72,'25_事業仮説・実験・GTM'!$AE$4:$AE$15,"&lt;&gt;仮説記録あり")&gt;0),"仮説・持越し確認不足","G0仮説記録接続"),IF(A72="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72="",U72="",W72="",X72="",OR(COUNTIFS('30_必須評価セット'!$B$4:$B$153,T72,'30_必須評価セット'!$C$4:$C$153,U72,'30_必須評価セット'!$E$4:$E$153,"E01")=0,COUNTIFS('30_必須評価セット'!$B$4:$B$153,T72,'30_必須評価セット'!$C$4:$C$153,U72,'30_必須評価セット'!$E$4:$E$153,"E02")=0,COUNTIFS('30_必須評価セット'!$B$4:$B$153,T72,'30_必須評価セット'!$C$4:$C$153,U72,'30_必須評価セット'!$E$4:$E$153,"E03")=0,COUNTIFS('30_必須評価セット'!$B$4:$B$153,T72,'30_必須評価セット'!$C$4:$C$153,U72,'30_必須評価セット'!$E$4:$E$153,"E04")=0,COUNTIFS('30_必須評価セット'!$B$4:$B$153,T72,'30_必須評価セット'!$C$4:$C$153,U72,'30_必須評価セット'!$E$4:$E$153,"E05")=0,COUNTIFS('30_必須評価セット'!$B$4:$B$153,T72,'30_必須評価セット'!$C$4:$C$153,U72,'30_必須評価セット'!$E$4:$E$153,"E06")=0,COUNTIFS('30_必須評価セット'!$B$4:$B$153,T72,'30_必須評価セット'!$C$4:$C$153,U72,'30_必須評価セット'!$E$4:$E$153,"E07")=0,COUNTIFS('30_必須評価セット'!$B$4:$B$153,T72,'30_必須評価セット'!$C$4:$C$153,U72,'30_必須評価セット'!$E$4:$E$153,"E08")=0,COUNTIFS('30_必須評価セット'!$B$4:$B$153,T72,'30_必須評価セット'!$C$4:$C$153,U72,'30_必須評価セット'!$E$4:$E$153,"E09")=0,COUNTIFS('30_必須評価セット'!$B$4:$B$153,T72,'30_必須評価セット'!$C$4:$C$153,U72,'30_必須評価セット'!$E$4:$E$153,"E10")=0,COUNTIFS('30_必須評価セット'!$B$4:$B$153,T72,'30_必須評価セット'!$C$4:$C$153,U72,'30_必須評価セット'!$E$4:$E$153,"E11")=0,COUNTIFS('30_必須評価セット'!$B$4:$B$153,T72,'30_必須評価セット'!$C$4:$C$153,U72,'30_必須評価セット'!$E$4:$E$153,"E12")=0,COUNTIFS('30_必須評価セット'!$B$4:$B$153,T72,'30_必須評価セット'!$C$4:$C$153,U72,'30_必須評価セット'!$E$4:$E$153,"E13")=0,COUNTIFS('30_必須評価セット'!$B$4:$B$153,T72,'30_必須評価セット'!$C$4:$C$153,U72,'30_必須評価セット'!$E$4:$E$153,"E14")=0,COUNTIFS('30_必須評価セット'!$B$4:$B$153,T72,'30_必須評価セット'!$C$4:$C$153,U72,'30_必須評価セット'!$E$4:$E$153,"E15")=0,COUNTIFS('30_必須評価セット'!$B$4:$B$153,T72,'30_必須評価セット'!$C$4:$C$153,U72,'30_必須評価セット'!$E$4:$E$153,"E16")=0,COUNTIFS('30_必須評価セット'!$B$4:$B$153,T72,'30_必須評価セット'!$C$4:$C$153,U72,'30_必須評価セット'!$E$4:$E$153,"E17")=0,COUNTIFS('30_必須評価セット'!$B$4:$B$153,T72,'30_必須評価セット'!$C$4:$C$153,U72,'30_必須評価セット'!$E$4:$E$153,"E18")=0)),"必須分類・集合不足",IF(OR(AND('03_AIリスクTier・適用判定'!$B$27="使用",OR('17_ロードマップ・案件実行管理'!$AA$86&lt;&gt;1,NOT(AND(COUNTIFS('30_必須評価セット'!$B$4:$B$153,T72,'30_必須評価セット'!$C$4:$C$153,U72,'30_必須評価セット'!$E$4:$E$153,"E03",'30_必須評価セット'!$F$4:$F$153,"必須")&gt;0,COUNTIFS('30_必須評価セット'!$B$4:$B$153,T72,'30_必須評価セット'!$C$4:$C$153,U72,'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72,'30_必須評価セット'!$C$4:$C$153,U72,'30_必須評価セット'!$E$4:$E$153,"E05",'30_必須評価セット'!$F$4:$F$153,"必須")&gt;0)))),AND('03_AIリスクTier・適用判定'!$B$28="不使用",'17_ロードマップ・案件実行管理'!$W$87&lt;&gt;"除外記録済")),"機能別評価・対象外未完",IF(COUNTIFS('30_必須評価セット'!$B$4:$B$153,T72,'30_必須評価セット'!$C$4:$C$153,U72)&lt;&gt;SUMIFS('30_必須評価セット'!$N$4:$N$153,'30_必須評価セット'!$B$4:$B$153,T72,'30_必須評価セット'!$C$4:$C$153,U72),"必須評価セット未充足","必須評価セット充足"))))))</f>
        <v/>
      </c>
      <c r="AC72" s="28" t="str">
        <f>IF(F72="","",IF(OR(AG72="",AG72="未判定"),"条件有無未判定",IF(AND(AG72="なし",OR(L72="条件付承認",COUNTIF('31_条件・有効性'!$B$4:$B$83,F72)&gt;0)),"条件有無不一致",IF(AND(AG72="条件あり",COUNTIF('31_条件・有効性'!$B$4:$B$83,F72)=0),"Condition未登録",IF(AND(AG72="条件あり",COUNTIF('31_条件・有効性'!$B$4:$B$83,F72)&lt;&gt;(COUNTIFS('31_条件・有効性'!$B$4:$B$83,F72,'31_条件・有効性'!$Q$4:$Q$83,"解消確認済")+COUNTIFS('31_条件・有効性'!$B$4:$B$83,F72,'31_条件・有効性'!$Q$4:$Q$83,"期限内・制約継続"))),"条件失効・定義不備",IF(AND(AG72&lt;&gt;"なし",AG72&lt;&gt;"条件あり"),"条件有無不正","条件整合"))))))</f>
        <v/>
      </c>
      <c r="AD72" s="28" t="str">
        <f t="shared" si="2"/>
        <v/>
      </c>
      <c r="AE72" s="29"/>
      <c r="AF72" s="29"/>
      <c r="AG72" s="29"/>
    </row>
    <row r="73" spans="1:33" ht="78" customHeight="1" x14ac:dyDescent="0.2">
      <c r="A73" s="29"/>
      <c r="B73" s="28" t="str">
        <f>IF(A73="","",IF(COUNTIF('32_定義マスター'!$A$4:$A$9,A73)&lt;&gt;1,"参照ID不正",IF(INDEX('32_定義マスター'!$B$4:$B$9,MATCH(A73,'32_定義マスター'!$A$4:$A$9,0))="","",INDEX('32_定義マスター'!$B$4:$B$9,MATCH(A73,'32_定義マスター'!$A$4:$A$9,0)))))</f>
        <v/>
      </c>
      <c r="C73" s="28" t="str">
        <f>IF(A73="","",IF(COUNTIF('32_定義マスター'!$A$4:$A$9,A73)&lt;&gt;1,"参照ID不正",IF(INDEX('32_定義マスター'!$C$4:$C$9,MATCH(A73,'32_定義マスター'!$A$4:$A$9,0))="","",INDEX('32_定義マスター'!$C$4:$C$9,MATCH(A73,'32_定義マスター'!$A$4:$A$9,0)))))</f>
        <v/>
      </c>
      <c r="D73" s="28" t="str">
        <f>IF(A73="","",IF(COUNTIF('32_定義マスター'!$A$4:$A$9,A73)&lt;&gt;1,"参照ID不正",IF(INDEX('32_定義マスター'!$D$4:$D$9,MATCH(A73,'32_定義マスター'!$A$4:$A$9,0))="","",INDEX('32_定義マスター'!$D$4:$D$9,MATCH(A73,'32_定義マスター'!$A$4:$A$9,0)))))</f>
        <v/>
      </c>
      <c r="E73" s="28" t="str">
        <f>IF(A73="","",IF(COUNTIF('32_定義マスター'!$A$4:$A$9,A73)&lt;&gt;1,"参照ID不正",IF(INDEX('32_定義マスター'!$E$4:$E$9,MATCH(A73,'32_定義マスター'!$A$4:$A$9,0))="","",INDEX('32_定義マスター'!$E$4:$E$9,MATCH(A73,'32_定義マスター'!$A$4:$A$9,0)))))</f>
        <v/>
      </c>
      <c r="F73" s="29"/>
      <c r="G73" s="29"/>
      <c r="H73" s="29"/>
      <c r="I73" s="29"/>
      <c r="J73" s="29"/>
      <c r="K73" s="29"/>
      <c r="L73" s="29"/>
      <c r="M73" s="29"/>
      <c r="N73" s="32"/>
      <c r="O73" s="29"/>
      <c r="P73" s="32"/>
      <c r="Q73" s="29"/>
      <c r="R73" s="29"/>
      <c r="S73" s="28" t="str">
        <f>IF(A73="","",IF(COUNTIF('32_定義マスター'!$A$4:$A$9,A73)&lt;&gt;1,"Gate ID不正",IF(OR(L73="",L73="未審査"),"未承認",IF(OR(OR(F73="",G73="",H73="",I73="",J73="",K73="",O73="",AE73="",AF73=""),NOT(ISNUMBER(P73))),"判断証拠不足",IF(COUNTIF($F$4:$F$83,F73)&lt;&gt;1,"判断Run ID重複",IF(OR(AND(P73&lt;&gt;"",OR(NOT(ISNUMBER(P73)),IFERROR(P73&lt;1,TRUE),IFERROR(INT(P73)&gt;INT(AsOfDate),TRUE)))),"判断日不正",IF(AND(A73="G3",OR(T73="",U73="",V73="",W73="",X73="")),"公開対象・集合不足","判断記録あり・内容審査別")))))))</f>
        <v/>
      </c>
      <c r="T73" s="29"/>
      <c r="U73" s="29"/>
      <c r="V73" s="29"/>
      <c r="W73" s="29"/>
      <c r="X73" s="29"/>
      <c r="Y73" s="32"/>
      <c r="Z73" s="29"/>
      <c r="AA73" s="28" t="str">
        <f>IF(A73="","",IF(NOT(IFERROR(ISNUMBER(SEARCH("|"&amp;L73&amp;"|",IF(COUNTIF('32_定義マスター'!$A$4:$A$9,A73)&lt;&gt;1,"参照ID不正",IF(INDEX('32_定義マスター'!$F$4:$F$9,MATCH(A73,'32_定義マスター'!$A$4:$A$9,0))="","",INDEX('32_定義マスター'!$F$4:$F$9,MATCH(A73,'32_定義マスター'!$A$4:$A$9,0)))))),FALSE)),"Gate判断不適合",IF(AND(OR(L73="承認",L73="条件付承認",L73="Scale",L73="Continue",L73="廃止完了承認"),OR(I73="不合格",J73="不合格",V73="不合格",I73="FAIL",J73="FAIL",V73="FAIL")),"停止判定と承認が矛盾",IF(AND(OR(L73="承認",L73="条件付承認",L73="Scale",L73="Continue",L73="廃止完了承認"),OR(I73="未判定",J73="未判定",AND(A73="G3",V73="未判定"))),"必要判定未確定",IF(AND(OR(L73="承認",L73="条件付承認",L73="Scale",L73="Continue",L73="廃止完了承認"),OR(AND(I73&lt;&gt;"合格",I73&lt;&gt;"対象外承認"),AND(J73&lt;&gt;"合格",J73&lt;&gt;"対象外承認"),AND(A73="G3",V73&lt;&gt;"合格",V73&lt;&gt;"対象外承認"))),"判定値不正",IF(AND(A73="G4",L73="Scale",OR(COUNTIF('25_事業仮説・実験・GTM'!$Q$4:$Q$15,F73)=0,COUNTIFS('25_事業仮説・実験・GTM'!$Q$4:$Q$15,F73,'25_事業仮説・実験・GTM'!$AF$4:$AF$15,"&lt;&gt;充足")&gt;0,COUNTIFS('25_事業仮説・実験・GTM'!$Q$4:$Q$15,F73,'25_事業仮説・実験・GTM'!$AD$4:$AD$15,"&lt;&gt;拡大可能")&gt;0)),"拡大の行動証拠不足","判定整合"))))))</f>
        <v/>
      </c>
      <c r="AB73" s="28" t="str">
        <f>IF(A73="","",IF(A73&lt;&gt;"G3",IF(A73="G0",IF(OR(COUNTIF('25_事業仮説・実験・GTM'!$Q$4:$Q$15,F73)=0,COUNTIFS('25_事業仮説・実験・GTM'!$Q$4:$Q$15,F73,'25_事業仮説・実験・GTM'!$AE$4:$AE$15,"&lt;&gt;仮説記録あり")&gt;0),"仮説・持越し確認不足","G0仮説記録接続"),IF(A73="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73="",U73="",W73="",X73="",OR(COUNTIFS('30_必須評価セット'!$B$4:$B$153,T73,'30_必須評価セット'!$C$4:$C$153,U73,'30_必須評価セット'!$E$4:$E$153,"E01")=0,COUNTIFS('30_必須評価セット'!$B$4:$B$153,T73,'30_必須評価セット'!$C$4:$C$153,U73,'30_必須評価セット'!$E$4:$E$153,"E02")=0,COUNTIFS('30_必須評価セット'!$B$4:$B$153,T73,'30_必須評価セット'!$C$4:$C$153,U73,'30_必須評価セット'!$E$4:$E$153,"E03")=0,COUNTIFS('30_必須評価セット'!$B$4:$B$153,T73,'30_必須評価セット'!$C$4:$C$153,U73,'30_必須評価セット'!$E$4:$E$153,"E04")=0,COUNTIFS('30_必須評価セット'!$B$4:$B$153,T73,'30_必須評価セット'!$C$4:$C$153,U73,'30_必須評価セット'!$E$4:$E$153,"E05")=0,COUNTIFS('30_必須評価セット'!$B$4:$B$153,T73,'30_必須評価セット'!$C$4:$C$153,U73,'30_必須評価セット'!$E$4:$E$153,"E06")=0,COUNTIFS('30_必須評価セット'!$B$4:$B$153,T73,'30_必須評価セット'!$C$4:$C$153,U73,'30_必須評価セット'!$E$4:$E$153,"E07")=0,COUNTIFS('30_必須評価セット'!$B$4:$B$153,T73,'30_必須評価セット'!$C$4:$C$153,U73,'30_必須評価セット'!$E$4:$E$153,"E08")=0,COUNTIFS('30_必須評価セット'!$B$4:$B$153,T73,'30_必須評価セット'!$C$4:$C$153,U73,'30_必須評価セット'!$E$4:$E$153,"E09")=0,COUNTIFS('30_必須評価セット'!$B$4:$B$153,T73,'30_必須評価セット'!$C$4:$C$153,U73,'30_必須評価セット'!$E$4:$E$153,"E10")=0,COUNTIFS('30_必須評価セット'!$B$4:$B$153,T73,'30_必須評価セット'!$C$4:$C$153,U73,'30_必須評価セット'!$E$4:$E$153,"E11")=0,COUNTIFS('30_必須評価セット'!$B$4:$B$153,T73,'30_必須評価セット'!$C$4:$C$153,U73,'30_必須評価セット'!$E$4:$E$153,"E12")=0,COUNTIFS('30_必須評価セット'!$B$4:$B$153,T73,'30_必須評価セット'!$C$4:$C$153,U73,'30_必須評価セット'!$E$4:$E$153,"E13")=0,COUNTIFS('30_必須評価セット'!$B$4:$B$153,T73,'30_必須評価セット'!$C$4:$C$153,U73,'30_必須評価セット'!$E$4:$E$153,"E14")=0,COUNTIFS('30_必須評価セット'!$B$4:$B$153,T73,'30_必須評価セット'!$C$4:$C$153,U73,'30_必須評価セット'!$E$4:$E$153,"E15")=0,COUNTIFS('30_必須評価セット'!$B$4:$B$153,T73,'30_必須評価セット'!$C$4:$C$153,U73,'30_必須評価セット'!$E$4:$E$153,"E16")=0,COUNTIFS('30_必須評価セット'!$B$4:$B$153,T73,'30_必須評価セット'!$C$4:$C$153,U73,'30_必須評価セット'!$E$4:$E$153,"E17")=0,COUNTIFS('30_必須評価セット'!$B$4:$B$153,T73,'30_必須評価セット'!$C$4:$C$153,U73,'30_必須評価セット'!$E$4:$E$153,"E18")=0)),"必須分類・集合不足",IF(OR(AND('03_AIリスクTier・適用判定'!$B$27="使用",OR('17_ロードマップ・案件実行管理'!$AA$86&lt;&gt;1,NOT(AND(COUNTIFS('30_必須評価セット'!$B$4:$B$153,T73,'30_必須評価セット'!$C$4:$C$153,U73,'30_必須評価セット'!$E$4:$E$153,"E03",'30_必須評価セット'!$F$4:$F$153,"必須")&gt;0,COUNTIFS('30_必須評価セット'!$B$4:$B$153,T73,'30_必須評価セット'!$C$4:$C$153,U73,'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73,'30_必須評価セット'!$C$4:$C$153,U73,'30_必須評価セット'!$E$4:$E$153,"E05",'30_必須評価セット'!$F$4:$F$153,"必須")&gt;0)))),AND('03_AIリスクTier・適用判定'!$B$28="不使用",'17_ロードマップ・案件実行管理'!$W$87&lt;&gt;"除外記録済")),"機能別評価・対象外未完",IF(COUNTIFS('30_必須評価セット'!$B$4:$B$153,T73,'30_必須評価セット'!$C$4:$C$153,U73)&lt;&gt;SUMIFS('30_必須評価セット'!$N$4:$N$153,'30_必須評価セット'!$B$4:$B$153,T73,'30_必須評価セット'!$C$4:$C$153,U73),"必須評価セット未充足","必須評価セット充足"))))))</f>
        <v/>
      </c>
      <c r="AC73" s="28" t="str">
        <f>IF(F73="","",IF(OR(AG73="",AG73="未判定"),"条件有無未判定",IF(AND(AG73="なし",OR(L73="条件付承認",COUNTIF('31_条件・有効性'!$B$4:$B$83,F73)&gt;0)),"条件有無不一致",IF(AND(AG73="条件あり",COUNTIF('31_条件・有効性'!$B$4:$B$83,F73)=0),"Condition未登録",IF(AND(AG73="条件あり",COUNTIF('31_条件・有効性'!$B$4:$B$83,F73)&lt;&gt;(COUNTIFS('31_条件・有効性'!$B$4:$B$83,F73,'31_条件・有効性'!$Q$4:$Q$83,"解消確認済")+COUNTIFS('31_条件・有効性'!$B$4:$B$83,F73,'31_条件・有効性'!$Q$4:$Q$83,"期限内・制約継続"))),"条件失効・定義不備",IF(AND(AG73&lt;&gt;"なし",AG73&lt;&gt;"条件あり"),"条件有無不正","条件整合"))))))</f>
        <v/>
      </c>
      <c r="AD73" s="28" t="str">
        <f t="shared" si="2"/>
        <v/>
      </c>
      <c r="AE73" s="29"/>
      <c r="AF73" s="29"/>
      <c r="AG73" s="29"/>
    </row>
    <row r="74" spans="1:33" ht="78" customHeight="1" x14ac:dyDescent="0.2">
      <c r="A74" s="29"/>
      <c r="B74" s="28" t="str">
        <f>IF(A74="","",IF(COUNTIF('32_定義マスター'!$A$4:$A$9,A74)&lt;&gt;1,"参照ID不正",IF(INDEX('32_定義マスター'!$B$4:$B$9,MATCH(A74,'32_定義マスター'!$A$4:$A$9,0))="","",INDEX('32_定義マスター'!$B$4:$B$9,MATCH(A74,'32_定義マスター'!$A$4:$A$9,0)))))</f>
        <v/>
      </c>
      <c r="C74" s="28" t="str">
        <f>IF(A74="","",IF(COUNTIF('32_定義マスター'!$A$4:$A$9,A74)&lt;&gt;1,"参照ID不正",IF(INDEX('32_定義マスター'!$C$4:$C$9,MATCH(A74,'32_定義マスター'!$A$4:$A$9,0))="","",INDEX('32_定義マスター'!$C$4:$C$9,MATCH(A74,'32_定義マスター'!$A$4:$A$9,0)))))</f>
        <v/>
      </c>
      <c r="D74" s="28" t="str">
        <f>IF(A74="","",IF(COUNTIF('32_定義マスター'!$A$4:$A$9,A74)&lt;&gt;1,"参照ID不正",IF(INDEX('32_定義マスター'!$D$4:$D$9,MATCH(A74,'32_定義マスター'!$A$4:$A$9,0))="","",INDEX('32_定義マスター'!$D$4:$D$9,MATCH(A74,'32_定義マスター'!$A$4:$A$9,0)))))</f>
        <v/>
      </c>
      <c r="E74" s="28" t="str">
        <f>IF(A74="","",IF(COUNTIF('32_定義マスター'!$A$4:$A$9,A74)&lt;&gt;1,"参照ID不正",IF(INDEX('32_定義マスター'!$E$4:$E$9,MATCH(A74,'32_定義マスター'!$A$4:$A$9,0))="","",INDEX('32_定義マスター'!$E$4:$E$9,MATCH(A74,'32_定義マスター'!$A$4:$A$9,0)))))</f>
        <v/>
      </c>
      <c r="F74" s="29"/>
      <c r="G74" s="29"/>
      <c r="H74" s="29"/>
      <c r="I74" s="29"/>
      <c r="J74" s="29"/>
      <c r="K74" s="29"/>
      <c r="L74" s="29"/>
      <c r="M74" s="29"/>
      <c r="N74" s="32"/>
      <c r="O74" s="29"/>
      <c r="P74" s="32"/>
      <c r="Q74" s="29"/>
      <c r="R74" s="29"/>
      <c r="S74" s="28" t="str">
        <f>IF(A74="","",IF(COUNTIF('32_定義マスター'!$A$4:$A$9,A74)&lt;&gt;1,"Gate ID不正",IF(OR(L74="",L74="未審査"),"未承認",IF(OR(OR(F74="",G74="",H74="",I74="",J74="",K74="",O74="",AE74="",AF74=""),NOT(ISNUMBER(P74))),"判断証拠不足",IF(COUNTIF($F$4:$F$83,F74)&lt;&gt;1,"判断Run ID重複",IF(OR(AND(P74&lt;&gt;"",OR(NOT(ISNUMBER(P74)),IFERROR(P74&lt;1,TRUE),IFERROR(INT(P74)&gt;INT(AsOfDate),TRUE)))),"判断日不正",IF(AND(A74="G3",OR(T74="",U74="",V74="",W74="",X74="")),"公開対象・集合不足","判断記録あり・内容審査別")))))))</f>
        <v/>
      </c>
      <c r="T74" s="29"/>
      <c r="U74" s="29"/>
      <c r="V74" s="29"/>
      <c r="W74" s="29"/>
      <c r="X74" s="29"/>
      <c r="Y74" s="32"/>
      <c r="Z74" s="29"/>
      <c r="AA74" s="28" t="str">
        <f>IF(A74="","",IF(NOT(IFERROR(ISNUMBER(SEARCH("|"&amp;L74&amp;"|",IF(COUNTIF('32_定義マスター'!$A$4:$A$9,A74)&lt;&gt;1,"参照ID不正",IF(INDEX('32_定義マスター'!$F$4:$F$9,MATCH(A74,'32_定義マスター'!$A$4:$A$9,0))="","",INDEX('32_定義マスター'!$F$4:$F$9,MATCH(A74,'32_定義マスター'!$A$4:$A$9,0)))))),FALSE)),"Gate判断不適合",IF(AND(OR(L74="承認",L74="条件付承認",L74="Scale",L74="Continue",L74="廃止完了承認"),OR(I74="不合格",J74="不合格",V74="不合格",I74="FAIL",J74="FAIL",V74="FAIL")),"停止判定と承認が矛盾",IF(AND(OR(L74="承認",L74="条件付承認",L74="Scale",L74="Continue",L74="廃止完了承認"),OR(I74="未判定",J74="未判定",AND(A74="G3",V74="未判定"))),"必要判定未確定",IF(AND(OR(L74="承認",L74="条件付承認",L74="Scale",L74="Continue",L74="廃止完了承認"),OR(AND(I74&lt;&gt;"合格",I74&lt;&gt;"対象外承認"),AND(J74&lt;&gt;"合格",J74&lt;&gt;"対象外承認"),AND(A74="G3",V74&lt;&gt;"合格",V74&lt;&gt;"対象外承認"))),"判定値不正",IF(AND(A74="G4",L74="Scale",OR(COUNTIF('25_事業仮説・実験・GTM'!$Q$4:$Q$15,F74)=0,COUNTIFS('25_事業仮説・実験・GTM'!$Q$4:$Q$15,F74,'25_事業仮説・実験・GTM'!$AF$4:$AF$15,"&lt;&gt;充足")&gt;0,COUNTIFS('25_事業仮説・実験・GTM'!$Q$4:$Q$15,F74,'25_事業仮説・実験・GTM'!$AD$4:$AD$15,"&lt;&gt;拡大可能")&gt;0)),"拡大の行動証拠不足","判定整合"))))))</f>
        <v/>
      </c>
      <c r="AB74" s="28" t="str">
        <f>IF(A74="","",IF(A74&lt;&gt;"G3",IF(A74="G0",IF(OR(COUNTIF('25_事業仮説・実験・GTM'!$Q$4:$Q$15,F74)=0,COUNTIFS('25_事業仮説・実験・GTM'!$Q$4:$Q$15,F74,'25_事業仮説・実験・GTM'!$AE$4:$AE$15,"&lt;&gt;仮説記録あり")&gt;0),"仮説・持越し確認不足","G0仮説記録接続"),IF(A74="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74="",U74="",W74="",X74="",OR(COUNTIFS('30_必須評価セット'!$B$4:$B$153,T74,'30_必須評価セット'!$C$4:$C$153,U74,'30_必須評価セット'!$E$4:$E$153,"E01")=0,COUNTIFS('30_必須評価セット'!$B$4:$B$153,T74,'30_必須評価セット'!$C$4:$C$153,U74,'30_必須評価セット'!$E$4:$E$153,"E02")=0,COUNTIFS('30_必須評価セット'!$B$4:$B$153,T74,'30_必須評価セット'!$C$4:$C$153,U74,'30_必須評価セット'!$E$4:$E$153,"E03")=0,COUNTIFS('30_必須評価セット'!$B$4:$B$153,T74,'30_必須評価セット'!$C$4:$C$153,U74,'30_必須評価セット'!$E$4:$E$153,"E04")=0,COUNTIFS('30_必須評価セット'!$B$4:$B$153,T74,'30_必須評価セット'!$C$4:$C$153,U74,'30_必須評価セット'!$E$4:$E$153,"E05")=0,COUNTIFS('30_必須評価セット'!$B$4:$B$153,T74,'30_必須評価セット'!$C$4:$C$153,U74,'30_必須評価セット'!$E$4:$E$153,"E06")=0,COUNTIFS('30_必須評価セット'!$B$4:$B$153,T74,'30_必須評価セット'!$C$4:$C$153,U74,'30_必須評価セット'!$E$4:$E$153,"E07")=0,COUNTIFS('30_必須評価セット'!$B$4:$B$153,T74,'30_必須評価セット'!$C$4:$C$153,U74,'30_必須評価セット'!$E$4:$E$153,"E08")=0,COUNTIFS('30_必須評価セット'!$B$4:$B$153,T74,'30_必須評価セット'!$C$4:$C$153,U74,'30_必須評価セット'!$E$4:$E$153,"E09")=0,COUNTIFS('30_必須評価セット'!$B$4:$B$153,T74,'30_必須評価セット'!$C$4:$C$153,U74,'30_必須評価セット'!$E$4:$E$153,"E10")=0,COUNTIFS('30_必須評価セット'!$B$4:$B$153,T74,'30_必須評価セット'!$C$4:$C$153,U74,'30_必須評価セット'!$E$4:$E$153,"E11")=0,COUNTIFS('30_必須評価セット'!$B$4:$B$153,T74,'30_必須評価セット'!$C$4:$C$153,U74,'30_必須評価セット'!$E$4:$E$153,"E12")=0,COUNTIFS('30_必須評価セット'!$B$4:$B$153,T74,'30_必須評価セット'!$C$4:$C$153,U74,'30_必須評価セット'!$E$4:$E$153,"E13")=0,COUNTIFS('30_必須評価セット'!$B$4:$B$153,T74,'30_必須評価セット'!$C$4:$C$153,U74,'30_必須評価セット'!$E$4:$E$153,"E14")=0,COUNTIFS('30_必須評価セット'!$B$4:$B$153,T74,'30_必須評価セット'!$C$4:$C$153,U74,'30_必須評価セット'!$E$4:$E$153,"E15")=0,COUNTIFS('30_必須評価セット'!$B$4:$B$153,T74,'30_必須評価セット'!$C$4:$C$153,U74,'30_必須評価セット'!$E$4:$E$153,"E16")=0,COUNTIFS('30_必須評価セット'!$B$4:$B$153,T74,'30_必須評価セット'!$C$4:$C$153,U74,'30_必須評価セット'!$E$4:$E$153,"E17")=0,COUNTIFS('30_必須評価セット'!$B$4:$B$153,T74,'30_必須評価セット'!$C$4:$C$153,U74,'30_必須評価セット'!$E$4:$E$153,"E18")=0)),"必須分類・集合不足",IF(OR(AND('03_AIリスクTier・適用判定'!$B$27="使用",OR('17_ロードマップ・案件実行管理'!$AA$86&lt;&gt;1,NOT(AND(COUNTIFS('30_必須評価セット'!$B$4:$B$153,T74,'30_必須評価セット'!$C$4:$C$153,U74,'30_必須評価セット'!$E$4:$E$153,"E03",'30_必須評価セット'!$F$4:$F$153,"必須")&gt;0,COUNTIFS('30_必須評価セット'!$B$4:$B$153,T74,'30_必須評価セット'!$C$4:$C$153,U74,'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74,'30_必須評価セット'!$C$4:$C$153,U74,'30_必須評価セット'!$E$4:$E$153,"E05",'30_必須評価セット'!$F$4:$F$153,"必須")&gt;0)))),AND('03_AIリスクTier・適用判定'!$B$28="不使用",'17_ロードマップ・案件実行管理'!$W$87&lt;&gt;"除外記録済")),"機能別評価・対象外未完",IF(COUNTIFS('30_必須評価セット'!$B$4:$B$153,T74,'30_必須評価セット'!$C$4:$C$153,U74)&lt;&gt;SUMIFS('30_必須評価セット'!$N$4:$N$153,'30_必須評価セット'!$B$4:$B$153,T74,'30_必須評価セット'!$C$4:$C$153,U74),"必須評価セット未充足","必須評価セット充足"))))))</f>
        <v/>
      </c>
      <c r="AC74" s="28" t="str">
        <f>IF(F74="","",IF(OR(AG74="",AG74="未判定"),"条件有無未判定",IF(AND(AG74="なし",OR(L74="条件付承認",COUNTIF('31_条件・有効性'!$B$4:$B$83,F74)&gt;0)),"条件有無不一致",IF(AND(AG74="条件あり",COUNTIF('31_条件・有効性'!$B$4:$B$83,F74)=0),"Condition未登録",IF(AND(AG74="条件あり",COUNTIF('31_条件・有効性'!$B$4:$B$83,F74)&lt;&gt;(COUNTIFS('31_条件・有効性'!$B$4:$B$83,F74,'31_条件・有効性'!$Q$4:$Q$83,"解消確認済")+COUNTIFS('31_条件・有効性'!$B$4:$B$83,F74,'31_条件・有効性'!$Q$4:$Q$83,"期限内・制約継続"))),"条件失効・定義不備",IF(AND(AG74&lt;&gt;"なし",AG74&lt;&gt;"条件あり"),"条件有無不正","条件整合"))))))</f>
        <v/>
      </c>
      <c r="AD74" s="28" t="str">
        <f t="shared" si="2"/>
        <v/>
      </c>
      <c r="AE74" s="29"/>
      <c r="AF74" s="29"/>
      <c r="AG74" s="29"/>
    </row>
    <row r="75" spans="1:33" ht="78" customHeight="1" x14ac:dyDescent="0.2">
      <c r="A75" s="29"/>
      <c r="B75" s="28" t="str">
        <f>IF(A75="","",IF(COUNTIF('32_定義マスター'!$A$4:$A$9,A75)&lt;&gt;1,"参照ID不正",IF(INDEX('32_定義マスター'!$B$4:$B$9,MATCH(A75,'32_定義マスター'!$A$4:$A$9,0))="","",INDEX('32_定義マスター'!$B$4:$B$9,MATCH(A75,'32_定義マスター'!$A$4:$A$9,0)))))</f>
        <v/>
      </c>
      <c r="C75" s="28" t="str">
        <f>IF(A75="","",IF(COUNTIF('32_定義マスター'!$A$4:$A$9,A75)&lt;&gt;1,"参照ID不正",IF(INDEX('32_定義マスター'!$C$4:$C$9,MATCH(A75,'32_定義マスター'!$A$4:$A$9,0))="","",INDEX('32_定義マスター'!$C$4:$C$9,MATCH(A75,'32_定義マスター'!$A$4:$A$9,0)))))</f>
        <v/>
      </c>
      <c r="D75" s="28" t="str">
        <f>IF(A75="","",IF(COUNTIF('32_定義マスター'!$A$4:$A$9,A75)&lt;&gt;1,"参照ID不正",IF(INDEX('32_定義マスター'!$D$4:$D$9,MATCH(A75,'32_定義マスター'!$A$4:$A$9,0))="","",INDEX('32_定義マスター'!$D$4:$D$9,MATCH(A75,'32_定義マスター'!$A$4:$A$9,0)))))</f>
        <v/>
      </c>
      <c r="E75" s="28" t="str">
        <f>IF(A75="","",IF(COUNTIF('32_定義マスター'!$A$4:$A$9,A75)&lt;&gt;1,"参照ID不正",IF(INDEX('32_定義マスター'!$E$4:$E$9,MATCH(A75,'32_定義マスター'!$A$4:$A$9,0))="","",INDEX('32_定義マスター'!$E$4:$E$9,MATCH(A75,'32_定義マスター'!$A$4:$A$9,0)))))</f>
        <v/>
      </c>
      <c r="F75" s="29"/>
      <c r="G75" s="29"/>
      <c r="H75" s="29"/>
      <c r="I75" s="29"/>
      <c r="J75" s="29"/>
      <c r="K75" s="29"/>
      <c r="L75" s="29"/>
      <c r="M75" s="29"/>
      <c r="N75" s="32"/>
      <c r="O75" s="29"/>
      <c r="P75" s="32"/>
      <c r="Q75" s="29"/>
      <c r="R75" s="29"/>
      <c r="S75" s="28" t="str">
        <f>IF(A75="","",IF(COUNTIF('32_定義マスター'!$A$4:$A$9,A75)&lt;&gt;1,"Gate ID不正",IF(OR(L75="",L75="未審査"),"未承認",IF(OR(OR(F75="",G75="",H75="",I75="",J75="",K75="",O75="",AE75="",AF75=""),NOT(ISNUMBER(P75))),"判断証拠不足",IF(COUNTIF($F$4:$F$83,F75)&lt;&gt;1,"判断Run ID重複",IF(OR(AND(P75&lt;&gt;"",OR(NOT(ISNUMBER(P75)),IFERROR(P75&lt;1,TRUE),IFERROR(INT(P75)&gt;INT(AsOfDate),TRUE)))),"判断日不正",IF(AND(A75="G3",OR(T75="",U75="",V75="",W75="",X75="")),"公開対象・集合不足","判断記録あり・内容審査別")))))))</f>
        <v/>
      </c>
      <c r="T75" s="29"/>
      <c r="U75" s="29"/>
      <c r="V75" s="29"/>
      <c r="W75" s="29"/>
      <c r="X75" s="29"/>
      <c r="Y75" s="32"/>
      <c r="Z75" s="29"/>
      <c r="AA75" s="28" t="str">
        <f>IF(A75="","",IF(NOT(IFERROR(ISNUMBER(SEARCH("|"&amp;L75&amp;"|",IF(COUNTIF('32_定義マスター'!$A$4:$A$9,A75)&lt;&gt;1,"参照ID不正",IF(INDEX('32_定義マスター'!$F$4:$F$9,MATCH(A75,'32_定義マスター'!$A$4:$A$9,0))="","",INDEX('32_定義マスター'!$F$4:$F$9,MATCH(A75,'32_定義マスター'!$A$4:$A$9,0)))))),FALSE)),"Gate判断不適合",IF(AND(OR(L75="承認",L75="条件付承認",L75="Scale",L75="Continue",L75="廃止完了承認"),OR(I75="不合格",J75="不合格",V75="不合格",I75="FAIL",J75="FAIL",V75="FAIL")),"停止判定と承認が矛盾",IF(AND(OR(L75="承認",L75="条件付承認",L75="Scale",L75="Continue",L75="廃止完了承認"),OR(I75="未判定",J75="未判定",AND(A75="G3",V75="未判定"))),"必要判定未確定",IF(AND(OR(L75="承認",L75="条件付承認",L75="Scale",L75="Continue",L75="廃止完了承認"),OR(AND(I75&lt;&gt;"合格",I75&lt;&gt;"対象外承認"),AND(J75&lt;&gt;"合格",J75&lt;&gt;"対象外承認"),AND(A75="G3",V75&lt;&gt;"合格",V75&lt;&gt;"対象外承認"))),"判定値不正",IF(AND(A75="G4",L75="Scale",OR(COUNTIF('25_事業仮説・実験・GTM'!$Q$4:$Q$15,F75)=0,COUNTIFS('25_事業仮説・実験・GTM'!$Q$4:$Q$15,F75,'25_事業仮説・実験・GTM'!$AF$4:$AF$15,"&lt;&gt;充足")&gt;0,COUNTIFS('25_事業仮説・実験・GTM'!$Q$4:$Q$15,F75,'25_事業仮説・実験・GTM'!$AD$4:$AD$15,"&lt;&gt;拡大可能")&gt;0)),"拡大の行動証拠不足","判定整合"))))))</f>
        <v/>
      </c>
      <c r="AB75" s="28" t="str">
        <f>IF(A75="","",IF(A75&lt;&gt;"G3",IF(A75="G0",IF(OR(COUNTIF('25_事業仮説・実験・GTM'!$Q$4:$Q$15,F75)=0,COUNTIFS('25_事業仮説・実験・GTM'!$Q$4:$Q$15,F75,'25_事業仮説・実験・GTM'!$AE$4:$AE$15,"&lt;&gt;仮説記録あり")&gt;0),"仮説・持越し確認不足","G0仮説記録接続"),IF(A75="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75="",U75="",W75="",X75="",OR(COUNTIFS('30_必須評価セット'!$B$4:$B$153,T75,'30_必須評価セット'!$C$4:$C$153,U75,'30_必須評価セット'!$E$4:$E$153,"E01")=0,COUNTIFS('30_必須評価セット'!$B$4:$B$153,T75,'30_必須評価セット'!$C$4:$C$153,U75,'30_必須評価セット'!$E$4:$E$153,"E02")=0,COUNTIFS('30_必須評価セット'!$B$4:$B$153,T75,'30_必須評価セット'!$C$4:$C$153,U75,'30_必須評価セット'!$E$4:$E$153,"E03")=0,COUNTIFS('30_必須評価セット'!$B$4:$B$153,T75,'30_必須評価セット'!$C$4:$C$153,U75,'30_必須評価セット'!$E$4:$E$153,"E04")=0,COUNTIFS('30_必須評価セット'!$B$4:$B$153,T75,'30_必須評価セット'!$C$4:$C$153,U75,'30_必須評価セット'!$E$4:$E$153,"E05")=0,COUNTIFS('30_必須評価セット'!$B$4:$B$153,T75,'30_必須評価セット'!$C$4:$C$153,U75,'30_必須評価セット'!$E$4:$E$153,"E06")=0,COUNTIFS('30_必須評価セット'!$B$4:$B$153,T75,'30_必須評価セット'!$C$4:$C$153,U75,'30_必須評価セット'!$E$4:$E$153,"E07")=0,COUNTIFS('30_必須評価セット'!$B$4:$B$153,T75,'30_必須評価セット'!$C$4:$C$153,U75,'30_必須評価セット'!$E$4:$E$153,"E08")=0,COUNTIFS('30_必須評価セット'!$B$4:$B$153,T75,'30_必須評価セット'!$C$4:$C$153,U75,'30_必須評価セット'!$E$4:$E$153,"E09")=0,COUNTIFS('30_必須評価セット'!$B$4:$B$153,T75,'30_必須評価セット'!$C$4:$C$153,U75,'30_必須評価セット'!$E$4:$E$153,"E10")=0,COUNTIFS('30_必須評価セット'!$B$4:$B$153,T75,'30_必須評価セット'!$C$4:$C$153,U75,'30_必須評価セット'!$E$4:$E$153,"E11")=0,COUNTIFS('30_必須評価セット'!$B$4:$B$153,T75,'30_必須評価セット'!$C$4:$C$153,U75,'30_必須評価セット'!$E$4:$E$153,"E12")=0,COUNTIFS('30_必須評価セット'!$B$4:$B$153,T75,'30_必須評価セット'!$C$4:$C$153,U75,'30_必須評価セット'!$E$4:$E$153,"E13")=0,COUNTIFS('30_必須評価セット'!$B$4:$B$153,T75,'30_必須評価セット'!$C$4:$C$153,U75,'30_必須評価セット'!$E$4:$E$153,"E14")=0,COUNTIFS('30_必須評価セット'!$B$4:$B$153,T75,'30_必須評価セット'!$C$4:$C$153,U75,'30_必須評価セット'!$E$4:$E$153,"E15")=0,COUNTIFS('30_必須評価セット'!$B$4:$B$153,T75,'30_必須評価セット'!$C$4:$C$153,U75,'30_必須評価セット'!$E$4:$E$153,"E16")=0,COUNTIFS('30_必須評価セット'!$B$4:$B$153,T75,'30_必須評価セット'!$C$4:$C$153,U75,'30_必須評価セット'!$E$4:$E$153,"E17")=0,COUNTIFS('30_必須評価セット'!$B$4:$B$153,T75,'30_必須評価セット'!$C$4:$C$153,U75,'30_必須評価セット'!$E$4:$E$153,"E18")=0)),"必須分類・集合不足",IF(OR(AND('03_AIリスクTier・適用判定'!$B$27="使用",OR('17_ロードマップ・案件実行管理'!$AA$86&lt;&gt;1,NOT(AND(COUNTIFS('30_必須評価セット'!$B$4:$B$153,T75,'30_必須評価セット'!$C$4:$C$153,U75,'30_必須評価セット'!$E$4:$E$153,"E03",'30_必須評価セット'!$F$4:$F$153,"必須")&gt;0,COUNTIFS('30_必須評価セット'!$B$4:$B$153,T75,'30_必須評価セット'!$C$4:$C$153,U75,'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75,'30_必須評価セット'!$C$4:$C$153,U75,'30_必須評価セット'!$E$4:$E$153,"E05",'30_必須評価セット'!$F$4:$F$153,"必須")&gt;0)))),AND('03_AIリスクTier・適用判定'!$B$28="不使用",'17_ロードマップ・案件実行管理'!$W$87&lt;&gt;"除外記録済")),"機能別評価・対象外未完",IF(COUNTIFS('30_必須評価セット'!$B$4:$B$153,T75,'30_必須評価セット'!$C$4:$C$153,U75)&lt;&gt;SUMIFS('30_必須評価セット'!$N$4:$N$153,'30_必須評価セット'!$B$4:$B$153,T75,'30_必須評価セット'!$C$4:$C$153,U75),"必須評価セット未充足","必須評価セット充足"))))))</f>
        <v/>
      </c>
      <c r="AC75" s="28" t="str">
        <f>IF(F75="","",IF(OR(AG75="",AG75="未判定"),"条件有無未判定",IF(AND(AG75="なし",OR(L75="条件付承認",COUNTIF('31_条件・有効性'!$B$4:$B$83,F75)&gt;0)),"条件有無不一致",IF(AND(AG75="条件あり",COUNTIF('31_条件・有効性'!$B$4:$B$83,F75)=0),"Condition未登録",IF(AND(AG75="条件あり",COUNTIF('31_条件・有効性'!$B$4:$B$83,F75)&lt;&gt;(COUNTIFS('31_条件・有効性'!$B$4:$B$83,F75,'31_条件・有効性'!$Q$4:$Q$83,"解消確認済")+COUNTIFS('31_条件・有効性'!$B$4:$B$83,F75,'31_条件・有効性'!$Q$4:$Q$83,"期限内・制約継続"))),"条件失効・定義不備",IF(AND(AG75&lt;&gt;"なし",AG75&lt;&gt;"条件あり"),"条件有無不正","条件整合"))))))</f>
        <v/>
      </c>
      <c r="AD75" s="28" t="str">
        <f t="shared" si="2"/>
        <v/>
      </c>
      <c r="AE75" s="29"/>
      <c r="AF75" s="29"/>
      <c r="AG75" s="29"/>
    </row>
    <row r="76" spans="1:33" ht="78" customHeight="1" x14ac:dyDescent="0.2">
      <c r="A76" s="29"/>
      <c r="B76" s="28" t="str">
        <f>IF(A76="","",IF(COUNTIF('32_定義マスター'!$A$4:$A$9,A76)&lt;&gt;1,"参照ID不正",IF(INDEX('32_定義マスター'!$B$4:$B$9,MATCH(A76,'32_定義マスター'!$A$4:$A$9,0))="","",INDEX('32_定義マスター'!$B$4:$B$9,MATCH(A76,'32_定義マスター'!$A$4:$A$9,0)))))</f>
        <v/>
      </c>
      <c r="C76" s="28" t="str">
        <f>IF(A76="","",IF(COUNTIF('32_定義マスター'!$A$4:$A$9,A76)&lt;&gt;1,"参照ID不正",IF(INDEX('32_定義マスター'!$C$4:$C$9,MATCH(A76,'32_定義マスター'!$A$4:$A$9,0))="","",INDEX('32_定義マスター'!$C$4:$C$9,MATCH(A76,'32_定義マスター'!$A$4:$A$9,0)))))</f>
        <v/>
      </c>
      <c r="D76" s="28" t="str">
        <f>IF(A76="","",IF(COUNTIF('32_定義マスター'!$A$4:$A$9,A76)&lt;&gt;1,"参照ID不正",IF(INDEX('32_定義マスター'!$D$4:$D$9,MATCH(A76,'32_定義マスター'!$A$4:$A$9,0))="","",INDEX('32_定義マスター'!$D$4:$D$9,MATCH(A76,'32_定義マスター'!$A$4:$A$9,0)))))</f>
        <v/>
      </c>
      <c r="E76" s="28" t="str">
        <f>IF(A76="","",IF(COUNTIF('32_定義マスター'!$A$4:$A$9,A76)&lt;&gt;1,"参照ID不正",IF(INDEX('32_定義マスター'!$E$4:$E$9,MATCH(A76,'32_定義マスター'!$A$4:$A$9,0))="","",INDEX('32_定義マスター'!$E$4:$E$9,MATCH(A76,'32_定義マスター'!$A$4:$A$9,0)))))</f>
        <v/>
      </c>
      <c r="F76" s="29"/>
      <c r="G76" s="29"/>
      <c r="H76" s="29"/>
      <c r="I76" s="29"/>
      <c r="J76" s="29"/>
      <c r="K76" s="29"/>
      <c r="L76" s="29"/>
      <c r="M76" s="29"/>
      <c r="N76" s="32"/>
      <c r="O76" s="29"/>
      <c r="P76" s="32"/>
      <c r="Q76" s="29"/>
      <c r="R76" s="29"/>
      <c r="S76" s="28" t="str">
        <f>IF(A76="","",IF(COUNTIF('32_定義マスター'!$A$4:$A$9,A76)&lt;&gt;1,"Gate ID不正",IF(OR(L76="",L76="未審査"),"未承認",IF(OR(OR(F76="",G76="",H76="",I76="",J76="",K76="",O76="",AE76="",AF76=""),NOT(ISNUMBER(P76))),"判断証拠不足",IF(COUNTIF($F$4:$F$83,F76)&lt;&gt;1,"判断Run ID重複",IF(OR(AND(P76&lt;&gt;"",OR(NOT(ISNUMBER(P76)),IFERROR(P76&lt;1,TRUE),IFERROR(INT(P76)&gt;INT(AsOfDate),TRUE)))),"判断日不正",IF(AND(A76="G3",OR(T76="",U76="",V76="",W76="",X76="")),"公開対象・集合不足","判断記録あり・内容審査別")))))))</f>
        <v/>
      </c>
      <c r="T76" s="29"/>
      <c r="U76" s="29"/>
      <c r="V76" s="29"/>
      <c r="W76" s="29"/>
      <c r="X76" s="29"/>
      <c r="Y76" s="32"/>
      <c r="Z76" s="29"/>
      <c r="AA76" s="28" t="str">
        <f>IF(A76="","",IF(NOT(IFERROR(ISNUMBER(SEARCH("|"&amp;L76&amp;"|",IF(COUNTIF('32_定義マスター'!$A$4:$A$9,A76)&lt;&gt;1,"参照ID不正",IF(INDEX('32_定義マスター'!$F$4:$F$9,MATCH(A76,'32_定義マスター'!$A$4:$A$9,0))="","",INDEX('32_定義マスター'!$F$4:$F$9,MATCH(A76,'32_定義マスター'!$A$4:$A$9,0)))))),FALSE)),"Gate判断不適合",IF(AND(OR(L76="承認",L76="条件付承認",L76="Scale",L76="Continue",L76="廃止完了承認"),OR(I76="不合格",J76="不合格",V76="不合格",I76="FAIL",J76="FAIL",V76="FAIL")),"停止判定と承認が矛盾",IF(AND(OR(L76="承認",L76="条件付承認",L76="Scale",L76="Continue",L76="廃止完了承認"),OR(I76="未判定",J76="未判定",AND(A76="G3",V76="未判定"))),"必要判定未確定",IF(AND(OR(L76="承認",L76="条件付承認",L76="Scale",L76="Continue",L76="廃止完了承認"),OR(AND(I76&lt;&gt;"合格",I76&lt;&gt;"対象外承認"),AND(J76&lt;&gt;"合格",J76&lt;&gt;"対象外承認"),AND(A76="G3",V76&lt;&gt;"合格",V76&lt;&gt;"対象外承認"))),"判定値不正",IF(AND(A76="G4",L76="Scale",OR(COUNTIF('25_事業仮説・実験・GTM'!$Q$4:$Q$15,F76)=0,COUNTIFS('25_事業仮説・実験・GTM'!$Q$4:$Q$15,F76,'25_事業仮説・実験・GTM'!$AF$4:$AF$15,"&lt;&gt;充足")&gt;0,COUNTIFS('25_事業仮説・実験・GTM'!$Q$4:$Q$15,F76,'25_事業仮説・実験・GTM'!$AD$4:$AD$15,"&lt;&gt;拡大可能")&gt;0)),"拡大の行動証拠不足","判定整合"))))))</f>
        <v/>
      </c>
      <c r="AB76" s="28" t="str">
        <f>IF(A76="","",IF(A76&lt;&gt;"G3",IF(A76="G0",IF(OR(COUNTIF('25_事業仮説・実験・GTM'!$Q$4:$Q$15,F76)=0,COUNTIFS('25_事業仮説・実験・GTM'!$Q$4:$Q$15,F76,'25_事業仮説・実験・GTM'!$AE$4:$AE$15,"&lt;&gt;仮説記録あり")&gt;0),"仮説・持越し確認不足","G0仮説記録接続"),IF(A76="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76="",U76="",W76="",X76="",OR(COUNTIFS('30_必須評価セット'!$B$4:$B$153,T76,'30_必須評価セット'!$C$4:$C$153,U76,'30_必須評価セット'!$E$4:$E$153,"E01")=0,COUNTIFS('30_必須評価セット'!$B$4:$B$153,T76,'30_必須評価セット'!$C$4:$C$153,U76,'30_必須評価セット'!$E$4:$E$153,"E02")=0,COUNTIFS('30_必須評価セット'!$B$4:$B$153,T76,'30_必須評価セット'!$C$4:$C$153,U76,'30_必須評価セット'!$E$4:$E$153,"E03")=0,COUNTIFS('30_必須評価セット'!$B$4:$B$153,T76,'30_必須評価セット'!$C$4:$C$153,U76,'30_必須評価セット'!$E$4:$E$153,"E04")=0,COUNTIFS('30_必須評価セット'!$B$4:$B$153,T76,'30_必須評価セット'!$C$4:$C$153,U76,'30_必須評価セット'!$E$4:$E$153,"E05")=0,COUNTIFS('30_必須評価セット'!$B$4:$B$153,T76,'30_必須評価セット'!$C$4:$C$153,U76,'30_必須評価セット'!$E$4:$E$153,"E06")=0,COUNTIFS('30_必須評価セット'!$B$4:$B$153,T76,'30_必須評価セット'!$C$4:$C$153,U76,'30_必須評価セット'!$E$4:$E$153,"E07")=0,COUNTIFS('30_必須評価セット'!$B$4:$B$153,T76,'30_必須評価セット'!$C$4:$C$153,U76,'30_必須評価セット'!$E$4:$E$153,"E08")=0,COUNTIFS('30_必須評価セット'!$B$4:$B$153,T76,'30_必須評価セット'!$C$4:$C$153,U76,'30_必須評価セット'!$E$4:$E$153,"E09")=0,COUNTIFS('30_必須評価セット'!$B$4:$B$153,T76,'30_必須評価セット'!$C$4:$C$153,U76,'30_必須評価セット'!$E$4:$E$153,"E10")=0,COUNTIFS('30_必須評価セット'!$B$4:$B$153,T76,'30_必須評価セット'!$C$4:$C$153,U76,'30_必須評価セット'!$E$4:$E$153,"E11")=0,COUNTIFS('30_必須評価セット'!$B$4:$B$153,T76,'30_必須評価セット'!$C$4:$C$153,U76,'30_必須評価セット'!$E$4:$E$153,"E12")=0,COUNTIFS('30_必須評価セット'!$B$4:$B$153,T76,'30_必須評価セット'!$C$4:$C$153,U76,'30_必須評価セット'!$E$4:$E$153,"E13")=0,COUNTIFS('30_必須評価セット'!$B$4:$B$153,T76,'30_必須評価セット'!$C$4:$C$153,U76,'30_必須評価セット'!$E$4:$E$153,"E14")=0,COUNTIFS('30_必須評価セット'!$B$4:$B$153,T76,'30_必須評価セット'!$C$4:$C$153,U76,'30_必須評価セット'!$E$4:$E$153,"E15")=0,COUNTIFS('30_必須評価セット'!$B$4:$B$153,T76,'30_必須評価セット'!$C$4:$C$153,U76,'30_必須評価セット'!$E$4:$E$153,"E16")=0,COUNTIFS('30_必須評価セット'!$B$4:$B$153,T76,'30_必須評価セット'!$C$4:$C$153,U76,'30_必須評価セット'!$E$4:$E$153,"E17")=0,COUNTIFS('30_必須評価セット'!$B$4:$B$153,T76,'30_必須評価セット'!$C$4:$C$153,U76,'30_必須評価セット'!$E$4:$E$153,"E18")=0)),"必須分類・集合不足",IF(OR(AND('03_AIリスクTier・適用判定'!$B$27="使用",OR('17_ロードマップ・案件実行管理'!$AA$86&lt;&gt;1,NOT(AND(COUNTIFS('30_必須評価セット'!$B$4:$B$153,T76,'30_必須評価セット'!$C$4:$C$153,U76,'30_必須評価セット'!$E$4:$E$153,"E03",'30_必須評価セット'!$F$4:$F$153,"必須")&gt;0,COUNTIFS('30_必須評価セット'!$B$4:$B$153,T76,'30_必須評価セット'!$C$4:$C$153,U76,'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76,'30_必須評価セット'!$C$4:$C$153,U76,'30_必須評価セット'!$E$4:$E$153,"E05",'30_必須評価セット'!$F$4:$F$153,"必須")&gt;0)))),AND('03_AIリスクTier・適用判定'!$B$28="不使用",'17_ロードマップ・案件実行管理'!$W$87&lt;&gt;"除外記録済")),"機能別評価・対象外未完",IF(COUNTIFS('30_必須評価セット'!$B$4:$B$153,T76,'30_必須評価セット'!$C$4:$C$153,U76)&lt;&gt;SUMIFS('30_必須評価セット'!$N$4:$N$153,'30_必須評価セット'!$B$4:$B$153,T76,'30_必須評価セット'!$C$4:$C$153,U76),"必須評価セット未充足","必須評価セット充足"))))))</f>
        <v/>
      </c>
      <c r="AC76" s="28" t="str">
        <f>IF(F76="","",IF(OR(AG76="",AG76="未判定"),"条件有無未判定",IF(AND(AG76="なし",OR(L76="条件付承認",COUNTIF('31_条件・有効性'!$B$4:$B$83,F76)&gt;0)),"条件有無不一致",IF(AND(AG76="条件あり",COUNTIF('31_条件・有効性'!$B$4:$B$83,F76)=0),"Condition未登録",IF(AND(AG76="条件あり",COUNTIF('31_条件・有効性'!$B$4:$B$83,F76)&lt;&gt;(COUNTIFS('31_条件・有効性'!$B$4:$B$83,F76,'31_条件・有効性'!$Q$4:$Q$83,"解消確認済")+COUNTIFS('31_条件・有効性'!$B$4:$B$83,F76,'31_条件・有効性'!$Q$4:$Q$83,"期限内・制約継続"))),"条件失効・定義不備",IF(AND(AG76&lt;&gt;"なし",AG76&lt;&gt;"条件あり"),"条件有無不正","条件整合"))))))</f>
        <v/>
      </c>
      <c r="AD76" s="28" t="str">
        <f t="shared" si="2"/>
        <v/>
      </c>
      <c r="AE76" s="29"/>
      <c r="AF76" s="29"/>
      <c r="AG76" s="29"/>
    </row>
    <row r="77" spans="1:33" ht="78" customHeight="1" x14ac:dyDescent="0.2">
      <c r="A77" s="29"/>
      <c r="B77" s="28" t="str">
        <f>IF(A77="","",IF(COUNTIF('32_定義マスター'!$A$4:$A$9,A77)&lt;&gt;1,"参照ID不正",IF(INDEX('32_定義マスター'!$B$4:$B$9,MATCH(A77,'32_定義マスター'!$A$4:$A$9,0))="","",INDEX('32_定義マスター'!$B$4:$B$9,MATCH(A77,'32_定義マスター'!$A$4:$A$9,0)))))</f>
        <v/>
      </c>
      <c r="C77" s="28" t="str">
        <f>IF(A77="","",IF(COUNTIF('32_定義マスター'!$A$4:$A$9,A77)&lt;&gt;1,"参照ID不正",IF(INDEX('32_定義マスター'!$C$4:$C$9,MATCH(A77,'32_定義マスター'!$A$4:$A$9,0))="","",INDEX('32_定義マスター'!$C$4:$C$9,MATCH(A77,'32_定義マスター'!$A$4:$A$9,0)))))</f>
        <v/>
      </c>
      <c r="D77" s="28" t="str">
        <f>IF(A77="","",IF(COUNTIF('32_定義マスター'!$A$4:$A$9,A77)&lt;&gt;1,"参照ID不正",IF(INDEX('32_定義マスター'!$D$4:$D$9,MATCH(A77,'32_定義マスター'!$A$4:$A$9,0))="","",INDEX('32_定義マスター'!$D$4:$D$9,MATCH(A77,'32_定義マスター'!$A$4:$A$9,0)))))</f>
        <v/>
      </c>
      <c r="E77" s="28" t="str">
        <f>IF(A77="","",IF(COUNTIF('32_定義マスター'!$A$4:$A$9,A77)&lt;&gt;1,"参照ID不正",IF(INDEX('32_定義マスター'!$E$4:$E$9,MATCH(A77,'32_定義マスター'!$A$4:$A$9,0))="","",INDEX('32_定義マスター'!$E$4:$E$9,MATCH(A77,'32_定義マスター'!$A$4:$A$9,0)))))</f>
        <v/>
      </c>
      <c r="F77" s="29"/>
      <c r="G77" s="29"/>
      <c r="H77" s="29"/>
      <c r="I77" s="29"/>
      <c r="J77" s="29"/>
      <c r="K77" s="29"/>
      <c r="L77" s="29"/>
      <c r="M77" s="29"/>
      <c r="N77" s="32"/>
      <c r="O77" s="29"/>
      <c r="P77" s="32"/>
      <c r="Q77" s="29"/>
      <c r="R77" s="29"/>
      <c r="S77" s="28" t="str">
        <f>IF(A77="","",IF(COUNTIF('32_定義マスター'!$A$4:$A$9,A77)&lt;&gt;1,"Gate ID不正",IF(OR(L77="",L77="未審査"),"未承認",IF(OR(OR(F77="",G77="",H77="",I77="",J77="",K77="",O77="",AE77="",AF77=""),NOT(ISNUMBER(P77))),"判断証拠不足",IF(COUNTIF($F$4:$F$83,F77)&lt;&gt;1,"判断Run ID重複",IF(OR(AND(P77&lt;&gt;"",OR(NOT(ISNUMBER(P77)),IFERROR(P77&lt;1,TRUE),IFERROR(INT(P77)&gt;INT(AsOfDate),TRUE)))),"判断日不正",IF(AND(A77="G3",OR(T77="",U77="",V77="",W77="",X77="")),"公開対象・集合不足","判断記録あり・内容審査別")))))))</f>
        <v/>
      </c>
      <c r="T77" s="29"/>
      <c r="U77" s="29"/>
      <c r="V77" s="29"/>
      <c r="W77" s="29"/>
      <c r="X77" s="29"/>
      <c r="Y77" s="32"/>
      <c r="Z77" s="29"/>
      <c r="AA77" s="28" t="str">
        <f>IF(A77="","",IF(NOT(IFERROR(ISNUMBER(SEARCH("|"&amp;L77&amp;"|",IF(COUNTIF('32_定義マスター'!$A$4:$A$9,A77)&lt;&gt;1,"参照ID不正",IF(INDEX('32_定義マスター'!$F$4:$F$9,MATCH(A77,'32_定義マスター'!$A$4:$A$9,0))="","",INDEX('32_定義マスター'!$F$4:$F$9,MATCH(A77,'32_定義マスター'!$A$4:$A$9,0)))))),FALSE)),"Gate判断不適合",IF(AND(OR(L77="承認",L77="条件付承認",L77="Scale",L77="Continue",L77="廃止完了承認"),OR(I77="不合格",J77="不合格",V77="不合格",I77="FAIL",J77="FAIL",V77="FAIL")),"停止判定と承認が矛盾",IF(AND(OR(L77="承認",L77="条件付承認",L77="Scale",L77="Continue",L77="廃止完了承認"),OR(I77="未判定",J77="未判定",AND(A77="G3",V77="未判定"))),"必要判定未確定",IF(AND(OR(L77="承認",L77="条件付承認",L77="Scale",L77="Continue",L77="廃止完了承認"),OR(AND(I77&lt;&gt;"合格",I77&lt;&gt;"対象外承認"),AND(J77&lt;&gt;"合格",J77&lt;&gt;"対象外承認"),AND(A77="G3",V77&lt;&gt;"合格",V77&lt;&gt;"対象外承認"))),"判定値不正",IF(AND(A77="G4",L77="Scale",OR(COUNTIF('25_事業仮説・実験・GTM'!$Q$4:$Q$15,F77)=0,COUNTIFS('25_事業仮説・実験・GTM'!$Q$4:$Q$15,F77,'25_事業仮説・実験・GTM'!$AF$4:$AF$15,"&lt;&gt;充足")&gt;0,COUNTIFS('25_事業仮説・実験・GTM'!$Q$4:$Q$15,F77,'25_事業仮説・実験・GTM'!$AD$4:$AD$15,"&lt;&gt;拡大可能")&gt;0)),"拡大の行動証拠不足","判定整合"))))))</f>
        <v/>
      </c>
      <c r="AB77" s="28" t="str">
        <f>IF(A77="","",IF(A77&lt;&gt;"G3",IF(A77="G0",IF(OR(COUNTIF('25_事業仮説・実験・GTM'!$Q$4:$Q$15,F77)=0,COUNTIFS('25_事業仮説・実験・GTM'!$Q$4:$Q$15,F77,'25_事業仮説・実験・GTM'!$AE$4:$AE$15,"&lt;&gt;仮説記録あり")&gt;0),"仮説・持越し確認不足","G0仮説記録接続"),IF(A77="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77="",U77="",W77="",X77="",OR(COUNTIFS('30_必須評価セット'!$B$4:$B$153,T77,'30_必須評価セット'!$C$4:$C$153,U77,'30_必須評価セット'!$E$4:$E$153,"E01")=0,COUNTIFS('30_必須評価セット'!$B$4:$B$153,T77,'30_必須評価セット'!$C$4:$C$153,U77,'30_必須評価セット'!$E$4:$E$153,"E02")=0,COUNTIFS('30_必須評価セット'!$B$4:$B$153,T77,'30_必須評価セット'!$C$4:$C$153,U77,'30_必須評価セット'!$E$4:$E$153,"E03")=0,COUNTIFS('30_必須評価セット'!$B$4:$B$153,T77,'30_必須評価セット'!$C$4:$C$153,U77,'30_必須評価セット'!$E$4:$E$153,"E04")=0,COUNTIFS('30_必須評価セット'!$B$4:$B$153,T77,'30_必須評価セット'!$C$4:$C$153,U77,'30_必須評価セット'!$E$4:$E$153,"E05")=0,COUNTIFS('30_必須評価セット'!$B$4:$B$153,T77,'30_必須評価セット'!$C$4:$C$153,U77,'30_必須評価セット'!$E$4:$E$153,"E06")=0,COUNTIFS('30_必須評価セット'!$B$4:$B$153,T77,'30_必須評価セット'!$C$4:$C$153,U77,'30_必須評価セット'!$E$4:$E$153,"E07")=0,COUNTIFS('30_必須評価セット'!$B$4:$B$153,T77,'30_必須評価セット'!$C$4:$C$153,U77,'30_必須評価セット'!$E$4:$E$153,"E08")=0,COUNTIFS('30_必須評価セット'!$B$4:$B$153,T77,'30_必須評価セット'!$C$4:$C$153,U77,'30_必須評価セット'!$E$4:$E$153,"E09")=0,COUNTIFS('30_必須評価セット'!$B$4:$B$153,T77,'30_必須評価セット'!$C$4:$C$153,U77,'30_必須評価セット'!$E$4:$E$153,"E10")=0,COUNTIFS('30_必須評価セット'!$B$4:$B$153,T77,'30_必須評価セット'!$C$4:$C$153,U77,'30_必須評価セット'!$E$4:$E$153,"E11")=0,COUNTIFS('30_必須評価セット'!$B$4:$B$153,T77,'30_必須評価セット'!$C$4:$C$153,U77,'30_必須評価セット'!$E$4:$E$153,"E12")=0,COUNTIFS('30_必須評価セット'!$B$4:$B$153,T77,'30_必須評価セット'!$C$4:$C$153,U77,'30_必須評価セット'!$E$4:$E$153,"E13")=0,COUNTIFS('30_必須評価セット'!$B$4:$B$153,T77,'30_必須評価セット'!$C$4:$C$153,U77,'30_必須評価セット'!$E$4:$E$153,"E14")=0,COUNTIFS('30_必須評価セット'!$B$4:$B$153,T77,'30_必須評価セット'!$C$4:$C$153,U77,'30_必須評価セット'!$E$4:$E$153,"E15")=0,COUNTIFS('30_必須評価セット'!$B$4:$B$153,T77,'30_必須評価セット'!$C$4:$C$153,U77,'30_必須評価セット'!$E$4:$E$153,"E16")=0,COUNTIFS('30_必須評価セット'!$B$4:$B$153,T77,'30_必須評価セット'!$C$4:$C$153,U77,'30_必須評価セット'!$E$4:$E$153,"E17")=0,COUNTIFS('30_必須評価セット'!$B$4:$B$153,T77,'30_必須評価セット'!$C$4:$C$153,U77,'30_必須評価セット'!$E$4:$E$153,"E18")=0)),"必須分類・集合不足",IF(OR(AND('03_AIリスクTier・適用判定'!$B$27="使用",OR('17_ロードマップ・案件実行管理'!$AA$86&lt;&gt;1,NOT(AND(COUNTIFS('30_必須評価セット'!$B$4:$B$153,T77,'30_必須評価セット'!$C$4:$C$153,U77,'30_必須評価セット'!$E$4:$E$153,"E03",'30_必須評価セット'!$F$4:$F$153,"必須")&gt;0,COUNTIFS('30_必須評価セット'!$B$4:$B$153,T77,'30_必須評価セット'!$C$4:$C$153,U77,'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77,'30_必須評価セット'!$C$4:$C$153,U77,'30_必須評価セット'!$E$4:$E$153,"E05",'30_必須評価セット'!$F$4:$F$153,"必須")&gt;0)))),AND('03_AIリスクTier・適用判定'!$B$28="不使用",'17_ロードマップ・案件実行管理'!$W$87&lt;&gt;"除外記録済")),"機能別評価・対象外未完",IF(COUNTIFS('30_必須評価セット'!$B$4:$B$153,T77,'30_必須評価セット'!$C$4:$C$153,U77)&lt;&gt;SUMIFS('30_必須評価セット'!$N$4:$N$153,'30_必須評価セット'!$B$4:$B$153,T77,'30_必須評価セット'!$C$4:$C$153,U77),"必須評価セット未充足","必須評価セット充足"))))))</f>
        <v/>
      </c>
      <c r="AC77" s="28" t="str">
        <f>IF(F77="","",IF(OR(AG77="",AG77="未判定"),"条件有無未判定",IF(AND(AG77="なし",OR(L77="条件付承認",COUNTIF('31_条件・有効性'!$B$4:$B$83,F77)&gt;0)),"条件有無不一致",IF(AND(AG77="条件あり",COUNTIF('31_条件・有効性'!$B$4:$B$83,F77)=0),"Condition未登録",IF(AND(AG77="条件あり",COUNTIF('31_条件・有効性'!$B$4:$B$83,F77)&lt;&gt;(COUNTIFS('31_条件・有効性'!$B$4:$B$83,F77,'31_条件・有効性'!$Q$4:$Q$83,"解消確認済")+COUNTIFS('31_条件・有効性'!$B$4:$B$83,F77,'31_条件・有効性'!$Q$4:$Q$83,"期限内・制約継続"))),"条件失効・定義不備",IF(AND(AG77&lt;&gt;"なし",AG77&lt;&gt;"条件あり"),"条件有無不正","条件整合"))))))</f>
        <v/>
      </c>
      <c r="AD77" s="28" t="str">
        <f t="shared" si="2"/>
        <v/>
      </c>
      <c r="AE77" s="29"/>
      <c r="AF77" s="29"/>
      <c r="AG77" s="29"/>
    </row>
    <row r="78" spans="1:33" ht="78" customHeight="1" x14ac:dyDescent="0.2">
      <c r="A78" s="29"/>
      <c r="B78" s="28" t="str">
        <f>IF(A78="","",IF(COUNTIF('32_定義マスター'!$A$4:$A$9,A78)&lt;&gt;1,"参照ID不正",IF(INDEX('32_定義マスター'!$B$4:$B$9,MATCH(A78,'32_定義マスター'!$A$4:$A$9,0))="","",INDEX('32_定義マスター'!$B$4:$B$9,MATCH(A78,'32_定義マスター'!$A$4:$A$9,0)))))</f>
        <v/>
      </c>
      <c r="C78" s="28" t="str">
        <f>IF(A78="","",IF(COUNTIF('32_定義マスター'!$A$4:$A$9,A78)&lt;&gt;1,"参照ID不正",IF(INDEX('32_定義マスター'!$C$4:$C$9,MATCH(A78,'32_定義マスター'!$A$4:$A$9,0))="","",INDEX('32_定義マスター'!$C$4:$C$9,MATCH(A78,'32_定義マスター'!$A$4:$A$9,0)))))</f>
        <v/>
      </c>
      <c r="D78" s="28" t="str">
        <f>IF(A78="","",IF(COUNTIF('32_定義マスター'!$A$4:$A$9,A78)&lt;&gt;1,"参照ID不正",IF(INDEX('32_定義マスター'!$D$4:$D$9,MATCH(A78,'32_定義マスター'!$A$4:$A$9,0))="","",INDEX('32_定義マスター'!$D$4:$D$9,MATCH(A78,'32_定義マスター'!$A$4:$A$9,0)))))</f>
        <v/>
      </c>
      <c r="E78" s="28" t="str">
        <f>IF(A78="","",IF(COUNTIF('32_定義マスター'!$A$4:$A$9,A78)&lt;&gt;1,"参照ID不正",IF(INDEX('32_定義マスター'!$E$4:$E$9,MATCH(A78,'32_定義マスター'!$A$4:$A$9,0))="","",INDEX('32_定義マスター'!$E$4:$E$9,MATCH(A78,'32_定義マスター'!$A$4:$A$9,0)))))</f>
        <v/>
      </c>
      <c r="F78" s="29"/>
      <c r="G78" s="29"/>
      <c r="H78" s="29"/>
      <c r="I78" s="29"/>
      <c r="J78" s="29"/>
      <c r="K78" s="29"/>
      <c r="L78" s="29"/>
      <c r="M78" s="29"/>
      <c r="N78" s="32"/>
      <c r="O78" s="29"/>
      <c r="P78" s="32"/>
      <c r="Q78" s="29"/>
      <c r="R78" s="29"/>
      <c r="S78" s="28" t="str">
        <f>IF(A78="","",IF(COUNTIF('32_定義マスター'!$A$4:$A$9,A78)&lt;&gt;1,"Gate ID不正",IF(OR(L78="",L78="未審査"),"未承認",IF(OR(OR(F78="",G78="",H78="",I78="",J78="",K78="",O78="",AE78="",AF78=""),NOT(ISNUMBER(P78))),"判断証拠不足",IF(COUNTIF($F$4:$F$83,F78)&lt;&gt;1,"判断Run ID重複",IF(OR(AND(P78&lt;&gt;"",OR(NOT(ISNUMBER(P78)),IFERROR(P78&lt;1,TRUE),IFERROR(INT(P78)&gt;INT(AsOfDate),TRUE)))),"判断日不正",IF(AND(A78="G3",OR(T78="",U78="",V78="",W78="",X78="")),"公開対象・集合不足","判断記録あり・内容審査別")))))))</f>
        <v/>
      </c>
      <c r="T78" s="29"/>
      <c r="U78" s="29"/>
      <c r="V78" s="29"/>
      <c r="W78" s="29"/>
      <c r="X78" s="29"/>
      <c r="Y78" s="32"/>
      <c r="Z78" s="29"/>
      <c r="AA78" s="28" t="str">
        <f>IF(A78="","",IF(NOT(IFERROR(ISNUMBER(SEARCH("|"&amp;L78&amp;"|",IF(COUNTIF('32_定義マスター'!$A$4:$A$9,A78)&lt;&gt;1,"参照ID不正",IF(INDEX('32_定義マスター'!$F$4:$F$9,MATCH(A78,'32_定義マスター'!$A$4:$A$9,0))="","",INDEX('32_定義マスター'!$F$4:$F$9,MATCH(A78,'32_定義マスター'!$A$4:$A$9,0)))))),FALSE)),"Gate判断不適合",IF(AND(OR(L78="承認",L78="条件付承認",L78="Scale",L78="Continue",L78="廃止完了承認"),OR(I78="不合格",J78="不合格",V78="不合格",I78="FAIL",J78="FAIL",V78="FAIL")),"停止判定と承認が矛盾",IF(AND(OR(L78="承認",L78="条件付承認",L78="Scale",L78="Continue",L78="廃止完了承認"),OR(I78="未判定",J78="未判定",AND(A78="G3",V78="未判定"))),"必要判定未確定",IF(AND(OR(L78="承認",L78="条件付承認",L78="Scale",L78="Continue",L78="廃止完了承認"),OR(AND(I78&lt;&gt;"合格",I78&lt;&gt;"対象外承認"),AND(J78&lt;&gt;"合格",J78&lt;&gt;"対象外承認"),AND(A78="G3",V78&lt;&gt;"合格",V78&lt;&gt;"対象外承認"))),"判定値不正",IF(AND(A78="G4",L78="Scale",OR(COUNTIF('25_事業仮説・実験・GTM'!$Q$4:$Q$15,F78)=0,COUNTIFS('25_事業仮説・実験・GTM'!$Q$4:$Q$15,F78,'25_事業仮説・実験・GTM'!$AF$4:$AF$15,"&lt;&gt;充足")&gt;0,COUNTIFS('25_事業仮説・実験・GTM'!$Q$4:$Q$15,F78,'25_事業仮説・実験・GTM'!$AD$4:$AD$15,"&lt;&gt;拡大可能")&gt;0)),"拡大の行動証拠不足","判定整合"))))))</f>
        <v/>
      </c>
      <c r="AB78" s="28" t="str">
        <f>IF(A78="","",IF(A78&lt;&gt;"G3",IF(A78="G0",IF(OR(COUNTIF('25_事業仮説・実験・GTM'!$Q$4:$Q$15,F78)=0,COUNTIFS('25_事業仮説・実験・GTM'!$Q$4:$Q$15,F78,'25_事業仮説・実験・GTM'!$AE$4:$AE$15,"&lt;&gt;仮説記録あり")&gt;0),"仮説・持越し確認不足","G0仮説記録接続"),IF(A78="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78="",U78="",W78="",X78="",OR(COUNTIFS('30_必須評価セット'!$B$4:$B$153,T78,'30_必須評価セット'!$C$4:$C$153,U78,'30_必須評価セット'!$E$4:$E$153,"E01")=0,COUNTIFS('30_必須評価セット'!$B$4:$B$153,T78,'30_必須評価セット'!$C$4:$C$153,U78,'30_必須評価セット'!$E$4:$E$153,"E02")=0,COUNTIFS('30_必須評価セット'!$B$4:$B$153,T78,'30_必須評価セット'!$C$4:$C$153,U78,'30_必須評価セット'!$E$4:$E$153,"E03")=0,COUNTIFS('30_必須評価セット'!$B$4:$B$153,T78,'30_必須評価セット'!$C$4:$C$153,U78,'30_必須評価セット'!$E$4:$E$153,"E04")=0,COUNTIFS('30_必須評価セット'!$B$4:$B$153,T78,'30_必須評価セット'!$C$4:$C$153,U78,'30_必須評価セット'!$E$4:$E$153,"E05")=0,COUNTIFS('30_必須評価セット'!$B$4:$B$153,T78,'30_必須評価セット'!$C$4:$C$153,U78,'30_必須評価セット'!$E$4:$E$153,"E06")=0,COUNTIFS('30_必須評価セット'!$B$4:$B$153,T78,'30_必須評価セット'!$C$4:$C$153,U78,'30_必須評価セット'!$E$4:$E$153,"E07")=0,COUNTIFS('30_必須評価セット'!$B$4:$B$153,T78,'30_必須評価セット'!$C$4:$C$153,U78,'30_必須評価セット'!$E$4:$E$153,"E08")=0,COUNTIFS('30_必須評価セット'!$B$4:$B$153,T78,'30_必須評価セット'!$C$4:$C$153,U78,'30_必須評価セット'!$E$4:$E$153,"E09")=0,COUNTIFS('30_必須評価セット'!$B$4:$B$153,T78,'30_必須評価セット'!$C$4:$C$153,U78,'30_必須評価セット'!$E$4:$E$153,"E10")=0,COUNTIFS('30_必須評価セット'!$B$4:$B$153,T78,'30_必須評価セット'!$C$4:$C$153,U78,'30_必須評価セット'!$E$4:$E$153,"E11")=0,COUNTIFS('30_必須評価セット'!$B$4:$B$153,T78,'30_必須評価セット'!$C$4:$C$153,U78,'30_必須評価セット'!$E$4:$E$153,"E12")=0,COUNTIFS('30_必須評価セット'!$B$4:$B$153,T78,'30_必須評価セット'!$C$4:$C$153,U78,'30_必須評価セット'!$E$4:$E$153,"E13")=0,COUNTIFS('30_必須評価セット'!$B$4:$B$153,T78,'30_必須評価セット'!$C$4:$C$153,U78,'30_必須評価セット'!$E$4:$E$153,"E14")=0,COUNTIFS('30_必須評価セット'!$B$4:$B$153,T78,'30_必須評価セット'!$C$4:$C$153,U78,'30_必須評価セット'!$E$4:$E$153,"E15")=0,COUNTIFS('30_必須評価セット'!$B$4:$B$153,T78,'30_必須評価セット'!$C$4:$C$153,U78,'30_必須評価セット'!$E$4:$E$153,"E16")=0,COUNTIFS('30_必須評価セット'!$B$4:$B$153,T78,'30_必須評価セット'!$C$4:$C$153,U78,'30_必須評価セット'!$E$4:$E$153,"E17")=0,COUNTIFS('30_必須評価セット'!$B$4:$B$153,T78,'30_必須評価セット'!$C$4:$C$153,U78,'30_必須評価セット'!$E$4:$E$153,"E18")=0)),"必須分類・集合不足",IF(OR(AND('03_AIリスクTier・適用判定'!$B$27="使用",OR('17_ロードマップ・案件実行管理'!$AA$86&lt;&gt;1,NOT(AND(COUNTIFS('30_必須評価セット'!$B$4:$B$153,T78,'30_必須評価セット'!$C$4:$C$153,U78,'30_必須評価セット'!$E$4:$E$153,"E03",'30_必須評価セット'!$F$4:$F$153,"必須")&gt;0,COUNTIFS('30_必須評価セット'!$B$4:$B$153,T78,'30_必須評価セット'!$C$4:$C$153,U78,'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78,'30_必須評価セット'!$C$4:$C$153,U78,'30_必須評価セット'!$E$4:$E$153,"E05",'30_必須評価セット'!$F$4:$F$153,"必須")&gt;0)))),AND('03_AIリスクTier・適用判定'!$B$28="不使用",'17_ロードマップ・案件実行管理'!$W$87&lt;&gt;"除外記録済")),"機能別評価・対象外未完",IF(COUNTIFS('30_必須評価セット'!$B$4:$B$153,T78,'30_必須評価セット'!$C$4:$C$153,U78)&lt;&gt;SUMIFS('30_必須評価セット'!$N$4:$N$153,'30_必須評価セット'!$B$4:$B$153,T78,'30_必須評価セット'!$C$4:$C$153,U78),"必須評価セット未充足","必須評価セット充足"))))))</f>
        <v/>
      </c>
      <c r="AC78" s="28" t="str">
        <f>IF(F78="","",IF(OR(AG78="",AG78="未判定"),"条件有無未判定",IF(AND(AG78="なし",OR(L78="条件付承認",COUNTIF('31_条件・有効性'!$B$4:$B$83,F78)&gt;0)),"条件有無不一致",IF(AND(AG78="条件あり",COUNTIF('31_条件・有効性'!$B$4:$B$83,F78)=0),"Condition未登録",IF(AND(AG78="条件あり",COUNTIF('31_条件・有効性'!$B$4:$B$83,F78)&lt;&gt;(COUNTIFS('31_条件・有効性'!$B$4:$B$83,F78,'31_条件・有効性'!$Q$4:$Q$83,"解消確認済")+COUNTIFS('31_条件・有効性'!$B$4:$B$83,F78,'31_条件・有効性'!$Q$4:$Q$83,"期限内・制約継続"))),"条件失効・定義不備",IF(AND(AG78&lt;&gt;"なし",AG78&lt;&gt;"条件あり"),"条件有無不正","条件整合"))))))</f>
        <v/>
      </c>
      <c r="AD78" s="28" t="str">
        <f t="shared" si="2"/>
        <v/>
      </c>
      <c r="AE78" s="29"/>
      <c r="AF78" s="29"/>
      <c r="AG78" s="29"/>
    </row>
    <row r="79" spans="1:33" ht="78" customHeight="1" x14ac:dyDescent="0.2">
      <c r="A79" s="29"/>
      <c r="B79" s="28" t="str">
        <f>IF(A79="","",IF(COUNTIF('32_定義マスター'!$A$4:$A$9,A79)&lt;&gt;1,"参照ID不正",IF(INDEX('32_定義マスター'!$B$4:$B$9,MATCH(A79,'32_定義マスター'!$A$4:$A$9,0))="","",INDEX('32_定義マスター'!$B$4:$B$9,MATCH(A79,'32_定義マスター'!$A$4:$A$9,0)))))</f>
        <v/>
      </c>
      <c r="C79" s="28" t="str">
        <f>IF(A79="","",IF(COUNTIF('32_定義マスター'!$A$4:$A$9,A79)&lt;&gt;1,"参照ID不正",IF(INDEX('32_定義マスター'!$C$4:$C$9,MATCH(A79,'32_定義マスター'!$A$4:$A$9,0))="","",INDEX('32_定義マスター'!$C$4:$C$9,MATCH(A79,'32_定義マスター'!$A$4:$A$9,0)))))</f>
        <v/>
      </c>
      <c r="D79" s="28" t="str">
        <f>IF(A79="","",IF(COUNTIF('32_定義マスター'!$A$4:$A$9,A79)&lt;&gt;1,"参照ID不正",IF(INDEX('32_定義マスター'!$D$4:$D$9,MATCH(A79,'32_定義マスター'!$A$4:$A$9,0))="","",INDEX('32_定義マスター'!$D$4:$D$9,MATCH(A79,'32_定義マスター'!$A$4:$A$9,0)))))</f>
        <v/>
      </c>
      <c r="E79" s="28" t="str">
        <f>IF(A79="","",IF(COUNTIF('32_定義マスター'!$A$4:$A$9,A79)&lt;&gt;1,"参照ID不正",IF(INDEX('32_定義マスター'!$E$4:$E$9,MATCH(A79,'32_定義マスター'!$A$4:$A$9,0))="","",INDEX('32_定義マスター'!$E$4:$E$9,MATCH(A79,'32_定義マスター'!$A$4:$A$9,0)))))</f>
        <v/>
      </c>
      <c r="F79" s="29"/>
      <c r="G79" s="29"/>
      <c r="H79" s="29"/>
      <c r="I79" s="29"/>
      <c r="J79" s="29"/>
      <c r="K79" s="29"/>
      <c r="L79" s="29"/>
      <c r="M79" s="29"/>
      <c r="N79" s="32"/>
      <c r="O79" s="29"/>
      <c r="P79" s="32"/>
      <c r="Q79" s="29"/>
      <c r="R79" s="29"/>
      <c r="S79" s="28" t="str">
        <f>IF(A79="","",IF(COUNTIF('32_定義マスター'!$A$4:$A$9,A79)&lt;&gt;1,"Gate ID不正",IF(OR(L79="",L79="未審査"),"未承認",IF(OR(OR(F79="",G79="",H79="",I79="",J79="",K79="",O79="",AE79="",AF79=""),NOT(ISNUMBER(P79))),"判断証拠不足",IF(COUNTIF($F$4:$F$83,F79)&lt;&gt;1,"判断Run ID重複",IF(OR(AND(P79&lt;&gt;"",OR(NOT(ISNUMBER(P79)),IFERROR(P79&lt;1,TRUE),IFERROR(INT(P79)&gt;INT(AsOfDate),TRUE)))),"判断日不正",IF(AND(A79="G3",OR(T79="",U79="",V79="",W79="",X79="")),"公開対象・集合不足","判断記録あり・内容審査別")))))))</f>
        <v/>
      </c>
      <c r="T79" s="29"/>
      <c r="U79" s="29"/>
      <c r="V79" s="29"/>
      <c r="W79" s="29"/>
      <c r="X79" s="29"/>
      <c r="Y79" s="32"/>
      <c r="Z79" s="29"/>
      <c r="AA79" s="28" t="str">
        <f>IF(A79="","",IF(NOT(IFERROR(ISNUMBER(SEARCH("|"&amp;L79&amp;"|",IF(COUNTIF('32_定義マスター'!$A$4:$A$9,A79)&lt;&gt;1,"参照ID不正",IF(INDEX('32_定義マスター'!$F$4:$F$9,MATCH(A79,'32_定義マスター'!$A$4:$A$9,0))="","",INDEX('32_定義マスター'!$F$4:$F$9,MATCH(A79,'32_定義マスター'!$A$4:$A$9,0)))))),FALSE)),"Gate判断不適合",IF(AND(OR(L79="承認",L79="条件付承認",L79="Scale",L79="Continue",L79="廃止完了承認"),OR(I79="不合格",J79="不合格",V79="不合格",I79="FAIL",J79="FAIL",V79="FAIL")),"停止判定と承認が矛盾",IF(AND(OR(L79="承認",L79="条件付承認",L79="Scale",L79="Continue",L79="廃止完了承認"),OR(I79="未判定",J79="未判定",AND(A79="G3",V79="未判定"))),"必要判定未確定",IF(AND(OR(L79="承認",L79="条件付承認",L79="Scale",L79="Continue",L79="廃止完了承認"),OR(AND(I79&lt;&gt;"合格",I79&lt;&gt;"対象外承認"),AND(J79&lt;&gt;"合格",J79&lt;&gt;"対象外承認"),AND(A79="G3",V79&lt;&gt;"合格",V79&lt;&gt;"対象外承認"))),"判定値不正",IF(AND(A79="G4",L79="Scale",OR(COUNTIF('25_事業仮説・実験・GTM'!$Q$4:$Q$15,F79)=0,COUNTIFS('25_事業仮説・実験・GTM'!$Q$4:$Q$15,F79,'25_事業仮説・実験・GTM'!$AF$4:$AF$15,"&lt;&gt;充足")&gt;0,COUNTIFS('25_事業仮説・実験・GTM'!$Q$4:$Q$15,F79,'25_事業仮説・実験・GTM'!$AD$4:$AD$15,"&lt;&gt;拡大可能")&gt;0)),"拡大の行動証拠不足","判定整合"))))))</f>
        <v/>
      </c>
      <c r="AB79" s="28" t="str">
        <f>IF(A79="","",IF(A79&lt;&gt;"G3",IF(A79="G0",IF(OR(COUNTIF('25_事業仮説・実験・GTM'!$Q$4:$Q$15,F79)=0,COUNTIFS('25_事業仮説・実験・GTM'!$Q$4:$Q$15,F79,'25_事業仮説・実験・GTM'!$AE$4:$AE$15,"&lt;&gt;仮説記録あり")&gt;0),"仮説・持越し確認不足","G0仮説記録接続"),IF(A79="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79="",U79="",W79="",X79="",OR(COUNTIFS('30_必須評価セット'!$B$4:$B$153,T79,'30_必須評価セット'!$C$4:$C$153,U79,'30_必須評価セット'!$E$4:$E$153,"E01")=0,COUNTIFS('30_必須評価セット'!$B$4:$B$153,T79,'30_必須評価セット'!$C$4:$C$153,U79,'30_必須評価セット'!$E$4:$E$153,"E02")=0,COUNTIFS('30_必須評価セット'!$B$4:$B$153,T79,'30_必須評価セット'!$C$4:$C$153,U79,'30_必須評価セット'!$E$4:$E$153,"E03")=0,COUNTIFS('30_必須評価セット'!$B$4:$B$153,T79,'30_必須評価セット'!$C$4:$C$153,U79,'30_必須評価セット'!$E$4:$E$153,"E04")=0,COUNTIFS('30_必須評価セット'!$B$4:$B$153,T79,'30_必須評価セット'!$C$4:$C$153,U79,'30_必須評価セット'!$E$4:$E$153,"E05")=0,COUNTIFS('30_必須評価セット'!$B$4:$B$153,T79,'30_必須評価セット'!$C$4:$C$153,U79,'30_必須評価セット'!$E$4:$E$153,"E06")=0,COUNTIFS('30_必須評価セット'!$B$4:$B$153,T79,'30_必須評価セット'!$C$4:$C$153,U79,'30_必須評価セット'!$E$4:$E$153,"E07")=0,COUNTIFS('30_必須評価セット'!$B$4:$B$153,T79,'30_必須評価セット'!$C$4:$C$153,U79,'30_必須評価セット'!$E$4:$E$153,"E08")=0,COUNTIFS('30_必須評価セット'!$B$4:$B$153,T79,'30_必須評価セット'!$C$4:$C$153,U79,'30_必須評価セット'!$E$4:$E$153,"E09")=0,COUNTIFS('30_必須評価セット'!$B$4:$B$153,T79,'30_必須評価セット'!$C$4:$C$153,U79,'30_必須評価セット'!$E$4:$E$153,"E10")=0,COUNTIFS('30_必須評価セット'!$B$4:$B$153,T79,'30_必須評価セット'!$C$4:$C$153,U79,'30_必須評価セット'!$E$4:$E$153,"E11")=0,COUNTIFS('30_必須評価セット'!$B$4:$B$153,T79,'30_必須評価セット'!$C$4:$C$153,U79,'30_必須評価セット'!$E$4:$E$153,"E12")=0,COUNTIFS('30_必須評価セット'!$B$4:$B$153,T79,'30_必須評価セット'!$C$4:$C$153,U79,'30_必須評価セット'!$E$4:$E$153,"E13")=0,COUNTIFS('30_必須評価セット'!$B$4:$B$153,T79,'30_必須評価セット'!$C$4:$C$153,U79,'30_必須評価セット'!$E$4:$E$153,"E14")=0,COUNTIFS('30_必須評価セット'!$B$4:$B$153,T79,'30_必須評価セット'!$C$4:$C$153,U79,'30_必須評価セット'!$E$4:$E$153,"E15")=0,COUNTIFS('30_必須評価セット'!$B$4:$B$153,T79,'30_必須評価セット'!$C$4:$C$153,U79,'30_必須評価セット'!$E$4:$E$153,"E16")=0,COUNTIFS('30_必須評価セット'!$B$4:$B$153,T79,'30_必須評価セット'!$C$4:$C$153,U79,'30_必須評価セット'!$E$4:$E$153,"E17")=0,COUNTIFS('30_必須評価セット'!$B$4:$B$153,T79,'30_必須評価セット'!$C$4:$C$153,U79,'30_必須評価セット'!$E$4:$E$153,"E18")=0)),"必須分類・集合不足",IF(OR(AND('03_AIリスクTier・適用判定'!$B$27="使用",OR('17_ロードマップ・案件実行管理'!$AA$86&lt;&gt;1,NOT(AND(COUNTIFS('30_必須評価セット'!$B$4:$B$153,T79,'30_必須評価セット'!$C$4:$C$153,U79,'30_必須評価セット'!$E$4:$E$153,"E03",'30_必須評価セット'!$F$4:$F$153,"必須")&gt;0,COUNTIFS('30_必須評価セット'!$B$4:$B$153,T79,'30_必須評価セット'!$C$4:$C$153,U79,'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79,'30_必須評価セット'!$C$4:$C$153,U79,'30_必須評価セット'!$E$4:$E$153,"E05",'30_必須評価セット'!$F$4:$F$153,"必須")&gt;0)))),AND('03_AIリスクTier・適用判定'!$B$28="不使用",'17_ロードマップ・案件実行管理'!$W$87&lt;&gt;"除外記録済")),"機能別評価・対象外未完",IF(COUNTIFS('30_必須評価セット'!$B$4:$B$153,T79,'30_必須評価セット'!$C$4:$C$153,U79)&lt;&gt;SUMIFS('30_必須評価セット'!$N$4:$N$153,'30_必須評価セット'!$B$4:$B$153,T79,'30_必須評価セット'!$C$4:$C$153,U79),"必須評価セット未充足","必須評価セット充足"))))))</f>
        <v/>
      </c>
      <c r="AC79" s="28" t="str">
        <f>IF(F79="","",IF(OR(AG79="",AG79="未判定"),"条件有無未判定",IF(AND(AG79="なし",OR(L79="条件付承認",COUNTIF('31_条件・有効性'!$B$4:$B$83,F79)&gt;0)),"条件有無不一致",IF(AND(AG79="条件あり",COUNTIF('31_条件・有効性'!$B$4:$B$83,F79)=0),"Condition未登録",IF(AND(AG79="条件あり",COUNTIF('31_条件・有効性'!$B$4:$B$83,F79)&lt;&gt;(COUNTIFS('31_条件・有効性'!$B$4:$B$83,F79,'31_条件・有効性'!$Q$4:$Q$83,"解消確認済")+COUNTIFS('31_条件・有効性'!$B$4:$B$83,F79,'31_条件・有効性'!$Q$4:$Q$83,"期限内・制約継続"))),"条件失効・定義不備",IF(AND(AG79&lt;&gt;"なし",AG79&lt;&gt;"条件あり"),"条件有無不正","条件整合"))))))</f>
        <v/>
      </c>
      <c r="AD79" s="28" t="str">
        <f t="shared" si="2"/>
        <v/>
      </c>
      <c r="AE79" s="29"/>
      <c r="AF79" s="29"/>
      <c r="AG79" s="29"/>
    </row>
    <row r="80" spans="1:33" ht="78" customHeight="1" x14ac:dyDescent="0.2">
      <c r="A80" s="29"/>
      <c r="B80" s="28" t="str">
        <f>IF(A80="","",IF(COUNTIF('32_定義マスター'!$A$4:$A$9,A80)&lt;&gt;1,"参照ID不正",IF(INDEX('32_定義マスター'!$B$4:$B$9,MATCH(A80,'32_定義マスター'!$A$4:$A$9,0))="","",INDEX('32_定義マスター'!$B$4:$B$9,MATCH(A80,'32_定義マスター'!$A$4:$A$9,0)))))</f>
        <v/>
      </c>
      <c r="C80" s="28" t="str">
        <f>IF(A80="","",IF(COUNTIF('32_定義マスター'!$A$4:$A$9,A80)&lt;&gt;1,"参照ID不正",IF(INDEX('32_定義マスター'!$C$4:$C$9,MATCH(A80,'32_定義マスター'!$A$4:$A$9,0))="","",INDEX('32_定義マスター'!$C$4:$C$9,MATCH(A80,'32_定義マスター'!$A$4:$A$9,0)))))</f>
        <v/>
      </c>
      <c r="D80" s="28" t="str">
        <f>IF(A80="","",IF(COUNTIF('32_定義マスター'!$A$4:$A$9,A80)&lt;&gt;1,"参照ID不正",IF(INDEX('32_定義マスター'!$D$4:$D$9,MATCH(A80,'32_定義マスター'!$A$4:$A$9,0))="","",INDEX('32_定義マスター'!$D$4:$D$9,MATCH(A80,'32_定義マスター'!$A$4:$A$9,0)))))</f>
        <v/>
      </c>
      <c r="E80" s="28" t="str">
        <f>IF(A80="","",IF(COUNTIF('32_定義マスター'!$A$4:$A$9,A80)&lt;&gt;1,"参照ID不正",IF(INDEX('32_定義マスター'!$E$4:$E$9,MATCH(A80,'32_定義マスター'!$A$4:$A$9,0))="","",INDEX('32_定義マスター'!$E$4:$E$9,MATCH(A80,'32_定義マスター'!$A$4:$A$9,0)))))</f>
        <v/>
      </c>
      <c r="F80" s="29"/>
      <c r="G80" s="29"/>
      <c r="H80" s="29"/>
      <c r="I80" s="29"/>
      <c r="J80" s="29"/>
      <c r="K80" s="29"/>
      <c r="L80" s="29"/>
      <c r="M80" s="29"/>
      <c r="N80" s="32"/>
      <c r="O80" s="29"/>
      <c r="P80" s="32"/>
      <c r="Q80" s="29"/>
      <c r="R80" s="29"/>
      <c r="S80" s="28" t="str">
        <f>IF(A80="","",IF(COUNTIF('32_定義マスター'!$A$4:$A$9,A80)&lt;&gt;1,"Gate ID不正",IF(OR(L80="",L80="未審査"),"未承認",IF(OR(OR(F80="",G80="",H80="",I80="",J80="",K80="",O80="",AE80="",AF80=""),NOT(ISNUMBER(P80))),"判断証拠不足",IF(COUNTIF($F$4:$F$83,F80)&lt;&gt;1,"判断Run ID重複",IF(OR(AND(P80&lt;&gt;"",OR(NOT(ISNUMBER(P80)),IFERROR(P80&lt;1,TRUE),IFERROR(INT(P80)&gt;INT(AsOfDate),TRUE)))),"判断日不正",IF(AND(A80="G3",OR(T80="",U80="",V80="",W80="",X80="")),"公開対象・集合不足","判断記録あり・内容審査別")))))))</f>
        <v/>
      </c>
      <c r="T80" s="29"/>
      <c r="U80" s="29"/>
      <c r="V80" s="29"/>
      <c r="W80" s="29"/>
      <c r="X80" s="29"/>
      <c r="Y80" s="32"/>
      <c r="Z80" s="29"/>
      <c r="AA80" s="28" t="str">
        <f>IF(A80="","",IF(NOT(IFERROR(ISNUMBER(SEARCH("|"&amp;L80&amp;"|",IF(COUNTIF('32_定義マスター'!$A$4:$A$9,A80)&lt;&gt;1,"参照ID不正",IF(INDEX('32_定義マスター'!$F$4:$F$9,MATCH(A80,'32_定義マスター'!$A$4:$A$9,0))="","",INDEX('32_定義マスター'!$F$4:$F$9,MATCH(A80,'32_定義マスター'!$A$4:$A$9,0)))))),FALSE)),"Gate判断不適合",IF(AND(OR(L80="承認",L80="条件付承認",L80="Scale",L80="Continue",L80="廃止完了承認"),OR(I80="不合格",J80="不合格",V80="不合格",I80="FAIL",J80="FAIL",V80="FAIL")),"停止判定と承認が矛盾",IF(AND(OR(L80="承認",L80="条件付承認",L80="Scale",L80="Continue",L80="廃止完了承認"),OR(I80="未判定",J80="未判定",AND(A80="G3",V80="未判定"))),"必要判定未確定",IF(AND(OR(L80="承認",L80="条件付承認",L80="Scale",L80="Continue",L80="廃止完了承認"),OR(AND(I80&lt;&gt;"合格",I80&lt;&gt;"対象外承認"),AND(J80&lt;&gt;"合格",J80&lt;&gt;"対象外承認"),AND(A80="G3",V80&lt;&gt;"合格",V80&lt;&gt;"対象外承認"))),"判定値不正",IF(AND(A80="G4",L80="Scale",OR(COUNTIF('25_事業仮説・実験・GTM'!$Q$4:$Q$15,F80)=0,COUNTIFS('25_事業仮説・実験・GTM'!$Q$4:$Q$15,F80,'25_事業仮説・実験・GTM'!$AF$4:$AF$15,"&lt;&gt;充足")&gt;0,COUNTIFS('25_事業仮説・実験・GTM'!$Q$4:$Q$15,F80,'25_事業仮説・実験・GTM'!$AD$4:$AD$15,"&lt;&gt;拡大可能")&gt;0)),"拡大の行動証拠不足","判定整合"))))))</f>
        <v/>
      </c>
      <c r="AB80" s="28" t="str">
        <f>IF(A80="","",IF(A80&lt;&gt;"G3",IF(A80="G0",IF(OR(COUNTIF('25_事業仮説・実験・GTM'!$Q$4:$Q$15,F80)=0,COUNTIFS('25_事業仮説・実験・GTM'!$Q$4:$Q$15,F80,'25_事業仮説・実験・GTM'!$AE$4:$AE$15,"&lt;&gt;仮説記録あり")&gt;0),"仮説・持越し確認不足","G0仮説記録接続"),IF(A80="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80="",U80="",W80="",X80="",OR(COUNTIFS('30_必須評価セット'!$B$4:$B$153,T80,'30_必須評価セット'!$C$4:$C$153,U80,'30_必須評価セット'!$E$4:$E$153,"E01")=0,COUNTIFS('30_必須評価セット'!$B$4:$B$153,T80,'30_必須評価セット'!$C$4:$C$153,U80,'30_必須評価セット'!$E$4:$E$153,"E02")=0,COUNTIFS('30_必須評価セット'!$B$4:$B$153,T80,'30_必須評価セット'!$C$4:$C$153,U80,'30_必須評価セット'!$E$4:$E$153,"E03")=0,COUNTIFS('30_必須評価セット'!$B$4:$B$153,T80,'30_必須評価セット'!$C$4:$C$153,U80,'30_必須評価セット'!$E$4:$E$153,"E04")=0,COUNTIFS('30_必須評価セット'!$B$4:$B$153,T80,'30_必須評価セット'!$C$4:$C$153,U80,'30_必須評価セット'!$E$4:$E$153,"E05")=0,COUNTIFS('30_必須評価セット'!$B$4:$B$153,T80,'30_必須評価セット'!$C$4:$C$153,U80,'30_必須評価セット'!$E$4:$E$153,"E06")=0,COUNTIFS('30_必須評価セット'!$B$4:$B$153,T80,'30_必須評価セット'!$C$4:$C$153,U80,'30_必須評価セット'!$E$4:$E$153,"E07")=0,COUNTIFS('30_必須評価セット'!$B$4:$B$153,T80,'30_必須評価セット'!$C$4:$C$153,U80,'30_必須評価セット'!$E$4:$E$153,"E08")=0,COUNTIFS('30_必須評価セット'!$B$4:$B$153,T80,'30_必須評価セット'!$C$4:$C$153,U80,'30_必須評価セット'!$E$4:$E$153,"E09")=0,COUNTIFS('30_必須評価セット'!$B$4:$B$153,T80,'30_必須評価セット'!$C$4:$C$153,U80,'30_必須評価セット'!$E$4:$E$153,"E10")=0,COUNTIFS('30_必須評価セット'!$B$4:$B$153,T80,'30_必須評価セット'!$C$4:$C$153,U80,'30_必須評価セット'!$E$4:$E$153,"E11")=0,COUNTIFS('30_必須評価セット'!$B$4:$B$153,T80,'30_必須評価セット'!$C$4:$C$153,U80,'30_必須評価セット'!$E$4:$E$153,"E12")=0,COUNTIFS('30_必須評価セット'!$B$4:$B$153,T80,'30_必須評価セット'!$C$4:$C$153,U80,'30_必須評価セット'!$E$4:$E$153,"E13")=0,COUNTIFS('30_必須評価セット'!$B$4:$B$153,T80,'30_必須評価セット'!$C$4:$C$153,U80,'30_必須評価セット'!$E$4:$E$153,"E14")=0,COUNTIFS('30_必須評価セット'!$B$4:$B$153,T80,'30_必須評価セット'!$C$4:$C$153,U80,'30_必須評価セット'!$E$4:$E$153,"E15")=0,COUNTIFS('30_必須評価セット'!$B$4:$B$153,T80,'30_必須評価セット'!$C$4:$C$153,U80,'30_必須評価セット'!$E$4:$E$153,"E16")=0,COUNTIFS('30_必須評価セット'!$B$4:$B$153,T80,'30_必須評価セット'!$C$4:$C$153,U80,'30_必須評価セット'!$E$4:$E$153,"E17")=0,COUNTIFS('30_必須評価セット'!$B$4:$B$153,T80,'30_必須評価セット'!$C$4:$C$153,U80,'30_必須評価セット'!$E$4:$E$153,"E18")=0)),"必須分類・集合不足",IF(OR(AND('03_AIリスクTier・適用判定'!$B$27="使用",OR('17_ロードマップ・案件実行管理'!$AA$86&lt;&gt;1,NOT(AND(COUNTIFS('30_必須評価セット'!$B$4:$B$153,T80,'30_必須評価セット'!$C$4:$C$153,U80,'30_必須評価セット'!$E$4:$E$153,"E03",'30_必須評価セット'!$F$4:$F$153,"必須")&gt;0,COUNTIFS('30_必須評価セット'!$B$4:$B$153,T80,'30_必須評価セット'!$C$4:$C$153,U80,'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80,'30_必須評価セット'!$C$4:$C$153,U80,'30_必須評価セット'!$E$4:$E$153,"E05",'30_必須評価セット'!$F$4:$F$153,"必須")&gt;0)))),AND('03_AIリスクTier・適用判定'!$B$28="不使用",'17_ロードマップ・案件実行管理'!$W$87&lt;&gt;"除外記録済")),"機能別評価・対象外未完",IF(COUNTIFS('30_必須評価セット'!$B$4:$B$153,T80,'30_必須評価セット'!$C$4:$C$153,U80)&lt;&gt;SUMIFS('30_必須評価セット'!$N$4:$N$153,'30_必須評価セット'!$B$4:$B$153,T80,'30_必須評価セット'!$C$4:$C$153,U80),"必須評価セット未充足","必須評価セット充足"))))))</f>
        <v/>
      </c>
      <c r="AC80" s="28" t="str">
        <f>IF(F80="","",IF(OR(AG80="",AG80="未判定"),"条件有無未判定",IF(AND(AG80="なし",OR(L80="条件付承認",COUNTIF('31_条件・有効性'!$B$4:$B$83,F80)&gt;0)),"条件有無不一致",IF(AND(AG80="条件あり",COUNTIF('31_条件・有効性'!$B$4:$B$83,F80)=0),"Condition未登録",IF(AND(AG80="条件あり",COUNTIF('31_条件・有効性'!$B$4:$B$83,F80)&lt;&gt;(COUNTIFS('31_条件・有効性'!$B$4:$B$83,F80,'31_条件・有効性'!$Q$4:$Q$83,"解消確認済")+COUNTIFS('31_条件・有効性'!$B$4:$B$83,F80,'31_条件・有効性'!$Q$4:$Q$83,"期限内・制約継続"))),"条件失効・定義不備",IF(AND(AG80&lt;&gt;"なし",AG80&lt;&gt;"条件あり"),"条件有無不正","条件整合"))))))</f>
        <v/>
      </c>
      <c r="AD80" s="28" t="str">
        <f t="shared" si="2"/>
        <v/>
      </c>
      <c r="AE80" s="29"/>
      <c r="AF80" s="29"/>
      <c r="AG80" s="29"/>
    </row>
    <row r="81" spans="1:33" ht="78" customHeight="1" x14ac:dyDescent="0.2">
      <c r="A81" s="29"/>
      <c r="B81" s="28" t="str">
        <f>IF(A81="","",IF(COUNTIF('32_定義マスター'!$A$4:$A$9,A81)&lt;&gt;1,"参照ID不正",IF(INDEX('32_定義マスター'!$B$4:$B$9,MATCH(A81,'32_定義マスター'!$A$4:$A$9,0))="","",INDEX('32_定義マスター'!$B$4:$B$9,MATCH(A81,'32_定義マスター'!$A$4:$A$9,0)))))</f>
        <v/>
      </c>
      <c r="C81" s="28" t="str">
        <f>IF(A81="","",IF(COUNTIF('32_定義マスター'!$A$4:$A$9,A81)&lt;&gt;1,"参照ID不正",IF(INDEX('32_定義マスター'!$C$4:$C$9,MATCH(A81,'32_定義マスター'!$A$4:$A$9,0))="","",INDEX('32_定義マスター'!$C$4:$C$9,MATCH(A81,'32_定義マスター'!$A$4:$A$9,0)))))</f>
        <v/>
      </c>
      <c r="D81" s="28" t="str">
        <f>IF(A81="","",IF(COUNTIF('32_定義マスター'!$A$4:$A$9,A81)&lt;&gt;1,"参照ID不正",IF(INDEX('32_定義マスター'!$D$4:$D$9,MATCH(A81,'32_定義マスター'!$A$4:$A$9,0))="","",INDEX('32_定義マスター'!$D$4:$D$9,MATCH(A81,'32_定義マスター'!$A$4:$A$9,0)))))</f>
        <v/>
      </c>
      <c r="E81" s="28" t="str">
        <f>IF(A81="","",IF(COUNTIF('32_定義マスター'!$A$4:$A$9,A81)&lt;&gt;1,"参照ID不正",IF(INDEX('32_定義マスター'!$E$4:$E$9,MATCH(A81,'32_定義マスター'!$A$4:$A$9,0))="","",INDEX('32_定義マスター'!$E$4:$E$9,MATCH(A81,'32_定義マスター'!$A$4:$A$9,0)))))</f>
        <v/>
      </c>
      <c r="F81" s="29"/>
      <c r="G81" s="29"/>
      <c r="H81" s="29"/>
      <c r="I81" s="29"/>
      <c r="J81" s="29"/>
      <c r="K81" s="29"/>
      <c r="L81" s="29"/>
      <c r="M81" s="29"/>
      <c r="N81" s="32"/>
      <c r="O81" s="29"/>
      <c r="P81" s="32"/>
      <c r="Q81" s="29"/>
      <c r="R81" s="29"/>
      <c r="S81" s="28" t="str">
        <f>IF(A81="","",IF(COUNTIF('32_定義マスター'!$A$4:$A$9,A81)&lt;&gt;1,"Gate ID不正",IF(OR(L81="",L81="未審査"),"未承認",IF(OR(OR(F81="",G81="",H81="",I81="",J81="",K81="",O81="",AE81="",AF81=""),NOT(ISNUMBER(P81))),"判断証拠不足",IF(COUNTIF($F$4:$F$83,F81)&lt;&gt;1,"判断Run ID重複",IF(OR(AND(P81&lt;&gt;"",OR(NOT(ISNUMBER(P81)),IFERROR(P81&lt;1,TRUE),IFERROR(INT(P81)&gt;INT(AsOfDate),TRUE)))),"判断日不正",IF(AND(A81="G3",OR(T81="",U81="",V81="",W81="",X81="")),"公開対象・集合不足","判断記録あり・内容審査別")))))))</f>
        <v/>
      </c>
      <c r="T81" s="29"/>
      <c r="U81" s="29"/>
      <c r="V81" s="29"/>
      <c r="W81" s="29"/>
      <c r="X81" s="29"/>
      <c r="Y81" s="32"/>
      <c r="Z81" s="29"/>
      <c r="AA81" s="28" t="str">
        <f>IF(A81="","",IF(NOT(IFERROR(ISNUMBER(SEARCH("|"&amp;L81&amp;"|",IF(COUNTIF('32_定義マスター'!$A$4:$A$9,A81)&lt;&gt;1,"参照ID不正",IF(INDEX('32_定義マスター'!$F$4:$F$9,MATCH(A81,'32_定義マスター'!$A$4:$A$9,0))="","",INDEX('32_定義マスター'!$F$4:$F$9,MATCH(A81,'32_定義マスター'!$A$4:$A$9,0)))))),FALSE)),"Gate判断不適合",IF(AND(OR(L81="承認",L81="条件付承認",L81="Scale",L81="Continue",L81="廃止完了承認"),OR(I81="不合格",J81="不合格",V81="不合格",I81="FAIL",J81="FAIL",V81="FAIL")),"停止判定と承認が矛盾",IF(AND(OR(L81="承認",L81="条件付承認",L81="Scale",L81="Continue",L81="廃止完了承認"),OR(I81="未判定",J81="未判定",AND(A81="G3",V81="未判定"))),"必要判定未確定",IF(AND(OR(L81="承認",L81="条件付承認",L81="Scale",L81="Continue",L81="廃止完了承認"),OR(AND(I81&lt;&gt;"合格",I81&lt;&gt;"対象外承認"),AND(J81&lt;&gt;"合格",J81&lt;&gt;"対象外承認"),AND(A81="G3",V81&lt;&gt;"合格",V81&lt;&gt;"対象外承認"))),"判定値不正",IF(AND(A81="G4",L81="Scale",OR(COUNTIF('25_事業仮説・実験・GTM'!$Q$4:$Q$15,F81)=0,COUNTIFS('25_事業仮説・実験・GTM'!$Q$4:$Q$15,F81,'25_事業仮説・実験・GTM'!$AF$4:$AF$15,"&lt;&gt;充足")&gt;0,COUNTIFS('25_事業仮説・実験・GTM'!$Q$4:$Q$15,F81,'25_事業仮説・実験・GTM'!$AD$4:$AD$15,"&lt;&gt;拡大可能")&gt;0)),"拡大の行動証拠不足","判定整合"))))))</f>
        <v/>
      </c>
      <c r="AB81" s="28" t="str">
        <f>IF(A81="","",IF(A81&lt;&gt;"G3",IF(A81="G0",IF(OR(COUNTIF('25_事業仮説・実験・GTM'!$Q$4:$Q$15,F81)=0,COUNTIFS('25_事業仮説・実験・GTM'!$Q$4:$Q$15,F81,'25_事業仮説・実験・GTM'!$AE$4:$AE$15,"&lt;&gt;仮説記録あり")&gt;0),"仮説・持越し確認不足","G0仮説記録接続"),IF(A81="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81="",U81="",W81="",X81="",OR(COUNTIFS('30_必須評価セット'!$B$4:$B$153,T81,'30_必須評価セット'!$C$4:$C$153,U81,'30_必須評価セット'!$E$4:$E$153,"E01")=0,COUNTIFS('30_必須評価セット'!$B$4:$B$153,T81,'30_必須評価セット'!$C$4:$C$153,U81,'30_必須評価セット'!$E$4:$E$153,"E02")=0,COUNTIFS('30_必須評価セット'!$B$4:$B$153,T81,'30_必須評価セット'!$C$4:$C$153,U81,'30_必須評価セット'!$E$4:$E$153,"E03")=0,COUNTIFS('30_必須評価セット'!$B$4:$B$153,T81,'30_必須評価セット'!$C$4:$C$153,U81,'30_必須評価セット'!$E$4:$E$153,"E04")=0,COUNTIFS('30_必須評価セット'!$B$4:$B$153,T81,'30_必須評価セット'!$C$4:$C$153,U81,'30_必須評価セット'!$E$4:$E$153,"E05")=0,COUNTIFS('30_必須評価セット'!$B$4:$B$153,T81,'30_必須評価セット'!$C$4:$C$153,U81,'30_必須評価セット'!$E$4:$E$153,"E06")=0,COUNTIFS('30_必須評価セット'!$B$4:$B$153,T81,'30_必須評価セット'!$C$4:$C$153,U81,'30_必須評価セット'!$E$4:$E$153,"E07")=0,COUNTIFS('30_必須評価セット'!$B$4:$B$153,T81,'30_必須評価セット'!$C$4:$C$153,U81,'30_必須評価セット'!$E$4:$E$153,"E08")=0,COUNTIFS('30_必須評価セット'!$B$4:$B$153,T81,'30_必須評価セット'!$C$4:$C$153,U81,'30_必須評価セット'!$E$4:$E$153,"E09")=0,COUNTIFS('30_必須評価セット'!$B$4:$B$153,T81,'30_必須評価セット'!$C$4:$C$153,U81,'30_必須評価セット'!$E$4:$E$153,"E10")=0,COUNTIFS('30_必須評価セット'!$B$4:$B$153,T81,'30_必須評価セット'!$C$4:$C$153,U81,'30_必須評価セット'!$E$4:$E$153,"E11")=0,COUNTIFS('30_必須評価セット'!$B$4:$B$153,T81,'30_必須評価セット'!$C$4:$C$153,U81,'30_必須評価セット'!$E$4:$E$153,"E12")=0,COUNTIFS('30_必須評価セット'!$B$4:$B$153,T81,'30_必須評価セット'!$C$4:$C$153,U81,'30_必須評価セット'!$E$4:$E$153,"E13")=0,COUNTIFS('30_必須評価セット'!$B$4:$B$153,T81,'30_必須評価セット'!$C$4:$C$153,U81,'30_必須評価セット'!$E$4:$E$153,"E14")=0,COUNTIFS('30_必須評価セット'!$B$4:$B$153,T81,'30_必須評価セット'!$C$4:$C$153,U81,'30_必須評価セット'!$E$4:$E$153,"E15")=0,COUNTIFS('30_必須評価セット'!$B$4:$B$153,T81,'30_必須評価セット'!$C$4:$C$153,U81,'30_必須評価セット'!$E$4:$E$153,"E16")=0,COUNTIFS('30_必須評価セット'!$B$4:$B$153,T81,'30_必須評価セット'!$C$4:$C$153,U81,'30_必須評価セット'!$E$4:$E$153,"E17")=0,COUNTIFS('30_必須評価セット'!$B$4:$B$153,T81,'30_必須評価セット'!$C$4:$C$153,U81,'30_必須評価セット'!$E$4:$E$153,"E18")=0)),"必須分類・集合不足",IF(OR(AND('03_AIリスクTier・適用判定'!$B$27="使用",OR('17_ロードマップ・案件実行管理'!$AA$86&lt;&gt;1,NOT(AND(COUNTIFS('30_必須評価セット'!$B$4:$B$153,T81,'30_必須評価セット'!$C$4:$C$153,U81,'30_必須評価セット'!$E$4:$E$153,"E03",'30_必須評価セット'!$F$4:$F$153,"必須")&gt;0,COUNTIFS('30_必須評価セット'!$B$4:$B$153,T81,'30_必須評価セット'!$C$4:$C$153,U81,'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81,'30_必須評価セット'!$C$4:$C$153,U81,'30_必須評価セット'!$E$4:$E$153,"E05",'30_必須評価セット'!$F$4:$F$153,"必須")&gt;0)))),AND('03_AIリスクTier・適用判定'!$B$28="不使用",'17_ロードマップ・案件実行管理'!$W$87&lt;&gt;"除外記録済")),"機能別評価・対象外未完",IF(COUNTIFS('30_必須評価セット'!$B$4:$B$153,T81,'30_必須評価セット'!$C$4:$C$153,U81)&lt;&gt;SUMIFS('30_必須評価セット'!$N$4:$N$153,'30_必須評価セット'!$B$4:$B$153,T81,'30_必須評価セット'!$C$4:$C$153,U81),"必須評価セット未充足","必須評価セット充足"))))))</f>
        <v/>
      </c>
      <c r="AC81" s="28" t="str">
        <f>IF(F81="","",IF(OR(AG81="",AG81="未判定"),"条件有無未判定",IF(AND(AG81="なし",OR(L81="条件付承認",COUNTIF('31_条件・有効性'!$B$4:$B$83,F81)&gt;0)),"条件有無不一致",IF(AND(AG81="条件あり",COUNTIF('31_条件・有効性'!$B$4:$B$83,F81)=0),"Condition未登録",IF(AND(AG81="条件あり",COUNTIF('31_条件・有効性'!$B$4:$B$83,F81)&lt;&gt;(COUNTIFS('31_条件・有効性'!$B$4:$B$83,F81,'31_条件・有効性'!$Q$4:$Q$83,"解消確認済")+COUNTIFS('31_条件・有効性'!$B$4:$B$83,F81,'31_条件・有効性'!$Q$4:$Q$83,"期限内・制約継続"))),"条件失効・定義不備",IF(AND(AG81&lt;&gt;"なし",AG81&lt;&gt;"条件あり"),"条件有無不正","条件整合"))))))</f>
        <v/>
      </c>
      <c r="AD81" s="28" t="str">
        <f t="shared" si="2"/>
        <v/>
      </c>
      <c r="AE81" s="29"/>
      <c r="AF81" s="29"/>
      <c r="AG81" s="29"/>
    </row>
    <row r="82" spans="1:33" ht="78" customHeight="1" x14ac:dyDescent="0.2">
      <c r="A82" s="29"/>
      <c r="B82" s="28" t="str">
        <f>IF(A82="","",IF(COUNTIF('32_定義マスター'!$A$4:$A$9,A82)&lt;&gt;1,"参照ID不正",IF(INDEX('32_定義マスター'!$B$4:$B$9,MATCH(A82,'32_定義マスター'!$A$4:$A$9,0))="","",INDEX('32_定義マスター'!$B$4:$B$9,MATCH(A82,'32_定義マスター'!$A$4:$A$9,0)))))</f>
        <v/>
      </c>
      <c r="C82" s="28" t="str">
        <f>IF(A82="","",IF(COUNTIF('32_定義マスター'!$A$4:$A$9,A82)&lt;&gt;1,"参照ID不正",IF(INDEX('32_定義マスター'!$C$4:$C$9,MATCH(A82,'32_定義マスター'!$A$4:$A$9,0))="","",INDEX('32_定義マスター'!$C$4:$C$9,MATCH(A82,'32_定義マスター'!$A$4:$A$9,0)))))</f>
        <v/>
      </c>
      <c r="D82" s="28" t="str">
        <f>IF(A82="","",IF(COUNTIF('32_定義マスター'!$A$4:$A$9,A82)&lt;&gt;1,"参照ID不正",IF(INDEX('32_定義マスター'!$D$4:$D$9,MATCH(A82,'32_定義マスター'!$A$4:$A$9,0))="","",INDEX('32_定義マスター'!$D$4:$D$9,MATCH(A82,'32_定義マスター'!$A$4:$A$9,0)))))</f>
        <v/>
      </c>
      <c r="E82" s="28" t="str">
        <f>IF(A82="","",IF(COUNTIF('32_定義マスター'!$A$4:$A$9,A82)&lt;&gt;1,"参照ID不正",IF(INDEX('32_定義マスター'!$E$4:$E$9,MATCH(A82,'32_定義マスター'!$A$4:$A$9,0))="","",INDEX('32_定義マスター'!$E$4:$E$9,MATCH(A82,'32_定義マスター'!$A$4:$A$9,0)))))</f>
        <v/>
      </c>
      <c r="F82" s="29"/>
      <c r="G82" s="29"/>
      <c r="H82" s="29"/>
      <c r="I82" s="29"/>
      <c r="J82" s="29"/>
      <c r="K82" s="29"/>
      <c r="L82" s="29"/>
      <c r="M82" s="29"/>
      <c r="N82" s="32"/>
      <c r="O82" s="29"/>
      <c r="P82" s="32"/>
      <c r="Q82" s="29"/>
      <c r="R82" s="29"/>
      <c r="S82" s="28" t="str">
        <f>IF(A82="","",IF(COUNTIF('32_定義マスター'!$A$4:$A$9,A82)&lt;&gt;1,"Gate ID不正",IF(OR(L82="",L82="未審査"),"未承認",IF(OR(OR(F82="",G82="",H82="",I82="",J82="",K82="",O82="",AE82="",AF82=""),NOT(ISNUMBER(P82))),"判断証拠不足",IF(COUNTIF($F$4:$F$83,F82)&lt;&gt;1,"判断Run ID重複",IF(OR(AND(P82&lt;&gt;"",OR(NOT(ISNUMBER(P82)),IFERROR(P82&lt;1,TRUE),IFERROR(INT(P82)&gt;INT(AsOfDate),TRUE)))),"判断日不正",IF(AND(A82="G3",OR(T82="",U82="",V82="",W82="",X82="")),"公開対象・集合不足","判断記録あり・内容審査別")))))))</f>
        <v/>
      </c>
      <c r="T82" s="29"/>
      <c r="U82" s="29"/>
      <c r="V82" s="29"/>
      <c r="W82" s="29"/>
      <c r="X82" s="29"/>
      <c r="Y82" s="32"/>
      <c r="Z82" s="29"/>
      <c r="AA82" s="28" t="str">
        <f>IF(A82="","",IF(NOT(IFERROR(ISNUMBER(SEARCH("|"&amp;L82&amp;"|",IF(COUNTIF('32_定義マスター'!$A$4:$A$9,A82)&lt;&gt;1,"参照ID不正",IF(INDEX('32_定義マスター'!$F$4:$F$9,MATCH(A82,'32_定義マスター'!$A$4:$A$9,0))="","",INDEX('32_定義マスター'!$F$4:$F$9,MATCH(A82,'32_定義マスター'!$A$4:$A$9,0)))))),FALSE)),"Gate判断不適合",IF(AND(OR(L82="承認",L82="条件付承認",L82="Scale",L82="Continue",L82="廃止完了承認"),OR(I82="不合格",J82="不合格",V82="不合格",I82="FAIL",J82="FAIL",V82="FAIL")),"停止判定と承認が矛盾",IF(AND(OR(L82="承認",L82="条件付承認",L82="Scale",L82="Continue",L82="廃止完了承認"),OR(I82="未判定",J82="未判定",AND(A82="G3",V82="未判定"))),"必要判定未確定",IF(AND(OR(L82="承認",L82="条件付承認",L82="Scale",L82="Continue",L82="廃止完了承認"),OR(AND(I82&lt;&gt;"合格",I82&lt;&gt;"対象外承認"),AND(J82&lt;&gt;"合格",J82&lt;&gt;"対象外承認"),AND(A82="G3",V82&lt;&gt;"合格",V82&lt;&gt;"対象外承認"))),"判定値不正",IF(AND(A82="G4",L82="Scale",OR(COUNTIF('25_事業仮説・実験・GTM'!$Q$4:$Q$15,F82)=0,COUNTIFS('25_事業仮説・実験・GTM'!$Q$4:$Q$15,F82,'25_事業仮説・実験・GTM'!$AF$4:$AF$15,"&lt;&gt;充足")&gt;0,COUNTIFS('25_事業仮説・実験・GTM'!$Q$4:$Q$15,F82,'25_事業仮説・実験・GTM'!$AD$4:$AD$15,"&lt;&gt;拡大可能")&gt;0)),"拡大の行動証拠不足","判定整合"))))))</f>
        <v/>
      </c>
      <c r="AB82" s="28" t="str">
        <f>IF(A82="","",IF(A82&lt;&gt;"G3",IF(A82="G0",IF(OR(COUNTIF('25_事業仮説・実験・GTM'!$Q$4:$Q$15,F82)=0,COUNTIFS('25_事業仮説・実験・GTM'!$Q$4:$Q$15,F82,'25_事業仮説・実験・GTM'!$AE$4:$AE$15,"&lt;&gt;仮説記録あり")&gt;0),"仮説・持越し確認不足","G0仮説記録接続"),IF(A82="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82="",U82="",W82="",X82="",OR(COUNTIFS('30_必須評価セット'!$B$4:$B$153,T82,'30_必須評価セット'!$C$4:$C$153,U82,'30_必須評価セット'!$E$4:$E$153,"E01")=0,COUNTIFS('30_必須評価セット'!$B$4:$B$153,T82,'30_必須評価セット'!$C$4:$C$153,U82,'30_必須評価セット'!$E$4:$E$153,"E02")=0,COUNTIFS('30_必須評価セット'!$B$4:$B$153,T82,'30_必須評価セット'!$C$4:$C$153,U82,'30_必須評価セット'!$E$4:$E$153,"E03")=0,COUNTIFS('30_必須評価セット'!$B$4:$B$153,T82,'30_必須評価セット'!$C$4:$C$153,U82,'30_必須評価セット'!$E$4:$E$153,"E04")=0,COUNTIFS('30_必須評価セット'!$B$4:$B$153,T82,'30_必須評価セット'!$C$4:$C$153,U82,'30_必須評価セット'!$E$4:$E$153,"E05")=0,COUNTIFS('30_必須評価セット'!$B$4:$B$153,T82,'30_必須評価セット'!$C$4:$C$153,U82,'30_必須評価セット'!$E$4:$E$153,"E06")=0,COUNTIFS('30_必須評価セット'!$B$4:$B$153,T82,'30_必須評価セット'!$C$4:$C$153,U82,'30_必須評価セット'!$E$4:$E$153,"E07")=0,COUNTIFS('30_必須評価セット'!$B$4:$B$153,T82,'30_必須評価セット'!$C$4:$C$153,U82,'30_必須評価セット'!$E$4:$E$153,"E08")=0,COUNTIFS('30_必須評価セット'!$B$4:$B$153,T82,'30_必須評価セット'!$C$4:$C$153,U82,'30_必須評価セット'!$E$4:$E$153,"E09")=0,COUNTIFS('30_必須評価セット'!$B$4:$B$153,T82,'30_必須評価セット'!$C$4:$C$153,U82,'30_必須評価セット'!$E$4:$E$153,"E10")=0,COUNTIFS('30_必須評価セット'!$B$4:$B$153,T82,'30_必須評価セット'!$C$4:$C$153,U82,'30_必須評価セット'!$E$4:$E$153,"E11")=0,COUNTIFS('30_必須評価セット'!$B$4:$B$153,T82,'30_必須評価セット'!$C$4:$C$153,U82,'30_必須評価セット'!$E$4:$E$153,"E12")=0,COUNTIFS('30_必須評価セット'!$B$4:$B$153,T82,'30_必須評価セット'!$C$4:$C$153,U82,'30_必須評価セット'!$E$4:$E$153,"E13")=0,COUNTIFS('30_必須評価セット'!$B$4:$B$153,T82,'30_必須評価セット'!$C$4:$C$153,U82,'30_必須評価セット'!$E$4:$E$153,"E14")=0,COUNTIFS('30_必須評価セット'!$B$4:$B$153,T82,'30_必須評価セット'!$C$4:$C$153,U82,'30_必須評価セット'!$E$4:$E$153,"E15")=0,COUNTIFS('30_必須評価セット'!$B$4:$B$153,T82,'30_必須評価セット'!$C$4:$C$153,U82,'30_必須評価セット'!$E$4:$E$153,"E16")=0,COUNTIFS('30_必須評価セット'!$B$4:$B$153,T82,'30_必須評価セット'!$C$4:$C$153,U82,'30_必須評価セット'!$E$4:$E$153,"E17")=0,COUNTIFS('30_必須評価セット'!$B$4:$B$153,T82,'30_必須評価セット'!$C$4:$C$153,U82,'30_必須評価セット'!$E$4:$E$153,"E18")=0)),"必須分類・集合不足",IF(OR(AND('03_AIリスクTier・適用判定'!$B$27="使用",OR('17_ロードマップ・案件実行管理'!$AA$86&lt;&gt;1,NOT(AND(COUNTIFS('30_必須評価セット'!$B$4:$B$153,T82,'30_必須評価セット'!$C$4:$C$153,U82,'30_必須評価セット'!$E$4:$E$153,"E03",'30_必須評価セット'!$F$4:$F$153,"必須")&gt;0,COUNTIFS('30_必須評価セット'!$B$4:$B$153,T82,'30_必須評価セット'!$C$4:$C$153,U82,'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82,'30_必須評価セット'!$C$4:$C$153,U82,'30_必須評価セット'!$E$4:$E$153,"E05",'30_必須評価セット'!$F$4:$F$153,"必須")&gt;0)))),AND('03_AIリスクTier・適用判定'!$B$28="不使用",'17_ロードマップ・案件実行管理'!$W$87&lt;&gt;"除外記録済")),"機能別評価・対象外未完",IF(COUNTIFS('30_必須評価セット'!$B$4:$B$153,T82,'30_必須評価セット'!$C$4:$C$153,U82)&lt;&gt;SUMIFS('30_必須評価セット'!$N$4:$N$153,'30_必須評価セット'!$B$4:$B$153,T82,'30_必須評価セット'!$C$4:$C$153,U82),"必須評価セット未充足","必須評価セット充足"))))))</f>
        <v/>
      </c>
      <c r="AC82" s="28" t="str">
        <f>IF(F82="","",IF(OR(AG82="",AG82="未判定"),"条件有無未判定",IF(AND(AG82="なし",OR(L82="条件付承認",COUNTIF('31_条件・有効性'!$B$4:$B$83,F82)&gt;0)),"条件有無不一致",IF(AND(AG82="条件あり",COUNTIF('31_条件・有効性'!$B$4:$B$83,F82)=0),"Condition未登録",IF(AND(AG82="条件あり",COUNTIF('31_条件・有効性'!$B$4:$B$83,F82)&lt;&gt;(COUNTIFS('31_条件・有効性'!$B$4:$B$83,F82,'31_条件・有効性'!$Q$4:$Q$83,"解消確認済")+COUNTIFS('31_条件・有効性'!$B$4:$B$83,F82,'31_条件・有効性'!$Q$4:$Q$83,"期限内・制約継続"))),"条件失効・定義不備",IF(AND(AG82&lt;&gt;"なし",AG82&lt;&gt;"条件あり"),"条件有無不正","条件整合"))))))</f>
        <v/>
      </c>
      <c r="AD82" s="28" t="str">
        <f t="shared" si="2"/>
        <v/>
      </c>
      <c r="AE82" s="29"/>
      <c r="AF82" s="29"/>
      <c r="AG82" s="29"/>
    </row>
    <row r="83" spans="1:33" ht="78" customHeight="1" x14ac:dyDescent="0.2">
      <c r="A83" s="29"/>
      <c r="B83" s="28" t="str">
        <f>IF(A83="","",IF(COUNTIF('32_定義マスター'!$A$4:$A$9,A83)&lt;&gt;1,"参照ID不正",IF(INDEX('32_定義マスター'!$B$4:$B$9,MATCH(A83,'32_定義マスター'!$A$4:$A$9,0))="","",INDEX('32_定義マスター'!$B$4:$B$9,MATCH(A83,'32_定義マスター'!$A$4:$A$9,0)))))</f>
        <v/>
      </c>
      <c r="C83" s="28" t="str">
        <f>IF(A83="","",IF(COUNTIF('32_定義マスター'!$A$4:$A$9,A83)&lt;&gt;1,"参照ID不正",IF(INDEX('32_定義マスター'!$C$4:$C$9,MATCH(A83,'32_定義マスター'!$A$4:$A$9,0))="","",INDEX('32_定義マスター'!$C$4:$C$9,MATCH(A83,'32_定義マスター'!$A$4:$A$9,0)))))</f>
        <v/>
      </c>
      <c r="D83" s="28" t="str">
        <f>IF(A83="","",IF(COUNTIF('32_定義マスター'!$A$4:$A$9,A83)&lt;&gt;1,"参照ID不正",IF(INDEX('32_定義マスター'!$D$4:$D$9,MATCH(A83,'32_定義マスター'!$A$4:$A$9,0))="","",INDEX('32_定義マスター'!$D$4:$D$9,MATCH(A83,'32_定義マスター'!$A$4:$A$9,0)))))</f>
        <v/>
      </c>
      <c r="E83" s="28" t="str">
        <f>IF(A83="","",IF(COUNTIF('32_定義マスター'!$A$4:$A$9,A83)&lt;&gt;1,"参照ID不正",IF(INDEX('32_定義マスター'!$E$4:$E$9,MATCH(A83,'32_定義マスター'!$A$4:$A$9,0))="","",INDEX('32_定義マスター'!$E$4:$E$9,MATCH(A83,'32_定義マスター'!$A$4:$A$9,0)))))</f>
        <v/>
      </c>
      <c r="F83" s="29"/>
      <c r="G83" s="29"/>
      <c r="H83" s="29"/>
      <c r="I83" s="29"/>
      <c r="J83" s="29"/>
      <c r="K83" s="29"/>
      <c r="L83" s="29"/>
      <c r="M83" s="29"/>
      <c r="N83" s="32"/>
      <c r="O83" s="29"/>
      <c r="P83" s="32"/>
      <c r="Q83" s="29"/>
      <c r="R83" s="29"/>
      <c r="S83" s="28" t="str">
        <f>IF(A83="","",IF(COUNTIF('32_定義マスター'!$A$4:$A$9,A83)&lt;&gt;1,"Gate ID不正",IF(OR(L83="",L83="未審査"),"未承認",IF(OR(OR(F83="",G83="",H83="",I83="",J83="",K83="",O83="",AE83="",AF83=""),NOT(ISNUMBER(P83))),"判断証拠不足",IF(COUNTIF($F$4:$F$83,F83)&lt;&gt;1,"判断Run ID重複",IF(OR(AND(P83&lt;&gt;"",OR(NOT(ISNUMBER(P83)),IFERROR(P83&lt;1,TRUE),IFERROR(INT(P83)&gt;INT(AsOfDate),TRUE)))),"判断日不正",IF(AND(A83="G3",OR(T83="",U83="",V83="",W83="",X83="")),"公開対象・集合不足","判断記録あり・内容審査別")))))))</f>
        <v/>
      </c>
      <c r="T83" s="29"/>
      <c r="U83" s="29"/>
      <c r="V83" s="29"/>
      <c r="W83" s="29"/>
      <c r="X83" s="29"/>
      <c r="Y83" s="32"/>
      <c r="Z83" s="29"/>
      <c r="AA83" s="28" t="str">
        <f>IF(A83="","",IF(NOT(IFERROR(ISNUMBER(SEARCH("|"&amp;L83&amp;"|",IF(COUNTIF('32_定義マスター'!$A$4:$A$9,A83)&lt;&gt;1,"参照ID不正",IF(INDEX('32_定義マスター'!$F$4:$F$9,MATCH(A83,'32_定義マスター'!$A$4:$A$9,0))="","",INDEX('32_定義マスター'!$F$4:$F$9,MATCH(A83,'32_定義マスター'!$A$4:$A$9,0)))))),FALSE)),"Gate判断不適合",IF(AND(OR(L83="承認",L83="条件付承認",L83="Scale",L83="Continue",L83="廃止完了承認"),OR(I83="不合格",J83="不合格",V83="不合格",I83="FAIL",J83="FAIL",V83="FAIL")),"停止判定と承認が矛盾",IF(AND(OR(L83="承認",L83="条件付承認",L83="Scale",L83="Continue",L83="廃止完了承認"),OR(I83="未判定",J83="未判定",AND(A83="G3",V83="未判定"))),"必要判定未確定",IF(AND(OR(L83="承認",L83="条件付承認",L83="Scale",L83="Continue",L83="廃止完了承認"),OR(AND(I83&lt;&gt;"合格",I83&lt;&gt;"対象外承認"),AND(J83&lt;&gt;"合格",J83&lt;&gt;"対象外承認"),AND(A83="G3",V83&lt;&gt;"合格",V83&lt;&gt;"対象外承認"))),"判定値不正",IF(AND(A83="G4",L83="Scale",OR(COUNTIF('25_事業仮説・実験・GTM'!$Q$4:$Q$15,F83)=0,COUNTIFS('25_事業仮説・実験・GTM'!$Q$4:$Q$15,F83,'25_事業仮説・実験・GTM'!$AF$4:$AF$15,"&lt;&gt;充足")&gt;0,COUNTIFS('25_事業仮説・実験・GTM'!$Q$4:$Q$15,F83,'25_事業仮説・実験・GTM'!$AD$4:$AD$15,"&lt;&gt;拡大可能")&gt;0)),"拡大の行動証拠不足","判定整合"))))))</f>
        <v/>
      </c>
      <c r="AB83" s="28" t="str">
        <f>IF(A83="","",IF(A83&lt;&gt;"G3",IF(A83="G0",IF(OR(COUNTIF('25_事業仮説・実験・GTM'!$Q$4:$Q$15,F83)=0,COUNTIFS('25_事業仮説・実験・GTM'!$Q$4:$Q$15,F83,'25_事業仮説・実験・GTM'!$AE$4:$AE$15,"&lt;&gt;仮説記録あり")&gt;0),"仮説・持越し確認不足","G0仮説記録接続"),IF(A83="G5",IF(OR(COUNTA('22_廃止・移管・削除'!$A$4:$A$43)=0,COUNTA('22_廃止・移管・削除'!$A$4:$A$43)&lt;&gt;SUM('22_廃止・移管・削除'!$W$4:$W$43)),"終了残件あり・資産台帳確認","資産処理決定充足"),"対象Gate証拠を正本審査")),IF(OR(AND('03_AIリスクTier・適用判定'!$B$27&lt;&gt;"使用",'03_AIリスクTier・適用判定'!$B$27&lt;&gt;"不使用"),AND('03_AIリスクTier・適用判定'!$B$28&lt;&gt;"使用",'03_AIリスクTier・適用判定'!$B$28&lt;&gt;"不使用"),'03_AIリスクTier・適用判定'!$E$27="",'03_AIリスクTier・適用判定'!$F$27="",'03_AIリスクTier・適用判定'!$E$28="",'03_AIリスクTier・適用判定'!$F$28=""),"RAG・Agent適用未確定",IF(OR(T83="",U83="",W83="",X83="",OR(COUNTIFS('30_必須評価セット'!$B$4:$B$153,T83,'30_必須評価セット'!$C$4:$C$153,U83,'30_必須評価セット'!$E$4:$E$153,"E01")=0,COUNTIFS('30_必須評価セット'!$B$4:$B$153,T83,'30_必須評価セット'!$C$4:$C$153,U83,'30_必須評価セット'!$E$4:$E$153,"E02")=0,COUNTIFS('30_必須評価セット'!$B$4:$B$153,T83,'30_必須評価セット'!$C$4:$C$153,U83,'30_必須評価セット'!$E$4:$E$153,"E03")=0,COUNTIFS('30_必須評価セット'!$B$4:$B$153,T83,'30_必須評価セット'!$C$4:$C$153,U83,'30_必須評価セット'!$E$4:$E$153,"E04")=0,COUNTIFS('30_必須評価セット'!$B$4:$B$153,T83,'30_必須評価セット'!$C$4:$C$153,U83,'30_必須評価セット'!$E$4:$E$153,"E05")=0,COUNTIFS('30_必須評価セット'!$B$4:$B$153,T83,'30_必須評価セット'!$C$4:$C$153,U83,'30_必須評価セット'!$E$4:$E$153,"E06")=0,COUNTIFS('30_必須評価セット'!$B$4:$B$153,T83,'30_必須評価セット'!$C$4:$C$153,U83,'30_必須評価セット'!$E$4:$E$153,"E07")=0,COUNTIFS('30_必須評価セット'!$B$4:$B$153,T83,'30_必須評価セット'!$C$4:$C$153,U83,'30_必須評価セット'!$E$4:$E$153,"E08")=0,COUNTIFS('30_必須評価セット'!$B$4:$B$153,T83,'30_必須評価セット'!$C$4:$C$153,U83,'30_必須評価セット'!$E$4:$E$153,"E09")=0,COUNTIFS('30_必須評価セット'!$B$4:$B$153,T83,'30_必須評価セット'!$C$4:$C$153,U83,'30_必須評価セット'!$E$4:$E$153,"E10")=0,COUNTIFS('30_必須評価セット'!$B$4:$B$153,T83,'30_必須評価セット'!$C$4:$C$153,U83,'30_必須評価セット'!$E$4:$E$153,"E11")=0,COUNTIFS('30_必須評価セット'!$B$4:$B$153,T83,'30_必須評価セット'!$C$4:$C$153,U83,'30_必須評価セット'!$E$4:$E$153,"E12")=0,COUNTIFS('30_必須評価セット'!$B$4:$B$153,T83,'30_必須評価セット'!$C$4:$C$153,U83,'30_必須評価セット'!$E$4:$E$153,"E13")=0,COUNTIFS('30_必須評価セット'!$B$4:$B$153,T83,'30_必須評価セット'!$C$4:$C$153,U83,'30_必須評価セット'!$E$4:$E$153,"E14")=0,COUNTIFS('30_必須評価セット'!$B$4:$B$153,T83,'30_必須評価セット'!$C$4:$C$153,U83,'30_必須評価セット'!$E$4:$E$153,"E15")=0,COUNTIFS('30_必須評価セット'!$B$4:$B$153,T83,'30_必須評価セット'!$C$4:$C$153,U83,'30_必須評価セット'!$E$4:$E$153,"E16")=0,COUNTIFS('30_必須評価セット'!$B$4:$B$153,T83,'30_必須評価セット'!$C$4:$C$153,U83,'30_必須評価セット'!$E$4:$E$153,"E17")=0,COUNTIFS('30_必須評価セット'!$B$4:$B$153,T83,'30_必須評価セット'!$C$4:$C$153,U83,'30_必須評価セット'!$E$4:$E$153,"E18")=0)),"必須分類・集合不足",IF(OR(AND('03_AIリスクTier・適用判定'!$B$27="使用",OR('17_ロードマップ・案件実行管理'!$AA$86&lt;&gt;1,NOT(AND(COUNTIFS('30_必須評価セット'!$B$4:$B$153,T83,'30_必須評価セット'!$C$4:$C$153,U83,'30_必須評価セット'!$E$4:$E$153,"E03",'30_必須評価セット'!$F$4:$F$153,"必須")&gt;0,COUNTIFS('30_必須評価セット'!$B$4:$B$153,T83,'30_必須評価セット'!$C$4:$C$153,U83,'30_必須評価セット'!$E$4:$E$153,"E04",'30_必須評価セット'!$F$4:$F$153,"必須")&gt;0)))),AND('03_AIリスクTier・適用判定'!$B$27="不使用",'17_ロードマップ・案件実行管理'!$W$86&lt;&gt;"除外記録済"),AND('03_AIリスクTier・適用判定'!$B$28="使用",OR('17_ロードマップ・案件実行管理'!$AA$87&lt;&gt;1,NOT(AND(COUNTIFS('30_必須評価セット'!$B$4:$B$153,T83,'30_必須評価セット'!$C$4:$C$153,U83,'30_必須評価セット'!$E$4:$E$153,"E05",'30_必須評価セット'!$F$4:$F$153,"必須")&gt;0)))),AND('03_AIリスクTier・適用判定'!$B$28="不使用",'17_ロードマップ・案件実行管理'!$W$87&lt;&gt;"除外記録済")),"機能別評価・対象外未完",IF(COUNTIFS('30_必須評価セット'!$B$4:$B$153,T83,'30_必須評価セット'!$C$4:$C$153,U83)&lt;&gt;SUMIFS('30_必須評価セット'!$N$4:$N$153,'30_必須評価セット'!$B$4:$B$153,T83,'30_必須評価セット'!$C$4:$C$153,U83),"必須評価セット未充足","必須評価セット充足"))))))</f>
        <v/>
      </c>
      <c r="AC83" s="28" t="str">
        <f>IF(F83="","",IF(OR(AG83="",AG83="未判定"),"条件有無未判定",IF(AND(AG83="なし",OR(L83="条件付承認",COUNTIF('31_条件・有効性'!$B$4:$B$83,F83)&gt;0)),"条件有無不一致",IF(AND(AG83="条件あり",COUNTIF('31_条件・有効性'!$B$4:$B$83,F83)=0),"Condition未登録",IF(AND(AG83="条件あり",COUNTIF('31_条件・有効性'!$B$4:$B$83,F83)&lt;&gt;(COUNTIFS('31_条件・有効性'!$B$4:$B$83,F83,'31_条件・有効性'!$Q$4:$Q$83,"解消確認済")+COUNTIFS('31_条件・有効性'!$B$4:$B$83,F83,'31_条件・有効性'!$Q$4:$Q$83,"期限内・制約継続"))),"条件失効・定義不備",IF(AND(AG83&lt;&gt;"なし",AG83&lt;&gt;"条件あり"),"条件有無不正","条件整合"))))))</f>
        <v/>
      </c>
      <c r="AD83" s="28" t="str">
        <f t="shared" si="2"/>
        <v/>
      </c>
      <c r="AE83" s="29"/>
      <c r="AF83" s="29"/>
      <c r="AG83" s="29"/>
    </row>
  </sheetData>
  <autoFilter ref="A3:AG83" xr:uid="{00000000-0009-0000-0000-00001D000000}"/>
  <mergeCells count="2">
    <mergeCell ref="A2:I2"/>
    <mergeCell ref="A1:G1"/>
  </mergeCells>
  <phoneticPr fontId="12"/>
  <conditionalFormatting sqref="S4:S33">
    <cfRule type="expression" dxfId="11" priority="1">
      <formula>ISNUMBER(SEARCH("不足",S4))</formula>
    </cfRule>
    <cfRule type="expression" dxfId="10" priority="2">
      <formula>ISNUMBER(SEARCH("不正",S4))</formula>
    </cfRule>
    <cfRule type="expression" dxfId="9" priority="3">
      <formula>ISNUMBER(SEARCH("未判定",S4))</formula>
    </cfRule>
    <cfRule type="expression" dxfId="8" priority="4">
      <formula>ISNUMBER(SEARCH("未承認",S4))</formula>
    </cfRule>
    <cfRule type="expression" dxfId="7" priority="5">
      <formula>ISNUMBER(SEARCH("超過",S4))</formula>
    </cfRule>
    <cfRule type="expression" dxfId="6" priority="6">
      <formula>ISNUMBER(SEARCH("要確認",S4))</formula>
    </cfRule>
  </conditionalFormatting>
  <conditionalFormatting sqref="S4:S83">
    <cfRule type="expression" dxfId="5" priority="7">
      <formula>OR(ISNUMBER(SEARCH("不正",S4)),ISNUMBER(SEARCH("不足",S4)),ISNUMBER(SEARCH("超過",S4)),ISNUMBER(SEARCH("不一致",S4)),ISNUMBER(SEARCH("失効",S4)),ISNUMBER(SEARCH("矛盾",S4)))</formula>
    </cfRule>
  </conditionalFormatting>
  <conditionalFormatting sqref="AA4:AD83">
    <cfRule type="expression" dxfId="4" priority="8">
      <formula>OR(ISNUMBER(SEARCH("不正",AA4)),ISNUMBER(SEARCH("不足",AA4)),ISNUMBER(SEARCH("超過",AA4)),ISNUMBER(SEARCH("不一致",AA4)),ISNUMBER(SEARCH("失効",AA4)),ISNUMBER(SEARCH("矛盾",AA4)))</formula>
    </cfRule>
  </conditionalFormatting>
  <dataValidations count="4">
    <dataValidation type="list" allowBlank="1" showErrorMessage="1" errorTitle="入力値を確認" error="候補・値域を確認してください。貼付や外部取込後も点検が必要です。" sqref="A4:A83" xr:uid="{00000000-0002-0000-1D00-000000000000}">
      <formula1>"G0,G1,G2,G3,G4,G5"</formula1>
    </dataValidation>
    <dataValidation type="list" allowBlank="1" showErrorMessage="1" errorTitle="入力値を確認" error="候補・値域を確認してください。貼付や外部取込後も点検が必要です。" sqref="L4:L83" xr:uid="{00000000-0002-0000-1D00-000001000000}">
      <formula1>"未審査,承認,条件付承認,差戻し,否決,Scale,Continue,Pivot,Shrink,Stop,廃止完了承認"</formula1>
    </dataValidation>
    <dataValidation type="list" allowBlank="1" showErrorMessage="1" errorTitle="入力値を確認" error="候補・値域を確認してください。貼付や外部取込後も点検が必要です。" sqref="V4:V83 I4:J83" xr:uid="{00000000-0002-0000-1D00-000002000000}">
      <formula1>"未判定,合格,不合格,対象外承認"</formula1>
    </dataValidation>
    <dataValidation type="list" allowBlank="1" showErrorMessage="1" errorTitle="入力値を確認" error="候補・値域を確認してください。貼付や外部取込後も点検が必要です。" sqref="AG4:AG83" xr:uid="{00000000-0002-0000-1D00-000005000000}">
      <formula1>"未判定,なし,条件あり"</formula1>
    </dataValidation>
  </dataValidations>
  <pageMargins left="0.25" right="0.25" top="0.4" bottom="0.4" header="0.5" footer="0.5"/>
  <pageSetup paperSize="8" fitToHeight="0" orientation="landscape"/>
  <headerFooter>
    <oddFooter>&amp;CAI自社事業PJ v1.0 | &amp;A&amp;R&amp;P / &amp;N</oddFooter>
  </headerFooter>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4B5E"/>
    <outlinePr summaryRight="0"/>
    <pageSetUpPr fitToPage="1"/>
  </sheetPr>
  <dimension ref="A1:P153"/>
  <sheetViews>
    <sheetView showGridLines="0" zoomScale="80" workbookViewId="0">
      <pane xSplit="3" ySplit="3" topLeftCell="D4" activePane="bottomRight" state="frozen"/>
      <selection pane="topRight"/>
      <selection pane="bottomLeft"/>
      <selection pane="bottomRight"/>
    </sheetView>
  </sheetViews>
  <sheetFormatPr defaultRowHeight="13" x14ac:dyDescent="0.2"/>
  <cols>
    <col min="1" max="2" width="23" customWidth="1"/>
    <col min="3" max="3" width="28" customWidth="1"/>
    <col min="4" max="4" width="25" customWidth="1"/>
    <col min="5" max="7" width="23" customWidth="1"/>
    <col min="8" max="8" width="40" customWidth="1"/>
    <col min="9" max="9" width="32" customWidth="1"/>
    <col min="10" max="12" width="23" customWidth="1"/>
    <col min="13" max="13" width="34" customWidth="1"/>
    <col min="14" max="16" width="23" customWidth="1"/>
  </cols>
  <sheetData>
    <row r="1" spans="1:16" ht="36" customHeight="1" x14ac:dyDescent="0.55000000000000004">
      <c r="A1" s="44" t="s">
        <v>4895</v>
      </c>
      <c r="B1" s="45"/>
      <c r="C1" s="45"/>
      <c r="D1" s="45"/>
      <c r="E1" s="45"/>
      <c r="F1" s="45"/>
      <c r="G1" s="45"/>
    </row>
    <row r="2" spans="1:16" ht="42" customHeight="1" x14ac:dyDescent="0.2">
      <c r="A2" s="47" t="s">
        <v>4896</v>
      </c>
      <c r="B2" s="45"/>
      <c r="C2" s="45"/>
      <c r="D2" s="45"/>
      <c r="E2" s="45"/>
      <c r="F2" s="45"/>
      <c r="G2" s="45"/>
      <c r="H2" s="45"/>
      <c r="I2" s="45"/>
    </row>
    <row r="3" spans="1:16" ht="42" customHeight="1" x14ac:dyDescent="0.2">
      <c r="A3" s="1" t="s">
        <v>4897</v>
      </c>
      <c r="B3" s="1" t="s">
        <v>4881</v>
      </c>
      <c r="C3" s="1" t="s">
        <v>3570</v>
      </c>
      <c r="D3" s="1" t="s">
        <v>3555</v>
      </c>
      <c r="E3" s="1" t="s">
        <v>4898</v>
      </c>
      <c r="F3" s="1" t="s">
        <v>3440</v>
      </c>
      <c r="G3" s="1" t="s">
        <v>4899</v>
      </c>
      <c r="H3" s="1" t="s">
        <v>3800</v>
      </c>
      <c r="I3" s="1" t="s">
        <v>4900</v>
      </c>
      <c r="J3" s="1" t="s">
        <v>3705</v>
      </c>
      <c r="K3" s="1" t="s">
        <v>3072</v>
      </c>
      <c r="L3" s="1" t="s">
        <v>4901</v>
      </c>
      <c r="M3" s="1" t="s">
        <v>4902</v>
      </c>
      <c r="N3" s="1" t="s">
        <v>4903</v>
      </c>
      <c r="O3" s="1" t="s">
        <v>4904</v>
      </c>
      <c r="P3" s="1" t="s">
        <v>4905</v>
      </c>
    </row>
    <row r="4" spans="1:16" ht="64" customHeight="1" x14ac:dyDescent="0.2">
      <c r="A4" s="29"/>
      <c r="B4" s="29"/>
      <c r="C4" s="29"/>
      <c r="D4" s="29"/>
      <c r="E4" s="28" t="str">
        <f>IF(A4="","",IF(COUNTIF('15_評価計画・品質ゲート'!$V$4:$V$103,D4)&lt;&gt;1,"参照ID不正",IF(INDEX('15_評価計画・品質ゲート'!$A$4:$A$103,MATCH(D4,'15_評価計画・品質ゲート'!$V$4:$V$103,0))="","",INDEX('15_評価計画・品質ゲート'!$A$4:$A$103,MATCH(D4,'15_評価計画・品質ゲート'!$V$4:$V$103,0)))))</f>
        <v/>
      </c>
      <c r="F4" s="29"/>
      <c r="G4" s="29"/>
      <c r="H4" s="29"/>
      <c r="I4" s="29"/>
      <c r="J4" s="29"/>
      <c r="K4" s="29"/>
      <c r="L4" s="28" t="str">
        <f>IF(OR(A4="",G4=""),"",IF(COUNTIF('16_評価実績インデックス'!$A$4:$A$103,G4)&lt;&gt;1,"参照ID不正",IF(INDEX('16_評価実績インデックス'!$O$4:$O$103,MATCH(G4,'16_評価実績インデックス'!$A$4:$A$103,0))="","",INDEX('16_評価実績インデックス'!$O$4:$O$103,MATCH(G4,'16_評価実績インデックス'!$A$4:$A$103,0)))))</f>
        <v/>
      </c>
      <c r="M4" s="28" t="str">
        <f>IF(A4="","",IF(OR(COUNTIF($A$4:$A$153,A4)&lt;&gt;1,COUNTIFS($B$4:$B$153,B4,$C$4:$C$153,C4,$D$4:$D$153,D4)&lt;&gt;1),"集合ID・計画重複",IF(OR(OR(B4="",C4="",D4="",I4="",J4="",O4=""),NOT(ISNUMBER(K4))),"集合承認不足",IF(OR(AND(K4&lt;&gt;"",OR(NOT(ISNUMBER(K4)),IFERROR(K4&lt;1,TRUE),IFERROR(INT(K4)&gt;INT(AsOfDate),TRUE)))),"集合承認日不正",IF(COUNTIF(EvalPlanKeys,D4)&lt;&gt;1,"PlanKey不正",IF(C4&lt;&gt;IF(COUNTIF('15_評価計画・品質ゲート'!$V$4:$V$103,D4)&lt;&gt;1,"参照ID不正",IF(INDEX('15_評価計画・品質ゲート'!$U$4:$U$103,MATCH(D4,'15_評価計画・品質ゲート'!$V$4:$V$103,0))="","",INDEX('15_評価計画・品質ゲート'!$U$4:$U$103,MATCH(D4,'15_評価計画・品質ゲート'!$V$4:$V$103,0)))),"計画Manifest不一致",IF(F4="対象外",IF(H4="","対象外理由不足","対象外承認"),IF(F4&lt;&gt;"必須","適用未判定",IF(OR(G4="",COUNTIF('16_評価実績インデックス'!$A$4:$A$103,G4)&lt;&gt;1),"評価Run不足・不正",IF(OR(C4&lt;&gt;IF(COUNTIF('16_評価実績インデックス'!$A$4:$A$103,G4)&lt;&gt;1,"参照ID不正",IF(INDEX('16_評価実績インデックス'!$T$4:$T$103,MATCH(G4,'16_評価実績インデックス'!$A$4:$A$103,0))="","",INDEX('16_評価実績インデックス'!$T$4:$T$103,MATCH(G4,'16_評価実績インデックス'!$A$4:$A$103,0)))),D4&lt;&gt;IF(COUNTIF('16_評価実績インデックス'!$A$4:$A$103,G4)&lt;&gt;1,"参照ID不正",IF(INDEX('16_評価実績インデックス'!$B$4:$B$103,MATCH(G4,'16_評価実績インデックス'!$A$4:$A$103,0))="","",INDEX('16_評価実績インデックス'!$B$4:$B$103,MATCH(G4,'16_評価実績インデックス'!$A$4:$A$103,0)))),B4&lt;&gt;IF(COUNTIF('16_評価実績インデックス'!$A$4:$A$103,G4)&lt;&gt;1,"参照ID不正",IF(INDEX('16_評価実績インデックス'!$C$4:$C$103,MATCH(G4,'16_評価実績インデックス'!$A$4:$A$103,0))="","",INDEX('16_評価実績インデックス'!$C$4:$C$103,MATCH(G4,'16_評価実績インデックス'!$A$4:$A$103,0))))),"評価対象不一致",IF(IF(COUNTIF('16_評価実績インデックス'!$A$4:$A$103,G4)&lt;&gt;1,"参照ID不正",IF(INDEX('16_評価実績インデックス'!$S$4:$S$103,MATCH(G4,'16_評価実績インデックス'!$A$4:$A$103,0))="","",INDEX('16_評価実績インデックス'!$S$4:$S$103,MATCH(G4,'16_評価実績インデックス'!$A$4:$A$103,0))))&lt;&gt;"記録あり・内容審査別","評価記録未充足",IF(L4&lt;&gt;"合格","必要評価不合格・未確定","評価充足"))))))))))))</f>
        <v/>
      </c>
      <c r="N4" s="28">
        <f t="shared" ref="N4:N35" si="0">IF(OR(M4="評価充足",M4="対象外承認"),1,0)</f>
        <v>0</v>
      </c>
      <c r="O4" s="29"/>
      <c r="P4" s="29"/>
    </row>
    <row r="5" spans="1:16" ht="64" customHeight="1" x14ac:dyDescent="0.2">
      <c r="A5" s="29"/>
      <c r="B5" s="29"/>
      <c r="C5" s="29"/>
      <c r="D5" s="29"/>
      <c r="E5" s="28" t="str">
        <f>IF(A5="","",IF(COUNTIF('15_評価計画・品質ゲート'!$V$4:$V$103,D5)&lt;&gt;1,"参照ID不正",IF(INDEX('15_評価計画・品質ゲート'!$A$4:$A$103,MATCH(D5,'15_評価計画・品質ゲート'!$V$4:$V$103,0))="","",INDEX('15_評価計画・品質ゲート'!$A$4:$A$103,MATCH(D5,'15_評価計画・品質ゲート'!$V$4:$V$103,0)))))</f>
        <v/>
      </c>
      <c r="F5" s="29"/>
      <c r="G5" s="29"/>
      <c r="H5" s="29"/>
      <c r="I5" s="29"/>
      <c r="J5" s="29"/>
      <c r="K5" s="29"/>
      <c r="L5" s="28" t="str">
        <f>IF(OR(A5="",G5=""),"",IF(COUNTIF('16_評価実績インデックス'!$A$4:$A$103,G5)&lt;&gt;1,"参照ID不正",IF(INDEX('16_評価実績インデックス'!$O$4:$O$103,MATCH(G5,'16_評価実績インデックス'!$A$4:$A$103,0))="","",INDEX('16_評価実績インデックス'!$O$4:$O$103,MATCH(G5,'16_評価実績インデックス'!$A$4:$A$103,0)))))</f>
        <v/>
      </c>
      <c r="M5" s="28" t="str">
        <f>IF(A5="","",IF(OR(COUNTIF($A$4:$A$153,A5)&lt;&gt;1,COUNTIFS($B$4:$B$153,B5,$C$4:$C$153,C5,$D$4:$D$153,D5)&lt;&gt;1),"集合ID・計画重複",IF(OR(OR(B5="",C5="",D5="",I5="",J5="",O5=""),NOT(ISNUMBER(K5))),"集合承認不足",IF(OR(AND(K5&lt;&gt;"",OR(NOT(ISNUMBER(K5)),IFERROR(K5&lt;1,TRUE),IFERROR(INT(K5)&gt;INT(AsOfDate),TRUE)))),"集合承認日不正",IF(COUNTIF(EvalPlanKeys,D5)&lt;&gt;1,"PlanKey不正",IF(C5&lt;&gt;IF(COUNTIF('15_評価計画・品質ゲート'!$V$4:$V$103,D5)&lt;&gt;1,"参照ID不正",IF(INDEX('15_評価計画・品質ゲート'!$U$4:$U$103,MATCH(D5,'15_評価計画・品質ゲート'!$V$4:$V$103,0))="","",INDEX('15_評価計画・品質ゲート'!$U$4:$U$103,MATCH(D5,'15_評価計画・品質ゲート'!$V$4:$V$103,0)))),"計画Manifest不一致",IF(F5="対象外",IF(H5="","対象外理由不足","対象外承認"),IF(F5&lt;&gt;"必須","適用未判定",IF(OR(G5="",COUNTIF('16_評価実績インデックス'!$A$4:$A$103,G5)&lt;&gt;1),"評価Run不足・不正",IF(OR(C5&lt;&gt;IF(COUNTIF('16_評価実績インデックス'!$A$4:$A$103,G5)&lt;&gt;1,"参照ID不正",IF(INDEX('16_評価実績インデックス'!$T$4:$T$103,MATCH(G5,'16_評価実績インデックス'!$A$4:$A$103,0))="","",INDEX('16_評価実績インデックス'!$T$4:$T$103,MATCH(G5,'16_評価実績インデックス'!$A$4:$A$103,0)))),D5&lt;&gt;IF(COUNTIF('16_評価実績インデックス'!$A$4:$A$103,G5)&lt;&gt;1,"参照ID不正",IF(INDEX('16_評価実績インデックス'!$B$4:$B$103,MATCH(G5,'16_評価実績インデックス'!$A$4:$A$103,0))="","",INDEX('16_評価実績インデックス'!$B$4:$B$103,MATCH(G5,'16_評価実績インデックス'!$A$4:$A$103,0)))),B5&lt;&gt;IF(COUNTIF('16_評価実績インデックス'!$A$4:$A$103,G5)&lt;&gt;1,"参照ID不正",IF(INDEX('16_評価実績インデックス'!$C$4:$C$103,MATCH(G5,'16_評価実績インデックス'!$A$4:$A$103,0))="","",INDEX('16_評価実績インデックス'!$C$4:$C$103,MATCH(G5,'16_評価実績インデックス'!$A$4:$A$103,0))))),"評価対象不一致",IF(IF(COUNTIF('16_評価実績インデックス'!$A$4:$A$103,G5)&lt;&gt;1,"参照ID不正",IF(INDEX('16_評価実績インデックス'!$S$4:$S$103,MATCH(G5,'16_評価実績インデックス'!$A$4:$A$103,0))="","",INDEX('16_評価実績インデックス'!$S$4:$S$103,MATCH(G5,'16_評価実績インデックス'!$A$4:$A$103,0))))&lt;&gt;"記録あり・内容審査別","評価記録未充足",IF(L5&lt;&gt;"合格","必要評価不合格・未確定","評価充足"))))))))))))</f>
        <v/>
      </c>
      <c r="N5" s="28">
        <f t="shared" si="0"/>
        <v>0</v>
      </c>
      <c r="O5" s="29"/>
      <c r="P5" s="29"/>
    </row>
    <row r="6" spans="1:16" ht="64" customHeight="1" x14ac:dyDescent="0.2">
      <c r="A6" s="29"/>
      <c r="B6" s="29"/>
      <c r="C6" s="29"/>
      <c r="D6" s="29"/>
      <c r="E6" s="28" t="str">
        <f>IF(A6="","",IF(COUNTIF('15_評価計画・品質ゲート'!$V$4:$V$103,D6)&lt;&gt;1,"参照ID不正",IF(INDEX('15_評価計画・品質ゲート'!$A$4:$A$103,MATCH(D6,'15_評価計画・品質ゲート'!$V$4:$V$103,0))="","",INDEX('15_評価計画・品質ゲート'!$A$4:$A$103,MATCH(D6,'15_評価計画・品質ゲート'!$V$4:$V$103,0)))))</f>
        <v/>
      </c>
      <c r="F6" s="29"/>
      <c r="G6" s="29"/>
      <c r="H6" s="29"/>
      <c r="I6" s="29"/>
      <c r="J6" s="29"/>
      <c r="K6" s="29"/>
      <c r="L6" s="28" t="str">
        <f>IF(OR(A6="",G6=""),"",IF(COUNTIF('16_評価実績インデックス'!$A$4:$A$103,G6)&lt;&gt;1,"参照ID不正",IF(INDEX('16_評価実績インデックス'!$O$4:$O$103,MATCH(G6,'16_評価実績インデックス'!$A$4:$A$103,0))="","",INDEX('16_評価実績インデックス'!$O$4:$O$103,MATCH(G6,'16_評価実績インデックス'!$A$4:$A$103,0)))))</f>
        <v/>
      </c>
      <c r="M6" s="28" t="str">
        <f>IF(A6="","",IF(OR(COUNTIF($A$4:$A$153,A6)&lt;&gt;1,COUNTIFS($B$4:$B$153,B6,$C$4:$C$153,C6,$D$4:$D$153,D6)&lt;&gt;1),"集合ID・計画重複",IF(OR(OR(B6="",C6="",D6="",I6="",J6="",O6=""),NOT(ISNUMBER(K6))),"集合承認不足",IF(OR(AND(K6&lt;&gt;"",OR(NOT(ISNUMBER(K6)),IFERROR(K6&lt;1,TRUE),IFERROR(INT(K6)&gt;INT(AsOfDate),TRUE)))),"集合承認日不正",IF(COUNTIF(EvalPlanKeys,D6)&lt;&gt;1,"PlanKey不正",IF(C6&lt;&gt;IF(COUNTIF('15_評価計画・品質ゲート'!$V$4:$V$103,D6)&lt;&gt;1,"参照ID不正",IF(INDEX('15_評価計画・品質ゲート'!$U$4:$U$103,MATCH(D6,'15_評価計画・品質ゲート'!$V$4:$V$103,0))="","",INDEX('15_評価計画・品質ゲート'!$U$4:$U$103,MATCH(D6,'15_評価計画・品質ゲート'!$V$4:$V$103,0)))),"計画Manifest不一致",IF(F6="対象外",IF(H6="","対象外理由不足","対象外承認"),IF(F6&lt;&gt;"必須","適用未判定",IF(OR(G6="",COUNTIF('16_評価実績インデックス'!$A$4:$A$103,G6)&lt;&gt;1),"評価Run不足・不正",IF(OR(C6&lt;&gt;IF(COUNTIF('16_評価実績インデックス'!$A$4:$A$103,G6)&lt;&gt;1,"参照ID不正",IF(INDEX('16_評価実績インデックス'!$T$4:$T$103,MATCH(G6,'16_評価実績インデックス'!$A$4:$A$103,0))="","",INDEX('16_評価実績インデックス'!$T$4:$T$103,MATCH(G6,'16_評価実績インデックス'!$A$4:$A$103,0)))),D6&lt;&gt;IF(COUNTIF('16_評価実績インデックス'!$A$4:$A$103,G6)&lt;&gt;1,"参照ID不正",IF(INDEX('16_評価実績インデックス'!$B$4:$B$103,MATCH(G6,'16_評価実績インデックス'!$A$4:$A$103,0))="","",INDEX('16_評価実績インデックス'!$B$4:$B$103,MATCH(G6,'16_評価実績インデックス'!$A$4:$A$103,0)))),B6&lt;&gt;IF(COUNTIF('16_評価実績インデックス'!$A$4:$A$103,G6)&lt;&gt;1,"参照ID不正",IF(INDEX('16_評価実績インデックス'!$C$4:$C$103,MATCH(G6,'16_評価実績インデックス'!$A$4:$A$103,0))="","",INDEX('16_評価実績インデックス'!$C$4:$C$103,MATCH(G6,'16_評価実績インデックス'!$A$4:$A$103,0))))),"評価対象不一致",IF(IF(COUNTIF('16_評価実績インデックス'!$A$4:$A$103,G6)&lt;&gt;1,"参照ID不正",IF(INDEX('16_評価実績インデックス'!$S$4:$S$103,MATCH(G6,'16_評価実績インデックス'!$A$4:$A$103,0))="","",INDEX('16_評価実績インデックス'!$S$4:$S$103,MATCH(G6,'16_評価実績インデックス'!$A$4:$A$103,0))))&lt;&gt;"記録あり・内容審査別","評価記録未充足",IF(L6&lt;&gt;"合格","必要評価不合格・未確定","評価充足"))))))))))))</f>
        <v/>
      </c>
      <c r="N6" s="28">
        <f t="shared" si="0"/>
        <v>0</v>
      </c>
      <c r="O6" s="29"/>
      <c r="P6" s="29"/>
    </row>
    <row r="7" spans="1:16" ht="64" customHeight="1" x14ac:dyDescent="0.2">
      <c r="A7" s="29"/>
      <c r="B7" s="29"/>
      <c r="C7" s="29"/>
      <c r="D7" s="29"/>
      <c r="E7" s="28" t="str">
        <f>IF(A7="","",IF(COUNTIF('15_評価計画・品質ゲート'!$V$4:$V$103,D7)&lt;&gt;1,"参照ID不正",IF(INDEX('15_評価計画・品質ゲート'!$A$4:$A$103,MATCH(D7,'15_評価計画・品質ゲート'!$V$4:$V$103,0))="","",INDEX('15_評価計画・品質ゲート'!$A$4:$A$103,MATCH(D7,'15_評価計画・品質ゲート'!$V$4:$V$103,0)))))</f>
        <v/>
      </c>
      <c r="F7" s="29"/>
      <c r="G7" s="29"/>
      <c r="H7" s="29"/>
      <c r="I7" s="29"/>
      <c r="J7" s="29"/>
      <c r="K7" s="29"/>
      <c r="L7" s="28" t="str">
        <f>IF(OR(A7="",G7=""),"",IF(COUNTIF('16_評価実績インデックス'!$A$4:$A$103,G7)&lt;&gt;1,"参照ID不正",IF(INDEX('16_評価実績インデックス'!$O$4:$O$103,MATCH(G7,'16_評価実績インデックス'!$A$4:$A$103,0))="","",INDEX('16_評価実績インデックス'!$O$4:$O$103,MATCH(G7,'16_評価実績インデックス'!$A$4:$A$103,0)))))</f>
        <v/>
      </c>
      <c r="M7" s="28" t="str">
        <f>IF(A7="","",IF(OR(COUNTIF($A$4:$A$153,A7)&lt;&gt;1,COUNTIFS($B$4:$B$153,B7,$C$4:$C$153,C7,$D$4:$D$153,D7)&lt;&gt;1),"集合ID・計画重複",IF(OR(OR(B7="",C7="",D7="",I7="",J7="",O7=""),NOT(ISNUMBER(K7))),"集合承認不足",IF(OR(AND(K7&lt;&gt;"",OR(NOT(ISNUMBER(K7)),IFERROR(K7&lt;1,TRUE),IFERROR(INT(K7)&gt;INT(AsOfDate),TRUE)))),"集合承認日不正",IF(COUNTIF(EvalPlanKeys,D7)&lt;&gt;1,"PlanKey不正",IF(C7&lt;&gt;IF(COUNTIF('15_評価計画・品質ゲート'!$V$4:$V$103,D7)&lt;&gt;1,"参照ID不正",IF(INDEX('15_評価計画・品質ゲート'!$U$4:$U$103,MATCH(D7,'15_評価計画・品質ゲート'!$V$4:$V$103,0))="","",INDEX('15_評価計画・品質ゲート'!$U$4:$U$103,MATCH(D7,'15_評価計画・品質ゲート'!$V$4:$V$103,0)))),"計画Manifest不一致",IF(F7="対象外",IF(H7="","対象外理由不足","対象外承認"),IF(F7&lt;&gt;"必須","適用未判定",IF(OR(G7="",COUNTIF('16_評価実績インデックス'!$A$4:$A$103,G7)&lt;&gt;1),"評価Run不足・不正",IF(OR(C7&lt;&gt;IF(COUNTIF('16_評価実績インデックス'!$A$4:$A$103,G7)&lt;&gt;1,"参照ID不正",IF(INDEX('16_評価実績インデックス'!$T$4:$T$103,MATCH(G7,'16_評価実績インデックス'!$A$4:$A$103,0))="","",INDEX('16_評価実績インデックス'!$T$4:$T$103,MATCH(G7,'16_評価実績インデックス'!$A$4:$A$103,0)))),D7&lt;&gt;IF(COUNTIF('16_評価実績インデックス'!$A$4:$A$103,G7)&lt;&gt;1,"参照ID不正",IF(INDEX('16_評価実績インデックス'!$B$4:$B$103,MATCH(G7,'16_評価実績インデックス'!$A$4:$A$103,0))="","",INDEX('16_評価実績インデックス'!$B$4:$B$103,MATCH(G7,'16_評価実績インデックス'!$A$4:$A$103,0)))),B7&lt;&gt;IF(COUNTIF('16_評価実績インデックス'!$A$4:$A$103,G7)&lt;&gt;1,"参照ID不正",IF(INDEX('16_評価実績インデックス'!$C$4:$C$103,MATCH(G7,'16_評価実績インデックス'!$A$4:$A$103,0))="","",INDEX('16_評価実績インデックス'!$C$4:$C$103,MATCH(G7,'16_評価実績インデックス'!$A$4:$A$103,0))))),"評価対象不一致",IF(IF(COUNTIF('16_評価実績インデックス'!$A$4:$A$103,G7)&lt;&gt;1,"参照ID不正",IF(INDEX('16_評価実績インデックス'!$S$4:$S$103,MATCH(G7,'16_評価実績インデックス'!$A$4:$A$103,0))="","",INDEX('16_評価実績インデックス'!$S$4:$S$103,MATCH(G7,'16_評価実績インデックス'!$A$4:$A$103,0))))&lt;&gt;"記録あり・内容審査別","評価記録未充足",IF(L7&lt;&gt;"合格","必要評価不合格・未確定","評価充足"))))))))))))</f>
        <v/>
      </c>
      <c r="N7" s="28">
        <f t="shared" si="0"/>
        <v>0</v>
      </c>
      <c r="O7" s="29"/>
      <c r="P7" s="29"/>
    </row>
    <row r="8" spans="1:16" ht="64" customHeight="1" x14ac:dyDescent="0.2">
      <c r="A8" s="29"/>
      <c r="B8" s="29"/>
      <c r="C8" s="29"/>
      <c r="D8" s="29"/>
      <c r="E8" s="28" t="str">
        <f>IF(A8="","",IF(COUNTIF('15_評価計画・品質ゲート'!$V$4:$V$103,D8)&lt;&gt;1,"参照ID不正",IF(INDEX('15_評価計画・品質ゲート'!$A$4:$A$103,MATCH(D8,'15_評価計画・品質ゲート'!$V$4:$V$103,0))="","",INDEX('15_評価計画・品質ゲート'!$A$4:$A$103,MATCH(D8,'15_評価計画・品質ゲート'!$V$4:$V$103,0)))))</f>
        <v/>
      </c>
      <c r="F8" s="29"/>
      <c r="G8" s="29"/>
      <c r="H8" s="29"/>
      <c r="I8" s="29"/>
      <c r="J8" s="29"/>
      <c r="K8" s="29"/>
      <c r="L8" s="28" t="str">
        <f>IF(OR(A8="",G8=""),"",IF(COUNTIF('16_評価実績インデックス'!$A$4:$A$103,G8)&lt;&gt;1,"参照ID不正",IF(INDEX('16_評価実績インデックス'!$O$4:$O$103,MATCH(G8,'16_評価実績インデックス'!$A$4:$A$103,0))="","",INDEX('16_評価実績インデックス'!$O$4:$O$103,MATCH(G8,'16_評価実績インデックス'!$A$4:$A$103,0)))))</f>
        <v/>
      </c>
      <c r="M8" s="28" t="str">
        <f>IF(A8="","",IF(OR(COUNTIF($A$4:$A$153,A8)&lt;&gt;1,COUNTIFS($B$4:$B$153,B8,$C$4:$C$153,C8,$D$4:$D$153,D8)&lt;&gt;1),"集合ID・計画重複",IF(OR(OR(B8="",C8="",D8="",I8="",J8="",O8=""),NOT(ISNUMBER(K8))),"集合承認不足",IF(OR(AND(K8&lt;&gt;"",OR(NOT(ISNUMBER(K8)),IFERROR(K8&lt;1,TRUE),IFERROR(INT(K8)&gt;INT(AsOfDate),TRUE)))),"集合承認日不正",IF(COUNTIF(EvalPlanKeys,D8)&lt;&gt;1,"PlanKey不正",IF(C8&lt;&gt;IF(COUNTIF('15_評価計画・品質ゲート'!$V$4:$V$103,D8)&lt;&gt;1,"参照ID不正",IF(INDEX('15_評価計画・品質ゲート'!$U$4:$U$103,MATCH(D8,'15_評価計画・品質ゲート'!$V$4:$V$103,0))="","",INDEX('15_評価計画・品質ゲート'!$U$4:$U$103,MATCH(D8,'15_評価計画・品質ゲート'!$V$4:$V$103,0)))),"計画Manifest不一致",IF(F8="対象外",IF(H8="","対象外理由不足","対象外承認"),IF(F8&lt;&gt;"必須","適用未判定",IF(OR(G8="",COUNTIF('16_評価実績インデックス'!$A$4:$A$103,G8)&lt;&gt;1),"評価Run不足・不正",IF(OR(C8&lt;&gt;IF(COUNTIF('16_評価実績インデックス'!$A$4:$A$103,G8)&lt;&gt;1,"参照ID不正",IF(INDEX('16_評価実績インデックス'!$T$4:$T$103,MATCH(G8,'16_評価実績インデックス'!$A$4:$A$103,0))="","",INDEX('16_評価実績インデックス'!$T$4:$T$103,MATCH(G8,'16_評価実績インデックス'!$A$4:$A$103,0)))),D8&lt;&gt;IF(COUNTIF('16_評価実績インデックス'!$A$4:$A$103,G8)&lt;&gt;1,"参照ID不正",IF(INDEX('16_評価実績インデックス'!$B$4:$B$103,MATCH(G8,'16_評価実績インデックス'!$A$4:$A$103,0))="","",INDEX('16_評価実績インデックス'!$B$4:$B$103,MATCH(G8,'16_評価実績インデックス'!$A$4:$A$103,0)))),B8&lt;&gt;IF(COUNTIF('16_評価実績インデックス'!$A$4:$A$103,G8)&lt;&gt;1,"参照ID不正",IF(INDEX('16_評価実績インデックス'!$C$4:$C$103,MATCH(G8,'16_評価実績インデックス'!$A$4:$A$103,0))="","",INDEX('16_評価実績インデックス'!$C$4:$C$103,MATCH(G8,'16_評価実績インデックス'!$A$4:$A$103,0))))),"評価対象不一致",IF(IF(COUNTIF('16_評価実績インデックス'!$A$4:$A$103,G8)&lt;&gt;1,"参照ID不正",IF(INDEX('16_評価実績インデックス'!$S$4:$S$103,MATCH(G8,'16_評価実績インデックス'!$A$4:$A$103,0))="","",INDEX('16_評価実績インデックス'!$S$4:$S$103,MATCH(G8,'16_評価実績インデックス'!$A$4:$A$103,0))))&lt;&gt;"記録あり・内容審査別","評価記録未充足",IF(L8&lt;&gt;"合格","必要評価不合格・未確定","評価充足"))))))))))))</f>
        <v/>
      </c>
      <c r="N8" s="28">
        <f t="shared" si="0"/>
        <v>0</v>
      </c>
      <c r="O8" s="29"/>
      <c r="P8" s="29"/>
    </row>
    <row r="9" spans="1:16" ht="64" customHeight="1" x14ac:dyDescent="0.2">
      <c r="A9" s="29"/>
      <c r="B9" s="29"/>
      <c r="C9" s="29"/>
      <c r="D9" s="29"/>
      <c r="E9" s="28" t="str">
        <f>IF(A9="","",IF(COUNTIF('15_評価計画・品質ゲート'!$V$4:$V$103,D9)&lt;&gt;1,"参照ID不正",IF(INDEX('15_評価計画・品質ゲート'!$A$4:$A$103,MATCH(D9,'15_評価計画・品質ゲート'!$V$4:$V$103,0))="","",INDEX('15_評価計画・品質ゲート'!$A$4:$A$103,MATCH(D9,'15_評価計画・品質ゲート'!$V$4:$V$103,0)))))</f>
        <v/>
      </c>
      <c r="F9" s="29"/>
      <c r="G9" s="29"/>
      <c r="H9" s="29"/>
      <c r="I9" s="29"/>
      <c r="J9" s="29"/>
      <c r="K9" s="29"/>
      <c r="L9" s="28" t="str">
        <f>IF(OR(A9="",G9=""),"",IF(COUNTIF('16_評価実績インデックス'!$A$4:$A$103,G9)&lt;&gt;1,"参照ID不正",IF(INDEX('16_評価実績インデックス'!$O$4:$O$103,MATCH(G9,'16_評価実績インデックス'!$A$4:$A$103,0))="","",INDEX('16_評価実績インデックス'!$O$4:$O$103,MATCH(G9,'16_評価実績インデックス'!$A$4:$A$103,0)))))</f>
        <v/>
      </c>
      <c r="M9" s="28" t="str">
        <f>IF(A9="","",IF(OR(COUNTIF($A$4:$A$153,A9)&lt;&gt;1,COUNTIFS($B$4:$B$153,B9,$C$4:$C$153,C9,$D$4:$D$153,D9)&lt;&gt;1),"集合ID・計画重複",IF(OR(OR(B9="",C9="",D9="",I9="",J9="",O9=""),NOT(ISNUMBER(K9))),"集合承認不足",IF(OR(AND(K9&lt;&gt;"",OR(NOT(ISNUMBER(K9)),IFERROR(K9&lt;1,TRUE),IFERROR(INT(K9)&gt;INT(AsOfDate),TRUE)))),"集合承認日不正",IF(COUNTIF(EvalPlanKeys,D9)&lt;&gt;1,"PlanKey不正",IF(C9&lt;&gt;IF(COUNTIF('15_評価計画・品質ゲート'!$V$4:$V$103,D9)&lt;&gt;1,"参照ID不正",IF(INDEX('15_評価計画・品質ゲート'!$U$4:$U$103,MATCH(D9,'15_評価計画・品質ゲート'!$V$4:$V$103,0))="","",INDEX('15_評価計画・品質ゲート'!$U$4:$U$103,MATCH(D9,'15_評価計画・品質ゲート'!$V$4:$V$103,0)))),"計画Manifest不一致",IF(F9="対象外",IF(H9="","対象外理由不足","対象外承認"),IF(F9&lt;&gt;"必須","適用未判定",IF(OR(G9="",COUNTIF('16_評価実績インデックス'!$A$4:$A$103,G9)&lt;&gt;1),"評価Run不足・不正",IF(OR(C9&lt;&gt;IF(COUNTIF('16_評価実績インデックス'!$A$4:$A$103,G9)&lt;&gt;1,"参照ID不正",IF(INDEX('16_評価実績インデックス'!$T$4:$T$103,MATCH(G9,'16_評価実績インデックス'!$A$4:$A$103,0))="","",INDEX('16_評価実績インデックス'!$T$4:$T$103,MATCH(G9,'16_評価実績インデックス'!$A$4:$A$103,0)))),D9&lt;&gt;IF(COUNTIF('16_評価実績インデックス'!$A$4:$A$103,G9)&lt;&gt;1,"参照ID不正",IF(INDEX('16_評価実績インデックス'!$B$4:$B$103,MATCH(G9,'16_評価実績インデックス'!$A$4:$A$103,0))="","",INDEX('16_評価実績インデックス'!$B$4:$B$103,MATCH(G9,'16_評価実績インデックス'!$A$4:$A$103,0)))),B9&lt;&gt;IF(COUNTIF('16_評価実績インデックス'!$A$4:$A$103,G9)&lt;&gt;1,"参照ID不正",IF(INDEX('16_評価実績インデックス'!$C$4:$C$103,MATCH(G9,'16_評価実績インデックス'!$A$4:$A$103,0))="","",INDEX('16_評価実績インデックス'!$C$4:$C$103,MATCH(G9,'16_評価実績インデックス'!$A$4:$A$103,0))))),"評価対象不一致",IF(IF(COUNTIF('16_評価実績インデックス'!$A$4:$A$103,G9)&lt;&gt;1,"参照ID不正",IF(INDEX('16_評価実績インデックス'!$S$4:$S$103,MATCH(G9,'16_評価実績インデックス'!$A$4:$A$103,0))="","",INDEX('16_評価実績インデックス'!$S$4:$S$103,MATCH(G9,'16_評価実績インデックス'!$A$4:$A$103,0))))&lt;&gt;"記録あり・内容審査別","評価記録未充足",IF(L9&lt;&gt;"合格","必要評価不合格・未確定","評価充足"))))))))))))</f>
        <v/>
      </c>
      <c r="N9" s="28">
        <f t="shared" si="0"/>
        <v>0</v>
      </c>
      <c r="O9" s="29"/>
      <c r="P9" s="29"/>
    </row>
    <row r="10" spans="1:16" ht="64" customHeight="1" x14ac:dyDescent="0.2">
      <c r="A10" s="29"/>
      <c r="B10" s="29"/>
      <c r="C10" s="29"/>
      <c r="D10" s="29"/>
      <c r="E10" s="28" t="str">
        <f>IF(A10="","",IF(COUNTIF('15_評価計画・品質ゲート'!$V$4:$V$103,D10)&lt;&gt;1,"参照ID不正",IF(INDEX('15_評価計画・品質ゲート'!$A$4:$A$103,MATCH(D10,'15_評価計画・品質ゲート'!$V$4:$V$103,0))="","",INDEX('15_評価計画・品質ゲート'!$A$4:$A$103,MATCH(D10,'15_評価計画・品質ゲート'!$V$4:$V$103,0)))))</f>
        <v/>
      </c>
      <c r="F10" s="29"/>
      <c r="G10" s="29"/>
      <c r="H10" s="29"/>
      <c r="I10" s="29"/>
      <c r="J10" s="29"/>
      <c r="K10" s="29"/>
      <c r="L10" s="28" t="str">
        <f>IF(OR(A10="",G10=""),"",IF(COUNTIF('16_評価実績インデックス'!$A$4:$A$103,G10)&lt;&gt;1,"参照ID不正",IF(INDEX('16_評価実績インデックス'!$O$4:$O$103,MATCH(G10,'16_評価実績インデックス'!$A$4:$A$103,0))="","",INDEX('16_評価実績インデックス'!$O$4:$O$103,MATCH(G10,'16_評価実績インデックス'!$A$4:$A$103,0)))))</f>
        <v/>
      </c>
      <c r="M10" s="28" t="str">
        <f>IF(A10="","",IF(OR(COUNTIF($A$4:$A$153,A10)&lt;&gt;1,COUNTIFS($B$4:$B$153,B10,$C$4:$C$153,C10,$D$4:$D$153,D10)&lt;&gt;1),"集合ID・計画重複",IF(OR(OR(B10="",C10="",D10="",I10="",J10="",O10=""),NOT(ISNUMBER(K10))),"集合承認不足",IF(OR(AND(K10&lt;&gt;"",OR(NOT(ISNUMBER(K10)),IFERROR(K10&lt;1,TRUE),IFERROR(INT(K10)&gt;INT(AsOfDate),TRUE)))),"集合承認日不正",IF(COUNTIF(EvalPlanKeys,D10)&lt;&gt;1,"PlanKey不正",IF(C10&lt;&gt;IF(COUNTIF('15_評価計画・品質ゲート'!$V$4:$V$103,D10)&lt;&gt;1,"参照ID不正",IF(INDEX('15_評価計画・品質ゲート'!$U$4:$U$103,MATCH(D10,'15_評価計画・品質ゲート'!$V$4:$V$103,0))="","",INDEX('15_評価計画・品質ゲート'!$U$4:$U$103,MATCH(D10,'15_評価計画・品質ゲート'!$V$4:$V$103,0)))),"計画Manifest不一致",IF(F10="対象外",IF(H10="","対象外理由不足","対象外承認"),IF(F10&lt;&gt;"必須","適用未判定",IF(OR(G10="",COUNTIF('16_評価実績インデックス'!$A$4:$A$103,G10)&lt;&gt;1),"評価Run不足・不正",IF(OR(C10&lt;&gt;IF(COUNTIF('16_評価実績インデックス'!$A$4:$A$103,G10)&lt;&gt;1,"参照ID不正",IF(INDEX('16_評価実績インデックス'!$T$4:$T$103,MATCH(G10,'16_評価実績インデックス'!$A$4:$A$103,0))="","",INDEX('16_評価実績インデックス'!$T$4:$T$103,MATCH(G10,'16_評価実績インデックス'!$A$4:$A$103,0)))),D10&lt;&gt;IF(COUNTIF('16_評価実績インデックス'!$A$4:$A$103,G10)&lt;&gt;1,"参照ID不正",IF(INDEX('16_評価実績インデックス'!$B$4:$B$103,MATCH(G10,'16_評価実績インデックス'!$A$4:$A$103,0))="","",INDEX('16_評価実績インデックス'!$B$4:$B$103,MATCH(G10,'16_評価実績インデックス'!$A$4:$A$103,0)))),B10&lt;&gt;IF(COUNTIF('16_評価実績インデックス'!$A$4:$A$103,G10)&lt;&gt;1,"参照ID不正",IF(INDEX('16_評価実績インデックス'!$C$4:$C$103,MATCH(G10,'16_評価実績インデックス'!$A$4:$A$103,0))="","",INDEX('16_評価実績インデックス'!$C$4:$C$103,MATCH(G10,'16_評価実績インデックス'!$A$4:$A$103,0))))),"評価対象不一致",IF(IF(COUNTIF('16_評価実績インデックス'!$A$4:$A$103,G10)&lt;&gt;1,"参照ID不正",IF(INDEX('16_評価実績インデックス'!$S$4:$S$103,MATCH(G10,'16_評価実績インデックス'!$A$4:$A$103,0))="","",INDEX('16_評価実績インデックス'!$S$4:$S$103,MATCH(G10,'16_評価実績インデックス'!$A$4:$A$103,0))))&lt;&gt;"記録あり・内容審査別","評価記録未充足",IF(L10&lt;&gt;"合格","必要評価不合格・未確定","評価充足"))))))))))))</f>
        <v/>
      </c>
      <c r="N10" s="28">
        <f t="shared" si="0"/>
        <v>0</v>
      </c>
      <c r="O10" s="29"/>
      <c r="P10" s="29"/>
    </row>
    <row r="11" spans="1:16" ht="64" customHeight="1" x14ac:dyDescent="0.2">
      <c r="A11" s="29"/>
      <c r="B11" s="29"/>
      <c r="C11" s="29"/>
      <c r="D11" s="29"/>
      <c r="E11" s="28" t="str">
        <f>IF(A11="","",IF(COUNTIF('15_評価計画・品質ゲート'!$V$4:$V$103,D11)&lt;&gt;1,"参照ID不正",IF(INDEX('15_評価計画・品質ゲート'!$A$4:$A$103,MATCH(D11,'15_評価計画・品質ゲート'!$V$4:$V$103,0))="","",INDEX('15_評価計画・品質ゲート'!$A$4:$A$103,MATCH(D11,'15_評価計画・品質ゲート'!$V$4:$V$103,0)))))</f>
        <v/>
      </c>
      <c r="F11" s="29"/>
      <c r="G11" s="29"/>
      <c r="H11" s="29"/>
      <c r="I11" s="29"/>
      <c r="J11" s="29"/>
      <c r="K11" s="29"/>
      <c r="L11" s="28" t="str">
        <f>IF(OR(A11="",G11=""),"",IF(COUNTIF('16_評価実績インデックス'!$A$4:$A$103,G11)&lt;&gt;1,"参照ID不正",IF(INDEX('16_評価実績インデックス'!$O$4:$O$103,MATCH(G11,'16_評価実績インデックス'!$A$4:$A$103,0))="","",INDEX('16_評価実績インデックス'!$O$4:$O$103,MATCH(G11,'16_評価実績インデックス'!$A$4:$A$103,0)))))</f>
        <v/>
      </c>
      <c r="M11" s="28" t="str">
        <f>IF(A11="","",IF(OR(COUNTIF($A$4:$A$153,A11)&lt;&gt;1,COUNTIFS($B$4:$B$153,B11,$C$4:$C$153,C11,$D$4:$D$153,D11)&lt;&gt;1),"集合ID・計画重複",IF(OR(OR(B11="",C11="",D11="",I11="",J11="",O11=""),NOT(ISNUMBER(K11))),"集合承認不足",IF(OR(AND(K11&lt;&gt;"",OR(NOT(ISNUMBER(K11)),IFERROR(K11&lt;1,TRUE),IFERROR(INT(K11)&gt;INT(AsOfDate),TRUE)))),"集合承認日不正",IF(COUNTIF(EvalPlanKeys,D11)&lt;&gt;1,"PlanKey不正",IF(C11&lt;&gt;IF(COUNTIF('15_評価計画・品質ゲート'!$V$4:$V$103,D11)&lt;&gt;1,"参照ID不正",IF(INDEX('15_評価計画・品質ゲート'!$U$4:$U$103,MATCH(D11,'15_評価計画・品質ゲート'!$V$4:$V$103,0))="","",INDEX('15_評価計画・品質ゲート'!$U$4:$U$103,MATCH(D11,'15_評価計画・品質ゲート'!$V$4:$V$103,0)))),"計画Manifest不一致",IF(F11="対象外",IF(H11="","対象外理由不足","対象外承認"),IF(F11&lt;&gt;"必須","適用未判定",IF(OR(G11="",COUNTIF('16_評価実績インデックス'!$A$4:$A$103,G11)&lt;&gt;1),"評価Run不足・不正",IF(OR(C11&lt;&gt;IF(COUNTIF('16_評価実績インデックス'!$A$4:$A$103,G11)&lt;&gt;1,"参照ID不正",IF(INDEX('16_評価実績インデックス'!$T$4:$T$103,MATCH(G11,'16_評価実績インデックス'!$A$4:$A$103,0))="","",INDEX('16_評価実績インデックス'!$T$4:$T$103,MATCH(G11,'16_評価実績インデックス'!$A$4:$A$103,0)))),D11&lt;&gt;IF(COUNTIF('16_評価実績インデックス'!$A$4:$A$103,G11)&lt;&gt;1,"参照ID不正",IF(INDEX('16_評価実績インデックス'!$B$4:$B$103,MATCH(G11,'16_評価実績インデックス'!$A$4:$A$103,0))="","",INDEX('16_評価実績インデックス'!$B$4:$B$103,MATCH(G11,'16_評価実績インデックス'!$A$4:$A$103,0)))),B11&lt;&gt;IF(COUNTIF('16_評価実績インデックス'!$A$4:$A$103,G11)&lt;&gt;1,"参照ID不正",IF(INDEX('16_評価実績インデックス'!$C$4:$C$103,MATCH(G11,'16_評価実績インデックス'!$A$4:$A$103,0))="","",INDEX('16_評価実績インデックス'!$C$4:$C$103,MATCH(G11,'16_評価実績インデックス'!$A$4:$A$103,0))))),"評価対象不一致",IF(IF(COUNTIF('16_評価実績インデックス'!$A$4:$A$103,G11)&lt;&gt;1,"参照ID不正",IF(INDEX('16_評価実績インデックス'!$S$4:$S$103,MATCH(G11,'16_評価実績インデックス'!$A$4:$A$103,0))="","",INDEX('16_評価実績インデックス'!$S$4:$S$103,MATCH(G11,'16_評価実績インデックス'!$A$4:$A$103,0))))&lt;&gt;"記録あり・内容審査別","評価記録未充足",IF(L11&lt;&gt;"合格","必要評価不合格・未確定","評価充足"))))))))))))</f>
        <v/>
      </c>
      <c r="N11" s="28">
        <f t="shared" si="0"/>
        <v>0</v>
      </c>
      <c r="O11" s="29"/>
      <c r="P11" s="29"/>
    </row>
    <row r="12" spans="1:16" ht="64" customHeight="1" x14ac:dyDescent="0.2">
      <c r="A12" s="29"/>
      <c r="B12" s="29"/>
      <c r="C12" s="29"/>
      <c r="D12" s="29"/>
      <c r="E12" s="28" t="str">
        <f>IF(A12="","",IF(COUNTIF('15_評価計画・品質ゲート'!$V$4:$V$103,D12)&lt;&gt;1,"参照ID不正",IF(INDEX('15_評価計画・品質ゲート'!$A$4:$A$103,MATCH(D12,'15_評価計画・品質ゲート'!$V$4:$V$103,0))="","",INDEX('15_評価計画・品質ゲート'!$A$4:$A$103,MATCH(D12,'15_評価計画・品質ゲート'!$V$4:$V$103,0)))))</f>
        <v/>
      </c>
      <c r="F12" s="29"/>
      <c r="G12" s="29"/>
      <c r="H12" s="29"/>
      <c r="I12" s="29"/>
      <c r="J12" s="29"/>
      <c r="K12" s="29"/>
      <c r="L12" s="28" t="str">
        <f>IF(OR(A12="",G12=""),"",IF(COUNTIF('16_評価実績インデックス'!$A$4:$A$103,G12)&lt;&gt;1,"参照ID不正",IF(INDEX('16_評価実績インデックス'!$O$4:$O$103,MATCH(G12,'16_評価実績インデックス'!$A$4:$A$103,0))="","",INDEX('16_評価実績インデックス'!$O$4:$O$103,MATCH(G12,'16_評価実績インデックス'!$A$4:$A$103,0)))))</f>
        <v/>
      </c>
      <c r="M12" s="28" t="str">
        <f>IF(A12="","",IF(OR(COUNTIF($A$4:$A$153,A12)&lt;&gt;1,COUNTIFS($B$4:$B$153,B12,$C$4:$C$153,C12,$D$4:$D$153,D12)&lt;&gt;1),"集合ID・計画重複",IF(OR(OR(B12="",C12="",D12="",I12="",J12="",O12=""),NOT(ISNUMBER(K12))),"集合承認不足",IF(OR(AND(K12&lt;&gt;"",OR(NOT(ISNUMBER(K12)),IFERROR(K12&lt;1,TRUE),IFERROR(INT(K12)&gt;INT(AsOfDate),TRUE)))),"集合承認日不正",IF(COUNTIF(EvalPlanKeys,D12)&lt;&gt;1,"PlanKey不正",IF(C12&lt;&gt;IF(COUNTIF('15_評価計画・品質ゲート'!$V$4:$V$103,D12)&lt;&gt;1,"参照ID不正",IF(INDEX('15_評価計画・品質ゲート'!$U$4:$U$103,MATCH(D12,'15_評価計画・品質ゲート'!$V$4:$V$103,0))="","",INDEX('15_評価計画・品質ゲート'!$U$4:$U$103,MATCH(D12,'15_評価計画・品質ゲート'!$V$4:$V$103,0)))),"計画Manifest不一致",IF(F12="対象外",IF(H12="","対象外理由不足","対象外承認"),IF(F12&lt;&gt;"必須","適用未判定",IF(OR(G12="",COUNTIF('16_評価実績インデックス'!$A$4:$A$103,G12)&lt;&gt;1),"評価Run不足・不正",IF(OR(C12&lt;&gt;IF(COUNTIF('16_評価実績インデックス'!$A$4:$A$103,G12)&lt;&gt;1,"参照ID不正",IF(INDEX('16_評価実績インデックス'!$T$4:$T$103,MATCH(G12,'16_評価実績インデックス'!$A$4:$A$103,0))="","",INDEX('16_評価実績インデックス'!$T$4:$T$103,MATCH(G12,'16_評価実績インデックス'!$A$4:$A$103,0)))),D12&lt;&gt;IF(COUNTIF('16_評価実績インデックス'!$A$4:$A$103,G12)&lt;&gt;1,"参照ID不正",IF(INDEX('16_評価実績インデックス'!$B$4:$B$103,MATCH(G12,'16_評価実績インデックス'!$A$4:$A$103,0))="","",INDEX('16_評価実績インデックス'!$B$4:$B$103,MATCH(G12,'16_評価実績インデックス'!$A$4:$A$103,0)))),B12&lt;&gt;IF(COUNTIF('16_評価実績インデックス'!$A$4:$A$103,G12)&lt;&gt;1,"参照ID不正",IF(INDEX('16_評価実績インデックス'!$C$4:$C$103,MATCH(G12,'16_評価実績インデックス'!$A$4:$A$103,0))="","",INDEX('16_評価実績インデックス'!$C$4:$C$103,MATCH(G12,'16_評価実績インデックス'!$A$4:$A$103,0))))),"評価対象不一致",IF(IF(COUNTIF('16_評価実績インデックス'!$A$4:$A$103,G12)&lt;&gt;1,"参照ID不正",IF(INDEX('16_評価実績インデックス'!$S$4:$S$103,MATCH(G12,'16_評価実績インデックス'!$A$4:$A$103,0))="","",INDEX('16_評価実績インデックス'!$S$4:$S$103,MATCH(G12,'16_評価実績インデックス'!$A$4:$A$103,0))))&lt;&gt;"記録あり・内容審査別","評価記録未充足",IF(L12&lt;&gt;"合格","必要評価不合格・未確定","評価充足"))))))))))))</f>
        <v/>
      </c>
      <c r="N12" s="28">
        <f t="shared" si="0"/>
        <v>0</v>
      </c>
      <c r="O12" s="29"/>
      <c r="P12" s="29"/>
    </row>
    <row r="13" spans="1:16" ht="64" customHeight="1" x14ac:dyDescent="0.2">
      <c r="A13" s="29"/>
      <c r="B13" s="29"/>
      <c r="C13" s="29"/>
      <c r="D13" s="29"/>
      <c r="E13" s="28" t="str">
        <f>IF(A13="","",IF(COUNTIF('15_評価計画・品質ゲート'!$V$4:$V$103,D13)&lt;&gt;1,"参照ID不正",IF(INDEX('15_評価計画・品質ゲート'!$A$4:$A$103,MATCH(D13,'15_評価計画・品質ゲート'!$V$4:$V$103,0))="","",INDEX('15_評価計画・品質ゲート'!$A$4:$A$103,MATCH(D13,'15_評価計画・品質ゲート'!$V$4:$V$103,0)))))</f>
        <v/>
      </c>
      <c r="F13" s="29"/>
      <c r="G13" s="29"/>
      <c r="H13" s="29"/>
      <c r="I13" s="29"/>
      <c r="J13" s="29"/>
      <c r="K13" s="29"/>
      <c r="L13" s="28" t="str">
        <f>IF(OR(A13="",G13=""),"",IF(COUNTIF('16_評価実績インデックス'!$A$4:$A$103,G13)&lt;&gt;1,"参照ID不正",IF(INDEX('16_評価実績インデックス'!$O$4:$O$103,MATCH(G13,'16_評価実績インデックス'!$A$4:$A$103,0))="","",INDEX('16_評価実績インデックス'!$O$4:$O$103,MATCH(G13,'16_評価実績インデックス'!$A$4:$A$103,0)))))</f>
        <v/>
      </c>
      <c r="M13" s="28" t="str">
        <f>IF(A13="","",IF(OR(COUNTIF($A$4:$A$153,A13)&lt;&gt;1,COUNTIFS($B$4:$B$153,B13,$C$4:$C$153,C13,$D$4:$D$153,D13)&lt;&gt;1),"集合ID・計画重複",IF(OR(OR(B13="",C13="",D13="",I13="",J13="",O13=""),NOT(ISNUMBER(K13))),"集合承認不足",IF(OR(AND(K13&lt;&gt;"",OR(NOT(ISNUMBER(K13)),IFERROR(K13&lt;1,TRUE),IFERROR(INT(K13)&gt;INT(AsOfDate),TRUE)))),"集合承認日不正",IF(COUNTIF(EvalPlanKeys,D13)&lt;&gt;1,"PlanKey不正",IF(C13&lt;&gt;IF(COUNTIF('15_評価計画・品質ゲート'!$V$4:$V$103,D13)&lt;&gt;1,"参照ID不正",IF(INDEX('15_評価計画・品質ゲート'!$U$4:$U$103,MATCH(D13,'15_評価計画・品質ゲート'!$V$4:$V$103,0))="","",INDEX('15_評価計画・品質ゲート'!$U$4:$U$103,MATCH(D13,'15_評価計画・品質ゲート'!$V$4:$V$103,0)))),"計画Manifest不一致",IF(F13="対象外",IF(H13="","対象外理由不足","対象外承認"),IF(F13&lt;&gt;"必須","適用未判定",IF(OR(G13="",COUNTIF('16_評価実績インデックス'!$A$4:$A$103,G13)&lt;&gt;1),"評価Run不足・不正",IF(OR(C13&lt;&gt;IF(COUNTIF('16_評価実績インデックス'!$A$4:$A$103,G13)&lt;&gt;1,"参照ID不正",IF(INDEX('16_評価実績インデックス'!$T$4:$T$103,MATCH(G13,'16_評価実績インデックス'!$A$4:$A$103,0))="","",INDEX('16_評価実績インデックス'!$T$4:$T$103,MATCH(G13,'16_評価実績インデックス'!$A$4:$A$103,0)))),D13&lt;&gt;IF(COUNTIF('16_評価実績インデックス'!$A$4:$A$103,G13)&lt;&gt;1,"参照ID不正",IF(INDEX('16_評価実績インデックス'!$B$4:$B$103,MATCH(G13,'16_評価実績インデックス'!$A$4:$A$103,0))="","",INDEX('16_評価実績インデックス'!$B$4:$B$103,MATCH(G13,'16_評価実績インデックス'!$A$4:$A$103,0)))),B13&lt;&gt;IF(COUNTIF('16_評価実績インデックス'!$A$4:$A$103,G13)&lt;&gt;1,"参照ID不正",IF(INDEX('16_評価実績インデックス'!$C$4:$C$103,MATCH(G13,'16_評価実績インデックス'!$A$4:$A$103,0))="","",INDEX('16_評価実績インデックス'!$C$4:$C$103,MATCH(G13,'16_評価実績インデックス'!$A$4:$A$103,0))))),"評価対象不一致",IF(IF(COUNTIF('16_評価実績インデックス'!$A$4:$A$103,G13)&lt;&gt;1,"参照ID不正",IF(INDEX('16_評価実績インデックス'!$S$4:$S$103,MATCH(G13,'16_評価実績インデックス'!$A$4:$A$103,0))="","",INDEX('16_評価実績インデックス'!$S$4:$S$103,MATCH(G13,'16_評価実績インデックス'!$A$4:$A$103,0))))&lt;&gt;"記録あり・内容審査別","評価記録未充足",IF(L13&lt;&gt;"合格","必要評価不合格・未確定","評価充足"))))))))))))</f>
        <v/>
      </c>
      <c r="N13" s="28">
        <f t="shared" si="0"/>
        <v>0</v>
      </c>
      <c r="O13" s="29"/>
      <c r="P13" s="29"/>
    </row>
    <row r="14" spans="1:16" ht="64" customHeight="1" x14ac:dyDescent="0.2">
      <c r="A14" s="29"/>
      <c r="B14" s="29"/>
      <c r="C14" s="29"/>
      <c r="D14" s="29"/>
      <c r="E14" s="28" t="str">
        <f>IF(A14="","",IF(COUNTIF('15_評価計画・品質ゲート'!$V$4:$V$103,D14)&lt;&gt;1,"参照ID不正",IF(INDEX('15_評価計画・品質ゲート'!$A$4:$A$103,MATCH(D14,'15_評価計画・品質ゲート'!$V$4:$V$103,0))="","",INDEX('15_評価計画・品質ゲート'!$A$4:$A$103,MATCH(D14,'15_評価計画・品質ゲート'!$V$4:$V$103,0)))))</f>
        <v/>
      </c>
      <c r="F14" s="29"/>
      <c r="G14" s="29"/>
      <c r="H14" s="29"/>
      <c r="I14" s="29"/>
      <c r="J14" s="29"/>
      <c r="K14" s="29"/>
      <c r="L14" s="28" t="str">
        <f>IF(OR(A14="",G14=""),"",IF(COUNTIF('16_評価実績インデックス'!$A$4:$A$103,G14)&lt;&gt;1,"参照ID不正",IF(INDEX('16_評価実績インデックス'!$O$4:$O$103,MATCH(G14,'16_評価実績インデックス'!$A$4:$A$103,0))="","",INDEX('16_評価実績インデックス'!$O$4:$O$103,MATCH(G14,'16_評価実績インデックス'!$A$4:$A$103,0)))))</f>
        <v/>
      </c>
      <c r="M14" s="28" t="str">
        <f>IF(A14="","",IF(OR(COUNTIF($A$4:$A$153,A14)&lt;&gt;1,COUNTIFS($B$4:$B$153,B14,$C$4:$C$153,C14,$D$4:$D$153,D14)&lt;&gt;1),"集合ID・計画重複",IF(OR(OR(B14="",C14="",D14="",I14="",J14="",O14=""),NOT(ISNUMBER(K14))),"集合承認不足",IF(OR(AND(K14&lt;&gt;"",OR(NOT(ISNUMBER(K14)),IFERROR(K14&lt;1,TRUE),IFERROR(INT(K14)&gt;INT(AsOfDate),TRUE)))),"集合承認日不正",IF(COUNTIF(EvalPlanKeys,D14)&lt;&gt;1,"PlanKey不正",IF(C14&lt;&gt;IF(COUNTIF('15_評価計画・品質ゲート'!$V$4:$V$103,D14)&lt;&gt;1,"参照ID不正",IF(INDEX('15_評価計画・品質ゲート'!$U$4:$U$103,MATCH(D14,'15_評価計画・品質ゲート'!$V$4:$V$103,0))="","",INDEX('15_評価計画・品質ゲート'!$U$4:$U$103,MATCH(D14,'15_評価計画・品質ゲート'!$V$4:$V$103,0)))),"計画Manifest不一致",IF(F14="対象外",IF(H14="","対象外理由不足","対象外承認"),IF(F14&lt;&gt;"必須","適用未判定",IF(OR(G14="",COUNTIF('16_評価実績インデックス'!$A$4:$A$103,G14)&lt;&gt;1),"評価Run不足・不正",IF(OR(C14&lt;&gt;IF(COUNTIF('16_評価実績インデックス'!$A$4:$A$103,G14)&lt;&gt;1,"参照ID不正",IF(INDEX('16_評価実績インデックス'!$T$4:$T$103,MATCH(G14,'16_評価実績インデックス'!$A$4:$A$103,0))="","",INDEX('16_評価実績インデックス'!$T$4:$T$103,MATCH(G14,'16_評価実績インデックス'!$A$4:$A$103,0)))),D14&lt;&gt;IF(COUNTIF('16_評価実績インデックス'!$A$4:$A$103,G14)&lt;&gt;1,"参照ID不正",IF(INDEX('16_評価実績インデックス'!$B$4:$B$103,MATCH(G14,'16_評価実績インデックス'!$A$4:$A$103,0))="","",INDEX('16_評価実績インデックス'!$B$4:$B$103,MATCH(G14,'16_評価実績インデックス'!$A$4:$A$103,0)))),B14&lt;&gt;IF(COUNTIF('16_評価実績インデックス'!$A$4:$A$103,G14)&lt;&gt;1,"参照ID不正",IF(INDEX('16_評価実績インデックス'!$C$4:$C$103,MATCH(G14,'16_評価実績インデックス'!$A$4:$A$103,0))="","",INDEX('16_評価実績インデックス'!$C$4:$C$103,MATCH(G14,'16_評価実績インデックス'!$A$4:$A$103,0))))),"評価対象不一致",IF(IF(COUNTIF('16_評価実績インデックス'!$A$4:$A$103,G14)&lt;&gt;1,"参照ID不正",IF(INDEX('16_評価実績インデックス'!$S$4:$S$103,MATCH(G14,'16_評価実績インデックス'!$A$4:$A$103,0))="","",INDEX('16_評価実績インデックス'!$S$4:$S$103,MATCH(G14,'16_評価実績インデックス'!$A$4:$A$103,0))))&lt;&gt;"記録あり・内容審査別","評価記録未充足",IF(L14&lt;&gt;"合格","必要評価不合格・未確定","評価充足"))))))))))))</f>
        <v/>
      </c>
      <c r="N14" s="28">
        <f t="shared" si="0"/>
        <v>0</v>
      </c>
      <c r="O14" s="29"/>
      <c r="P14" s="29"/>
    </row>
    <row r="15" spans="1:16" ht="64" customHeight="1" x14ac:dyDescent="0.2">
      <c r="A15" s="29"/>
      <c r="B15" s="29"/>
      <c r="C15" s="29"/>
      <c r="D15" s="29"/>
      <c r="E15" s="28" t="str">
        <f>IF(A15="","",IF(COUNTIF('15_評価計画・品質ゲート'!$V$4:$V$103,D15)&lt;&gt;1,"参照ID不正",IF(INDEX('15_評価計画・品質ゲート'!$A$4:$A$103,MATCH(D15,'15_評価計画・品質ゲート'!$V$4:$V$103,0))="","",INDEX('15_評価計画・品質ゲート'!$A$4:$A$103,MATCH(D15,'15_評価計画・品質ゲート'!$V$4:$V$103,0)))))</f>
        <v/>
      </c>
      <c r="F15" s="29"/>
      <c r="G15" s="29"/>
      <c r="H15" s="29"/>
      <c r="I15" s="29"/>
      <c r="J15" s="29"/>
      <c r="K15" s="29"/>
      <c r="L15" s="28" t="str">
        <f>IF(OR(A15="",G15=""),"",IF(COUNTIF('16_評価実績インデックス'!$A$4:$A$103,G15)&lt;&gt;1,"参照ID不正",IF(INDEX('16_評価実績インデックス'!$O$4:$O$103,MATCH(G15,'16_評価実績インデックス'!$A$4:$A$103,0))="","",INDEX('16_評価実績インデックス'!$O$4:$O$103,MATCH(G15,'16_評価実績インデックス'!$A$4:$A$103,0)))))</f>
        <v/>
      </c>
      <c r="M15" s="28" t="str">
        <f>IF(A15="","",IF(OR(COUNTIF($A$4:$A$153,A15)&lt;&gt;1,COUNTIFS($B$4:$B$153,B15,$C$4:$C$153,C15,$D$4:$D$153,D15)&lt;&gt;1),"集合ID・計画重複",IF(OR(OR(B15="",C15="",D15="",I15="",J15="",O15=""),NOT(ISNUMBER(K15))),"集合承認不足",IF(OR(AND(K15&lt;&gt;"",OR(NOT(ISNUMBER(K15)),IFERROR(K15&lt;1,TRUE),IFERROR(INT(K15)&gt;INT(AsOfDate),TRUE)))),"集合承認日不正",IF(COUNTIF(EvalPlanKeys,D15)&lt;&gt;1,"PlanKey不正",IF(C15&lt;&gt;IF(COUNTIF('15_評価計画・品質ゲート'!$V$4:$V$103,D15)&lt;&gt;1,"参照ID不正",IF(INDEX('15_評価計画・品質ゲート'!$U$4:$U$103,MATCH(D15,'15_評価計画・品質ゲート'!$V$4:$V$103,0))="","",INDEX('15_評価計画・品質ゲート'!$U$4:$U$103,MATCH(D15,'15_評価計画・品質ゲート'!$V$4:$V$103,0)))),"計画Manifest不一致",IF(F15="対象外",IF(H15="","対象外理由不足","対象外承認"),IF(F15&lt;&gt;"必須","適用未判定",IF(OR(G15="",COUNTIF('16_評価実績インデックス'!$A$4:$A$103,G15)&lt;&gt;1),"評価Run不足・不正",IF(OR(C15&lt;&gt;IF(COUNTIF('16_評価実績インデックス'!$A$4:$A$103,G15)&lt;&gt;1,"参照ID不正",IF(INDEX('16_評価実績インデックス'!$T$4:$T$103,MATCH(G15,'16_評価実績インデックス'!$A$4:$A$103,0))="","",INDEX('16_評価実績インデックス'!$T$4:$T$103,MATCH(G15,'16_評価実績インデックス'!$A$4:$A$103,0)))),D15&lt;&gt;IF(COUNTIF('16_評価実績インデックス'!$A$4:$A$103,G15)&lt;&gt;1,"参照ID不正",IF(INDEX('16_評価実績インデックス'!$B$4:$B$103,MATCH(G15,'16_評価実績インデックス'!$A$4:$A$103,0))="","",INDEX('16_評価実績インデックス'!$B$4:$B$103,MATCH(G15,'16_評価実績インデックス'!$A$4:$A$103,0)))),B15&lt;&gt;IF(COUNTIF('16_評価実績インデックス'!$A$4:$A$103,G15)&lt;&gt;1,"参照ID不正",IF(INDEX('16_評価実績インデックス'!$C$4:$C$103,MATCH(G15,'16_評価実績インデックス'!$A$4:$A$103,0))="","",INDEX('16_評価実績インデックス'!$C$4:$C$103,MATCH(G15,'16_評価実績インデックス'!$A$4:$A$103,0))))),"評価対象不一致",IF(IF(COUNTIF('16_評価実績インデックス'!$A$4:$A$103,G15)&lt;&gt;1,"参照ID不正",IF(INDEX('16_評価実績インデックス'!$S$4:$S$103,MATCH(G15,'16_評価実績インデックス'!$A$4:$A$103,0))="","",INDEX('16_評価実績インデックス'!$S$4:$S$103,MATCH(G15,'16_評価実績インデックス'!$A$4:$A$103,0))))&lt;&gt;"記録あり・内容審査別","評価記録未充足",IF(L15&lt;&gt;"合格","必要評価不合格・未確定","評価充足"))))))))))))</f>
        <v/>
      </c>
      <c r="N15" s="28">
        <f t="shared" si="0"/>
        <v>0</v>
      </c>
      <c r="O15" s="29"/>
      <c r="P15" s="29"/>
    </row>
    <row r="16" spans="1:16" ht="64" customHeight="1" x14ac:dyDescent="0.2">
      <c r="A16" s="29"/>
      <c r="B16" s="29"/>
      <c r="C16" s="29"/>
      <c r="D16" s="29"/>
      <c r="E16" s="28" t="str">
        <f>IF(A16="","",IF(COUNTIF('15_評価計画・品質ゲート'!$V$4:$V$103,D16)&lt;&gt;1,"参照ID不正",IF(INDEX('15_評価計画・品質ゲート'!$A$4:$A$103,MATCH(D16,'15_評価計画・品質ゲート'!$V$4:$V$103,0))="","",INDEX('15_評価計画・品質ゲート'!$A$4:$A$103,MATCH(D16,'15_評価計画・品質ゲート'!$V$4:$V$103,0)))))</f>
        <v/>
      </c>
      <c r="F16" s="29"/>
      <c r="G16" s="29"/>
      <c r="H16" s="29"/>
      <c r="I16" s="29"/>
      <c r="J16" s="29"/>
      <c r="K16" s="29"/>
      <c r="L16" s="28" t="str">
        <f>IF(OR(A16="",G16=""),"",IF(COUNTIF('16_評価実績インデックス'!$A$4:$A$103,G16)&lt;&gt;1,"参照ID不正",IF(INDEX('16_評価実績インデックス'!$O$4:$O$103,MATCH(G16,'16_評価実績インデックス'!$A$4:$A$103,0))="","",INDEX('16_評価実績インデックス'!$O$4:$O$103,MATCH(G16,'16_評価実績インデックス'!$A$4:$A$103,0)))))</f>
        <v/>
      </c>
      <c r="M16" s="28" t="str">
        <f>IF(A16="","",IF(OR(COUNTIF($A$4:$A$153,A16)&lt;&gt;1,COUNTIFS($B$4:$B$153,B16,$C$4:$C$153,C16,$D$4:$D$153,D16)&lt;&gt;1),"集合ID・計画重複",IF(OR(OR(B16="",C16="",D16="",I16="",J16="",O16=""),NOT(ISNUMBER(K16))),"集合承認不足",IF(OR(AND(K16&lt;&gt;"",OR(NOT(ISNUMBER(K16)),IFERROR(K16&lt;1,TRUE),IFERROR(INT(K16)&gt;INT(AsOfDate),TRUE)))),"集合承認日不正",IF(COUNTIF(EvalPlanKeys,D16)&lt;&gt;1,"PlanKey不正",IF(C16&lt;&gt;IF(COUNTIF('15_評価計画・品質ゲート'!$V$4:$V$103,D16)&lt;&gt;1,"参照ID不正",IF(INDEX('15_評価計画・品質ゲート'!$U$4:$U$103,MATCH(D16,'15_評価計画・品質ゲート'!$V$4:$V$103,0))="","",INDEX('15_評価計画・品質ゲート'!$U$4:$U$103,MATCH(D16,'15_評価計画・品質ゲート'!$V$4:$V$103,0)))),"計画Manifest不一致",IF(F16="対象外",IF(H16="","対象外理由不足","対象外承認"),IF(F16&lt;&gt;"必須","適用未判定",IF(OR(G16="",COUNTIF('16_評価実績インデックス'!$A$4:$A$103,G16)&lt;&gt;1),"評価Run不足・不正",IF(OR(C16&lt;&gt;IF(COUNTIF('16_評価実績インデックス'!$A$4:$A$103,G16)&lt;&gt;1,"参照ID不正",IF(INDEX('16_評価実績インデックス'!$T$4:$T$103,MATCH(G16,'16_評価実績インデックス'!$A$4:$A$103,0))="","",INDEX('16_評価実績インデックス'!$T$4:$T$103,MATCH(G16,'16_評価実績インデックス'!$A$4:$A$103,0)))),D16&lt;&gt;IF(COUNTIF('16_評価実績インデックス'!$A$4:$A$103,G16)&lt;&gt;1,"参照ID不正",IF(INDEX('16_評価実績インデックス'!$B$4:$B$103,MATCH(G16,'16_評価実績インデックス'!$A$4:$A$103,0))="","",INDEX('16_評価実績インデックス'!$B$4:$B$103,MATCH(G16,'16_評価実績インデックス'!$A$4:$A$103,0)))),B16&lt;&gt;IF(COUNTIF('16_評価実績インデックス'!$A$4:$A$103,G16)&lt;&gt;1,"参照ID不正",IF(INDEX('16_評価実績インデックス'!$C$4:$C$103,MATCH(G16,'16_評価実績インデックス'!$A$4:$A$103,0))="","",INDEX('16_評価実績インデックス'!$C$4:$C$103,MATCH(G16,'16_評価実績インデックス'!$A$4:$A$103,0))))),"評価対象不一致",IF(IF(COUNTIF('16_評価実績インデックス'!$A$4:$A$103,G16)&lt;&gt;1,"参照ID不正",IF(INDEX('16_評価実績インデックス'!$S$4:$S$103,MATCH(G16,'16_評価実績インデックス'!$A$4:$A$103,0))="","",INDEX('16_評価実績インデックス'!$S$4:$S$103,MATCH(G16,'16_評価実績インデックス'!$A$4:$A$103,0))))&lt;&gt;"記録あり・内容審査別","評価記録未充足",IF(L16&lt;&gt;"合格","必要評価不合格・未確定","評価充足"))))))))))))</f>
        <v/>
      </c>
      <c r="N16" s="28">
        <f t="shared" si="0"/>
        <v>0</v>
      </c>
      <c r="O16" s="29"/>
      <c r="P16" s="29"/>
    </row>
    <row r="17" spans="1:16" ht="64" customHeight="1" x14ac:dyDescent="0.2">
      <c r="A17" s="29"/>
      <c r="B17" s="29"/>
      <c r="C17" s="29"/>
      <c r="D17" s="29"/>
      <c r="E17" s="28" t="str">
        <f>IF(A17="","",IF(COUNTIF('15_評価計画・品質ゲート'!$V$4:$V$103,D17)&lt;&gt;1,"参照ID不正",IF(INDEX('15_評価計画・品質ゲート'!$A$4:$A$103,MATCH(D17,'15_評価計画・品質ゲート'!$V$4:$V$103,0))="","",INDEX('15_評価計画・品質ゲート'!$A$4:$A$103,MATCH(D17,'15_評価計画・品質ゲート'!$V$4:$V$103,0)))))</f>
        <v/>
      </c>
      <c r="F17" s="29"/>
      <c r="G17" s="29"/>
      <c r="H17" s="29"/>
      <c r="I17" s="29"/>
      <c r="J17" s="29"/>
      <c r="K17" s="29"/>
      <c r="L17" s="28" t="str">
        <f>IF(OR(A17="",G17=""),"",IF(COUNTIF('16_評価実績インデックス'!$A$4:$A$103,G17)&lt;&gt;1,"参照ID不正",IF(INDEX('16_評価実績インデックス'!$O$4:$O$103,MATCH(G17,'16_評価実績インデックス'!$A$4:$A$103,0))="","",INDEX('16_評価実績インデックス'!$O$4:$O$103,MATCH(G17,'16_評価実績インデックス'!$A$4:$A$103,0)))))</f>
        <v/>
      </c>
      <c r="M17" s="28" t="str">
        <f>IF(A17="","",IF(OR(COUNTIF($A$4:$A$153,A17)&lt;&gt;1,COUNTIFS($B$4:$B$153,B17,$C$4:$C$153,C17,$D$4:$D$153,D17)&lt;&gt;1),"集合ID・計画重複",IF(OR(OR(B17="",C17="",D17="",I17="",J17="",O17=""),NOT(ISNUMBER(K17))),"集合承認不足",IF(OR(AND(K17&lt;&gt;"",OR(NOT(ISNUMBER(K17)),IFERROR(K17&lt;1,TRUE),IFERROR(INT(K17)&gt;INT(AsOfDate),TRUE)))),"集合承認日不正",IF(COUNTIF(EvalPlanKeys,D17)&lt;&gt;1,"PlanKey不正",IF(C17&lt;&gt;IF(COUNTIF('15_評価計画・品質ゲート'!$V$4:$V$103,D17)&lt;&gt;1,"参照ID不正",IF(INDEX('15_評価計画・品質ゲート'!$U$4:$U$103,MATCH(D17,'15_評価計画・品質ゲート'!$V$4:$V$103,0))="","",INDEX('15_評価計画・品質ゲート'!$U$4:$U$103,MATCH(D17,'15_評価計画・品質ゲート'!$V$4:$V$103,0)))),"計画Manifest不一致",IF(F17="対象外",IF(H17="","対象外理由不足","対象外承認"),IF(F17&lt;&gt;"必須","適用未判定",IF(OR(G17="",COUNTIF('16_評価実績インデックス'!$A$4:$A$103,G17)&lt;&gt;1),"評価Run不足・不正",IF(OR(C17&lt;&gt;IF(COUNTIF('16_評価実績インデックス'!$A$4:$A$103,G17)&lt;&gt;1,"参照ID不正",IF(INDEX('16_評価実績インデックス'!$T$4:$T$103,MATCH(G17,'16_評価実績インデックス'!$A$4:$A$103,0))="","",INDEX('16_評価実績インデックス'!$T$4:$T$103,MATCH(G17,'16_評価実績インデックス'!$A$4:$A$103,0)))),D17&lt;&gt;IF(COUNTIF('16_評価実績インデックス'!$A$4:$A$103,G17)&lt;&gt;1,"参照ID不正",IF(INDEX('16_評価実績インデックス'!$B$4:$B$103,MATCH(G17,'16_評価実績インデックス'!$A$4:$A$103,0))="","",INDEX('16_評価実績インデックス'!$B$4:$B$103,MATCH(G17,'16_評価実績インデックス'!$A$4:$A$103,0)))),B17&lt;&gt;IF(COUNTIF('16_評価実績インデックス'!$A$4:$A$103,G17)&lt;&gt;1,"参照ID不正",IF(INDEX('16_評価実績インデックス'!$C$4:$C$103,MATCH(G17,'16_評価実績インデックス'!$A$4:$A$103,0))="","",INDEX('16_評価実績インデックス'!$C$4:$C$103,MATCH(G17,'16_評価実績インデックス'!$A$4:$A$103,0))))),"評価対象不一致",IF(IF(COUNTIF('16_評価実績インデックス'!$A$4:$A$103,G17)&lt;&gt;1,"参照ID不正",IF(INDEX('16_評価実績インデックス'!$S$4:$S$103,MATCH(G17,'16_評価実績インデックス'!$A$4:$A$103,0))="","",INDEX('16_評価実績インデックス'!$S$4:$S$103,MATCH(G17,'16_評価実績インデックス'!$A$4:$A$103,0))))&lt;&gt;"記録あり・内容審査別","評価記録未充足",IF(L17&lt;&gt;"合格","必要評価不合格・未確定","評価充足"))))))))))))</f>
        <v/>
      </c>
      <c r="N17" s="28">
        <f t="shared" si="0"/>
        <v>0</v>
      </c>
      <c r="O17" s="29"/>
      <c r="P17" s="29"/>
    </row>
    <row r="18" spans="1:16" ht="64" customHeight="1" x14ac:dyDescent="0.2">
      <c r="A18" s="29"/>
      <c r="B18" s="29"/>
      <c r="C18" s="29"/>
      <c r="D18" s="29"/>
      <c r="E18" s="28" t="str">
        <f>IF(A18="","",IF(COUNTIF('15_評価計画・品質ゲート'!$V$4:$V$103,D18)&lt;&gt;1,"参照ID不正",IF(INDEX('15_評価計画・品質ゲート'!$A$4:$A$103,MATCH(D18,'15_評価計画・品質ゲート'!$V$4:$V$103,0))="","",INDEX('15_評価計画・品質ゲート'!$A$4:$A$103,MATCH(D18,'15_評価計画・品質ゲート'!$V$4:$V$103,0)))))</f>
        <v/>
      </c>
      <c r="F18" s="29"/>
      <c r="G18" s="29"/>
      <c r="H18" s="29"/>
      <c r="I18" s="29"/>
      <c r="J18" s="29"/>
      <c r="K18" s="29"/>
      <c r="L18" s="28" t="str">
        <f>IF(OR(A18="",G18=""),"",IF(COUNTIF('16_評価実績インデックス'!$A$4:$A$103,G18)&lt;&gt;1,"参照ID不正",IF(INDEX('16_評価実績インデックス'!$O$4:$O$103,MATCH(G18,'16_評価実績インデックス'!$A$4:$A$103,0))="","",INDEX('16_評価実績インデックス'!$O$4:$O$103,MATCH(G18,'16_評価実績インデックス'!$A$4:$A$103,0)))))</f>
        <v/>
      </c>
      <c r="M18" s="28" t="str">
        <f>IF(A18="","",IF(OR(COUNTIF($A$4:$A$153,A18)&lt;&gt;1,COUNTIFS($B$4:$B$153,B18,$C$4:$C$153,C18,$D$4:$D$153,D18)&lt;&gt;1),"集合ID・計画重複",IF(OR(OR(B18="",C18="",D18="",I18="",J18="",O18=""),NOT(ISNUMBER(K18))),"集合承認不足",IF(OR(AND(K18&lt;&gt;"",OR(NOT(ISNUMBER(K18)),IFERROR(K18&lt;1,TRUE),IFERROR(INT(K18)&gt;INT(AsOfDate),TRUE)))),"集合承認日不正",IF(COUNTIF(EvalPlanKeys,D18)&lt;&gt;1,"PlanKey不正",IF(C18&lt;&gt;IF(COUNTIF('15_評価計画・品質ゲート'!$V$4:$V$103,D18)&lt;&gt;1,"参照ID不正",IF(INDEX('15_評価計画・品質ゲート'!$U$4:$U$103,MATCH(D18,'15_評価計画・品質ゲート'!$V$4:$V$103,0))="","",INDEX('15_評価計画・品質ゲート'!$U$4:$U$103,MATCH(D18,'15_評価計画・品質ゲート'!$V$4:$V$103,0)))),"計画Manifest不一致",IF(F18="対象外",IF(H18="","対象外理由不足","対象外承認"),IF(F18&lt;&gt;"必須","適用未判定",IF(OR(G18="",COUNTIF('16_評価実績インデックス'!$A$4:$A$103,G18)&lt;&gt;1),"評価Run不足・不正",IF(OR(C18&lt;&gt;IF(COUNTIF('16_評価実績インデックス'!$A$4:$A$103,G18)&lt;&gt;1,"参照ID不正",IF(INDEX('16_評価実績インデックス'!$T$4:$T$103,MATCH(G18,'16_評価実績インデックス'!$A$4:$A$103,0))="","",INDEX('16_評価実績インデックス'!$T$4:$T$103,MATCH(G18,'16_評価実績インデックス'!$A$4:$A$103,0)))),D18&lt;&gt;IF(COUNTIF('16_評価実績インデックス'!$A$4:$A$103,G18)&lt;&gt;1,"参照ID不正",IF(INDEX('16_評価実績インデックス'!$B$4:$B$103,MATCH(G18,'16_評価実績インデックス'!$A$4:$A$103,0))="","",INDEX('16_評価実績インデックス'!$B$4:$B$103,MATCH(G18,'16_評価実績インデックス'!$A$4:$A$103,0)))),B18&lt;&gt;IF(COUNTIF('16_評価実績インデックス'!$A$4:$A$103,G18)&lt;&gt;1,"参照ID不正",IF(INDEX('16_評価実績インデックス'!$C$4:$C$103,MATCH(G18,'16_評価実績インデックス'!$A$4:$A$103,0))="","",INDEX('16_評価実績インデックス'!$C$4:$C$103,MATCH(G18,'16_評価実績インデックス'!$A$4:$A$103,0))))),"評価対象不一致",IF(IF(COUNTIF('16_評価実績インデックス'!$A$4:$A$103,G18)&lt;&gt;1,"参照ID不正",IF(INDEX('16_評価実績インデックス'!$S$4:$S$103,MATCH(G18,'16_評価実績インデックス'!$A$4:$A$103,0))="","",INDEX('16_評価実績インデックス'!$S$4:$S$103,MATCH(G18,'16_評価実績インデックス'!$A$4:$A$103,0))))&lt;&gt;"記録あり・内容審査別","評価記録未充足",IF(L18&lt;&gt;"合格","必要評価不合格・未確定","評価充足"))))))))))))</f>
        <v/>
      </c>
      <c r="N18" s="28">
        <f t="shared" si="0"/>
        <v>0</v>
      </c>
      <c r="O18" s="29"/>
      <c r="P18" s="29"/>
    </row>
    <row r="19" spans="1:16" ht="64" customHeight="1" x14ac:dyDescent="0.2">
      <c r="A19" s="29"/>
      <c r="B19" s="29"/>
      <c r="C19" s="29"/>
      <c r="D19" s="29"/>
      <c r="E19" s="28" t="str">
        <f>IF(A19="","",IF(COUNTIF('15_評価計画・品質ゲート'!$V$4:$V$103,D19)&lt;&gt;1,"参照ID不正",IF(INDEX('15_評価計画・品質ゲート'!$A$4:$A$103,MATCH(D19,'15_評価計画・品質ゲート'!$V$4:$V$103,0))="","",INDEX('15_評価計画・品質ゲート'!$A$4:$A$103,MATCH(D19,'15_評価計画・品質ゲート'!$V$4:$V$103,0)))))</f>
        <v/>
      </c>
      <c r="F19" s="29"/>
      <c r="G19" s="29"/>
      <c r="H19" s="29"/>
      <c r="I19" s="29"/>
      <c r="J19" s="29"/>
      <c r="K19" s="29"/>
      <c r="L19" s="28" t="str">
        <f>IF(OR(A19="",G19=""),"",IF(COUNTIF('16_評価実績インデックス'!$A$4:$A$103,G19)&lt;&gt;1,"参照ID不正",IF(INDEX('16_評価実績インデックス'!$O$4:$O$103,MATCH(G19,'16_評価実績インデックス'!$A$4:$A$103,0))="","",INDEX('16_評価実績インデックス'!$O$4:$O$103,MATCH(G19,'16_評価実績インデックス'!$A$4:$A$103,0)))))</f>
        <v/>
      </c>
      <c r="M19" s="28" t="str">
        <f>IF(A19="","",IF(OR(COUNTIF($A$4:$A$153,A19)&lt;&gt;1,COUNTIFS($B$4:$B$153,B19,$C$4:$C$153,C19,$D$4:$D$153,D19)&lt;&gt;1),"集合ID・計画重複",IF(OR(OR(B19="",C19="",D19="",I19="",J19="",O19=""),NOT(ISNUMBER(K19))),"集合承認不足",IF(OR(AND(K19&lt;&gt;"",OR(NOT(ISNUMBER(K19)),IFERROR(K19&lt;1,TRUE),IFERROR(INT(K19)&gt;INT(AsOfDate),TRUE)))),"集合承認日不正",IF(COUNTIF(EvalPlanKeys,D19)&lt;&gt;1,"PlanKey不正",IF(C19&lt;&gt;IF(COUNTIF('15_評価計画・品質ゲート'!$V$4:$V$103,D19)&lt;&gt;1,"参照ID不正",IF(INDEX('15_評価計画・品質ゲート'!$U$4:$U$103,MATCH(D19,'15_評価計画・品質ゲート'!$V$4:$V$103,0))="","",INDEX('15_評価計画・品質ゲート'!$U$4:$U$103,MATCH(D19,'15_評価計画・品質ゲート'!$V$4:$V$103,0)))),"計画Manifest不一致",IF(F19="対象外",IF(H19="","対象外理由不足","対象外承認"),IF(F19&lt;&gt;"必須","適用未判定",IF(OR(G19="",COUNTIF('16_評価実績インデックス'!$A$4:$A$103,G19)&lt;&gt;1),"評価Run不足・不正",IF(OR(C19&lt;&gt;IF(COUNTIF('16_評価実績インデックス'!$A$4:$A$103,G19)&lt;&gt;1,"参照ID不正",IF(INDEX('16_評価実績インデックス'!$T$4:$T$103,MATCH(G19,'16_評価実績インデックス'!$A$4:$A$103,0))="","",INDEX('16_評価実績インデックス'!$T$4:$T$103,MATCH(G19,'16_評価実績インデックス'!$A$4:$A$103,0)))),D19&lt;&gt;IF(COUNTIF('16_評価実績インデックス'!$A$4:$A$103,G19)&lt;&gt;1,"参照ID不正",IF(INDEX('16_評価実績インデックス'!$B$4:$B$103,MATCH(G19,'16_評価実績インデックス'!$A$4:$A$103,0))="","",INDEX('16_評価実績インデックス'!$B$4:$B$103,MATCH(G19,'16_評価実績インデックス'!$A$4:$A$103,0)))),B19&lt;&gt;IF(COUNTIF('16_評価実績インデックス'!$A$4:$A$103,G19)&lt;&gt;1,"参照ID不正",IF(INDEX('16_評価実績インデックス'!$C$4:$C$103,MATCH(G19,'16_評価実績インデックス'!$A$4:$A$103,0))="","",INDEX('16_評価実績インデックス'!$C$4:$C$103,MATCH(G19,'16_評価実績インデックス'!$A$4:$A$103,0))))),"評価対象不一致",IF(IF(COUNTIF('16_評価実績インデックス'!$A$4:$A$103,G19)&lt;&gt;1,"参照ID不正",IF(INDEX('16_評価実績インデックス'!$S$4:$S$103,MATCH(G19,'16_評価実績インデックス'!$A$4:$A$103,0))="","",INDEX('16_評価実績インデックス'!$S$4:$S$103,MATCH(G19,'16_評価実績インデックス'!$A$4:$A$103,0))))&lt;&gt;"記録あり・内容審査別","評価記録未充足",IF(L19&lt;&gt;"合格","必要評価不合格・未確定","評価充足"))))))))))))</f>
        <v/>
      </c>
      <c r="N19" s="28">
        <f t="shared" si="0"/>
        <v>0</v>
      </c>
      <c r="O19" s="29"/>
      <c r="P19" s="29"/>
    </row>
    <row r="20" spans="1:16" ht="64" customHeight="1" x14ac:dyDescent="0.2">
      <c r="A20" s="29"/>
      <c r="B20" s="29"/>
      <c r="C20" s="29"/>
      <c r="D20" s="29"/>
      <c r="E20" s="28" t="str">
        <f>IF(A20="","",IF(COUNTIF('15_評価計画・品質ゲート'!$V$4:$V$103,D20)&lt;&gt;1,"参照ID不正",IF(INDEX('15_評価計画・品質ゲート'!$A$4:$A$103,MATCH(D20,'15_評価計画・品質ゲート'!$V$4:$V$103,0))="","",INDEX('15_評価計画・品質ゲート'!$A$4:$A$103,MATCH(D20,'15_評価計画・品質ゲート'!$V$4:$V$103,0)))))</f>
        <v/>
      </c>
      <c r="F20" s="29"/>
      <c r="G20" s="29"/>
      <c r="H20" s="29"/>
      <c r="I20" s="29"/>
      <c r="J20" s="29"/>
      <c r="K20" s="29"/>
      <c r="L20" s="28" t="str">
        <f>IF(OR(A20="",G20=""),"",IF(COUNTIF('16_評価実績インデックス'!$A$4:$A$103,G20)&lt;&gt;1,"参照ID不正",IF(INDEX('16_評価実績インデックス'!$O$4:$O$103,MATCH(G20,'16_評価実績インデックス'!$A$4:$A$103,0))="","",INDEX('16_評価実績インデックス'!$O$4:$O$103,MATCH(G20,'16_評価実績インデックス'!$A$4:$A$103,0)))))</f>
        <v/>
      </c>
      <c r="M20" s="28" t="str">
        <f>IF(A20="","",IF(OR(COUNTIF($A$4:$A$153,A20)&lt;&gt;1,COUNTIFS($B$4:$B$153,B20,$C$4:$C$153,C20,$D$4:$D$153,D20)&lt;&gt;1),"集合ID・計画重複",IF(OR(OR(B20="",C20="",D20="",I20="",J20="",O20=""),NOT(ISNUMBER(K20))),"集合承認不足",IF(OR(AND(K20&lt;&gt;"",OR(NOT(ISNUMBER(K20)),IFERROR(K20&lt;1,TRUE),IFERROR(INT(K20)&gt;INT(AsOfDate),TRUE)))),"集合承認日不正",IF(COUNTIF(EvalPlanKeys,D20)&lt;&gt;1,"PlanKey不正",IF(C20&lt;&gt;IF(COUNTIF('15_評価計画・品質ゲート'!$V$4:$V$103,D20)&lt;&gt;1,"参照ID不正",IF(INDEX('15_評価計画・品質ゲート'!$U$4:$U$103,MATCH(D20,'15_評価計画・品質ゲート'!$V$4:$V$103,0))="","",INDEX('15_評価計画・品質ゲート'!$U$4:$U$103,MATCH(D20,'15_評価計画・品質ゲート'!$V$4:$V$103,0)))),"計画Manifest不一致",IF(F20="対象外",IF(H20="","対象外理由不足","対象外承認"),IF(F20&lt;&gt;"必須","適用未判定",IF(OR(G20="",COUNTIF('16_評価実績インデックス'!$A$4:$A$103,G20)&lt;&gt;1),"評価Run不足・不正",IF(OR(C20&lt;&gt;IF(COUNTIF('16_評価実績インデックス'!$A$4:$A$103,G20)&lt;&gt;1,"参照ID不正",IF(INDEX('16_評価実績インデックス'!$T$4:$T$103,MATCH(G20,'16_評価実績インデックス'!$A$4:$A$103,0))="","",INDEX('16_評価実績インデックス'!$T$4:$T$103,MATCH(G20,'16_評価実績インデックス'!$A$4:$A$103,0)))),D20&lt;&gt;IF(COUNTIF('16_評価実績インデックス'!$A$4:$A$103,G20)&lt;&gt;1,"参照ID不正",IF(INDEX('16_評価実績インデックス'!$B$4:$B$103,MATCH(G20,'16_評価実績インデックス'!$A$4:$A$103,0))="","",INDEX('16_評価実績インデックス'!$B$4:$B$103,MATCH(G20,'16_評価実績インデックス'!$A$4:$A$103,0)))),B20&lt;&gt;IF(COUNTIF('16_評価実績インデックス'!$A$4:$A$103,G20)&lt;&gt;1,"参照ID不正",IF(INDEX('16_評価実績インデックス'!$C$4:$C$103,MATCH(G20,'16_評価実績インデックス'!$A$4:$A$103,0))="","",INDEX('16_評価実績インデックス'!$C$4:$C$103,MATCH(G20,'16_評価実績インデックス'!$A$4:$A$103,0))))),"評価対象不一致",IF(IF(COUNTIF('16_評価実績インデックス'!$A$4:$A$103,G20)&lt;&gt;1,"参照ID不正",IF(INDEX('16_評価実績インデックス'!$S$4:$S$103,MATCH(G20,'16_評価実績インデックス'!$A$4:$A$103,0))="","",INDEX('16_評価実績インデックス'!$S$4:$S$103,MATCH(G20,'16_評価実績インデックス'!$A$4:$A$103,0))))&lt;&gt;"記録あり・内容審査別","評価記録未充足",IF(L20&lt;&gt;"合格","必要評価不合格・未確定","評価充足"))))))))))))</f>
        <v/>
      </c>
      <c r="N20" s="28">
        <f t="shared" si="0"/>
        <v>0</v>
      </c>
      <c r="O20" s="29"/>
      <c r="P20" s="29"/>
    </row>
    <row r="21" spans="1:16" ht="64" customHeight="1" x14ac:dyDescent="0.2">
      <c r="A21" s="29"/>
      <c r="B21" s="29"/>
      <c r="C21" s="29"/>
      <c r="D21" s="29"/>
      <c r="E21" s="28" t="str">
        <f>IF(A21="","",IF(COUNTIF('15_評価計画・品質ゲート'!$V$4:$V$103,D21)&lt;&gt;1,"参照ID不正",IF(INDEX('15_評価計画・品質ゲート'!$A$4:$A$103,MATCH(D21,'15_評価計画・品質ゲート'!$V$4:$V$103,0))="","",INDEX('15_評価計画・品質ゲート'!$A$4:$A$103,MATCH(D21,'15_評価計画・品質ゲート'!$V$4:$V$103,0)))))</f>
        <v/>
      </c>
      <c r="F21" s="29"/>
      <c r="G21" s="29"/>
      <c r="H21" s="29"/>
      <c r="I21" s="29"/>
      <c r="J21" s="29"/>
      <c r="K21" s="29"/>
      <c r="L21" s="28" t="str">
        <f>IF(OR(A21="",G21=""),"",IF(COUNTIF('16_評価実績インデックス'!$A$4:$A$103,G21)&lt;&gt;1,"参照ID不正",IF(INDEX('16_評価実績インデックス'!$O$4:$O$103,MATCH(G21,'16_評価実績インデックス'!$A$4:$A$103,0))="","",INDEX('16_評価実績インデックス'!$O$4:$O$103,MATCH(G21,'16_評価実績インデックス'!$A$4:$A$103,0)))))</f>
        <v/>
      </c>
      <c r="M21" s="28" t="str">
        <f>IF(A21="","",IF(OR(COUNTIF($A$4:$A$153,A21)&lt;&gt;1,COUNTIFS($B$4:$B$153,B21,$C$4:$C$153,C21,$D$4:$D$153,D21)&lt;&gt;1),"集合ID・計画重複",IF(OR(OR(B21="",C21="",D21="",I21="",J21="",O21=""),NOT(ISNUMBER(K21))),"集合承認不足",IF(OR(AND(K21&lt;&gt;"",OR(NOT(ISNUMBER(K21)),IFERROR(K21&lt;1,TRUE),IFERROR(INT(K21)&gt;INT(AsOfDate),TRUE)))),"集合承認日不正",IF(COUNTIF(EvalPlanKeys,D21)&lt;&gt;1,"PlanKey不正",IF(C21&lt;&gt;IF(COUNTIF('15_評価計画・品質ゲート'!$V$4:$V$103,D21)&lt;&gt;1,"参照ID不正",IF(INDEX('15_評価計画・品質ゲート'!$U$4:$U$103,MATCH(D21,'15_評価計画・品質ゲート'!$V$4:$V$103,0))="","",INDEX('15_評価計画・品質ゲート'!$U$4:$U$103,MATCH(D21,'15_評価計画・品質ゲート'!$V$4:$V$103,0)))),"計画Manifest不一致",IF(F21="対象外",IF(H21="","対象外理由不足","対象外承認"),IF(F21&lt;&gt;"必須","適用未判定",IF(OR(G21="",COUNTIF('16_評価実績インデックス'!$A$4:$A$103,G21)&lt;&gt;1),"評価Run不足・不正",IF(OR(C21&lt;&gt;IF(COUNTIF('16_評価実績インデックス'!$A$4:$A$103,G21)&lt;&gt;1,"参照ID不正",IF(INDEX('16_評価実績インデックス'!$T$4:$T$103,MATCH(G21,'16_評価実績インデックス'!$A$4:$A$103,0))="","",INDEX('16_評価実績インデックス'!$T$4:$T$103,MATCH(G21,'16_評価実績インデックス'!$A$4:$A$103,0)))),D21&lt;&gt;IF(COUNTIF('16_評価実績インデックス'!$A$4:$A$103,G21)&lt;&gt;1,"参照ID不正",IF(INDEX('16_評価実績インデックス'!$B$4:$B$103,MATCH(G21,'16_評価実績インデックス'!$A$4:$A$103,0))="","",INDEX('16_評価実績インデックス'!$B$4:$B$103,MATCH(G21,'16_評価実績インデックス'!$A$4:$A$103,0)))),B21&lt;&gt;IF(COUNTIF('16_評価実績インデックス'!$A$4:$A$103,G21)&lt;&gt;1,"参照ID不正",IF(INDEX('16_評価実績インデックス'!$C$4:$C$103,MATCH(G21,'16_評価実績インデックス'!$A$4:$A$103,0))="","",INDEX('16_評価実績インデックス'!$C$4:$C$103,MATCH(G21,'16_評価実績インデックス'!$A$4:$A$103,0))))),"評価対象不一致",IF(IF(COUNTIF('16_評価実績インデックス'!$A$4:$A$103,G21)&lt;&gt;1,"参照ID不正",IF(INDEX('16_評価実績インデックス'!$S$4:$S$103,MATCH(G21,'16_評価実績インデックス'!$A$4:$A$103,0))="","",INDEX('16_評価実績インデックス'!$S$4:$S$103,MATCH(G21,'16_評価実績インデックス'!$A$4:$A$103,0))))&lt;&gt;"記録あり・内容審査別","評価記録未充足",IF(L21&lt;&gt;"合格","必要評価不合格・未確定","評価充足"))))))))))))</f>
        <v/>
      </c>
      <c r="N21" s="28">
        <f t="shared" si="0"/>
        <v>0</v>
      </c>
      <c r="O21" s="29"/>
      <c r="P21" s="29"/>
    </row>
    <row r="22" spans="1:16" ht="64" customHeight="1" x14ac:dyDescent="0.2">
      <c r="A22" s="29"/>
      <c r="B22" s="29"/>
      <c r="C22" s="29"/>
      <c r="D22" s="29"/>
      <c r="E22" s="28" t="str">
        <f>IF(A22="","",IF(COUNTIF('15_評価計画・品質ゲート'!$V$4:$V$103,D22)&lt;&gt;1,"参照ID不正",IF(INDEX('15_評価計画・品質ゲート'!$A$4:$A$103,MATCH(D22,'15_評価計画・品質ゲート'!$V$4:$V$103,0))="","",INDEX('15_評価計画・品質ゲート'!$A$4:$A$103,MATCH(D22,'15_評価計画・品質ゲート'!$V$4:$V$103,0)))))</f>
        <v/>
      </c>
      <c r="F22" s="29"/>
      <c r="G22" s="29"/>
      <c r="H22" s="29"/>
      <c r="I22" s="29"/>
      <c r="J22" s="29"/>
      <c r="K22" s="29"/>
      <c r="L22" s="28" t="str">
        <f>IF(OR(A22="",G22=""),"",IF(COUNTIF('16_評価実績インデックス'!$A$4:$A$103,G22)&lt;&gt;1,"参照ID不正",IF(INDEX('16_評価実績インデックス'!$O$4:$O$103,MATCH(G22,'16_評価実績インデックス'!$A$4:$A$103,0))="","",INDEX('16_評価実績インデックス'!$O$4:$O$103,MATCH(G22,'16_評価実績インデックス'!$A$4:$A$103,0)))))</f>
        <v/>
      </c>
      <c r="M22" s="28" t="str">
        <f>IF(A22="","",IF(OR(COUNTIF($A$4:$A$153,A22)&lt;&gt;1,COUNTIFS($B$4:$B$153,B22,$C$4:$C$153,C22,$D$4:$D$153,D22)&lt;&gt;1),"集合ID・計画重複",IF(OR(OR(B22="",C22="",D22="",I22="",J22="",O22=""),NOT(ISNUMBER(K22))),"集合承認不足",IF(OR(AND(K22&lt;&gt;"",OR(NOT(ISNUMBER(K22)),IFERROR(K22&lt;1,TRUE),IFERROR(INT(K22)&gt;INT(AsOfDate),TRUE)))),"集合承認日不正",IF(COUNTIF(EvalPlanKeys,D22)&lt;&gt;1,"PlanKey不正",IF(C22&lt;&gt;IF(COUNTIF('15_評価計画・品質ゲート'!$V$4:$V$103,D22)&lt;&gt;1,"参照ID不正",IF(INDEX('15_評価計画・品質ゲート'!$U$4:$U$103,MATCH(D22,'15_評価計画・品質ゲート'!$V$4:$V$103,0))="","",INDEX('15_評価計画・品質ゲート'!$U$4:$U$103,MATCH(D22,'15_評価計画・品質ゲート'!$V$4:$V$103,0)))),"計画Manifest不一致",IF(F22="対象外",IF(H22="","対象外理由不足","対象外承認"),IF(F22&lt;&gt;"必須","適用未判定",IF(OR(G22="",COUNTIF('16_評価実績インデックス'!$A$4:$A$103,G22)&lt;&gt;1),"評価Run不足・不正",IF(OR(C22&lt;&gt;IF(COUNTIF('16_評価実績インデックス'!$A$4:$A$103,G22)&lt;&gt;1,"参照ID不正",IF(INDEX('16_評価実績インデックス'!$T$4:$T$103,MATCH(G22,'16_評価実績インデックス'!$A$4:$A$103,0))="","",INDEX('16_評価実績インデックス'!$T$4:$T$103,MATCH(G22,'16_評価実績インデックス'!$A$4:$A$103,0)))),D22&lt;&gt;IF(COUNTIF('16_評価実績インデックス'!$A$4:$A$103,G22)&lt;&gt;1,"参照ID不正",IF(INDEX('16_評価実績インデックス'!$B$4:$B$103,MATCH(G22,'16_評価実績インデックス'!$A$4:$A$103,0))="","",INDEX('16_評価実績インデックス'!$B$4:$B$103,MATCH(G22,'16_評価実績インデックス'!$A$4:$A$103,0)))),B22&lt;&gt;IF(COUNTIF('16_評価実績インデックス'!$A$4:$A$103,G22)&lt;&gt;1,"参照ID不正",IF(INDEX('16_評価実績インデックス'!$C$4:$C$103,MATCH(G22,'16_評価実績インデックス'!$A$4:$A$103,0))="","",INDEX('16_評価実績インデックス'!$C$4:$C$103,MATCH(G22,'16_評価実績インデックス'!$A$4:$A$103,0))))),"評価対象不一致",IF(IF(COUNTIF('16_評価実績インデックス'!$A$4:$A$103,G22)&lt;&gt;1,"参照ID不正",IF(INDEX('16_評価実績インデックス'!$S$4:$S$103,MATCH(G22,'16_評価実績インデックス'!$A$4:$A$103,0))="","",INDEX('16_評価実績インデックス'!$S$4:$S$103,MATCH(G22,'16_評価実績インデックス'!$A$4:$A$103,0))))&lt;&gt;"記録あり・内容審査別","評価記録未充足",IF(L22&lt;&gt;"合格","必要評価不合格・未確定","評価充足"))))))))))))</f>
        <v/>
      </c>
      <c r="N22" s="28">
        <f t="shared" si="0"/>
        <v>0</v>
      </c>
      <c r="O22" s="29"/>
      <c r="P22" s="29"/>
    </row>
    <row r="23" spans="1:16" ht="64" customHeight="1" x14ac:dyDescent="0.2">
      <c r="A23" s="29"/>
      <c r="B23" s="29"/>
      <c r="C23" s="29"/>
      <c r="D23" s="29"/>
      <c r="E23" s="28" t="str">
        <f>IF(A23="","",IF(COUNTIF('15_評価計画・品質ゲート'!$V$4:$V$103,D23)&lt;&gt;1,"参照ID不正",IF(INDEX('15_評価計画・品質ゲート'!$A$4:$A$103,MATCH(D23,'15_評価計画・品質ゲート'!$V$4:$V$103,0))="","",INDEX('15_評価計画・品質ゲート'!$A$4:$A$103,MATCH(D23,'15_評価計画・品質ゲート'!$V$4:$V$103,0)))))</f>
        <v/>
      </c>
      <c r="F23" s="29"/>
      <c r="G23" s="29"/>
      <c r="H23" s="29"/>
      <c r="I23" s="29"/>
      <c r="J23" s="29"/>
      <c r="K23" s="29"/>
      <c r="L23" s="28" t="str">
        <f>IF(OR(A23="",G23=""),"",IF(COUNTIF('16_評価実績インデックス'!$A$4:$A$103,G23)&lt;&gt;1,"参照ID不正",IF(INDEX('16_評価実績インデックス'!$O$4:$O$103,MATCH(G23,'16_評価実績インデックス'!$A$4:$A$103,0))="","",INDEX('16_評価実績インデックス'!$O$4:$O$103,MATCH(G23,'16_評価実績インデックス'!$A$4:$A$103,0)))))</f>
        <v/>
      </c>
      <c r="M23" s="28" t="str">
        <f>IF(A23="","",IF(OR(COUNTIF($A$4:$A$153,A23)&lt;&gt;1,COUNTIFS($B$4:$B$153,B23,$C$4:$C$153,C23,$D$4:$D$153,D23)&lt;&gt;1),"集合ID・計画重複",IF(OR(OR(B23="",C23="",D23="",I23="",J23="",O23=""),NOT(ISNUMBER(K23))),"集合承認不足",IF(OR(AND(K23&lt;&gt;"",OR(NOT(ISNUMBER(K23)),IFERROR(K23&lt;1,TRUE),IFERROR(INT(K23)&gt;INT(AsOfDate),TRUE)))),"集合承認日不正",IF(COUNTIF(EvalPlanKeys,D23)&lt;&gt;1,"PlanKey不正",IF(C23&lt;&gt;IF(COUNTIF('15_評価計画・品質ゲート'!$V$4:$V$103,D23)&lt;&gt;1,"参照ID不正",IF(INDEX('15_評価計画・品質ゲート'!$U$4:$U$103,MATCH(D23,'15_評価計画・品質ゲート'!$V$4:$V$103,0))="","",INDEX('15_評価計画・品質ゲート'!$U$4:$U$103,MATCH(D23,'15_評価計画・品質ゲート'!$V$4:$V$103,0)))),"計画Manifest不一致",IF(F23="対象外",IF(H23="","対象外理由不足","対象外承認"),IF(F23&lt;&gt;"必須","適用未判定",IF(OR(G23="",COUNTIF('16_評価実績インデックス'!$A$4:$A$103,G23)&lt;&gt;1),"評価Run不足・不正",IF(OR(C23&lt;&gt;IF(COUNTIF('16_評価実績インデックス'!$A$4:$A$103,G23)&lt;&gt;1,"参照ID不正",IF(INDEX('16_評価実績インデックス'!$T$4:$T$103,MATCH(G23,'16_評価実績インデックス'!$A$4:$A$103,0))="","",INDEX('16_評価実績インデックス'!$T$4:$T$103,MATCH(G23,'16_評価実績インデックス'!$A$4:$A$103,0)))),D23&lt;&gt;IF(COUNTIF('16_評価実績インデックス'!$A$4:$A$103,G23)&lt;&gt;1,"参照ID不正",IF(INDEX('16_評価実績インデックス'!$B$4:$B$103,MATCH(G23,'16_評価実績インデックス'!$A$4:$A$103,0))="","",INDEX('16_評価実績インデックス'!$B$4:$B$103,MATCH(G23,'16_評価実績インデックス'!$A$4:$A$103,0)))),B23&lt;&gt;IF(COUNTIF('16_評価実績インデックス'!$A$4:$A$103,G23)&lt;&gt;1,"参照ID不正",IF(INDEX('16_評価実績インデックス'!$C$4:$C$103,MATCH(G23,'16_評価実績インデックス'!$A$4:$A$103,0))="","",INDEX('16_評価実績インデックス'!$C$4:$C$103,MATCH(G23,'16_評価実績インデックス'!$A$4:$A$103,0))))),"評価対象不一致",IF(IF(COUNTIF('16_評価実績インデックス'!$A$4:$A$103,G23)&lt;&gt;1,"参照ID不正",IF(INDEX('16_評価実績インデックス'!$S$4:$S$103,MATCH(G23,'16_評価実績インデックス'!$A$4:$A$103,0))="","",INDEX('16_評価実績インデックス'!$S$4:$S$103,MATCH(G23,'16_評価実績インデックス'!$A$4:$A$103,0))))&lt;&gt;"記録あり・内容審査別","評価記録未充足",IF(L23&lt;&gt;"合格","必要評価不合格・未確定","評価充足"))))))))))))</f>
        <v/>
      </c>
      <c r="N23" s="28">
        <f t="shared" si="0"/>
        <v>0</v>
      </c>
      <c r="O23" s="29"/>
      <c r="P23" s="29"/>
    </row>
    <row r="24" spans="1:16" ht="64" customHeight="1" x14ac:dyDescent="0.2">
      <c r="A24" s="29"/>
      <c r="B24" s="29"/>
      <c r="C24" s="29"/>
      <c r="D24" s="29"/>
      <c r="E24" s="28" t="str">
        <f>IF(A24="","",IF(COUNTIF('15_評価計画・品質ゲート'!$V$4:$V$103,D24)&lt;&gt;1,"参照ID不正",IF(INDEX('15_評価計画・品質ゲート'!$A$4:$A$103,MATCH(D24,'15_評価計画・品質ゲート'!$V$4:$V$103,0))="","",INDEX('15_評価計画・品質ゲート'!$A$4:$A$103,MATCH(D24,'15_評価計画・品質ゲート'!$V$4:$V$103,0)))))</f>
        <v/>
      </c>
      <c r="F24" s="29"/>
      <c r="G24" s="29"/>
      <c r="H24" s="29"/>
      <c r="I24" s="29"/>
      <c r="J24" s="29"/>
      <c r="K24" s="29"/>
      <c r="L24" s="28" t="str">
        <f>IF(OR(A24="",G24=""),"",IF(COUNTIF('16_評価実績インデックス'!$A$4:$A$103,G24)&lt;&gt;1,"参照ID不正",IF(INDEX('16_評価実績インデックス'!$O$4:$O$103,MATCH(G24,'16_評価実績インデックス'!$A$4:$A$103,0))="","",INDEX('16_評価実績インデックス'!$O$4:$O$103,MATCH(G24,'16_評価実績インデックス'!$A$4:$A$103,0)))))</f>
        <v/>
      </c>
      <c r="M24" s="28" t="str">
        <f>IF(A24="","",IF(OR(COUNTIF($A$4:$A$153,A24)&lt;&gt;1,COUNTIFS($B$4:$B$153,B24,$C$4:$C$153,C24,$D$4:$D$153,D24)&lt;&gt;1),"集合ID・計画重複",IF(OR(OR(B24="",C24="",D24="",I24="",J24="",O24=""),NOT(ISNUMBER(K24))),"集合承認不足",IF(OR(AND(K24&lt;&gt;"",OR(NOT(ISNUMBER(K24)),IFERROR(K24&lt;1,TRUE),IFERROR(INT(K24)&gt;INT(AsOfDate),TRUE)))),"集合承認日不正",IF(COUNTIF(EvalPlanKeys,D24)&lt;&gt;1,"PlanKey不正",IF(C24&lt;&gt;IF(COUNTIF('15_評価計画・品質ゲート'!$V$4:$V$103,D24)&lt;&gt;1,"参照ID不正",IF(INDEX('15_評価計画・品質ゲート'!$U$4:$U$103,MATCH(D24,'15_評価計画・品質ゲート'!$V$4:$V$103,0))="","",INDEX('15_評価計画・品質ゲート'!$U$4:$U$103,MATCH(D24,'15_評価計画・品質ゲート'!$V$4:$V$103,0)))),"計画Manifest不一致",IF(F24="対象外",IF(H24="","対象外理由不足","対象外承認"),IF(F24&lt;&gt;"必須","適用未判定",IF(OR(G24="",COUNTIF('16_評価実績インデックス'!$A$4:$A$103,G24)&lt;&gt;1),"評価Run不足・不正",IF(OR(C24&lt;&gt;IF(COUNTIF('16_評価実績インデックス'!$A$4:$A$103,G24)&lt;&gt;1,"参照ID不正",IF(INDEX('16_評価実績インデックス'!$T$4:$T$103,MATCH(G24,'16_評価実績インデックス'!$A$4:$A$103,0))="","",INDEX('16_評価実績インデックス'!$T$4:$T$103,MATCH(G24,'16_評価実績インデックス'!$A$4:$A$103,0)))),D24&lt;&gt;IF(COUNTIF('16_評価実績インデックス'!$A$4:$A$103,G24)&lt;&gt;1,"参照ID不正",IF(INDEX('16_評価実績インデックス'!$B$4:$B$103,MATCH(G24,'16_評価実績インデックス'!$A$4:$A$103,0))="","",INDEX('16_評価実績インデックス'!$B$4:$B$103,MATCH(G24,'16_評価実績インデックス'!$A$4:$A$103,0)))),B24&lt;&gt;IF(COUNTIF('16_評価実績インデックス'!$A$4:$A$103,G24)&lt;&gt;1,"参照ID不正",IF(INDEX('16_評価実績インデックス'!$C$4:$C$103,MATCH(G24,'16_評価実績インデックス'!$A$4:$A$103,0))="","",INDEX('16_評価実績インデックス'!$C$4:$C$103,MATCH(G24,'16_評価実績インデックス'!$A$4:$A$103,0))))),"評価対象不一致",IF(IF(COUNTIF('16_評価実績インデックス'!$A$4:$A$103,G24)&lt;&gt;1,"参照ID不正",IF(INDEX('16_評価実績インデックス'!$S$4:$S$103,MATCH(G24,'16_評価実績インデックス'!$A$4:$A$103,0))="","",INDEX('16_評価実績インデックス'!$S$4:$S$103,MATCH(G24,'16_評価実績インデックス'!$A$4:$A$103,0))))&lt;&gt;"記録あり・内容審査別","評価記録未充足",IF(L24&lt;&gt;"合格","必要評価不合格・未確定","評価充足"))))))))))))</f>
        <v/>
      </c>
      <c r="N24" s="28">
        <f t="shared" si="0"/>
        <v>0</v>
      </c>
      <c r="O24" s="29"/>
      <c r="P24" s="29"/>
    </row>
    <row r="25" spans="1:16" ht="64" customHeight="1" x14ac:dyDescent="0.2">
      <c r="A25" s="29"/>
      <c r="B25" s="29"/>
      <c r="C25" s="29"/>
      <c r="D25" s="29"/>
      <c r="E25" s="28" t="str">
        <f>IF(A25="","",IF(COUNTIF('15_評価計画・品質ゲート'!$V$4:$V$103,D25)&lt;&gt;1,"参照ID不正",IF(INDEX('15_評価計画・品質ゲート'!$A$4:$A$103,MATCH(D25,'15_評価計画・品質ゲート'!$V$4:$V$103,0))="","",INDEX('15_評価計画・品質ゲート'!$A$4:$A$103,MATCH(D25,'15_評価計画・品質ゲート'!$V$4:$V$103,0)))))</f>
        <v/>
      </c>
      <c r="F25" s="29"/>
      <c r="G25" s="29"/>
      <c r="H25" s="29"/>
      <c r="I25" s="29"/>
      <c r="J25" s="29"/>
      <c r="K25" s="29"/>
      <c r="L25" s="28" t="str">
        <f>IF(OR(A25="",G25=""),"",IF(COUNTIF('16_評価実績インデックス'!$A$4:$A$103,G25)&lt;&gt;1,"参照ID不正",IF(INDEX('16_評価実績インデックス'!$O$4:$O$103,MATCH(G25,'16_評価実績インデックス'!$A$4:$A$103,0))="","",INDEX('16_評価実績インデックス'!$O$4:$O$103,MATCH(G25,'16_評価実績インデックス'!$A$4:$A$103,0)))))</f>
        <v/>
      </c>
      <c r="M25" s="28" t="str">
        <f>IF(A25="","",IF(OR(COUNTIF($A$4:$A$153,A25)&lt;&gt;1,COUNTIFS($B$4:$B$153,B25,$C$4:$C$153,C25,$D$4:$D$153,D25)&lt;&gt;1),"集合ID・計画重複",IF(OR(OR(B25="",C25="",D25="",I25="",J25="",O25=""),NOT(ISNUMBER(K25))),"集合承認不足",IF(OR(AND(K25&lt;&gt;"",OR(NOT(ISNUMBER(K25)),IFERROR(K25&lt;1,TRUE),IFERROR(INT(K25)&gt;INT(AsOfDate),TRUE)))),"集合承認日不正",IF(COUNTIF(EvalPlanKeys,D25)&lt;&gt;1,"PlanKey不正",IF(C25&lt;&gt;IF(COUNTIF('15_評価計画・品質ゲート'!$V$4:$V$103,D25)&lt;&gt;1,"参照ID不正",IF(INDEX('15_評価計画・品質ゲート'!$U$4:$U$103,MATCH(D25,'15_評価計画・品質ゲート'!$V$4:$V$103,0))="","",INDEX('15_評価計画・品質ゲート'!$U$4:$U$103,MATCH(D25,'15_評価計画・品質ゲート'!$V$4:$V$103,0)))),"計画Manifest不一致",IF(F25="対象外",IF(H25="","対象外理由不足","対象外承認"),IF(F25&lt;&gt;"必須","適用未判定",IF(OR(G25="",COUNTIF('16_評価実績インデックス'!$A$4:$A$103,G25)&lt;&gt;1),"評価Run不足・不正",IF(OR(C25&lt;&gt;IF(COUNTIF('16_評価実績インデックス'!$A$4:$A$103,G25)&lt;&gt;1,"参照ID不正",IF(INDEX('16_評価実績インデックス'!$T$4:$T$103,MATCH(G25,'16_評価実績インデックス'!$A$4:$A$103,0))="","",INDEX('16_評価実績インデックス'!$T$4:$T$103,MATCH(G25,'16_評価実績インデックス'!$A$4:$A$103,0)))),D25&lt;&gt;IF(COUNTIF('16_評価実績インデックス'!$A$4:$A$103,G25)&lt;&gt;1,"参照ID不正",IF(INDEX('16_評価実績インデックス'!$B$4:$B$103,MATCH(G25,'16_評価実績インデックス'!$A$4:$A$103,0))="","",INDEX('16_評価実績インデックス'!$B$4:$B$103,MATCH(G25,'16_評価実績インデックス'!$A$4:$A$103,0)))),B25&lt;&gt;IF(COUNTIF('16_評価実績インデックス'!$A$4:$A$103,G25)&lt;&gt;1,"参照ID不正",IF(INDEX('16_評価実績インデックス'!$C$4:$C$103,MATCH(G25,'16_評価実績インデックス'!$A$4:$A$103,0))="","",INDEX('16_評価実績インデックス'!$C$4:$C$103,MATCH(G25,'16_評価実績インデックス'!$A$4:$A$103,0))))),"評価対象不一致",IF(IF(COUNTIF('16_評価実績インデックス'!$A$4:$A$103,G25)&lt;&gt;1,"参照ID不正",IF(INDEX('16_評価実績インデックス'!$S$4:$S$103,MATCH(G25,'16_評価実績インデックス'!$A$4:$A$103,0))="","",INDEX('16_評価実績インデックス'!$S$4:$S$103,MATCH(G25,'16_評価実績インデックス'!$A$4:$A$103,0))))&lt;&gt;"記録あり・内容審査別","評価記録未充足",IF(L25&lt;&gt;"合格","必要評価不合格・未確定","評価充足"))))))))))))</f>
        <v/>
      </c>
      <c r="N25" s="28">
        <f t="shared" si="0"/>
        <v>0</v>
      </c>
      <c r="O25" s="29"/>
      <c r="P25" s="29"/>
    </row>
    <row r="26" spans="1:16" ht="64" customHeight="1" x14ac:dyDescent="0.2">
      <c r="A26" s="29"/>
      <c r="B26" s="29"/>
      <c r="C26" s="29"/>
      <c r="D26" s="29"/>
      <c r="E26" s="28" t="str">
        <f>IF(A26="","",IF(COUNTIF('15_評価計画・品質ゲート'!$V$4:$V$103,D26)&lt;&gt;1,"参照ID不正",IF(INDEX('15_評価計画・品質ゲート'!$A$4:$A$103,MATCH(D26,'15_評価計画・品質ゲート'!$V$4:$V$103,0))="","",INDEX('15_評価計画・品質ゲート'!$A$4:$A$103,MATCH(D26,'15_評価計画・品質ゲート'!$V$4:$V$103,0)))))</f>
        <v/>
      </c>
      <c r="F26" s="29"/>
      <c r="G26" s="29"/>
      <c r="H26" s="29"/>
      <c r="I26" s="29"/>
      <c r="J26" s="29"/>
      <c r="K26" s="29"/>
      <c r="L26" s="28" t="str">
        <f>IF(OR(A26="",G26=""),"",IF(COUNTIF('16_評価実績インデックス'!$A$4:$A$103,G26)&lt;&gt;1,"参照ID不正",IF(INDEX('16_評価実績インデックス'!$O$4:$O$103,MATCH(G26,'16_評価実績インデックス'!$A$4:$A$103,0))="","",INDEX('16_評価実績インデックス'!$O$4:$O$103,MATCH(G26,'16_評価実績インデックス'!$A$4:$A$103,0)))))</f>
        <v/>
      </c>
      <c r="M26" s="28" t="str">
        <f>IF(A26="","",IF(OR(COUNTIF($A$4:$A$153,A26)&lt;&gt;1,COUNTIFS($B$4:$B$153,B26,$C$4:$C$153,C26,$D$4:$D$153,D26)&lt;&gt;1),"集合ID・計画重複",IF(OR(OR(B26="",C26="",D26="",I26="",J26="",O26=""),NOT(ISNUMBER(K26))),"集合承認不足",IF(OR(AND(K26&lt;&gt;"",OR(NOT(ISNUMBER(K26)),IFERROR(K26&lt;1,TRUE),IFERROR(INT(K26)&gt;INT(AsOfDate),TRUE)))),"集合承認日不正",IF(COUNTIF(EvalPlanKeys,D26)&lt;&gt;1,"PlanKey不正",IF(C26&lt;&gt;IF(COUNTIF('15_評価計画・品質ゲート'!$V$4:$V$103,D26)&lt;&gt;1,"参照ID不正",IF(INDEX('15_評価計画・品質ゲート'!$U$4:$U$103,MATCH(D26,'15_評価計画・品質ゲート'!$V$4:$V$103,0))="","",INDEX('15_評価計画・品質ゲート'!$U$4:$U$103,MATCH(D26,'15_評価計画・品質ゲート'!$V$4:$V$103,0)))),"計画Manifest不一致",IF(F26="対象外",IF(H26="","対象外理由不足","対象外承認"),IF(F26&lt;&gt;"必須","適用未判定",IF(OR(G26="",COUNTIF('16_評価実績インデックス'!$A$4:$A$103,G26)&lt;&gt;1),"評価Run不足・不正",IF(OR(C26&lt;&gt;IF(COUNTIF('16_評価実績インデックス'!$A$4:$A$103,G26)&lt;&gt;1,"参照ID不正",IF(INDEX('16_評価実績インデックス'!$T$4:$T$103,MATCH(G26,'16_評価実績インデックス'!$A$4:$A$103,0))="","",INDEX('16_評価実績インデックス'!$T$4:$T$103,MATCH(G26,'16_評価実績インデックス'!$A$4:$A$103,0)))),D26&lt;&gt;IF(COUNTIF('16_評価実績インデックス'!$A$4:$A$103,G26)&lt;&gt;1,"参照ID不正",IF(INDEX('16_評価実績インデックス'!$B$4:$B$103,MATCH(G26,'16_評価実績インデックス'!$A$4:$A$103,0))="","",INDEX('16_評価実績インデックス'!$B$4:$B$103,MATCH(G26,'16_評価実績インデックス'!$A$4:$A$103,0)))),B26&lt;&gt;IF(COUNTIF('16_評価実績インデックス'!$A$4:$A$103,G26)&lt;&gt;1,"参照ID不正",IF(INDEX('16_評価実績インデックス'!$C$4:$C$103,MATCH(G26,'16_評価実績インデックス'!$A$4:$A$103,0))="","",INDEX('16_評価実績インデックス'!$C$4:$C$103,MATCH(G26,'16_評価実績インデックス'!$A$4:$A$103,0))))),"評価対象不一致",IF(IF(COUNTIF('16_評価実績インデックス'!$A$4:$A$103,G26)&lt;&gt;1,"参照ID不正",IF(INDEX('16_評価実績インデックス'!$S$4:$S$103,MATCH(G26,'16_評価実績インデックス'!$A$4:$A$103,0))="","",INDEX('16_評価実績インデックス'!$S$4:$S$103,MATCH(G26,'16_評価実績インデックス'!$A$4:$A$103,0))))&lt;&gt;"記録あり・内容審査別","評価記録未充足",IF(L26&lt;&gt;"合格","必要評価不合格・未確定","評価充足"))))))))))))</f>
        <v/>
      </c>
      <c r="N26" s="28">
        <f t="shared" si="0"/>
        <v>0</v>
      </c>
      <c r="O26" s="29"/>
      <c r="P26" s="29"/>
    </row>
    <row r="27" spans="1:16" ht="64" customHeight="1" x14ac:dyDescent="0.2">
      <c r="A27" s="29"/>
      <c r="B27" s="29"/>
      <c r="C27" s="29"/>
      <c r="D27" s="29"/>
      <c r="E27" s="28" t="str">
        <f>IF(A27="","",IF(COUNTIF('15_評価計画・品質ゲート'!$V$4:$V$103,D27)&lt;&gt;1,"参照ID不正",IF(INDEX('15_評価計画・品質ゲート'!$A$4:$A$103,MATCH(D27,'15_評価計画・品質ゲート'!$V$4:$V$103,0))="","",INDEX('15_評価計画・品質ゲート'!$A$4:$A$103,MATCH(D27,'15_評価計画・品質ゲート'!$V$4:$V$103,0)))))</f>
        <v/>
      </c>
      <c r="F27" s="29"/>
      <c r="G27" s="29"/>
      <c r="H27" s="29"/>
      <c r="I27" s="29"/>
      <c r="J27" s="29"/>
      <c r="K27" s="29"/>
      <c r="L27" s="28" t="str">
        <f>IF(OR(A27="",G27=""),"",IF(COUNTIF('16_評価実績インデックス'!$A$4:$A$103,G27)&lt;&gt;1,"参照ID不正",IF(INDEX('16_評価実績インデックス'!$O$4:$O$103,MATCH(G27,'16_評価実績インデックス'!$A$4:$A$103,0))="","",INDEX('16_評価実績インデックス'!$O$4:$O$103,MATCH(G27,'16_評価実績インデックス'!$A$4:$A$103,0)))))</f>
        <v/>
      </c>
      <c r="M27" s="28" t="str">
        <f>IF(A27="","",IF(OR(COUNTIF($A$4:$A$153,A27)&lt;&gt;1,COUNTIFS($B$4:$B$153,B27,$C$4:$C$153,C27,$D$4:$D$153,D27)&lt;&gt;1),"集合ID・計画重複",IF(OR(OR(B27="",C27="",D27="",I27="",J27="",O27=""),NOT(ISNUMBER(K27))),"集合承認不足",IF(OR(AND(K27&lt;&gt;"",OR(NOT(ISNUMBER(K27)),IFERROR(K27&lt;1,TRUE),IFERROR(INT(K27)&gt;INT(AsOfDate),TRUE)))),"集合承認日不正",IF(COUNTIF(EvalPlanKeys,D27)&lt;&gt;1,"PlanKey不正",IF(C27&lt;&gt;IF(COUNTIF('15_評価計画・品質ゲート'!$V$4:$V$103,D27)&lt;&gt;1,"参照ID不正",IF(INDEX('15_評価計画・品質ゲート'!$U$4:$U$103,MATCH(D27,'15_評価計画・品質ゲート'!$V$4:$V$103,0))="","",INDEX('15_評価計画・品質ゲート'!$U$4:$U$103,MATCH(D27,'15_評価計画・品質ゲート'!$V$4:$V$103,0)))),"計画Manifest不一致",IF(F27="対象外",IF(H27="","対象外理由不足","対象外承認"),IF(F27&lt;&gt;"必須","適用未判定",IF(OR(G27="",COUNTIF('16_評価実績インデックス'!$A$4:$A$103,G27)&lt;&gt;1),"評価Run不足・不正",IF(OR(C27&lt;&gt;IF(COUNTIF('16_評価実績インデックス'!$A$4:$A$103,G27)&lt;&gt;1,"参照ID不正",IF(INDEX('16_評価実績インデックス'!$T$4:$T$103,MATCH(G27,'16_評価実績インデックス'!$A$4:$A$103,0))="","",INDEX('16_評価実績インデックス'!$T$4:$T$103,MATCH(G27,'16_評価実績インデックス'!$A$4:$A$103,0)))),D27&lt;&gt;IF(COUNTIF('16_評価実績インデックス'!$A$4:$A$103,G27)&lt;&gt;1,"参照ID不正",IF(INDEX('16_評価実績インデックス'!$B$4:$B$103,MATCH(G27,'16_評価実績インデックス'!$A$4:$A$103,0))="","",INDEX('16_評価実績インデックス'!$B$4:$B$103,MATCH(G27,'16_評価実績インデックス'!$A$4:$A$103,0)))),B27&lt;&gt;IF(COUNTIF('16_評価実績インデックス'!$A$4:$A$103,G27)&lt;&gt;1,"参照ID不正",IF(INDEX('16_評価実績インデックス'!$C$4:$C$103,MATCH(G27,'16_評価実績インデックス'!$A$4:$A$103,0))="","",INDEX('16_評価実績インデックス'!$C$4:$C$103,MATCH(G27,'16_評価実績インデックス'!$A$4:$A$103,0))))),"評価対象不一致",IF(IF(COUNTIF('16_評価実績インデックス'!$A$4:$A$103,G27)&lt;&gt;1,"参照ID不正",IF(INDEX('16_評価実績インデックス'!$S$4:$S$103,MATCH(G27,'16_評価実績インデックス'!$A$4:$A$103,0))="","",INDEX('16_評価実績インデックス'!$S$4:$S$103,MATCH(G27,'16_評価実績インデックス'!$A$4:$A$103,0))))&lt;&gt;"記録あり・内容審査別","評価記録未充足",IF(L27&lt;&gt;"合格","必要評価不合格・未確定","評価充足"))))))))))))</f>
        <v/>
      </c>
      <c r="N27" s="28">
        <f t="shared" si="0"/>
        <v>0</v>
      </c>
      <c r="O27" s="29"/>
      <c r="P27" s="29"/>
    </row>
    <row r="28" spans="1:16" ht="64" customHeight="1" x14ac:dyDescent="0.2">
      <c r="A28" s="29"/>
      <c r="B28" s="29"/>
      <c r="C28" s="29"/>
      <c r="D28" s="29"/>
      <c r="E28" s="28" t="str">
        <f>IF(A28="","",IF(COUNTIF('15_評価計画・品質ゲート'!$V$4:$V$103,D28)&lt;&gt;1,"参照ID不正",IF(INDEX('15_評価計画・品質ゲート'!$A$4:$A$103,MATCH(D28,'15_評価計画・品質ゲート'!$V$4:$V$103,0))="","",INDEX('15_評価計画・品質ゲート'!$A$4:$A$103,MATCH(D28,'15_評価計画・品質ゲート'!$V$4:$V$103,0)))))</f>
        <v/>
      </c>
      <c r="F28" s="29"/>
      <c r="G28" s="29"/>
      <c r="H28" s="29"/>
      <c r="I28" s="29"/>
      <c r="J28" s="29"/>
      <c r="K28" s="29"/>
      <c r="L28" s="28" t="str">
        <f>IF(OR(A28="",G28=""),"",IF(COUNTIF('16_評価実績インデックス'!$A$4:$A$103,G28)&lt;&gt;1,"参照ID不正",IF(INDEX('16_評価実績インデックス'!$O$4:$O$103,MATCH(G28,'16_評価実績インデックス'!$A$4:$A$103,0))="","",INDEX('16_評価実績インデックス'!$O$4:$O$103,MATCH(G28,'16_評価実績インデックス'!$A$4:$A$103,0)))))</f>
        <v/>
      </c>
      <c r="M28" s="28" t="str">
        <f>IF(A28="","",IF(OR(COUNTIF($A$4:$A$153,A28)&lt;&gt;1,COUNTIFS($B$4:$B$153,B28,$C$4:$C$153,C28,$D$4:$D$153,D28)&lt;&gt;1),"集合ID・計画重複",IF(OR(OR(B28="",C28="",D28="",I28="",J28="",O28=""),NOT(ISNUMBER(K28))),"集合承認不足",IF(OR(AND(K28&lt;&gt;"",OR(NOT(ISNUMBER(K28)),IFERROR(K28&lt;1,TRUE),IFERROR(INT(K28)&gt;INT(AsOfDate),TRUE)))),"集合承認日不正",IF(COUNTIF(EvalPlanKeys,D28)&lt;&gt;1,"PlanKey不正",IF(C28&lt;&gt;IF(COUNTIF('15_評価計画・品質ゲート'!$V$4:$V$103,D28)&lt;&gt;1,"参照ID不正",IF(INDEX('15_評価計画・品質ゲート'!$U$4:$U$103,MATCH(D28,'15_評価計画・品質ゲート'!$V$4:$V$103,0))="","",INDEX('15_評価計画・品質ゲート'!$U$4:$U$103,MATCH(D28,'15_評価計画・品質ゲート'!$V$4:$V$103,0)))),"計画Manifest不一致",IF(F28="対象外",IF(H28="","対象外理由不足","対象外承認"),IF(F28&lt;&gt;"必須","適用未判定",IF(OR(G28="",COUNTIF('16_評価実績インデックス'!$A$4:$A$103,G28)&lt;&gt;1),"評価Run不足・不正",IF(OR(C28&lt;&gt;IF(COUNTIF('16_評価実績インデックス'!$A$4:$A$103,G28)&lt;&gt;1,"参照ID不正",IF(INDEX('16_評価実績インデックス'!$T$4:$T$103,MATCH(G28,'16_評価実績インデックス'!$A$4:$A$103,0))="","",INDEX('16_評価実績インデックス'!$T$4:$T$103,MATCH(G28,'16_評価実績インデックス'!$A$4:$A$103,0)))),D28&lt;&gt;IF(COUNTIF('16_評価実績インデックス'!$A$4:$A$103,G28)&lt;&gt;1,"参照ID不正",IF(INDEX('16_評価実績インデックス'!$B$4:$B$103,MATCH(G28,'16_評価実績インデックス'!$A$4:$A$103,0))="","",INDEX('16_評価実績インデックス'!$B$4:$B$103,MATCH(G28,'16_評価実績インデックス'!$A$4:$A$103,0)))),B28&lt;&gt;IF(COUNTIF('16_評価実績インデックス'!$A$4:$A$103,G28)&lt;&gt;1,"参照ID不正",IF(INDEX('16_評価実績インデックス'!$C$4:$C$103,MATCH(G28,'16_評価実績インデックス'!$A$4:$A$103,0))="","",INDEX('16_評価実績インデックス'!$C$4:$C$103,MATCH(G28,'16_評価実績インデックス'!$A$4:$A$103,0))))),"評価対象不一致",IF(IF(COUNTIF('16_評価実績インデックス'!$A$4:$A$103,G28)&lt;&gt;1,"参照ID不正",IF(INDEX('16_評価実績インデックス'!$S$4:$S$103,MATCH(G28,'16_評価実績インデックス'!$A$4:$A$103,0))="","",INDEX('16_評価実績インデックス'!$S$4:$S$103,MATCH(G28,'16_評価実績インデックス'!$A$4:$A$103,0))))&lt;&gt;"記録あり・内容審査別","評価記録未充足",IF(L28&lt;&gt;"合格","必要評価不合格・未確定","評価充足"))))))))))))</f>
        <v/>
      </c>
      <c r="N28" s="28">
        <f t="shared" si="0"/>
        <v>0</v>
      </c>
      <c r="O28" s="29"/>
      <c r="P28" s="29"/>
    </row>
    <row r="29" spans="1:16" ht="64" customHeight="1" x14ac:dyDescent="0.2">
      <c r="A29" s="29"/>
      <c r="B29" s="29"/>
      <c r="C29" s="29"/>
      <c r="D29" s="29"/>
      <c r="E29" s="28" t="str">
        <f>IF(A29="","",IF(COUNTIF('15_評価計画・品質ゲート'!$V$4:$V$103,D29)&lt;&gt;1,"参照ID不正",IF(INDEX('15_評価計画・品質ゲート'!$A$4:$A$103,MATCH(D29,'15_評価計画・品質ゲート'!$V$4:$V$103,0))="","",INDEX('15_評価計画・品質ゲート'!$A$4:$A$103,MATCH(D29,'15_評価計画・品質ゲート'!$V$4:$V$103,0)))))</f>
        <v/>
      </c>
      <c r="F29" s="29"/>
      <c r="G29" s="29"/>
      <c r="H29" s="29"/>
      <c r="I29" s="29"/>
      <c r="J29" s="29"/>
      <c r="K29" s="29"/>
      <c r="L29" s="28" t="str">
        <f>IF(OR(A29="",G29=""),"",IF(COUNTIF('16_評価実績インデックス'!$A$4:$A$103,G29)&lt;&gt;1,"参照ID不正",IF(INDEX('16_評価実績インデックス'!$O$4:$O$103,MATCH(G29,'16_評価実績インデックス'!$A$4:$A$103,0))="","",INDEX('16_評価実績インデックス'!$O$4:$O$103,MATCH(G29,'16_評価実績インデックス'!$A$4:$A$103,0)))))</f>
        <v/>
      </c>
      <c r="M29" s="28" t="str">
        <f>IF(A29="","",IF(OR(COUNTIF($A$4:$A$153,A29)&lt;&gt;1,COUNTIFS($B$4:$B$153,B29,$C$4:$C$153,C29,$D$4:$D$153,D29)&lt;&gt;1),"集合ID・計画重複",IF(OR(OR(B29="",C29="",D29="",I29="",J29="",O29=""),NOT(ISNUMBER(K29))),"集合承認不足",IF(OR(AND(K29&lt;&gt;"",OR(NOT(ISNUMBER(K29)),IFERROR(K29&lt;1,TRUE),IFERROR(INT(K29)&gt;INT(AsOfDate),TRUE)))),"集合承認日不正",IF(COUNTIF(EvalPlanKeys,D29)&lt;&gt;1,"PlanKey不正",IF(C29&lt;&gt;IF(COUNTIF('15_評価計画・品質ゲート'!$V$4:$V$103,D29)&lt;&gt;1,"参照ID不正",IF(INDEX('15_評価計画・品質ゲート'!$U$4:$U$103,MATCH(D29,'15_評価計画・品質ゲート'!$V$4:$V$103,0))="","",INDEX('15_評価計画・品質ゲート'!$U$4:$U$103,MATCH(D29,'15_評価計画・品質ゲート'!$V$4:$V$103,0)))),"計画Manifest不一致",IF(F29="対象外",IF(H29="","対象外理由不足","対象外承認"),IF(F29&lt;&gt;"必須","適用未判定",IF(OR(G29="",COUNTIF('16_評価実績インデックス'!$A$4:$A$103,G29)&lt;&gt;1),"評価Run不足・不正",IF(OR(C29&lt;&gt;IF(COUNTIF('16_評価実績インデックス'!$A$4:$A$103,G29)&lt;&gt;1,"参照ID不正",IF(INDEX('16_評価実績インデックス'!$T$4:$T$103,MATCH(G29,'16_評価実績インデックス'!$A$4:$A$103,0))="","",INDEX('16_評価実績インデックス'!$T$4:$T$103,MATCH(G29,'16_評価実績インデックス'!$A$4:$A$103,0)))),D29&lt;&gt;IF(COUNTIF('16_評価実績インデックス'!$A$4:$A$103,G29)&lt;&gt;1,"参照ID不正",IF(INDEX('16_評価実績インデックス'!$B$4:$B$103,MATCH(G29,'16_評価実績インデックス'!$A$4:$A$103,0))="","",INDEX('16_評価実績インデックス'!$B$4:$B$103,MATCH(G29,'16_評価実績インデックス'!$A$4:$A$103,0)))),B29&lt;&gt;IF(COUNTIF('16_評価実績インデックス'!$A$4:$A$103,G29)&lt;&gt;1,"参照ID不正",IF(INDEX('16_評価実績インデックス'!$C$4:$C$103,MATCH(G29,'16_評価実績インデックス'!$A$4:$A$103,0))="","",INDEX('16_評価実績インデックス'!$C$4:$C$103,MATCH(G29,'16_評価実績インデックス'!$A$4:$A$103,0))))),"評価対象不一致",IF(IF(COUNTIF('16_評価実績インデックス'!$A$4:$A$103,G29)&lt;&gt;1,"参照ID不正",IF(INDEX('16_評価実績インデックス'!$S$4:$S$103,MATCH(G29,'16_評価実績インデックス'!$A$4:$A$103,0))="","",INDEX('16_評価実績インデックス'!$S$4:$S$103,MATCH(G29,'16_評価実績インデックス'!$A$4:$A$103,0))))&lt;&gt;"記録あり・内容審査別","評価記録未充足",IF(L29&lt;&gt;"合格","必要評価不合格・未確定","評価充足"))))))))))))</f>
        <v/>
      </c>
      <c r="N29" s="28">
        <f t="shared" si="0"/>
        <v>0</v>
      </c>
      <c r="O29" s="29"/>
      <c r="P29" s="29"/>
    </row>
    <row r="30" spans="1:16" ht="64" customHeight="1" x14ac:dyDescent="0.2">
      <c r="A30" s="29"/>
      <c r="B30" s="29"/>
      <c r="C30" s="29"/>
      <c r="D30" s="29"/>
      <c r="E30" s="28" t="str">
        <f>IF(A30="","",IF(COUNTIF('15_評価計画・品質ゲート'!$V$4:$V$103,D30)&lt;&gt;1,"参照ID不正",IF(INDEX('15_評価計画・品質ゲート'!$A$4:$A$103,MATCH(D30,'15_評価計画・品質ゲート'!$V$4:$V$103,0))="","",INDEX('15_評価計画・品質ゲート'!$A$4:$A$103,MATCH(D30,'15_評価計画・品質ゲート'!$V$4:$V$103,0)))))</f>
        <v/>
      </c>
      <c r="F30" s="29"/>
      <c r="G30" s="29"/>
      <c r="H30" s="29"/>
      <c r="I30" s="29"/>
      <c r="J30" s="29"/>
      <c r="K30" s="29"/>
      <c r="L30" s="28" t="str">
        <f>IF(OR(A30="",G30=""),"",IF(COUNTIF('16_評価実績インデックス'!$A$4:$A$103,G30)&lt;&gt;1,"参照ID不正",IF(INDEX('16_評価実績インデックス'!$O$4:$O$103,MATCH(G30,'16_評価実績インデックス'!$A$4:$A$103,0))="","",INDEX('16_評価実績インデックス'!$O$4:$O$103,MATCH(G30,'16_評価実績インデックス'!$A$4:$A$103,0)))))</f>
        <v/>
      </c>
      <c r="M30" s="28" t="str">
        <f>IF(A30="","",IF(OR(COUNTIF($A$4:$A$153,A30)&lt;&gt;1,COUNTIFS($B$4:$B$153,B30,$C$4:$C$153,C30,$D$4:$D$153,D30)&lt;&gt;1),"集合ID・計画重複",IF(OR(OR(B30="",C30="",D30="",I30="",J30="",O30=""),NOT(ISNUMBER(K30))),"集合承認不足",IF(OR(AND(K30&lt;&gt;"",OR(NOT(ISNUMBER(K30)),IFERROR(K30&lt;1,TRUE),IFERROR(INT(K30)&gt;INT(AsOfDate),TRUE)))),"集合承認日不正",IF(COUNTIF(EvalPlanKeys,D30)&lt;&gt;1,"PlanKey不正",IF(C30&lt;&gt;IF(COUNTIF('15_評価計画・品質ゲート'!$V$4:$V$103,D30)&lt;&gt;1,"参照ID不正",IF(INDEX('15_評価計画・品質ゲート'!$U$4:$U$103,MATCH(D30,'15_評価計画・品質ゲート'!$V$4:$V$103,0))="","",INDEX('15_評価計画・品質ゲート'!$U$4:$U$103,MATCH(D30,'15_評価計画・品質ゲート'!$V$4:$V$103,0)))),"計画Manifest不一致",IF(F30="対象外",IF(H30="","対象外理由不足","対象外承認"),IF(F30&lt;&gt;"必須","適用未判定",IF(OR(G30="",COUNTIF('16_評価実績インデックス'!$A$4:$A$103,G30)&lt;&gt;1),"評価Run不足・不正",IF(OR(C30&lt;&gt;IF(COUNTIF('16_評価実績インデックス'!$A$4:$A$103,G30)&lt;&gt;1,"参照ID不正",IF(INDEX('16_評価実績インデックス'!$T$4:$T$103,MATCH(G30,'16_評価実績インデックス'!$A$4:$A$103,0))="","",INDEX('16_評価実績インデックス'!$T$4:$T$103,MATCH(G30,'16_評価実績インデックス'!$A$4:$A$103,0)))),D30&lt;&gt;IF(COUNTIF('16_評価実績インデックス'!$A$4:$A$103,G30)&lt;&gt;1,"参照ID不正",IF(INDEX('16_評価実績インデックス'!$B$4:$B$103,MATCH(G30,'16_評価実績インデックス'!$A$4:$A$103,0))="","",INDEX('16_評価実績インデックス'!$B$4:$B$103,MATCH(G30,'16_評価実績インデックス'!$A$4:$A$103,0)))),B30&lt;&gt;IF(COUNTIF('16_評価実績インデックス'!$A$4:$A$103,G30)&lt;&gt;1,"参照ID不正",IF(INDEX('16_評価実績インデックス'!$C$4:$C$103,MATCH(G30,'16_評価実績インデックス'!$A$4:$A$103,0))="","",INDEX('16_評価実績インデックス'!$C$4:$C$103,MATCH(G30,'16_評価実績インデックス'!$A$4:$A$103,0))))),"評価対象不一致",IF(IF(COUNTIF('16_評価実績インデックス'!$A$4:$A$103,G30)&lt;&gt;1,"参照ID不正",IF(INDEX('16_評価実績インデックス'!$S$4:$S$103,MATCH(G30,'16_評価実績インデックス'!$A$4:$A$103,0))="","",INDEX('16_評価実績インデックス'!$S$4:$S$103,MATCH(G30,'16_評価実績インデックス'!$A$4:$A$103,0))))&lt;&gt;"記録あり・内容審査別","評価記録未充足",IF(L30&lt;&gt;"合格","必要評価不合格・未確定","評価充足"))))))))))))</f>
        <v/>
      </c>
      <c r="N30" s="28">
        <f t="shared" si="0"/>
        <v>0</v>
      </c>
      <c r="O30" s="29"/>
      <c r="P30" s="29"/>
    </row>
    <row r="31" spans="1:16" ht="64" customHeight="1" x14ac:dyDescent="0.2">
      <c r="A31" s="29"/>
      <c r="B31" s="29"/>
      <c r="C31" s="29"/>
      <c r="D31" s="29"/>
      <c r="E31" s="28" t="str">
        <f>IF(A31="","",IF(COUNTIF('15_評価計画・品質ゲート'!$V$4:$V$103,D31)&lt;&gt;1,"参照ID不正",IF(INDEX('15_評価計画・品質ゲート'!$A$4:$A$103,MATCH(D31,'15_評価計画・品質ゲート'!$V$4:$V$103,0))="","",INDEX('15_評価計画・品質ゲート'!$A$4:$A$103,MATCH(D31,'15_評価計画・品質ゲート'!$V$4:$V$103,0)))))</f>
        <v/>
      </c>
      <c r="F31" s="29"/>
      <c r="G31" s="29"/>
      <c r="H31" s="29"/>
      <c r="I31" s="29"/>
      <c r="J31" s="29"/>
      <c r="K31" s="29"/>
      <c r="L31" s="28" t="str">
        <f>IF(OR(A31="",G31=""),"",IF(COUNTIF('16_評価実績インデックス'!$A$4:$A$103,G31)&lt;&gt;1,"参照ID不正",IF(INDEX('16_評価実績インデックス'!$O$4:$O$103,MATCH(G31,'16_評価実績インデックス'!$A$4:$A$103,0))="","",INDEX('16_評価実績インデックス'!$O$4:$O$103,MATCH(G31,'16_評価実績インデックス'!$A$4:$A$103,0)))))</f>
        <v/>
      </c>
      <c r="M31" s="28" t="str">
        <f>IF(A31="","",IF(OR(COUNTIF($A$4:$A$153,A31)&lt;&gt;1,COUNTIFS($B$4:$B$153,B31,$C$4:$C$153,C31,$D$4:$D$153,D31)&lt;&gt;1),"集合ID・計画重複",IF(OR(OR(B31="",C31="",D31="",I31="",J31="",O31=""),NOT(ISNUMBER(K31))),"集合承認不足",IF(OR(AND(K31&lt;&gt;"",OR(NOT(ISNUMBER(K31)),IFERROR(K31&lt;1,TRUE),IFERROR(INT(K31)&gt;INT(AsOfDate),TRUE)))),"集合承認日不正",IF(COUNTIF(EvalPlanKeys,D31)&lt;&gt;1,"PlanKey不正",IF(C31&lt;&gt;IF(COUNTIF('15_評価計画・品質ゲート'!$V$4:$V$103,D31)&lt;&gt;1,"参照ID不正",IF(INDEX('15_評価計画・品質ゲート'!$U$4:$U$103,MATCH(D31,'15_評価計画・品質ゲート'!$V$4:$V$103,0))="","",INDEX('15_評価計画・品質ゲート'!$U$4:$U$103,MATCH(D31,'15_評価計画・品質ゲート'!$V$4:$V$103,0)))),"計画Manifest不一致",IF(F31="対象外",IF(H31="","対象外理由不足","対象外承認"),IF(F31&lt;&gt;"必須","適用未判定",IF(OR(G31="",COUNTIF('16_評価実績インデックス'!$A$4:$A$103,G31)&lt;&gt;1),"評価Run不足・不正",IF(OR(C31&lt;&gt;IF(COUNTIF('16_評価実績インデックス'!$A$4:$A$103,G31)&lt;&gt;1,"参照ID不正",IF(INDEX('16_評価実績インデックス'!$T$4:$T$103,MATCH(G31,'16_評価実績インデックス'!$A$4:$A$103,0))="","",INDEX('16_評価実績インデックス'!$T$4:$T$103,MATCH(G31,'16_評価実績インデックス'!$A$4:$A$103,0)))),D31&lt;&gt;IF(COUNTIF('16_評価実績インデックス'!$A$4:$A$103,G31)&lt;&gt;1,"参照ID不正",IF(INDEX('16_評価実績インデックス'!$B$4:$B$103,MATCH(G31,'16_評価実績インデックス'!$A$4:$A$103,0))="","",INDEX('16_評価実績インデックス'!$B$4:$B$103,MATCH(G31,'16_評価実績インデックス'!$A$4:$A$103,0)))),B31&lt;&gt;IF(COUNTIF('16_評価実績インデックス'!$A$4:$A$103,G31)&lt;&gt;1,"参照ID不正",IF(INDEX('16_評価実績インデックス'!$C$4:$C$103,MATCH(G31,'16_評価実績インデックス'!$A$4:$A$103,0))="","",INDEX('16_評価実績インデックス'!$C$4:$C$103,MATCH(G31,'16_評価実績インデックス'!$A$4:$A$103,0))))),"評価対象不一致",IF(IF(COUNTIF('16_評価実績インデックス'!$A$4:$A$103,G31)&lt;&gt;1,"参照ID不正",IF(INDEX('16_評価実績インデックス'!$S$4:$S$103,MATCH(G31,'16_評価実績インデックス'!$A$4:$A$103,0))="","",INDEX('16_評価実績インデックス'!$S$4:$S$103,MATCH(G31,'16_評価実績インデックス'!$A$4:$A$103,0))))&lt;&gt;"記録あり・内容審査別","評価記録未充足",IF(L31&lt;&gt;"合格","必要評価不合格・未確定","評価充足"))))))))))))</f>
        <v/>
      </c>
      <c r="N31" s="28">
        <f t="shared" si="0"/>
        <v>0</v>
      </c>
      <c r="O31" s="29"/>
      <c r="P31" s="29"/>
    </row>
    <row r="32" spans="1:16" ht="64" customHeight="1" x14ac:dyDescent="0.2">
      <c r="A32" s="29"/>
      <c r="B32" s="29"/>
      <c r="C32" s="29"/>
      <c r="D32" s="29"/>
      <c r="E32" s="28" t="str">
        <f>IF(A32="","",IF(COUNTIF('15_評価計画・品質ゲート'!$V$4:$V$103,D32)&lt;&gt;1,"参照ID不正",IF(INDEX('15_評価計画・品質ゲート'!$A$4:$A$103,MATCH(D32,'15_評価計画・品質ゲート'!$V$4:$V$103,0))="","",INDEX('15_評価計画・品質ゲート'!$A$4:$A$103,MATCH(D32,'15_評価計画・品質ゲート'!$V$4:$V$103,0)))))</f>
        <v/>
      </c>
      <c r="F32" s="29"/>
      <c r="G32" s="29"/>
      <c r="H32" s="29"/>
      <c r="I32" s="29"/>
      <c r="J32" s="29"/>
      <c r="K32" s="29"/>
      <c r="L32" s="28" t="str">
        <f>IF(OR(A32="",G32=""),"",IF(COUNTIF('16_評価実績インデックス'!$A$4:$A$103,G32)&lt;&gt;1,"参照ID不正",IF(INDEX('16_評価実績インデックス'!$O$4:$O$103,MATCH(G32,'16_評価実績インデックス'!$A$4:$A$103,0))="","",INDEX('16_評価実績インデックス'!$O$4:$O$103,MATCH(G32,'16_評価実績インデックス'!$A$4:$A$103,0)))))</f>
        <v/>
      </c>
      <c r="M32" s="28" t="str">
        <f>IF(A32="","",IF(OR(COUNTIF($A$4:$A$153,A32)&lt;&gt;1,COUNTIFS($B$4:$B$153,B32,$C$4:$C$153,C32,$D$4:$D$153,D32)&lt;&gt;1),"集合ID・計画重複",IF(OR(OR(B32="",C32="",D32="",I32="",J32="",O32=""),NOT(ISNUMBER(K32))),"集合承認不足",IF(OR(AND(K32&lt;&gt;"",OR(NOT(ISNUMBER(K32)),IFERROR(K32&lt;1,TRUE),IFERROR(INT(K32)&gt;INT(AsOfDate),TRUE)))),"集合承認日不正",IF(COUNTIF(EvalPlanKeys,D32)&lt;&gt;1,"PlanKey不正",IF(C32&lt;&gt;IF(COUNTIF('15_評価計画・品質ゲート'!$V$4:$V$103,D32)&lt;&gt;1,"参照ID不正",IF(INDEX('15_評価計画・品質ゲート'!$U$4:$U$103,MATCH(D32,'15_評価計画・品質ゲート'!$V$4:$V$103,0))="","",INDEX('15_評価計画・品質ゲート'!$U$4:$U$103,MATCH(D32,'15_評価計画・品質ゲート'!$V$4:$V$103,0)))),"計画Manifest不一致",IF(F32="対象外",IF(H32="","対象外理由不足","対象外承認"),IF(F32&lt;&gt;"必須","適用未判定",IF(OR(G32="",COUNTIF('16_評価実績インデックス'!$A$4:$A$103,G32)&lt;&gt;1),"評価Run不足・不正",IF(OR(C32&lt;&gt;IF(COUNTIF('16_評価実績インデックス'!$A$4:$A$103,G32)&lt;&gt;1,"参照ID不正",IF(INDEX('16_評価実績インデックス'!$T$4:$T$103,MATCH(G32,'16_評価実績インデックス'!$A$4:$A$103,0))="","",INDEX('16_評価実績インデックス'!$T$4:$T$103,MATCH(G32,'16_評価実績インデックス'!$A$4:$A$103,0)))),D32&lt;&gt;IF(COUNTIF('16_評価実績インデックス'!$A$4:$A$103,G32)&lt;&gt;1,"参照ID不正",IF(INDEX('16_評価実績インデックス'!$B$4:$B$103,MATCH(G32,'16_評価実績インデックス'!$A$4:$A$103,0))="","",INDEX('16_評価実績インデックス'!$B$4:$B$103,MATCH(G32,'16_評価実績インデックス'!$A$4:$A$103,0)))),B32&lt;&gt;IF(COUNTIF('16_評価実績インデックス'!$A$4:$A$103,G32)&lt;&gt;1,"参照ID不正",IF(INDEX('16_評価実績インデックス'!$C$4:$C$103,MATCH(G32,'16_評価実績インデックス'!$A$4:$A$103,0))="","",INDEX('16_評価実績インデックス'!$C$4:$C$103,MATCH(G32,'16_評価実績インデックス'!$A$4:$A$103,0))))),"評価対象不一致",IF(IF(COUNTIF('16_評価実績インデックス'!$A$4:$A$103,G32)&lt;&gt;1,"参照ID不正",IF(INDEX('16_評価実績インデックス'!$S$4:$S$103,MATCH(G32,'16_評価実績インデックス'!$A$4:$A$103,0))="","",INDEX('16_評価実績インデックス'!$S$4:$S$103,MATCH(G32,'16_評価実績インデックス'!$A$4:$A$103,0))))&lt;&gt;"記録あり・内容審査別","評価記録未充足",IF(L32&lt;&gt;"合格","必要評価不合格・未確定","評価充足"))))))))))))</f>
        <v/>
      </c>
      <c r="N32" s="28">
        <f t="shared" si="0"/>
        <v>0</v>
      </c>
      <c r="O32" s="29"/>
      <c r="P32" s="29"/>
    </row>
    <row r="33" spans="1:16" ht="64" customHeight="1" x14ac:dyDescent="0.2">
      <c r="A33" s="29"/>
      <c r="B33" s="29"/>
      <c r="C33" s="29"/>
      <c r="D33" s="29"/>
      <c r="E33" s="28" t="str">
        <f>IF(A33="","",IF(COUNTIF('15_評価計画・品質ゲート'!$V$4:$V$103,D33)&lt;&gt;1,"参照ID不正",IF(INDEX('15_評価計画・品質ゲート'!$A$4:$A$103,MATCH(D33,'15_評価計画・品質ゲート'!$V$4:$V$103,0))="","",INDEX('15_評価計画・品質ゲート'!$A$4:$A$103,MATCH(D33,'15_評価計画・品質ゲート'!$V$4:$V$103,0)))))</f>
        <v/>
      </c>
      <c r="F33" s="29"/>
      <c r="G33" s="29"/>
      <c r="H33" s="29"/>
      <c r="I33" s="29"/>
      <c r="J33" s="29"/>
      <c r="K33" s="29"/>
      <c r="L33" s="28" t="str">
        <f>IF(OR(A33="",G33=""),"",IF(COUNTIF('16_評価実績インデックス'!$A$4:$A$103,G33)&lt;&gt;1,"参照ID不正",IF(INDEX('16_評価実績インデックス'!$O$4:$O$103,MATCH(G33,'16_評価実績インデックス'!$A$4:$A$103,0))="","",INDEX('16_評価実績インデックス'!$O$4:$O$103,MATCH(G33,'16_評価実績インデックス'!$A$4:$A$103,0)))))</f>
        <v/>
      </c>
      <c r="M33" s="28" t="str">
        <f>IF(A33="","",IF(OR(COUNTIF($A$4:$A$153,A33)&lt;&gt;1,COUNTIFS($B$4:$B$153,B33,$C$4:$C$153,C33,$D$4:$D$153,D33)&lt;&gt;1),"集合ID・計画重複",IF(OR(OR(B33="",C33="",D33="",I33="",J33="",O33=""),NOT(ISNUMBER(K33))),"集合承認不足",IF(OR(AND(K33&lt;&gt;"",OR(NOT(ISNUMBER(K33)),IFERROR(K33&lt;1,TRUE),IFERROR(INT(K33)&gt;INT(AsOfDate),TRUE)))),"集合承認日不正",IF(COUNTIF(EvalPlanKeys,D33)&lt;&gt;1,"PlanKey不正",IF(C33&lt;&gt;IF(COUNTIF('15_評価計画・品質ゲート'!$V$4:$V$103,D33)&lt;&gt;1,"参照ID不正",IF(INDEX('15_評価計画・品質ゲート'!$U$4:$U$103,MATCH(D33,'15_評価計画・品質ゲート'!$V$4:$V$103,0))="","",INDEX('15_評価計画・品質ゲート'!$U$4:$U$103,MATCH(D33,'15_評価計画・品質ゲート'!$V$4:$V$103,0)))),"計画Manifest不一致",IF(F33="対象外",IF(H33="","対象外理由不足","対象外承認"),IF(F33&lt;&gt;"必須","適用未判定",IF(OR(G33="",COUNTIF('16_評価実績インデックス'!$A$4:$A$103,G33)&lt;&gt;1),"評価Run不足・不正",IF(OR(C33&lt;&gt;IF(COUNTIF('16_評価実績インデックス'!$A$4:$A$103,G33)&lt;&gt;1,"参照ID不正",IF(INDEX('16_評価実績インデックス'!$T$4:$T$103,MATCH(G33,'16_評価実績インデックス'!$A$4:$A$103,0))="","",INDEX('16_評価実績インデックス'!$T$4:$T$103,MATCH(G33,'16_評価実績インデックス'!$A$4:$A$103,0)))),D33&lt;&gt;IF(COUNTIF('16_評価実績インデックス'!$A$4:$A$103,G33)&lt;&gt;1,"参照ID不正",IF(INDEX('16_評価実績インデックス'!$B$4:$B$103,MATCH(G33,'16_評価実績インデックス'!$A$4:$A$103,0))="","",INDEX('16_評価実績インデックス'!$B$4:$B$103,MATCH(G33,'16_評価実績インデックス'!$A$4:$A$103,0)))),B33&lt;&gt;IF(COUNTIF('16_評価実績インデックス'!$A$4:$A$103,G33)&lt;&gt;1,"参照ID不正",IF(INDEX('16_評価実績インデックス'!$C$4:$C$103,MATCH(G33,'16_評価実績インデックス'!$A$4:$A$103,0))="","",INDEX('16_評価実績インデックス'!$C$4:$C$103,MATCH(G33,'16_評価実績インデックス'!$A$4:$A$103,0))))),"評価対象不一致",IF(IF(COUNTIF('16_評価実績インデックス'!$A$4:$A$103,G33)&lt;&gt;1,"参照ID不正",IF(INDEX('16_評価実績インデックス'!$S$4:$S$103,MATCH(G33,'16_評価実績インデックス'!$A$4:$A$103,0))="","",INDEX('16_評価実績インデックス'!$S$4:$S$103,MATCH(G33,'16_評価実績インデックス'!$A$4:$A$103,0))))&lt;&gt;"記録あり・内容審査別","評価記録未充足",IF(L33&lt;&gt;"合格","必要評価不合格・未確定","評価充足"))))))))))))</f>
        <v/>
      </c>
      <c r="N33" s="28">
        <f t="shared" si="0"/>
        <v>0</v>
      </c>
      <c r="O33" s="29"/>
      <c r="P33" s="29"/>
    </row>
    <row r="34" spans="1:16" ht="64" customHeight="1" x14ac:dyDescent="0.2">
      <c r="A34" s="29"/>
      <c r="B34" s="29"/>
      <c r="C34" s="29"/>
      <c r="D34" s="29"/>
      <c r="E34" s="28" t="str">
        <f>IF(A34="","",IF(COUNTIF('15_評価計画・品質ゲート'!$V$4:$V$103,D34)&lt;&gt;1,"参照ID不正",IF(INDEX('15_評価計画・品質ゲート'!$A$4:$A$103,MATCH(D34,'15_評価計画・品質ゲート'!$V$4:$V$103,0))="","",INDEX('15_評価計画・品質ゲート'!$A$4:$A$103,MATCH(D34,'15_評価計画・品質ゲート'!$V$4:$V$103,0)))))</f>
        <v/>
      </c>
      <c r="F34" s="29"/>
      <c r="G34" s="29"/>
      <c r="H34" s="29"/>
      <c r="I34" s="29"/>
      <c r="J34" s="29"/>
      <c r="K34" s="29"/>
      <c r="L34" s="28" t="str">
        <f>IF(OR(A34="",G34=""),"",IF(COUNTIF('16_評価実績インデックス'!$A$4:$A$103,G34)&lt;&gt;1,"参照ID不正",IF(INDEX('16_評価実績インデックス'!$O$4:$O$103,MATCH(G34,'16_評価実績インデックス'!$A$4:$A$103,0))="","",INDEX('16_評価実績インデックス'!$O$4:$O$103,MATCH(G34,'16_評価実績インデックス'!$A$4:$A$103,0)))))</f>
        <v/>
      </c>
      <c r="M34" s="28" t="str">
        <f>IF(A34="","",IF(OR(COUNTIF($A$4:$A$153,A34)&lt;&gt;1,COUNTIFS($B$4:$B$153,B34,$C$4:$C$153,C34,$D$4:$D$153,D34)&lt;&gt;1),"集合ID・計画重複",IF(OR(OR(B34="",C34="",D34="",I34="",J34="",O34=""),NOT(ISNUMBER(K34))),"集合承認不足",IF(OR(AND(K34&lt;&gt;"",OR(NOT(ISNUMBER(K34)),IFERROR(K34&lt;1,TRUE),IFERROR(INT(K34)&gt;INT(AsOfDate),TRUE)))),"集合承認日不正",IF(COUNTIF(EvalPlanKeys,D34)&lt;&gt;1,"PlanKey不正",IF(C34&lt;&gt;IF(COUNTIF('15_評価計画・品質ゲート'!$V$4:$V$103,D34)&lt;&gt;1,"参照ID不正",IF(INDEX('15_評価計画・品質ゲート'!$U$4:$U$103,MATCH(D34,'15_評価計画・品質ゲート'!$V$4:$V$103,0))="","",INDEX('15_評価計画・品質ゲート'!$U$4:$U$103,MATCH(D34,'15_評価計画・品質ゲート'!$V$4:$V$103,0)))),"計画Manifest不一致",IF(F34="対象外",IF(H34="","対象外理由不足","対象外承認"),IF(F34&lt;&gt;"必須","適用未判定",IF(OR(G34="",COUNTIF('16_評価実績インデックス'!$A$4:$A$103,G34)&lt;&gt;1),"評価Run不足・不正",IF(OR(C34&lt;&gt;IF(COUNTIF('16_評価実績インデックス'!$A$4:$A$103,G34)&lt;&gt;1,"参照ID不正",IF(INDEX('16_評価実績インデックス'!$T$4:$T$103,MATCH(G34,'16_評価実績インデックス'!$A$4:$A$103,0))="","",INDEX('16_評価実績インデックス'!$T$4:$T$103,MATCH(G34,'16_評価実績インデックス'!$A$4:$A$103,0)))),D34&lt;&gt;IF(COUNTIF('16_評価実績インデックス'!$A$4:$A$103,G34)&lt;&gt;1,"参照ID不正",IF(INDEX('16_評価実績インデックス'!$B$4:$B$103,MATCH(G34,'16_評価実績インデックス'!$A$4:$A$103,0))="","",INDEX('16_評価実績インデックス'!$B$4:$B$103,MATCH(G34,'16_評価実績インデックス'!$A$4:$A$103,0)))),B34&lt;&gt;IF(COUNTIF('16_評価実績インデックス'!$A$4:$A$103,G34)&lt;&gt;1,"参照ID不正",IF(INDEX('16_評価実績インデックス'!$C$4:$C$103,MATCH(G34,'16_評価実績インデックス'!$A$4:$A$103,0))="","",INDEX('16_評価実績インデックス'!$C$4:$C$103,MATCH(G34,'16_評価実績インデックス'!$A$4:$A$103,0))))),"評価対象不一致",IF(IF(COUNTIF('16_評価実績インデックス'!$A$4:$A$103,G34)&lt;&gt;1,"参照ID不正",IF(INDEX('16_評価実績インデックス'!$S$4:$S$103,MATCH(G34,'16_評価実績インデックス'!$A$4:$A$103,0))="","",INDEX('16_評価実績インデックス'!$S$4:$S$103,MATCH(G34,'16_評価実績インデックス'!$A$4:$A$103,0))))&lt;&gt;"記録あり・内容審査別","評価記録未充足",IF(L34&lt;&gt;"合格","必要評価不合格・未確定","評価充足"))))))))))))</f>
        <v/>
      </c>
      <c r="N34" s="28">
        <f t="shared" si="0"/>
        <v>0</v>
      </c>
      <c r="O34" s="29"/>
      <c r="P34" s="29"/>
    </row>
    <row r="35" spans="1:16" ht="64" customHeight="1" x14ac:dyDescent="0.2">
      <c r="A35" s="29"/>
      <c r="B35" s="29"/>
      <c r="C35" s="29"/>
      <c r="D35" s="29"/>
      <c r="E35" s="28" t="str">
        <f>IF(A35="","",IF(COUNTIF('15_評価計画・品質ゲート'!$V$4:$V$103,D35)&lt;&gt;1,"参照ID不正",IF(INDEX('15_評価計画・品質ゲート'!$A$4:$A$103,MATCH(D35,'15_評価計画・品質ゲート'!$V$4:$V$103,0))="","",INDEX('15_評価計画・品質ゲート'!$A$4:$A$103,MATCH(D35,'15_評価計画・品質ゲート'!$V$4:$V$103,0)))))</f>
        <v/>
      </c>
      <c r="F35" s="29"/>
      <c r="G35" s="29"/>
      <c r="H35" s="29"/>
      <c r="I35" s="29"/>
      <c r="J35" s="29"/>
      <c r="K35" s="29"/>
      <c r="L35" s="28" t="str">
        <f>IF(OR(A35="",G35=""),"",IF(COUNTIF('16_評価実績インデックス'!$A$4:$A$103,G35)&lt;&gt;1,"参照ID不正",IF(INDEX('16_評価実績インデックス'!$O$4:$O$103,MATCH(G35,'16_評価実績インデックス'!$A$4:$A$103,0))="","",INDEX('16_評価実績インデックス'!$O$4:$O$103,MATCH(G35,'16_評価実績インデックス'!$A$4:$A$103,0)))))</f>
        <v/>
      </c>
      <c r="M35" s="28" t="str">
        <f>IF(A35="","",IF(OR(COUNTIF($A$4:$A$153,A35)&lt;&gt;1,COUNTIFS($B$4:$B$153,B35,$C$4:$C$153,C35,$D$4:$D$153,D35)&lt;&gt;1),"集合ID・計画重複",IF(OR(OR(B35="",C35="",D35="",I35="",J35="",O35=""),NOT(ISNUMBER(K35))),"集合承認不足",IF(OR(AND(K35&lt;&gt;"",OR(NOT(ISNUMBER(K35)),IFERROR(K35&lt;1,TRUE),IFERROR(INT(K35)&gt;INT(AsOfDate),TRUE)))),"集合承認日不正",IF(COUNTIF(EvalPlanKeys,D35)&lt;&gt;1,"PlanKey不正",IF(C35&lt;&gt;IF(COUNTIF('15_評価計画・品質ゲート'!$V$4:$V$103,D35)&lt;&gt;1,"参照ID不正",IF(INDEX('15_評価計画・品質ゲート'!$U$4:$U$103,MATCH(D35,'15_評価計画・品質ゲート'!$V$4:$V$103,0))="","",INDEX('15_評価計画・品質ゲート'!$U$4:$U$103,MATCH(D35,'15_評価計画・品質ゲート'!$V$4:$V$103,0)))),"計画Manifest不一致",IF(F35="対象外",IF(H35="","対象外理由不足","対象外承認"),IF(F35&lt;&gt;"必須","適用未判定",IF(OR(G35="",COUNTIF('16_評価実績インデックス'!$A$4:$A$103,G35)&lt;&gt;1),"評価Run不足・不正",IF(OR(C35&lt;&gt;IF(COUNTIF('16_評価実績インデックス'!$A$4:$A$103,G35)&lt;&gt;1,"参照ID不正",IF(INDEX('16_評価実績インデックス'!$T$4:$T$103,MATCH(G35,'16_評価実績インデックス'!$A$4:$A$103,0))="","",INDEX('16_評価実績インデックス'!$T$4:$T$103,MATCH(G35,'16_評価実績インデックス'!$A$4:$A$103,0)))),D35&lt;&gt;IF(COUNTIF('16_評価実績インデックス'!$A$4:$A$103,G35)&lt;&gt;1,"参照ID不正",IF(INDEX('16_評価実績インデックス'!$B$4:$B$103,MATCH(G35,'16_評価実績インデックス'!$A$4:$A$103,0))="","",INDEX('16_評価実績インデックス'!$B$4:$B$103,MATCH(G35,'16_評価実績インデックス'!$A$4:$A$103,0)))),B35&lt;&gt;IF(COUNTIF('16_評価実績インデックス'!$A$4:$A$103,G35)&lt;&gt;1,"参照ID不正",IF(INDEX('16_評価実績インデックス'!$C$4:$C$103,MATCH(G35,'16_評価実績インデックス'!$A$4:$A$103,0))="","",INDEX('16_評価実績インデックス'!$C$4:$C$103,MATCH(G35,'16_評価実績インデックス'!$A$4:$A$103,0))))),"評価対象不一致",IF(IF(COUNTIF('16_評価実績インデックス'!$A$4:$A$103,G35)&lt;&gt;1,"参照ID不正",IF(INDEX('16_評価実績インデックス'!$S$4:$S$103,MATCH(G35,'16_評価実績インデックス'!$A$4:$A$103,0))="","",INDEX('16_評価実績インデックス'!$S$4:$S$103,MATCH(G35,'16_評価実績インデックス'!$A$4:$A$103,0))))&lt;&gt;"記録あり・内容審査別","評価記録未充足",IF(L35&lt;&gt;"合格","必要評価不合格・未確定","評価充足"))))))))))))</f>
        <v/>
      </c>
      <c r="N35" s="28">
        <f t="shared" si="0"/>
        <v>0</v>
      </c>
      <c r="O35" s="29"/>
      <c r="P35" s="29"/>
    </row>
    <row r="36" spans="1:16" ht="64" customHeight="1" x14ac:dyDescent="0.2">
      <c r="A36" s="29"/>
      <c r="B36" s="29"/>
      <c r="C36" s="29"/>
      <c r="D36" s="29"/>
      <c r="E36" s="28" t="str">
        <f>IF(A36="","",IF(COUNTIF('15_評価計画・品質ゲート'!$V$4:$V$103,D36)&lt;&gt;1,"参照ID不正",IF(INDEX('15_評価計画・品質ゲート'!$A$4:$A$103,MATCH(D36,'15_評価計画・品質ゲート'!$V$4:$V$103,0))="","",INDEX('15_評価計画・品質ゲート'!$A$4:$A$103,MATCH(D36,'15_評価計画・品質ゲート'!$V$4:$V$103,0)))))</f>
        <v/>
      </c>
      <c r="F36" s="29"/>
      <c r="G36" s="29"/>
      <c r="H36" s="29"/>
      <c r="I36" s="29"/>
      <c r="J36" s="29"/>
      <c r="K36" s="29"/>
      <c r="L36" s="28" t="str">
        <f>IF(OR(A36="",G36=""),"",IF(COUNTIF('16_評価実績インデックス'!$A$4:$A$103,G36)&lt;&gt;1,"参照ID不正",IF(INDEX('16_評価実績インデックス'!$O$4:$O$103,MATCH(G36,'16_評価実績インデックス'!$A$4:$A$103,0))="","",INDEX('16_評価実績インデックス'!$O$4:$O$103,MATCH(G36,'16_評価実績インデックス'!$A$4:$A$103,0)))))</f>
        <v/>
      </c>
      <c r="M36" s="28" t="str">
        <f>IF(A36="","",IF(OR(COUNTIF($A$4:$A$153,A36)&lt;&gt;1,COUNTIFS($B$4:$B$153,B36,$C$4:$C$153,C36,$D$4:$D$153,D36)&lt;&gt;1),"集合ID・計画重複",IF(OR(OR(B36="",C36="",D36="",I36="",J36="",O36=""),NOT(ISNUMBER(K36))),"集合承認不足",IF(OR(AND(K36&lt;&gt;"",OR(NOT(ISNUMBER(K36)),IFERROR(K36&lt;1,TRUE),IFERROR(INT(K36)&gt;INT(AsOfDate),TRUE)))),"集合承認日不正",IF(COUNTIF(EvalPlanKeys,D36)&lt;&gt;1,"PlanKey不正",IF(C36&lt;&gt;IF(COUNTIF('15_評価計画・品質ゲート'!$V$4:$V$103,D36)&lt;&gt;1,"参照ID不正",IF(INDEX('15_評価計画・品質ゲート'!$U$4:$U$103,MATCH(D36,'15_評価計画・品質ゲート'!$V$4:$V$103,0))="","",INDEX('15_評価計画・品質ゲート'!$U$4:$U$103,MATCH(D36,'15_評価計画・品質ゲート'!$V$4:$V$103,0)))),"計画Manifest不一致",IF(F36="対象外",IF(H36="","対象外理由不足","対象外承認"),IF(F36&lt;&gt;"必須","適用未判定",IF(OR(G36="",COUNTIF('16_評価実績インデックス'!$A$4:$A$103,G36)&lt;&gt;1),"評価Run不足・不正",IF(OR(C36&lt;&gt;IF(COUNTIF('16_評価実績インデックス'!$A$4:$A$103,G36)&lt;&gt;1,"参照ID不正",IF(INDEX('16_評価実績インデックス'!$T$4:$T$103,MATCH(G36,'16_評価実績インデックス'!$A$4:$A$103,0))="","",INDEX('16_評価実績インデックス'!$T$4:$T$103,MATCH(G36,'16_評価実績インデックス'!$A$4:$A$103,0)))),D36&lt;&gt;IF(COUNTIF('16_評価実績インデックス'!$A$4:$A$103,G36)&lt;&gt;1,"参照ID不正",IF(INDEX('16_評価実績インデックス'!$B$4:$B$103,MATCH(G36,'16_評価実績インデックス'!$A$4:$A$103,0))="","",INDEX('16_評価実績インデックス'!$B$4:$B$103,MATCH(G36,'16_評価実績インデックス'!$A$4:$A$103,0)))),B36&lt;&gt;IF(COUNTIF('16_評価実績インデックス'!$A$4:$A$103,G36)&lt;&gt;1,"参照ID不正",IF(INDEX('16_評価実績インデックス'!$C$4:$C$103,MATCH(G36,'16_評価実績インデックス'!$A$4:$A$103,0))="","",INDEX('16_評価実績インデックス'!$C$4:$C$103,MATCH(G36,'16_評価実績インデックス'!$A$4:$A$103,0))))),"評価対象不一致",IF(IF(COUNTIF('16_評価実績インデックス'!$A$4:$A$103,G36)&lt;&gt;1,"参照ID不正",IF(INDEX('16_評価実績インデックス'!$S$4:$S$103,MATCH(G36,'16_評価実績インデックス'!$A$4:$A$103,0))="","",INDEX('16_評価実績インデックス'!$S$4:$S$103,MATCH(G36,'16_評価実績インデックス'!$A$4:$A$103,0))))&lt;&gt;"記録あり・内容審査別","評価記録未充足",IF(L36&lt;&gt;"合格","必要評価不合格・未確定","評価充足"))))))))))))</f>
        <v/>
      </c>
      <c r="N36" s="28">
        <f t="shared" ref="N36:N67" si="1">IF(OR(M36="評価充足",M36="対象外承認"),1,0)</f>
        <v>0</v>
      </c>
      <c r="O36" s="29"/>
      <c r="P36" s="29"/>
    </row>
    <row r="37" spans="1:16" ht="64" customHeight="1" x14ac:dyDescent="0.2">
      <c r="A37" s="29"/>
      <c r="B37" s="29"/>
      <c r="C37" s="29"/>
      <c r="D37" s="29"/>
      <c r="E37" s="28" t="str">
        <f>IF(A37="","",IF(COUNTIF('15_評価計画・品質ゲート'!$V$4:$V$103,D37)&lt;&gt;1,"参照ID不正",IF(INDEX('15_評価計画・品質ゲート'!$A$4:$A$103,MATCH(D37,'15_評価計画・品質ゲート'!$V$4:$V$103,0))="","",INDEX('15_評価計画・品質ゲート'!$A$4:$A$103,MATCH(D37,'15_評価計画・品質ゲート'!$V$4:$V$103,0)))))</f>
        <v/>
      </c>
      <c r="F37" s="29"/>
      <c r="G37" s="29"/>
      <c r="H37" s="29"/>
      <c r="I37" s="29"/>
      <c r="J37" s="29"/>
      <c r="K37" s="29"/>
      <c r="L37" s="28" t="str">
        <f>IF(OR(A37="",G37=""),"",IF(COUNTIF('16_評価実績インデックス'!$A$4:$A$103,G37)&lt;&gt;1,"参照ID不正",IF(INDEX('16_評価実績インデックス'!$O$4:$O$103,MATCH(G37,'16_評価実績インデックス'!$A$4:$A$103,0))="","",INDEX('16_評価実績インデックス'!$O$4:$O$103,MATCH(G37,'16_評価実績インデックス'!$A$4:$A$103,0)))))</f>
        <v/>
      </c>
      <c r="M37" s="28" t="str">
        <f>IF(A37="","",IF(OR(COUNTIF($A$4:$A$153,A37)&lt;&gt;1,COUNTIFS($B$4:$B$153,B37,$C$4:$C$153,C37,$D$4:$D$153,D37)&lt;&gt;1),"集合ID・計画重複",IF(OR(OR(B37="",C37="",D37="",I37="",J37="",O37=""),NOT(ISNUMBER(K37))),"集合承認不足",IF(OR(AND(K37&lt;&gt;"",OR(NOT(ISNUMBER(K37)),IFERROR(K37&lt;1,TRUE),IFERROR(INT(K37)&gt;INT(AsOfDate),TRUE)))),"集合承認日不正",IF(COUNTIF(EvalPlanKeys,D37)&lt;&gt;1,"PlanKey不正",IF(C37&lt;&gt;IF(COUNTIF('15_評価計画・品質ゲート'!$V$4:$V$103,D37)&lt;&gt;1,"参照ID不正",IF(INDEX('15_評価計画・品質ゲート'!$U$4:$U$103,MATCH(D37,'15_評価計画・品質ゲート'!$V$4:$V$103,0))="","",INDEX('15_評価計画・品質ゲート'!$U$4:$U$103,MATCH(D37,'15_評価計画・品質ゲート'!$V$4:$V$103,0)))),"計画Manifest不一致",IF(F37="対象外",IF(H37="","対象外理由不足","対象外承認"),IF(F37&lt;&gt;"必須","適用未判定",IF(OR(G37="",COUNTIF('16_評価実績インデックス'!$A$4:$A$103,G37)&lt;&gt;1),"評価Run不足・不正",IF(OR(C37&lt;&gt;IF(COUNTIF('16_評価実績インデックス'!$A$4:$A$103,G37)&lt;&gt;1,"参照ID不正",IF(INDEX('16_評価実績インデックス'!$T$4:$T$103,MATCH(G37,'16_評価実績インデックス'!$A$4:$A$103,0))="","",INDEX('16_評価実績インデックス'!$T$4:$T$103,MATCH(G37,'16_評価実績インデックス'!$A$4:$A$103,0)))),D37&lt;&gt;IF(COUNTIF('16_評価実績インデックス'!$A$4:$A$103,G37)&lt;&gt;1,"参照ID不正",IF(INDEX('16_評価実績インデックス'!$B$4:$B$103,MATCH(G37,'16_評価実績インデックス'!$A$4:$A$103,0))="","",INDEX('16_評価実績インデックス'!$B$4:$B$103,MATCH(G37,'16_評価実績インデックス'!$A$4:$A$103,0)))),B37&lt;&gt;IF(COUNTIF('16_評価実績インデックス'!$A$4:$A$103,G37)&lt;&gt;1,"参照ID不正",IF(INDEX('16_評価実績インデックス'!$C$4:$C$103,MATCH(G37,'16_評価実績インデックス'!$A$4:$A$103,0))="","",INDEX('16_評価実績インデックス'!$C$4:$C$103,MATCH(G37,'16_評価実績インデックス'!$A$4:$A$103,0))))),"評価対象不一致",IF(IF(COUNTIF('16_評価実績インデックス'!$A$4:$A$103,G37)&lt;&gt;1,"参照ID不正",IF(INDEX('16_評価実績インデックス'!$S$4:$S$103,MATCH(G37,'16_評価実績インデックス'!$A$4:$A$103,0))="","",INDEX('16_評価実績インデックス'!$S$4:$S$103,MATCH(G37,'16_評価実績インデックス'!$A$4:$A$103,0))))&lt;&gt;"記録あり・内容審査別","評価記録未充足",IF(L37&lt;&gt;"合格","必要評価不合格・未確定","評価充足"))))))))))))</f>
        <v/>
      </c>
      <c r="N37" s="28">
        <f t="shared" si="1"/>
        <v>0</v>
      </c>
      <c r="O37" s="29"/>
      <c r="P37" s="29"/>
    </row>
    <row r="38" spans="1:16" ht="64" customHeight="1" x14ac:dyDescent="0.2">
      <c r="A38" s="29"/>
      <c r="B38" s="29"/>
      <c r="C38" s="29"/>
      <c r="D38" s="29"/>
      <c r="E38" s="28" t="str">
        <f>IF(A38="","",IF(COUNTIF('15_評価計画・品質ゲート'!$V$4:$V$103,D38)&lt;&gt;1,"参照ID不正",IF(INDEX('15_評価計画・品質ゲート'!$A$4:$A$103,MATCH(D38,'15_評価計画・品質ゲート'!$V$4:$V$103,0))="","",INDEX('15_評価計画・品質ゲート'!$A$4:$A$103,MATCH(D38,'15_評価計画・品質ゲート'!$V$4:$V$103,0)))))</f>
        <v/>
      </c>
      <c r="F38" s="29"/>
      <c r="G38" s="29"/>
      <c r="H38" s="29"/>
      <c r="I38" s="29"/>
      <c r="J38" s="29"/>
      <c r="K38" s="29"/>
      <c r="L38" s="28" t="str">
        <f>IF(OR(A38="",G38=""),"",IF(COUNTIF('16_評価実績インデックス'!$A$4:$A$103,G38)&lt;&gt;1,"参照ID不正",IF(INDEX('16_評価実績インデックス'!$O$4:$O$103,MATCH(G38,'16_評価実績インデックス'!$A$4:$A$103,0))="","",INDEX('16_評価実績インデックス'!$O$4:$O$103,MATCH(G38,'16_評価実績インデックス'!$A$4:$A$103,0)))))</f>
        <v/>
      </c>
      <c r="M38" s="28" t="str">
        <f>IF(A38="","",IF(OR(COUNTIF($A$4:$A$153,A38)&lt;&gt;1,COUNTIFS($B$4:$B$153,B38,$C$4:$C$153,C38,$D$4:$D$153,D38)&lt;&gt;1),"集合ID・計画重複",IF(OR(OR(B38="",C38="",D38="",I38="",J38="",O38=""),NOT(ISNUMBER(K38))),"集合承認不足",IF(OR(AND(K38&lt;&gt;"",OR(NOT(ISNUMBER(K38)),IFERROR(K38&lt;1,TRUE),IFERROR(INT(K38)&gt;INT(AsOfDate),TRUE)))),"集合承認日不正",IF(COUNTIF(EvalPlanKeys,D38)&lt;&gt;1,"PlanKey不正",IF(C38&lt;&gt;IF(COUNTIF('15_評価計画・品質ゲート'!$V$4:$V$103,D38)&lt;&gt;1,"参照ID不正",IF(INDEX('15_評価計画・品質ゲート'!$U$4:$U$103,MATCH(D38,'15_評価計画・品質ゲート'!$V$4:$V$103,0))="","",INDEX('15_評価計画・品質ゲート'!$U$4:$U$103,MATCH(D38,'15_評価計画・品質ゲート'!$V$4:$V$103,0)))),"計画Manifest不一致",IF(F38="対象外",IF(H38="","対象外理由不足","対象外承認"),IF(F38&lt;&gt;"必須","適用未判定",IF(OR(G38="",COUNTIF('16_評価実績インデックス'!$A$4:$A$103,G38)&lt;&gt;1),"評価Run不足・不正",IF(OR(C38&lt;&gt;IF(COUNTIF('16_評価実績インデックス'!$A$4:$A$103,G38)&lt;&gt;1,"参照ID不正",IF(INDEX('16_評価実績インデックス'!$T$4:$T$103,MATCH(G38,'16_評価実績インデックス'!$A$4:$A$103,0))="","",INDEX('16_評価実績インデックス'!$T$4:$T$103,MATCH(G38,'16_評価実績インデックス'!$A$4:$A$103,0)))),D38&lt;&gt;IF(COUNTIF('16_評価実績インデックス'!$A$4:$A$103,G38)&lt;&gt;1,"参照ID不正",IF(INDEX('16_評価実績インデックス'!$B$4:$B$103,MATCH(G38,'16_評価実績インデックス'!$A$4:$A$103,0))="","",INDEX('16_評価実績インデックス'!$B$4:$B$103,MATCH(G38,'16_評価実績インデックス'!$A$4:$A$103,0)))),B38&lt;&gt;IF(COUNTIF('16_評価実績インデックス'!$A$4:$A$103,G38)&lt;&gt;1,"参照ID不正",IF(INDEX('16_評価実績インデックス'!$C$4:$C$103,MATCH(G38,'16_評価実績インデックス'!$A$4:$A$103,0))="","",INDEX('16_評価実績インデックス'!$C$4:$C$103,MATCH(G38,'16_評価実績インデックス'!$A$4:$A$103,0))))),"評価対象不一致",IF(IF(COUNTIF('16_評価実績インデックス'!$A$4:$A$103,G38)&lt;&gt;1,"参照ID不正",IF(INDEX('16_評価実績インデックス'!$S$4:$S$103,MATCH(G38,'16_評価実績インデックス'!$A$4:$A$103,0))="","",INDEX('16_評価実績インデックス'!$S$4:$S$103,MATCH(G38,'16_評価実績インデックス'!$A$4:$A$103,0))))&lt;&gt;"記録あり・内容審査別","評価記録未充足",IF(L38&lt;&gt;"合格","必要評価不合格・未確定","評価充足"))))))))))))</f>
        <v/>
      </c>
      <c r="N38" s="28">
        <f t="shared" si="1"/>
        <v>0</v>
      </c>
      <c r="O38" s="29"/>
      <c r="P38" s="29"/>
    </row>
    <row r="39" spans="1:16" ht="64" customHeight="1" x14ac:dyDescent="0.2">
      <c r="A39" s="29"/>
      <c r="B39" s="29"/>
      <c r="C39" s="29"/>
      <c r="D39" s="29"/>
      <c r="E39" s="28" t="str">
        <f>IF(A39="","",IF(COUNTIF('15_評価計画・品質ゲート'!$V$4:$V$103,D39)&lt;&gt;1,"参照ID不正",IF(INDEX('15_評価計画・品質ゲート'!$A$4:$A$103,MATCH(D39,'15_評価計画・品質ゲート'!$V$4:$V$103,0))="","",INDEX('15_評価計画・品質ゲート'!$A$4:$A$103,MATCH(D39,'15_評価計画・品質ゲート'!$V$4:$V$103,0)))))</f>
        <v/>
      </c>
      <c r="F39" s="29"/>
      <c r="G39" s="29"/>
      <c r="H39" s="29"/>
      <c r="I39" s="29"/>
      <c r="J39" s="29"/>
      <c r="K39" s="29"/>
      <c r="L39" s="28" t="str">
        <f>IF(OR(A39="",G39=""),"",IF(COUNTIF('16_評価実績インデックス'!$A$4:$A$103,G39)&lt;&gt;1,"参照ID不正",IF(INDEX('16_評価実績インデックス'!$O$4:$O$103,MATCH(G39,'16_評価実績インデックス'!$A$4:$A$103,0))="","",INDEX('16_評価実績インデックス'!$O$4:$O$103,MATCH(G39,'16_評価実績インデックス'!$A$4:$A$103,0)))))</f>
        <v/>
      </c>
      <c r="M39" s="28" t="str">
        <f>IF(A39="","",IF(OR(COUNTIF($A$4:$A$153,A39)&lt;&gt;1,COUNTIFS($B$4:$B$153,B39,$C$4:$C$153,C39,$D$4:$D$153,D39)&lt;&gt;1),"集合ID・計画重複",IF(OR(OR(B39="",C39="",D39="",I39="",J39="",O39=""),NOT(ISNUMBER(K39))),"集合承認不足",IF(OR(AND(K39&lt;&gt;"",OR(NOT(ISNUMBER(K39)),IFERROR(K39&lt;1,TRUE),IFERROR(INT(K39)&gt;INT(AsOfDate),TRUE)))),"集合承認日不正",IF(COUNTIF(EvalPlanKeys,D39)&lt;&gt;1,"PlanKey不正",IF(C39&lt;&gt;IF(COUNTIF('15_評価計画・品質ゲート'!$V$4:$V$103,D39)&lt;&gt;1,"参照ID不正",IF(INDEX('15_評価計画・品質ゲート'!$U$4:$U$103,MATCH(D39,'15_評価計画・品質ゲート'!$V$4:$V$103,0))="","",INDEX('15_評価計画・品質ゲート'!$U$4:$U$103,MATCH(D39,'15_評価計画・品質ゲート'!$V$4:$V$103,0)))),"計画Manifest不一致",IF(F39="対象外",IF(H39="","対象外理由不足","対象外承認"),IF(F39&lt;&gt;"必須","適用未判定",IF(OR(G39="",COUNTIF('16_評価実績インデックス'!$A$4:$A$103,G39)&lt;&gt;1),"評価Run不足・不正",IF(OR(C39&lt;&gt;IF(COUNTIF('16_評価実績インデックス'!$A$4:$A$103,G39)&lt;&gt;1,"参照ID不正",IF(INDEX('16_評価実績インデックス'!$T$4:$T$103,MATCH(G39,'16_評価実績インデックス'!$A$4:$A$103,0))="","",INDEX('16_評価実績インデックス'!$T$4:$T$103,MATCH(G39,'16_評価実績インデックス'!$A$4:$A$103,0)))),D39&lt;&gt;IF(COUNTIF('16_評価実績インデックス'!$A$4:$A$103,G39)&lt;&gt;1,"参照ID不正",IF(INDEX('16_評価実績インデックス'!$B$4:$B$103,MATCH(G39,'16_評価実績インデックス'!$A$4:$A$103,0))="","",INDEX('16_評価実績インデックス'!$B$4:$B$103,MATCH(G39,'16_評価実績インデックス'!$A$4:$A$103,0)))),B39&lt;&gt;IF(COUNTIF('16_評価実績インデックス'!$A$4:$A$103,G39)&lt;&gt;1,"参照ID不正",IF(INDEX('16_評価実績インデックス'!$C$4:$C$103,MATCH(G39,'16_評価実績インデックス'!$A$4:$A$103,0))="","",INDEX('16_評価実績インデックス'!$C$4:$C$103,MATCH(G39,'16_評価実績インデックス'!$A$4:$A$103,0))))),"評価対象不一致",IF(IF(COUNTIF('16_評価実績インデックス'!$A$4:$A$103,G39)&lt;&gt;1,"参照ID不正",IF(INDEX('16_評価実績インデックス'!$S$4:$S$103,MATCH(G39,'16_評価実績インデックス'!$A$4:$A$103,0))="","",INDEX('16_評価実績インデックス'!$S$4:$S$103,MATCH(G39,'16_評価実績インデックス'!$A$4:$A$103,0))))&lt;&gt;"記録あり・内容審査別","評価記録未充足",IF(L39&lt;&gt;"合格","必要評価不合格・未確定","評価充足"))))))))))))</f>
        <v/>
      </c>
      <c r="N39" s="28">
        <f t="shared" si="1"/>
        <v>0</v>
      </c>
      <c r="O39" s="29"/>
      <c r="P39" s="29"/>
    </row>
    <row r="40" spans="1:16" ht="64" customHeight="1" x14ac:dyDescent="0.2">
      <c r="A40" s="29"/>
      <c r="B40" s="29"/>
      <c r="C40" s="29"/>
      <c r="D40" s="29"/>
      <c r="E40" s="28" t="str">
        <f>IF(A40="","",IF(COUNTIF('15_評価計画・品質ゲート'!$V$4:$V$103,D40)&lt;&gt;1,"参照ID不正",IF(INDEX('15_評価計画・品質ゲート'!$A$4:$A$103,MATCH(D40,'15_評価計画・品質ゲート'!$V$4:$V$103,0))="","",INDEX('15_評価計画・品質ゲート'!$A$4:$A$103,MATCH(D40,'15_評価計画・品質ゲート'!$V$4:$V$103,0)))))</f>
        <v/>
      </c>
      <c r="F40" s="29"/>
      <c r="G40" s="29"/>
      <c r="H40" s="29"/>
      <c r="I40" s="29"/>
      <c r="J40" s="29"/>
      <c r="K40" s="29"/>
      <c r="L40" s="28" t="str">
        <f>IF(OR(A40="",G40=""),"",IF(COUNTIF('16_評価実績インデックス'!$A$4:$A$103,G40)&lt;&gt;1,"参照ID不正",IF(INDEX('16_評価実績インデックス'!$O$4:$O$103,MATCH(G40,'16_評価実績インデックス'!$A$4:$A$103,0))="","",INDEX('16_評価実績インデックス'!$O$4:$O$103,MATCH(G40,'16_評価実績インデックス'!$A$4:$A$103,0)))))</f>
        <v/>
      </c>
      <c r="M40" s="28" t="str">
        <f>IF(A40="","",IF(OR(COUNTIF($A$4:$A$153,A40)&lt;&gt;1,COUNTIFS($B$4:$B$153,B40,$C$4:$C$153,C40,$D$4:$D$153,D40)&lt;&gt;1),"集合ID・計画重複",IF(OR(OR(B40="",C40="",D40="",I40="",J40="",O40=""),NOT(ISNUMBER(K40))),"集合承認不足",IF(OR(AND(K40&lt;&gt;"",OR(NOT(ISNUMBER(K40)),IFERROR(K40&lt;1,TRUE),IFERROR(INT(K40)&gt;INT(AsOfDate),TRUE)))),"集合承認日不正",IF(COUNTIF(EvalPlanKeys,D40)&lt;&gt;1,"PlanKey不正",IF(C40&lt;&gt;IF(COUNTIF('15_評価計画・品質ゲート'!$V$4:$V$103,D40)&lt;&gt;1,"参照ID不正",IF(INDEX('15_評価計画・品質ゲート'!$U$4:$U$103,MATCH(D40,'15_評価計画・品質ゲート'!$V$4:$V$103,0))="","",INDEX('15_評価計画・品質ゲート'!$U$4:$U$103,MATCH(D40,'15_評価計画・品質ゲート'!$V$4:$V$103,0)))),"計画Manifest不一致",IF(F40="対象外",IF(H40="","対象外理由不足","対象外承認"),IF(F40&lt;&gt;"必須","適用未判定",IF(OR(G40="",COUNTIF('16_評価実績インデックス'!$A$4:$A$103,G40)&lt;&gt;1),"評価Run不足・不正",IF(OR(C40&lt;&gt;IF(COUNTIF('16_評価実績インデックス'!$A$4:$A$103,G40)&lt;&gt;1,"参照ID不正",IF(INDEX('16_評価実績インデックス'!$T$4:$T$103,MATCH(G40,'16_評価実績インデックス'!$A$4:$A$103,0))="","",INDEX('16_評価実績インデックス'!$T$4:$T$103,MATCH(G40,'16_評価実績インデックス'!$A$4:$A$103,0)))),D40&lt;&gt;IF(COUNTIF('16_評価実績インデックス'!$A$4:$A$103,G40)&lt;&gt;1,"参照ID不正",IF(INDEX('16_評価実績インデックス'!$B$4:$B$103,MATCH(G40,'16_評価実績インデックス'!$A$4:$A$103,0))="","",INDEX('16_評価実績インデックス'!$B$4:$B$103,MATCH(G40,'16_評価実績インデックス'!$A$4:$A$103,0)))),B40&lt;&gt;IF(COUNTIF('16_評価実績インデックス'!$A$4:$A$103,G40)&lt;&gt;1,"参照ID不正",IF(INDEX('16_評価実績インデックス'!$C$4:$C$103,MATCH(G40,'16_評価実績インデックス'!$A$4:$A$103,0))="","",INDEX('16_評価実績インデックス'!$C$4:$C$103,MATCH(G40,'16_評価実績インデックス'!$A$4:$A$103,0))))),"評価対象不一致",IF(IF(COUNTIF('16_評価実績インデックス'!$A$4:$A$103,G40)&lt;&gt;1,"参照ID不正",IF(INDEX('16_評価実績インデックス'!$S$4:$S$103,MATCH(G40,'16_評価実績インデックス'!$A$4:$A$103,0))="","",INDEX('16_評価実績インデックス'!$S$4:$S$103,MATCH(G40,'16_評価実績インデックス'!$A$4:$A$103,0))))&lt;&gt;"記録あり・内容審査別","評価記録未充足",IF(L40&lt;&gt;"合格","必要評価不合格・未確定","評価充足"))))))))))))</f>
        <v/>
      </c>
      <c r="N40" s="28">
        <f t="shared" si="1"/>
        <v>0</v>
      </c>
      <c r="O40" s="29"/>
      <c r="P40" s="29"/>
    </row>
    <row r="41" spans="1:16" ht="64" customHeight="1" x14ac:dyDescent="0.2">
      <c r="A41" s="29"/>
      <c r="B41" s="29"/>
      <c r="C41" s="29"/>
      <c r="D41" s="29"/>
      <c r="E41" s="28" t="str">
        <f>IF(A41="","",IF(COUNTIF('15_評価計画・品質ゲート'!$V$4:$V$103,D41)&lt;&gt;1,"参照ID不正",IF(INDEX('15_評価計画・品質ゲート'!$A$4:$A$103,MATCH(D41,'15_評価計画・品質ゲート'!$V$4:$V$103,0))="","",INDEX('15_評価計画・品質ゲート'!$A$4:$A$103,MATCH(D41,'15_評価計画・品質ゲート'!$V$4:$V$103,0)))))</f>
        <v/>
      </c>
      <c r="F41" s="29"/>
      <c r="G41" s="29"/>
      <c r="H41" s="29"/>
      <c r="I41" s="29"/>
      <c r="J41" s="29"/>
      <c r="K41" s="29"/>
      <c r="L41" s="28" t="str">
        <f>IF(OR(A41="",G41=""),"",IF(COUNTIF('16_評価実績インデックス'!$A$4:$A$103,G41)&lt;&gt;1,"参照ID不正",IF(INDEX('16_評価実績インデックス'!$O$4:$O$103,MATCH(G41,'16_評価実績インデックス'!$A$4:$A$103,0))="","",INDEX('16_評価実績インデックス'!$O$4:$O$103,MATCH(G41,'16_評価実績インデックス'!$A$4:$A$103,0)))))</f>
        <v/>
      </c>
      <c r="M41" s="28" t="str">
        <f>IF(A41="","",IF(OR(COUNTIF($A$4:$A$153,A41)&lt;&gt;1,COUNTIFS($B$4:$B$153,B41,$C$4:$C$153,C41,$D$4:$D$153,D41)&lt;&gt;1),"集合ID・計画重複",IF(OR(OR(B41="",C41="",D41="",I41="",J41="",O41=""),NOT(ISNUMBER(K41))),"集合承認不足",IF(OR(AND(K41&lt;&gt;"",OR(NOT(ISNUMBER(K41)),IFERROR(K41&lt;1,TRUE),IFERROR(INT(K41)&gt;INT(AsOfDate),TRUE)))),"集合承認日不正",IF(COUNTIF(EvalPlanKeys,D41)&lt;&gt;1,"PlanKey不正",IF(C41&lt;&gt;IF(COUNTIF('15_評価計画・品質ゲート'!$V$4:$V$103,D41)&lt;&gt;1,"参照ID不正",IF(INDEX('15_評価計画・品質ゲート'!$U$4:$U$103,MATCH(D41,'15_評価計画・品質ゲート'!$V$4:$V$103,0))="","",INDEX('15_評価計画・品質ゲート'!$U$4:$U$103,MATCH(D41,'15_評価計画・品質ゲート'!$V$4:$V$103,0)))),"計画Manifest不一致",IF(F41="対象外",IF(H41="","対象外理由不足","対象外承認"),IF(F41&lt;&gt;"必須","適用未判定",IF(OR(G41="",COUNTIF('16_評価実績インデックス'!$A$4:$A$103,G41)&lt;&gt;1),"評価Run不足・不正",IF(OR(C41&lt;&gt;IF(COUNTIF('16_評価実績インデックス'!$A$4:$A$103,G41)&lt;&gt;1,"参照ID不正",IF(INDEX('16_評価実績インデックス'!$T$4:$T$103,MATCH(G41,'16_評価実績インデックス'!$A$4:$A$103,0))="","",INDEX('16_評価実績インデックス'!$T$4:$T$103,MATCH(G41,'16_評価実績インデックス'!$A$4:$A$103,0)))),D41&lt;&gt;IF(COUNTIF('16_評価実績インデックス'!$A$4:$A$103,G41)&lt;&gt;1,"参照ID不正",IF(INDEX('16_評価実績インデックス'!$B$4:$B$103,MATCH(G41,'16_評価実績インデックス'!$A$4:$A$103,0))="","",INDEX('16_評価実績インデックス'!$B$4:$B$103,MATCH(G41,'16_評価実績インデックス'!$A$4:$A$103,0)))),B41&lt;&gt;IF(COUNTIF('16_評価実績インデックス'!$A$4:$A$103,G41)&lt;&gt;1,"参照ID不正",IF(INDEX('16_評価実績インデックス'!$C$4:$C$103,MATCH(G41,'16_評価実績インデックス'!$A$4:$A$103,0))="","",INDEX('16_評価実績インデックス'!$C$4:$C$103,MATCH(G41,'16_評価実績インデックス'!$A$4:$A$103,0))))),"評価対象不一致",IF(IF(COUNTIF('16_評価実績インデックス'!$A$4:$A$103,G41)&lt;&gt;1,"参照ID不正",IF(INDEX('16_評価実績インデックス'!$S$4:$S$103,MATCH(G41,'16_評価実績インデックス'!$A$4:$A$103,0))="","",INDEX('16_評価実績インデックス'!$S$4:$S$103,MATCH(G41,'16_評価実績インデックス'!$A$4:$A$103,0))))&lt;&gt;"記録あり・内容審査別","評価記録未充足",IF(L41&lt;&gt;"合格","必要評価不合格・未確定","評価充足"))))))))))))</f>
        <v/>
      </c>
      <c r="N41" s="28">
        <f t="shared" si="1"/>
        <v>0</v>
      </c>
      <c r="O41" s="29"/>
      <c r="P41" s="29"/>
    </row>
    <row r="42" spans="1:16" ht="64" customHeight="1" x14ac:dyDescent="0.2">
      <c r="A42" s="29"/>
      <c r="B42" s="29"/>
      <c r="C42" s="29"/>
      <c r="D42" s="29"/>
      <c r="E42" s="28" t="str">
        <f>IF(A42="","",IF(COUNTIF('15_評価計画・品質ゲート'!$V$4:$V$103,D42)&lt;&gt;1,"参照ID不正",IF(INDEX('15_評価計画・品質ゲート'!$A$4:$A$103,MATCH(D42,'15_評価計画・品質ゲート'!$V$4:$V$103,0))="","",INDEX('15_評価計画・品質ゲート'!$A$4:$A$103,MATCH(D42,'15_評価計画・品質ゲート'!$V$4:$V$103,0)))))</f>
        <v/>
      </c>
      <c r="F42" s="29"/>
      <c r="G42" s="29"/>
      <c r="H42" s="29"/>
      <c r="I42" s="29"/>
      <c r="J42" s="29"/>
      <c r="K42" s="29"/>
      <c r="L42" s="28" t="str">
        <f>IF(OR(A42="",G42=""),"",IF(COUNTIF('16_評価実績インデックス'!$A$4:$A$103,G42)&lt;&gt;1,"参照ID不正",IF(INDEX('16_評価実績インデックス'!$O$4:$O$103,MATCH(G42,'16_評価実績インデックス'!$A$4:$A$103,0))="","",INDEX('16_評価実績インデックス'!$O$4:$O$103,MATCH(G42,'16_評価実績インデックス'!$A$4:$A$103,0)))))</f>
        <v/>
      </c>
      <c r="M42" s="28" t="str">
        <f>IF(A42="","",IF(OR(COUNTIF($A$4:$A$153,A42)&lt;&gt;1,COUNTIFS($B$4:$B$153,B42,$C$4:$C$153,C42,$D$4:$D$153,D42)&lt;&gt;1),"集合ID・計画重複",IF(OR(OR(B42="",C42="",D42="",I42="",J42="",O42=""),NOT(ISNUMBER(K42))),"集合承認不足",IF(OR(AND(K42&lt;&gt;"",OR(NOT(ISNUMBER(K42)),IFERROR(K42&lt;1,TRUE),IFERROR(INT(K42)&gt;INT(AsOfDate),TRUE)))),"集合承認日不正",IF(COUNTIF(EvalPlanKeys,D42)&lt;&gt;1,"PlanKey不正",IF(C42&lt;&gt;IF(COUNTIF('15_評価計画・品質ゲート'!$V$4:$V$103,D42)&lt;&gt;1,"参照ID不正",IF(INDEX('15_評価計画・品質ゲート'!$U$4:$U$103,MATCH(D42,'15_評価計画・品質ゲート'!$V$4:$V$103,0))="","",INDEX('15_評価計画・品質ゲート'!$U$4:$U$103,MATCH(D42,'15_評価計画・品質ゲート'!$V$4:$V$103,0)))),"計画Manifest不一致",IF(F42="対象外",IF(H42="","対象外理由不足","対象外承認"),IF(F42&lt;&gt;"必須","適用未判定",IF(OR(G42="",COUNTIF('16_評価実績インデックス'!$A$4:$A$103,G42)&lt;&gt;1),"評価Run不足・不正",IF(OR(C42&lt;&gt;IF(COUNTIF('16_評価実績インデックス'!$A$4:$A$103,G42)&lt;&gt;1,"参照ID不正",IF(INDEX('16_評価実績インデックス'!$T$4:$T$103,MATCH(G42,'16_評価実績インデックス'!$A$4:$A$103,0))="","",INDEX('16_評価実績インデックス'!$T$4:$T$103,MATCH(G42,'16_評価実績インデックス'!$A$4:$A$103,0)))),D42&lt;&gt;IF(COUNTIF('16_評価実績インデックス'!$A$4:$A$103,G42)&lt;&gt;1,"参照ID不正",IF(INDEX('16_評価実績インデックス'!$B$4:$B$103,MATCH(G42,'16_評価実績インデックス'!$A$4:$A$103,0))="","",INDEX('16_評価実績インデックス'!$B$4:$B$103,MATCH(G42,'16_評価実績インデックス'!$A$4:$A$103,0)))),B42&lt;&gt;IF(COUNTIF('16_評価実績インデックス'!$A$4:$A$103,G42)&lt;&gt;1,"参照ID不正",IF(INDEX('16_評価実績インデックス'!$C$4:$C$103,MATCH(G42,'16_評価実績インデックス'!$A$4:$A$103,0))="","",INDEX('16_評価実績インデックス'!$C$4:$C$103,MATCH(G42,'16_評価実績インデックス'!$A$4:$A$103,0))))),"評価対象不一致",IF(IF(COUNTIF('16_評価実績インデックス'!$A$4:$A$103,G42)&lt;&gt;1,"参照ID不正",IF(INDEX('16_評価実績インデックス'!$S$4:$S$103,MATCH(G42,'16_評価実績インデックス'!$A$4:$A$103,0))="","",INDEX('16_評価実績インデックス'!$S$4:$S$103,MATCH(G42,'16_評価実績インデックス'!$A$4:$A$103,0))))&lt;&gt;"記録あり・内容審査別","評価記録未充足",IF(L42&lt;&gt;"合格","必要評価不合格・未確定","評価充足"))))))))))))</f>
        <v/>
      </c>
      <c r="N42" s="28">
        <f t="shared" si="1"/>
        <v>0</v>
      </c>
      <c r="O42" s="29"/>
      <c r="P42" s="29"/>
    </row>
    <row r="43" spans="1:16" ht="64" customHeight="1" x14ac:dyDescent="0.2">
      <c r="A43" s="29"/>
      <c r="B43" s="29"/>
      <c r="C43" s="29"/>
      <c r="D43" s="29"/>
      <c r="E43" s="28" t="str">
        <f>IF(A43="","",IF(COUNTIF('15_評価計画・品質ゲート'!$V$4:$V$103,D43)&lt;&gt;1,"参照ID不正",IF(INDEX('15_評価計画・品質ゲート'!$A$4:$A$103,MATCH(D43,'15_評価計画・品質ゲート'!$V$4:$V$103,0))="","",INDEX('15_評価計画・品質ゲート'!$A$4:$A$103,MATCH(D43,'15_評価計画・品質ゲート'!$V$4:$V$103,0)))))</f>
        <v/>
      </c>
      <c r="F43" s="29"/>
      <c r="G43" s="29"/>
      <c r="H43" s="29"/>
      <c r="I43" s="29"/>
      <c r="J43" s="29"/>
      <c r="K43" s="29"/>
      <c r="L43" s="28" t="str">
        <f>IF(OR(A43="",G43=""),"",IF(COUNTIF('16_評価実績インデックス'!$A$4:$A$103,G43)&lt;&gt;1,"参照ID不正",IF(INDEX('16_評価実績インデックス'!$O$4:$O$103,MATCH(G43,'16_評価実績インデックス'!$A$4:$A$103,0))="","",INDEX('16_評価実績インデックス'!$O$4:$O$103,MATCH(G43,'16_評価実績インデックス'!$A$4:$A$103,0)))))</f>
        <v/>
      </c>
      <c r="M43" s="28" t="str">
        <f>IF(A43="","",IF(OR(COUNTIF($A$4:$A$153,A43)&lt;&gt;1,COUNTIFS($B$4:$B$153,B43,$C$4:$C$153,C43,$D$4:$D$153,D43)&lt;&gt;1),"集合ID・計画重複",IF(OR(OR(B43="",C43="",D43="",I43="",J43="",O43=""),NOT(ISNUMBER(K43))),"集合承認不足",IF(OR(AND(K43&lt;&gt;"",OR(NOT(ISNUMBER(K43)),IFERROR(K43&lt;1,TRUE),IFERROR(INT(K43)&gt;INT(AsOfDate),TRUE)))),"集合承認日不正",IF(COUNTIF(EvalPlanKeys,D43)&lt;&gt;1,"PlanKey不正",IF(C43&lt;&gt;IF(COUNTIF('15_評価計画・品質ゲート'!$V$4:$V$103,D43)&lt;&gt;1,"参照ID不正",IF(INDEX('15_評価計画・品質ゲート'!$U$4:$U$103,MATCH(D43,'15_評価計画・品質ゲート'!$V$4:$V$103,0))="","",INDEX('15_評価計画・品質ゲート'!$U$4:$U$103,MATCH(D43,'15_評価計画・品質ゲート'!$V$4:$V$103,0)))),"計画Manifest不一致",IF(F43="対象外",IF(H43="","対象外理由不足","対象外承認"),IF(F43&lt;&gt;"必須","適用未判定",IF(OR(G43="",COUNTIF('16_評価実績インデックス'!$A$4:$A$103,G43)&lt;&gt;1),"評価Run不足・不正",IF(OR(C43&lt;&gt;IF(COUNTIF('16_評価実績インデックス'!$A$4:$A$103,G43)&lt;&gt;1,"参照ID不正",IF(INDEX('16_評価実績インデックス'!$T$4:$T$103,MATCH(G43,'16_評価実績インデックス'!$A$4:$A$103,0))="","",INDEX('16_評価実績インデックス'!$T$4:$T$103,MATCH(G43,'16_評価実績インデックス'!$A$4:$A$103,0)))),D43&lt;&gt;IF(COUNTIF('16_評価実績インデックス'!$A$4:$A$103,G43)&lt;&gt;1,"参照ID不正",IF(INDEX('16_評価実績インデックス'!$B$4:$B$103,MATCH(G43,'16_評価実績インデックス'!$A$4:$A$103,0))="","",INDEX('16_評価実績インデックス'!$B$4:$B$103,MATCH(G43,'16_評価実績インデックス'!$A$4:$A$103,0)))),B43&lt;&gt;IF(COUNTIF('16_評価実績インデックス'!$A$4:$A$103,G43)&lt;&gt;1,"参照ID不正",IF(INDEX('16_評価実績インデックス'!$C$4:$C$103,MATCH(G43,'16_評価実績インデックス'!$A$4:$A$103,0))="","",INDEX('16_評価実績インデックス'!$C$4:$C$103,MATCH(G43,'16_評価実績インデックス'!$A$4:$A$103,0))))),"評価対象不一致",IF(IF(COUNTIF('16_評価実績インデックス'!$A$4:$A$103,G43)&lt;&gt;1,"参照ID不正",IF(INDEX('16_評価実績インデックス'!$S$4:$S$103,MATCH(G43,'16_評価実績インデックス'!$A$4:$A$103,0))="","",INDEX('16_評価実績インデックス'!$S$4:$S$103,MATCH(G43,'16_評価実績インデックス'!$A$4:$A$103,0))))&lt;&gt;"記録あり・内容審査別","評価記録未充足",IF(L43&lt;&gt;"合格","必要評価不合格・未確定","評価充足"))))))))))))</f>
        <v/>
      </c>
      <c r="N43" s="28">
        <f t="shared" si="1"/>
        <v>0</v>
      </c>
      <c r="O43" s="29"/>
      <c r="P43" s="29"/>
    </row>
    <row r="44" spans="1:16" ht="64" customHeight="1" x14ac:dyDescent="0.2">
      <c r="A44" s="29"/>
      <c r="B44" s="29"/>
      <c r="C44" s="29"/>
      <c r="D44" s="29"/>
      <c r="E44" s="28" t="str">
        <f>IF(A44="","",IF(COUNTIF('15_評価計画・品質ゲート'!$V$4:$V$103,D44)&lt;&gt;1,"参照ID不正",IF(INDEX('15_評価計画・品質ゲート'!$A$4:$A$103,MATCH(D44,'15_評価計画・品質ゲート'!$V$4:$V$103,0))="","",INDEX('15_評価計画・品質ゲート'!$A$4:$A$103,MATCH(D44,'15_評価計画・品質ゲート'!$V$4:$V$103,0)))))</f>
        <v/>
      </c>
      <c r="F44" s="29"/>
      <c r="G44" s="29"/>
      <c r="H44" s="29"/>
      <c r="I44" s="29"/>
      <c r="J44" s="29"/>
      <c r="K44" s="29"/>
      <c r="L44" s="28" t="str">
        <f>IF(OR(A44="",G44=""),"",IF(COUNTIF('16_評価実績インデックス'!$A$4:$A$103,G44)&lt;&gt;1,"参照ID不正",IF(INDEX('16_評価実績インデックス'!$O$4:$O$103,MATCH(G44,'16_評価実績インデックス'!$A$4:$A$103,0))="","",INDEX('16_評価実績インデックス'!$O$4:$O$103,MATCH(G44,'16_評価実績インデックス'!$A$4:$A$103,0)))))</f>
        <v/>
      </c>
      <c r="M44" s="28" t="str">
        <f>IF(A44="","",IF(OR(COUNTIF($A$4:$A$153,A44)&lt;&gt;1,COUNTIFS($B$4:$B$153,B44,$C$4:$C$153,C44,$D$4:$D$153,D44)&lt;&gt;1),"集合ID・計画重複",IF(OR(OR(B44="",C44="",D44="",I44="",J44="",O44=""),NOT(ISNUMBER(K44))),"集合承認不足",IF(OR(AND(K44&lt;&gt;"",OR(NOT(ISNUMBER(K44)),IFERROR(K44&lt;1,TRUE),IFERROR(INT(K44)&gt;INT(AsOfDate),TRUE)))),"集合承認日不正",IF(COUNTIF(EvalPlanKeys,D44)&lt;&gt;1,"PlanKey不正",IF(C44&lt;&gt;IF(COUNTIF('15_評価計画・品質ゲート'!$V$4:$V$103,D44)&lt;&gt;1,"参照ID不正",IF(INDEX('15_評価計画・品質ゲート'!$U$4:$U$103,MATCH(D44,'15_評価計画・品質ゲート'!$V$4:$V$103,0))="","",INDEX('15_評価計画・品質ゲート'!$U$4:$U$103,MATCH(D44,'15_評価計画・品質ゲート'!$V$4:$V$103,0)))),"計画Manifest不一致",IF(F44="対象外",IF(H44="","対象外理由不足","対象外承認"),IF(F44&lt;&gt;"必須","適用未判定",IF(OR(G44="",COUNTIF('16_評価実績インデックス'!$A$4:$A$103,G44)&lt;&gt;1),"評価Run不足・不正",IF(OR(C44&lt;&gt;IF(COUNTIF('16_評価実績インデックス'!$A$4:$A$103,G44)&lt;&gt;1,"参照ID不正",IF(INDEX('16_評価実績インデックス'!$T$4:$T$103,MATCH(G44,'16_評価実績インデックス'!$A$4:$A$103,0))="","",INDEX('16_評価実績インデックス'!$T$4:$T$103,MATCH(G44,'16_評価実績インデックス'!$A$4:$A$103,0)))),D44&lt;&gt;IF(COUNTIF('16_評価実績インデックス'!$A$4:$A$103,G44)&lt;&gt;1,"参照ID不正",IF(INDEX('16_評価実績インデックス'!$B$4:$B$103,MATCH(G44,'16_評価実績インデックス'!$A$4:$A$103,0))="","",INDEX('16_評価実績インデックス'!$B$4:$B$103,MATCH(G44,'16_評価実績インデックス'!$A$4:$A$103,0)))),B44&lt;&gt;IF(COUNTIF('16_評価実績インデックス'!$A$4:$A$103,G44)&lt;&gt;1,"参照ID不正",IF(INDEX('16_評価実績インデックス'!$C$4:$C$103,MATCH(G44,'16_評価実績インデックス'!$A$4:$A$103,0))="","",INDEX('16_評価実績インデックス'!$C$4:$C$103,MATCH(G44,'16_評価実績インデックス'!$A$4:$A$103,0))))),"評価対象不一致",IF(IF(COUNTIF('16_評価実績インデックス'!$A$4:$A$103,G44)&lt;&gt;1,"参照ID不正",IF(INDEX('16_評価実績インデックス'!$S$4:$S$103,MATCH(G44,'16_評価実績インデックス'!$A$4:$A$103,0))="","",INDEX('16_評価実績インデックス'!$S$4:$S$103,MATCH(G44,'16_評価実績インデックス'!$A$4:$A$103,0))))&lt;&gt;"記録あり・内容審査別","評価記録未充足",IF(L44&lt;&gt;"合格","必要評価不合格・未確定","評価充足"))))))))))))</f>
        <v/>
      </c>
      <c r="N44" s="28">
        <f t="shared" si="1"/>
        <v>0</v>
      </c>
      <c r="O44" s="29"/>
      <c r="P44" s="29"/>
    </row>
    <row r="45" spans="1:16" ht="64" customHeight="1" x14ac:dyDescent="0.2">
      <c r="A45" s="29"/>
      <c r="B45" s="29"/>
      <c r="C45" s="29"/>
      <c r="D45" s="29"/>
      <c r="E45" s="28" t="str">
        <f>IF(A45="","",IF(COUNTIF('15_評価計画・品質ゲート'!$V$4:$V$103,D45)&lt;&gt;1,"参照ID不正",IF(INDEX('15_評価計画・品質ゲート'!$A$4:$A$103,MATCH(D45,'15_評価計画・品質ゲート'!$V$4:$V$103,0))="","",INDEX('15_評価計画・品質ゲート'!$A$4:$A$103,MATCH(D45,'15_評価計画・品質ゲート'!$V$4:$V$103,0)))))</f>
        <v/>
      </c>
      <c r="F45" s="29"/>
      <c r="G45" s="29"/>
      <c r="H45" s="29"/>
      <c r="I45" s="29"/>
      <c r="J45" s="29"/>
      <c r="K45" s="29"/>
      <c r="L45" s="28" t="str">
        <f>IF(OR(A45="",G45=""),"",IF(COUNTIF('16_評価実績インデックス'!$A$4:$A$103,G45)&lt;&gt;1,"参照ID不正",IF(INDEX('16_評価実績インデックス'!$O$4:$O$103,MATCH(G45,'16_評価実績インデックス'!$A$4:$A$103,0))="","",INDEX('16_評価実績インデックス'!$O$4:$O$103,MATCH(G45,'16_評価実績インデックス'!$A$4:$A$103,0)))))</f>
        <v/>
      </c>
      <c r="M45" s="28" t="str">
        <f>IF(A45="","",IF(OR(COUNTIF($A$4:$A$153,A45)&lt;&gt;1,COUNTIFS($B$4:$B$153,B45,$C$4:$C$153,C45,$D$4:$D$153,D45)&lt;&gt;1),"集合ID・計画重複",IF(OR(OR(B45="",C45="",D45="",I45="",J45="",O45=""),NOT(ISNUMBER(K45))),"集合承認不足",IF(OR(AND(K45&lt;&gt;"",OR(NOT(ISNUMBER(K45)),IFERROR(K45&lt;1,TRUE),IFERROR(INT(K45)&gt;INT(AsOfDate),TRUE)))),"集合承認日不正",IF(COUNTIF(EvalPlanKeys,D45)&lt;&gt;1,"PlanKey不正",IF(C45&lt;&gt;IF(COUNTIF('15_評価計画・品質ゲート'!$V$4:$V$103,D45)&lt;&gt;1,"参照ID不正",IF(INDEX('15_評価計画・品質ゲート'!$U$4:$U$103,MATCH(D45,'15_評価計画・品質ゲート'!$V$4:$V$103,0))="","",INDEX('15_評価計画・品質ゲート'!$U$4:$U$103,MATCH(D45,'15_評価計画・品質ゲート'!$V$4:$V$103,0)))),"計画Manifest不一致",IF(F45="対象外",IF(H45="","対象外理由不足","対象外承認"),IF(F45&lt;&gt;"必須","適用未判定",IF(OR(G45="",COUNTIF('16_評価実績インデックス'!$A$4:$A$103,G45)&lt;&gt;1),"評価Run不足・不正",IF(OR(C45&lt;&gt;IF(COUNTIF('16_評価実績インデックス'!$A$4:$A$103,G45)&lt;&gt;1,"参照ID不正",IF(INDEX('16_評価実績インデックス'!$T$4:$T$103,MATCH(G45,'16_評価実績インデックス'!$A$4:$A$103,0))="","",INDEX('16_評価実績インデックス'!$T$4:$T$103,MATCH(G45,'16_評価実績インデックス'!$A$4:$A$103,0)))),D45&lt;&gt;IF(COUNTIF('16_評価実績インデックス'!$A$4:$A$103,G45)&lt;&gt;1,"参照ID不正",IF(INDEX('16_評価実績インデックス'!$B$4:$B$103,MATCH(G45,'16_評価実績インデックス'!$A$4:$A$103,0))="","",INDEX('16_評価実績インデックス'!$B$4:$B$103,MATCH(G45,'16_評価実績インデックス'!$A$4:$A$103,0)))),B45&lt;&gt;IF(COUNTIF('16_評価実績インデックス'!$A$4:$A$103,G45)&lt;&gt;1,"参照ID不正",IF(INDEX('16_評価実績インデックス'!$C$4:$C$103,MATCH(G45,'16_評価実績インデックス'!$A$4:$A$103,0))="","",INDEX('16_評価実績インデックス'!$C$4:$C$103,MATCH(G45,'16_評価実績インデックス'!$A$4:$A$103,0))))),"評価対象不一致",IF(IF(COUNTIF('16_評価実績インデックス'!$A$4:$A$103,G45)&lt;&gt;1,"参照ID不正",IF(INDEX('16_評価実績インデックス'!$S$4:$S$103,MATCH(G45,'16_評価実績インデックス'!$A$4:$A$103,0))="","",INDEX('16_評価実績インデックス'!$S$4:$S$103,MATCH(G45,'16_評価実績インデックス'!$A$4:$A$103,0))))&lt;&gt;"記録あり・内容審査別","評価記録未充足",IF(L45&lt;&gt;"合格","必要評価不合格・未確定","評価充足"))))))))))))</f>
        <v/>
      </c>
      <c r="N45" s="28">
        <f t="shared" si="1"/>
        <v>0</v>
      </c>
      <c r="O45" s="29"/>
      <c r="P45" s="29"/>
    </row>
    <row r="46" spans="1:16" ht="64" customHeight="1" x14ac:dyDescent="0.2">
      <c r="A46" s="29"/>
      <c r="B46" s="29"/>
      <c r="C46" s="29"/>
      <c r="D46" s="29"/>
      <c r="E46" s="28" t="str">
        <f>IF(A46="","",IF(COUNTIF('15_評価計画・品質ゲート'!$V$4:$V$103,D46)&lt;&gt;1,"参照ID不正",IF(INDEX('15_評価計画・品質ゲート'!$A$4:$A$103,MATCH(D46,'15_評価計画・品質ゲート'!$V$4:$V$103,0))="","",INDEX('15_評価計画・品質ゲート'!$A$4:$A$103,MATCH(D46,'15_評価計画・品質ゲート'!$V$4:$V$103,0)))))</f>
        <v/>
      </c>
      <c r="F46" s="29"/>
      <c r="G46" s="29"/>
      <c r="H46" s="29"/>
      <c r="I46" s="29"/>
      <c r="J46" s="29"/>
      <c r="K46" s="29"/>
      <c r="L46" s="28" t="str">
        <f>IF(OR(A46="",G46=""),"",IF(COUNTIF('16_評価実績インデックス'!$A$4:$A$103,G46)&lt;&gt;1,"参照ID不正",IF(INDEX('16_評価実績インデックス'!$O$4:$O$103,MATCH(G46,'16_評価実績インデックス'!$A$4:$A$103,0))="","",INDEX('16_評価実績インデックス'!$O$4:$O$103,MATCH(G46,'16_評価実績インデックス'!$A$4:$A$103,0)))))</f>
        <v/>
      </c>
      <c r="M46" s="28" t="str">
        <f>IF(A46="","",IF(OR(COUNTIF($A$4:$A$153,A46)&lt;&gt;1,COUNTIFS($B$4:$B$153,B46,$C$4:$C$153,C46,$D$4:$D$153,D46)&lt;&gt;1),"集合ID・計画重複",IF(OR(OR(B46="",C46="",D46="",I46="",J46="",O46=""),NOT(ISNUMBER(K46))),"集合承認不足",IF(OR(AND(K46&lt;&gt;"",OR(NOT(ISNUMBER(K46)),IFERROR(K46&lt;1,TRUE),IFERROR(INT(K46)&gt;INT(AsOfDate),TRUE)))),"集合承認日不正",IF(COUNTIF(EvalPlanKeys,D46)&lt;&gt;1,"PlanKey不正",IF(C46&lt;&gt;IF(COUNTIF('15_評価計画・品質ゲート'!$V$4:$V$103,D46)&lt;&gt;1,"参照ID不正",IF(INDEX('15_評価計画・品質ゲート'!$U$4:$U$103,MATCH(D46,'15_評価計画・品質ゲート'!$V$4:$V$103,0))="","",INDEX('15_評価計画・品質ゲート'!$U$4:$U$103,MATCH(D46,'15_評価計画・品質ゲート'!$V$4:$V$103,0)))),"計画Manifest不一致",IF(F46="対象外",IF(H46="","対象外理由不足","対象外承認"),IF(F46&lt;&gt;"必須","適用未判定",IF(OR(G46="",COUNTIF('16_評価実績インデックス'!$A$4:$A$103,G46)&lt;&gt;1),"評価Run不足・不正",IF(OR(C46&lt;&gt;IF(COUNTIF('16_評価実績インデックス'!$A$4:$A$103,G46)&lt;&gt;1,"参照ID不正",IF(INDEX('16_評価実績インデックス'!$T$4:$T$103,MATCH(G46,'16_評価実績インデックス'!$A$4:$A$103,0))="","",INDEX('16_評価実績インデックス'!$T$4:$T$103,MATCH(G46,'16_評価実績インデックス'!$A$4:$A$103,0)))),D46&lt;&gt;IF(COUNTIF('16_評価実績インデックス'!$A$4:$A$103,G46)&lt;&gt;1,"参照ID不正",IF(INDEX('16_評価実績インデックス'!$B$4:$B$103,MATCH(G46,'16_評価実績インデックス'!$A$4:$A$103,0))="","",INDEX('16_評価実績インデックス'!$B$4:$B$103,MATCH(G46,'16_評価実績インデックス'!$A$4:$A$103,0)))),B46&lt;&gt;IF(COUNTIF('16_評価実績インデックス'!$A$4:$A$103,G46)&lt;&gt;1,"参照ID不正",IF(INDEX('16_評価実績インデックス'!$C$4:$C$103,MATCH(G46,'16_評価実績インデックス'!$A$4:$A$103,0))="","",INDEX('16_評価実績インデックス'!$C$4:$C$103,MATCH(G46,'16_評価実績インデックス'!$A$4:$A$103,0))))),"評価対象不一致",IF(IF(COUNTIF('16_評価実績インデックス'!$A$4:$A$103,G46)&lt;&gt;1,"参照ID不正",IF(INDEX('16_評価実績インデックス'!$S$4:$S$103,MATCH(G46,'16_評価実績インデックス'!$A$4:$A$103,0))="","",INDEX('16_評価実績インデックス'!$S$4:$S$103,MATCH(G46,'16_評価実績インデックス'!$A$4:$A$103,0))))&lt;&gt;"記録あり・内容審査別","評価記録未充足",IF(L46&lt;&gt;"合格","必要評価不合格・未確定","評価充足"))))))))))))</f>
        <v/>
      </c>
      <c r="N46" s="28">
        <f t="shared" si="1"/>
        <v>0</v>
      </c>
      <c r="O46" s="29"/>
      <c r="P46" s="29"/>
    </row>
    <row r="47" spans="1:16" ht="64" customHeight="1" x14ac:dyDescent="0.2">
      <c r="A47" s="29"/>
      <c r="B47" s="29"/>
      <c r="C47" s="29"/>
      <c r="D47" s="29"/>
      <c r="E47" s="28" t="str">
        <f>IF(A47="","",IF(COUNTIF('15_評価計画・品質ゲート'!$V$4:$V$103,D47)&lt;&gt;1,"参照ID不正",IF(INDEX('15_評価計画・品質ゲート'!$A$4:$A$103,MATCH(D47,'15_評価計画・品質ゲート'!$V$4:$V$103,0))="","",INDEX('15_評価計画・品質ゲート'!$A$4:$A$103,MATCH(D47,'15_評価計画・品質ゲート'!$V$4:$V$103,0)))))</f>
        <v/>
      </c>
      <c r="F47" s="29"/>
      <c r="G47" s="29"/>
      <c r="H47" s="29"/>
      <c r="I47" s="29"/>
      <c r="J47" s="29"/>
      <c r="K47" s="29"/>
      <c r="L47" s="28" t="str">
        <f>IF(OR(A47="",G47=""),"",IF(COUNTIF('16_評価実績インデックス'!$A$4:$A$103,G47)&lt;&gt;1,"参照ID不正",IF(INDEX('16_評価実績インデックス'!$O$4:$O$103,MATCH(G47,'16_評価実績インデックス'!$A$4:$A$103,0))="","",INDEX('16_評価実績インデックス'!$O$4:$O$103,MATCH(G47,'16_評価実績インデックス'!$A$4:$A$103,0)))))</f>
        <v/>
      </c>
      <c r="M47" s="28" t="str">
        <f>IF(A47="","",IF(OR(COUNTIF($A$4:$A$153,A47)&lt;&gt;1,COUNTIFS($B$4:$B$153,B47,$C$4:$C$153,C47,$D$4:$D$153,D47)&lt;&gt;1),"集合ID・計画重複",IF(OR(OR(B47="",C47="",D47="",I47="",J47="",O47=""),NOT(ISNUMBER(K47))),"集合承認不足",IF(OR(AND(K47&lt;&gt;"",OR(NOT(ISNUMBER(K47)),IFERROR(K47&lt;1,TRUE),IFERROR(INT(K47)&gt;INT(AsOfDate),TRUE)))),"集合承認日不正",IF(COUNTIF(EvalPlanKeys,D47)&lt;&gt;1,"PlanKey不正",IF(C47&lt;&gt;IF(COUNTIF('15_評価計画・品質ゲート'!$V$4:$V$103,D47)&lt;&gt;1,"参照ID不正",IF(INDEX('15_評価計画・品質ゲート'!$U$4:$U$103,MATCH(D47,'15_評価計画・品質ゲート'!$V$4:$V$103,0))="","",INDEX('15_評価計画・品質ゲート'!$U$4:$U$103,MATCH(D47,'15_評価計画・品質ゲート'!$V$4:$V$103,0)))),"計画Manifest不一致",IF(F47="対象外",IF(H47="","対象外理由不足","対象外承認"),IF(F47&lt;&gt;"必須","適用未判定",IF(OR(G47="",COUNTIF('16_評価実績インデックス'!$A$4:$A$103,G47)&lt;&gt;1),"評価Run不足・不正",IF(OR(C47&lt;&gt;IF(COUNTIF('16_評価実績インデックス'!$A$4:$A$103,G47)&lt;&gt;1,"参照ID不正",IF(INDEX('16_評価実績インデックス'!$T$4:$T$103,MATCH(G47,'16_評価実績インデックス'!$A$4:$A$103,0))="","",INDEX('16_評価実績インデックス'!$T$4:$T$103,MATCH(G47,'16_評価実績インデックス'!$A$4:$A$103,0)))),D47&lt;&gt;IF(COUNTIF('16_評価実績インデックス'!$A$4:$A$103,G47)&lt;&gt;1,"参照ID不正",IF(INDEX('16_評価実績インデックス'!$B$4:$B$103,MATCH(G47,'16_評価実績インデックス'!$A$4:$A$103,0))="","",INDEX('16_評価実績インデックス'!$B$4:$B$103,MATCH(G47,'16_評価実績インデックス'!$A$4:$A$103,0)))),B47&lt;&gt;IF(COUNTIF('16_評価実績インデックス'!$A$4:$A$103,G47)&lt;&gt;1,"参照ID不正",IF(INDEX('16_評価実績インデックス'!$C$4:$C$103,MATCH(G47,'16_評価実績インデックス'!$A$4:$A$103,0))="","",INDEX('16_評価実績インデックス'!$C$4:$C$103,MATCH(G47,'16_評価実績インデックス'!$A$4:$A$103,0))))),"評価対象不一致",IF(IF(COUNTIF('16_評価実績インデックス'!$A$4:$A$103,G47)&lt;&gt;1,"参照ID不正",IF(INDEX('16_評価実績インデックス'!$S$4:$S$103,MATCH(G47,'16_評価実績インデックス'!$A$4:$A$103,0))="","",INDEX('16_評価実績インデックス'!$S$4:$S$103,MATCH(G47,'16_評価実績インデックス'!$A$4:$A$103,0))))&lt;&gt;"記録あり・内容審査別","評価記録未充足",IF(L47&lt;&gt;"合格","必要評価不合格・未確定","評価充足"))))))))))))</f>
        <v/>
      </c>
      <c r="N47" s="28">
        <f t="shared" si="1"/>
        <v>0</v>
      </c>
      <c r="O47" s="29"/>
      <c r="P47" s="29"/>
    </row>
    <row r="48" spans="1:16" ht="64" customHeight="1" x14ac:dyDescent="0.2">
      <c r="A48" s="29"/>
      <c r="B48" s="29"/>
      <c r="C48" s="29"/>
      <c r="D48" s="29"/>
      <c r="E48" s="28" t="str">
        <f>IF(A48="","",IF(COUNTIF('15_評価計画・品質ゲート'!$V$4:$V$103,D48)&lt;&gt;1,"参照ID不正",IF(INDEX('15_評価計画・品質ゲート'!$A$4:$A$103,MATCH(D48,'15_評価計画・品質ゲート'!$V$4:$V$103,0))="","",INDEX('15_評価計画・品質ゲート'!$A$4:$A$103,MATCH(D48,'15_評価計画・品質ゲート'!$V$4:$V$103,0)))))</f>
        <v/>
      </c>
      <c r="F48" s="29"/>
      <c r="G48" s="29"/>
      <c r="H48" s="29"/>
      <c r="I48" s="29"/>
      <c r="J48" s="29"/>
      <c r="K48" s="29"/>
      <c r="L48" s="28" t="str">
        <f>IF(OR(A48="",G48=""),"",IF(COUNTIF('16_評価実績インデックス'!$A$4:$A$103,G48)&lt;&gt;1,"参照ID不正",IF(INDEX('16_評価実績インデックス'!$O$4:$O$103,MATCH(G48,'16_評価実績インデックス'!$A$4:$A$103,0))="","",INDEX('16_評価実績インデックス'!$O$4:$O$103,MATCH(G48,'16_評価実績インデックス'!$A$4:$A$103,0)))))</f>
        <v/>
      </c>
      <c r="M48" s="28" t="str">
        <f>IF(A48="","",IF(OR(COUNTIF($A$4:$A$153,A48)&lt;&gt;1,COUNTIFS($B$4:$B$153,B48,$C$4:$C$153,C48,$D$4:$D$153,D48)&lt;&gt;1),"集合ID・計画重複",IF(OR(OR(B48="",C48="",D48="",I48="",J48="",O48=""),NOT(ISNUMBER(K48))),"集合承認不足",IF(OR(AND(K48&lt;&gt;"",OR(NOT(ISNUMBER(K48)),IFERROR(K48&lt;1,TRUE),IFERROR(INT(K48)&gt;INT(AsOfDate),TRUE)))),"集合承認日不正",IF(COUNTIF(EvalPlanKeys,D48)&lt;&gt;1,"PlanKey不正",IF(C48&lt;&gt;IF(COUNTIF('15_評価計画・品質ゲート'!$V$4:$V$103,D48)&lt;&gt;1,"参照ID不正",IF(INDEX('15_評価計画・品質ゲート'!$U$4:$U$103,MATCH(D48,'15_評価計画・品質ゲート'!$V$4:$V$103,0))="","",INDEX('15_評価計画・品質ゲート'!$U$4:$U$103,MATCH(D48,'15_評価計画・品質ゲート'!$V$4:$V$103,0)))),"計画Manifest不一致",IF(F48="対象外",IF(H48="","対象外理由不足","対象外承認"),IF(F48&lt;&gt;"必須","適用未判定",IF(OR(G48="",COUNTIF('16_評価実績インデックス'!$A$4:$A$103,G48)&lt;&gt;1),"評価Run不足・不正",IF(OR(C48&lt;&gt;IF(COUNTIF('16_評価実績インデックス'!$A$4:$A$103,G48)&lt;&gt;1,"参照ID不正",IF(INDEX('16_評価実績インデックス'!$T$4:$T$103,MATCH(G48,'16_評価実績インデックス'!$A$4:$A$103,0))="","",INDEX('16_評価実績インデックス'!$T$4:$T$103,MATCH(G48,'16_評価実績インデックス'!$A$4:$A$103,0)))),D48&lt;&gt;IF(COUNTIF('16_評価実績インデックス'!$A$4:$A$103,G48)&lt;&gt;1,"参照ID不正",IF(INDEX('16_評価実績インデックス'!$B$4:$B$103,MATCH(G48,'16_評価実績インデックス'!$A$4:$A$103,0))="","",INDEX('16_評価実績インデックス'!$B$4:$B$103,MATCH(G48,'16_評価実績インデックス'!$A$4:$A$103,0)))),B48&lt;&gt;IF(COUNTIF('16_評価実績インデックス'!$A$4:$A$103,G48)&lt;&gt;1,"参照ID不正",IF(INDEX('16_評価実績インデックス'!$C$4:$C$103,MATCH(G48,'16_評価実績インデックス'!$A$4:$A$103,0))="","",INDEX('16_評価実績インデックス'!$C$4:$C$103,MATCH(G48,'16_評価実績インデックス'!$A$4:$A$103,0))))),"評価対象不一致",IF(IF(COUNTIF('16_評価実績インデックス'!$A$4:$A$103,G48)&lt;&gt;1,"参照ID不正",IF(INDEX('16_評価実績インデックス'!$S$4:$S$103,MATCH(G48,'16_評価実績インデックス'!$A$4:$A$103,0))="","",INDEX('16_評価実績インデックス'!$S$4:$S$103,MATCH(G48,'16_評価実績インデックス'!$A$4:$A$103,0))))&lt;&gt;"記録あり・内容審査別","評価記録未充足",IF(L48&lt;&gt;"合格","必要評価不合格・未確定","評価充足"))))))))))))</f>
        <v/>
      </c>
      <c r="N48" s="28">
        <f t="shared" si="1"/>
        <v>0</v>
      </c>
      <c r="O48" s="29"/>
      <c r="P48" s="29"/>
    </row>
    <row r="49" spans="1:16" ht="64" customHeight="1" x14ac:dyDescent="0.2">
      <c r="A49" s="29"/>
      <c r="B49" s="29"/>
      <c r="C49" s="29"/>
      <c r="D49" s="29"/>
      <c r="E49" s="28" t="str">
        <f>IF(A49="","",IF(COUNTIF('15_評価計画・品質ゲート'!$V$4:$V$103,D49)&lt;&gt;1,"参照ID不正",IF(INDEX('15_評価計画・品質ゲート'!$A$4:$A$103,MATCH(D49,'15_評価計画・品質ゲート'!$V$4:$V$103,0))="","",INDEX('15_評価計画・品質ゲート'!$A$4:$A$103,MATCH(D49,'15_評価計画・品質ゲート'!$V$4:$V$103,0)))))</f>
        <v/>
      </c>
      <c r="F49" s="29"/>
      <c r="G49" s="29"/>
      <c r="H49" s="29"/>
      <c r="I49" s="29"/>
      <c r="J49" s="29"/>
      <c r="K49" s="29"/>
      <c r="L49" s="28" t="str">
        <f>IF(OR(A49="",G49=""),"",IF(COUNTIF('16_評価実績インデックス'!$A$4:$A$103,G49)&lt;&gt;1,"参照ID不正",IF(INDEX('16_評価実績インデックス'!$O$4:$O$103,MATCH(G49,'16_評価実績インデックス'!$A$4:$A$103,0))="","",INDEX('16_評価実績インデックス'!$O$4:$O$103,MATCH(G49,'16_評価実績インデックス'!$A$4:$A$103,0)))))</f>
        <v/>
      </c>
      <c r="M49" s="28" t="str">
        <f>IF(A49="","",IF(OR(COUNTIF($A$4:$A$153,A49)&lt;&gt;1,COUNTIFS($B$4:$B$153,B49,$C$4:$C$153,C49,$D$4:$D$153,D49)&lt;&gt;1),"集合ID・計画重複",IF(OR(OR(B49="",C49="",D49="",I49="",J49="",O49=""),NOT(ISNUMBER(K49))),"集合承認不足",IF(OR(AND(K49&lt;&gt;"",OR(NOT(ISNUMBER(K49)),IFERROR(K49&lt;1,TRUE),IFERROR(INT(K49)&gt;INT(AsOfDate),TRUE)))),"集合承認日不正",IF(COUNTIF(EvalPlanKeys,D49)&lt;&gt;1,"PlanKey不正",IF(C49&lt;&gt;IF(COUNTIF('15_評価計画・品質ゲート'!$V$4:$V$103,D49)&lt;&gt;1,"参照ID不正",IF(INDEX('15_評価計画・品質ゲート'!$U$4:$U$103,MATCH(D49,'15_評価計画・品質ゲート'!$V$4:$V$103,0))="","",INDEX('15_評価計画・品質ゲート'!$U$4:$U$103,MATCH(D49,'15_評価計画・品質ゲート'!$V$4:$V$103,0)))),"計画Manifest不一致",IF(F49="対象外",IF(H49="","対象外理由不足","対象外承認"),IF(F49&lt;&gt;"必須","適用未判定",IF(OR(G49="",COUNTIF('16_評価実績インデックス'!$A$4:$A$103,G49)&lt;&gt;1),"評価Run不足・不正",IF(OR(C49&lt;&gt;IF(COUNTIF('16_評価実績インデックス'!$A$4:$A$103,G49)&lt;&gt;1,"参照ID不正",IF(INDEX('16_評価実績インデックス'!$T$4:$T$103,MATCH(G49,'16_評価実績インデックス'!$A$4:$A$103,0))="","",INDEX('16_評価実績インデックス'!$T$4:$T$103,MATCH(G49,'16_評価実績インデックス'!$A$4:$A$103,0)))),D49&lt;&gt;IF(COUNTIF('16_評価実績インデックス'!$A$4:$A$103,G49)&lt;&gt;1,"参照ID不正",IF(INDEX('16_評価実績インデックス'!$B$4:$B$103,MATCH(G49,'16_評価実績インデックス'!$A$4:$A$103,0))="","",INDEX('16_評価実績インデックス'!$B$4:$B$103,MATCH(G49,'16_評価実績インデックス'!$A$4:$A$103,0)))),B49&lt;&gt;IF(COUNTIF('16_評価実績インデックス'!$A$4:$A$103,G49)&lt;&gt;1,"参照ID不正",IF(INDEX('16_評価実績インデックス'!$C$4:$C$103,MATCH(G49,'16_評価実績インデックス'!$A$4:$A$103,0))="","",INDEX('16_評価実績インデックス'!$C$4:$C$103,MATCH(G49,'16_評価実績インデックス'!$A$4:$A$103,0))))),"評価対象不一致",IF(IF(COUNTIF('16_評価実績インデックス'!$A$4:$A$103,G49)&lt;&gt;1,"参照ID不正",IF(INDEX('16_評価実績インデックス'!$S$4:$S$103,MATCH(G49,'16_評価実績インデックス'!$A$4:$A$103,0))="","",INDEX('16_評価実績インデックス'!$S$4:$S$103,MATCH(G49,'16_評価実績インデックス'!$A$4:$A$103,0))))&lt;&gt;"記録あり・内容審査別","評価記録未充足",IF(L49&lt;&gt;"合格","必要評価不合格・未確定","評価充足"))))))))))))</f>
        <v/>
      </c>
      <c r="N49" s="28">
        <f t="shared" si="1"/>
        <v>0</v>
      </c>
      <c r="O49" s="29"/>
      <c r="P49" s="29"/>
    </row>
    <row r="50" spans="1:16" ht="64" customHeight="1" x14ac:dyDescent="0.2">
      <c r="A50" s="29"/>
      <c r="B50" s="29"/>
      <c r="C50" s="29"/>
      <c r="D50" s="29"/>
      <c r="E50" s="28" t="str">
        <f>IF(A50="","",IF(COUNTIF('15_評価計画・品質ゲート'!$V$4:$V$103,D50)&lt;&gt;1,"参照ID不正",IF(INDEX('15_評価計画・品質ゲート'!$A$4:$A$103,MATCH(D50,'15_評価計画・品質ゲート'!$V$4:$V$103,0))="","",INDEX('15_評価計画・品質ゲート'!$A$4:$A$103,MATCH(D50,'15_評価計画・品質ゲート'!$V$4:$V$103,0)))))</f>
        <v/>
      </c>
      <c r="F50" s="29"/>
      <c r="G50" s="29"/>
      <c r="H50" s="29"/>
      <c r="I50" s="29"/>
      <c r="J50" s="29"/>
      <c r="K50" s="29"/>
      <c r="L50" s="28" t="str">
        <f>IF(OR(A50="",G50=""),"",IF(COUNTIF('16_評価実績インデックス'!$A$4:$A$103,G50)&lt;&gt;1,"参照ID不正",IF(INDEX('16_評価実績インデックス'!$O$4:$O$103,MATCH(G50,'16_評価実績インデックス'!$A$4:$A$103,0))="","",INDEX('16_評価実績インデックス'!$O$4:$O$103,MATCH(G50,'16_評価実績インデックス'!$A$4:$A$103,0)))))</f>
        <v/>
      </c>
      <c r="M50" s="28" t="str">
        <f>IF(A50="","",IF(OR(COUNTIF($A$4:$A$153,A50)&lt;&gt;1,COUNTIFS($B$4:$B$153,B50,$C$4:$C$153,C50,$D$4:$D$153,D50)&lt;&gt;1),"集合ID・計画重複",IF(OR(OR(B50="",C50="",D50="",I50="",J50="",O50=""),NOT(ISNUMBER(K50))),"集合承認不足",IF(OR(AND(K50&lt;&gt;"",OR(NOT(ISNUMBER(K50)),IFERROR(K50&lt;1,TRUE),IFERROR(INT(K50)&gt;INT(AsOfDate),TRUE)))),"集合承認日不正",IF(COUNTIF(EvalPlanKeys,D50)&lt;&gt;1,"PlanKey不正",IF(C50&lt;&gt;IF(COUNTIF('15_評価計画・品質ゲート'!$V$4:$V$103,D50)&lt;&gt;1,"参照ID不正",IF(INDEX('15_評価計画・品質ゲート'!$U$4:$U$103,MATCH(D50,'15_評価計画・品質ゲート'!$V$4:$V$103,0))="","",INDEX('15_評価計画・品質ゲート'!$U$4:$U$103,MATCH(D50,'15_評価計画・品質ゲート'!$V$4:$V$103,0)))),"計画Manifest不一致",IF(F50="対象外",IF(H50="","対象外理由不足","対象外承認"),IF(F50&lt;&gt;"必須","適用未判定",IF(OR(G50="",COUNTIF('16_評価実績インデックス'!$A$4:$A$103,G50)&lt;&gt;1),"評価Run不足・不正",IF(OR(C50&lt;&gt;IF(COUNTIF('16_評価実績インデックス'!$A$4:$A$103,G50)&lt;&gt;1,"参照ID不正",IF(INDEX('16_評価実績インデックス'!$T$4:$T$103,MATCH(G50,'16_評価実績インデックス'!$A$4:$A$103,0))="","",INDEX('16_評価実績インデックス'!$T$4:$T$103,MATCH(G50,'16_評価実績インデックス'!$A$4:$A$103,0)))),D50&lt;&gt;IF(COUNTIF('16_評価実績インデックス'!$A$4:$A$103,G50)&lt;&gt;1,"参照ID不正",IF(INDEX('16_評価実績インデックス'!$B$4:$B$103,MATCH(G50,'16_評価実績インデックス'!$A$4:$A$103,0))="","",INDEX('16_評価実績インデックス'!$B$4:$B$103,MATCH(G50,'16_評価実績インデックス'!$A$4:$A$103,0)))),B50&lt;&gt;IF(COUNTIF('16_評価実績インデックス'!$A$4:$A$103,G50)&lt;&gt;1,"参照ID不正",IF(INDEX('16_評価実績インデックス'!$C$4:$C$103,MATCH(G50,'16_評価実績インデックス'!$A$4:$A$103,0))="","",INDEX('16_評価実績インデックス'!$C$4:$C$103,MATCH(G50,'16_評価実績インデックス'!$A$4:$A$103,0))))),"評価対象不一致",IF(IF(COUNTIF('16_評価実績インデックス'!$A$4:$A$103,G50)&lt;&gt;1,"参照ID不正",IF(INDEX('16_評価実績インデックス'!$S$4:$S$103,MATCH(G50,'16_評価実績インデックス'!$A$4:$A$103,0))="","",INDEX('16_評価実績インデックス'!$S$4:$S$103,MATCH(G50,'16_評価実績インデックス'!$A$4:$A$103,0))))&lt;&gt;"記録あり・内容審査別","評価記録未充足",IF(L50&lt;&gt;"合格","必要評価不合格・未確定","評価充足"))))))))))))</f>
        <v/>
      </c>
      <c r="N50" s="28">
        <f t="shared" si="1"/>
        <v>0</v>
      </c>
      <c r="O50" s="29"/>
      <c r="P50" s="29"/>
    </row>
    <row r="51" spans="1:16" ht="64" customHeight="1" x14ac:dyDescent="0.2">
      <c r="A51" s="29"/>
      <c r="B51" s="29"/>
      <c r="C51" s="29"/>
      <c r="D51" s="29"/>
      <c r="E51" s="28" t="str">
        <f>IF(A51="","",IF(COUNTIF('15_評価計画・品質ゲート'!$V$4:$V$103,D51)&lt;&gt;1,"参照ID不正",IF(INDEX('15_評価計画・品質ゲート'!$A$4:$A$103,MATCH(D51,'15_評価計画・品質ゲート'!$V$4:$V$103,0))="","",INDEX('15_評価計画・品質ゲート'!$A$4:$A$103,MATCH(D51,'15_評価計画・品質ゲート'!$V$4:$V$103,0)))))</f>
        <v/>
      </c>
      <c r="F51" s="29"/>
      <c r="G51" s="29"/>
      <c r="H51" s="29"/>
      <c r="I51" s="29"/>
      <c r="J51" s="29"/>
      <c r="K51" s="29"/>
      <c r="L51" s="28" t="str">
        <f>IF(OR(A51="",G51=""),"",IF(COUNTIF('16_評価実績インデックス'!$A$4:$A$103,G51)&lt;&gt;1,"参照ID不正",IF(INDEX('16_評価実績インデックス'!$O$4:$O$103,MATCH(G51,'16_評価実績インデックス'!$A$4:$A$103,0))="","",INDEX('16_評価実績インデックス'!$O$4:$O$103,MATCH(G51,'16_評価実績インデックス'!$A$4:$A$103,0)))))</f>
        <v/>
      </c>
      <c r="M51" s="28" t="str">
        <f>IF(A51="","",IF(OR(COUNTIF($A$4:$A$153,A51)&lt;&gt;1,COUNTIFS($B$4:$B$153,B51,$C$4:$C$153,C51,$D$4:$D$153,D51)&lt;&gt;1),"集合ID・計画重複",IF(OR(OR(B51="",C51="",D51="",I51="",J51="",O51=""),NOT(ISNUMBER(K51))),"集合承認不足",IF(OR(AND(K51&lt;&gt;"",OR(NOT(ISNUMBER(K51)),IFERROR(K51&lt;1,TRUE),IFERROR(INT(K51)&gt;INT(AsOfDate),TRUE)))),"集合承認日不正",IF(COUNTIF(EvalPlanKeys,D51)&lt;&gt;1,"PlanKey不正",IF(C51&lt;&gt;IF(COUNTIF('15_評価計画・品質ゲート'!$V$4:$V$103,D51)&lt;&gt;1,"参照ID不正",IF(INDEX('15_評価計画・品質ゲート'!$U$4:$U$103,MATCH(D51,'15_評価計画・品質ゲート'!$V$4:$V$103,0))="","",INDEX('15_評価計画・品質ゲート'!$U$4:$U$103,MATCH(D51,'15_評価計画・品質ゲート'!$V$4:$V$103,0)))),"計画Manifest不一致",IF(F51="対象外",IF(H51="","対象外理由不足","対象外承認"),IF(F51&lt;&gt;"必須","適用未判定",IF(OR(G51="",COUNTIF('16_評価実績インデックス'!$A$4:$A$103,G51)&lt;&gt;1),"評価Run不足・不正",IF(OR(C51&lt;&gt;IF(COUNTIF('16_評価実績インデックス'!$A$4:$A$103,G51)&lt;&gt;1,"参照ID不正",IF(INDEX('16_評価実績インデックス'!$T$4:$T$103,MATCH(G51,'16_評価実績インデックス'!$A$4:$A$103,0))="","",INDEX('16_評価実績インデックス'!$T$4:$T$103,MATCH(G51,'16_評価実績インデックス'!$A$4:$A$103,0)))),D51&lt;&gt;IF(COUNTIF('16_評価実績インデックス'!$A$4:$A$103,G51)&lt;&gt;1,"参照ID不正",IF(INDEX('16_評価実績インデックス'!$B$4:$B$103,MATCH(G51,'16_評価実績インデックス'!$A$4:$A$103,0))="","",INDEX('16_評価実績インデックス'!$B$4:$B$103,MATCH(G51,'16_評価実績インデックス'!$A$4:$A$103,0)))),B51&lt;&gt;IF(COUNTIF('16_評価実績インデックス'!$A$4:$A$103,G51)&lt;&gt;1,"参照ID不正",IF(INDEX('16_評価実績インデックス'!$C$4:$C$103,MATCH(G51,'16_評価実績インデックス'!$A$4:$A$103,0))="","",INDEX('16_評価実績インデックス'!$C$4:$C$103,MATCH(G51,'16_評価実績インデックス'!$A$4:$A$103,0))))),"評価対象不一致",IF(IF(COUNTIF('16_評価実績インデックス'!$A$4:$A$103,G51)&lt;&gt;1,"参照ID不正",IF(INDEX('16_評価実績インデックス'!$S$4:$S$103,MATCH(G51,'16_評価実績インデックス'!$A$4:$A$103,0))="","",INDEX('16_評価実績インデックス'!$S$4:$S$103,MATCH(G51,'16_評価実績インデックス'!$A$4:$A$103,0))))&lt;&gt;"記録あり・内容審査別","評価記録未充足",IF(L51&lt;&gt;"合格","必要評価不合格・未確定","評価充足"))))))))))))</f>
        <v/>
      </c>
      <c r="N51" s="28">
        <f t="shared" si="1"/>
        <v>0</v>
      </c>
      <c r="O51" s="29"/>
      <c r="P51" s="29"/>
    </row>
    <row r="52" spans="1:16" ht="64" customHeight="1" x14ac:dyDescent="0.2">
      <c r="A52" s="29"/>
      <c r="B52" s="29"/>
      <c r="C52" s="29"/>
      <c r="D52" s="29"/>
      <c r="E52" s="28" t="str">
        <f>IF(A52="","",IF(COUNTIF('15_評価計画・品質ゲート'!$V$4:$V$103,D52)&lt;&gt;1,"参照ID不正",IF(INDEX('15_評価計画・品質ゲート'!$A$4:$A$103,MATCH(D52,'15_評価計画・品質ゲート'!$V$4:$V$103,0))="","",INDEX('15_評価計画・品質ゲート'!$A$4:$A$103,MATCH(D52,'15_評価計画・品質ゲート'!$V$4:$V$103,0)))))</f>
        <v/>
      </c>
      <c r="F52" s="29"/>
      <c r="G52" s="29"/>
      <c r="H52" s="29"/>
      <c r="I52" s="29"/>
      <c r="J52" s="29"/>
      <c r="K52" s="29"/>
      <c r="L52" s="28" t="str">
        <f>IF(OR(A52="",G52=""),"",IF(COUNTIF('16_評価実績インデックス'!$A$4:$A$103,G52)&lt;&gt;1,"参照ID不正",IF(INDEX('16_評価実績インデックス'!$O$4:$O$103,MATCH(G52,'16_評価実績インデックス'!$A$4:$A$103,0))="","",INDEX('16_評価実績インデックス'!$O$4:$O$103,MATCH(G52,'16_評価実績インデックス'!$A$4:$A$103,0)))))</f>
        <v/>
      </c>
      <c r="M52" s="28" t="str">
        <f>IF(A52="","",IF(OR(COUNTIF($A$4:$A$153,A52)&lt;&gt;1,COUNTIFS($B$4:$B$153,B52,$C$4:$C$153,C52,$D$4:$D$153,D52)&lt;&gt;1),"集合ID・計画重複",IF(OR(OR(B52="",C52="",D52="",I52="",J52="",O52=""),NOT(ISNUMBER(K52))),"集合承認不足",IF(OR(AND(K52&lt;&gt;"",OR(NOT(ISNUMBER(K52)),IFERROR(K52&lt;1,TRUE),IFERROR(INT(K52)&gt;INT(AsOfDate),TRUE)))),"集合承認日不正",IF(COUNTIF(EvalPlanKeys,D52)&lt;&gt;1,"PlanKey不正",IF(C52&lt;&gt;IF(COUNTIF('15_評価計画・品質ゲート'!$V$4:$V$103,D52)&lt;&gt;1,"参照ID不正",IF(INDEX('15_評価計画・品質ゲート'!$U$4:$U$103,MATCH(D52,'15_評価計画・品質ゲート'!$V$4:$V$103,0))="","",INDEX('15_評価計画・品質ゲート'!$U$4:$U$103,MATCH(D52,'15_評価計画・品質ゲート'!$V$4:$V$103,0)))),"計画Manifest不一致",IF(F52="対象外",IF(H52="","対象外理由不足","対象外承認"),IF(F52&lt;&gt;"必須","適用未判定",IF(OR(G52="",COUNTIF('16_評価実績インデックス'!$A$4:$A$103,G52)&lt;&gt;1),"評価Run不足・不正",IF(OR(C52&lt;&gt;IF(COUNTIF('16_評価実績インデックス'!$A$4:$A$103,G52)&lt;&gt;1,"参照ID不正",IF(INDEX('16_評価実績インデックス'!$T$4:$T$103,MATCH(G52,'16_評価実績インデックス'!$A$4:$A$103,0))="","",INDEX('16_評価実績インデックス'!$T$4:$T$103,MATCH(G52,'16_評価実績インデックス'!$A$4:$A$103,0)))),D52&lt;&gt;IF(COUNTIF('16_評価実績インデックス'!$A$4:$A$103,G52)&lt;&gt;1,"参照ID不正",IF(INDEX('16_評価実績インデックス'!$B$4:$B$103,MATCH(G52,'16_評価実績インデックス'!$A$4:$A$103,0))="","",INDEX('16_評価実績インデックス'!$B$4:$B$103,MATCH(G52,'16_評価実績インデックス'!$A$4:$A$103,0)))),B52&lt;&gt;IF(COUNTIF('16_評価実績インデックス'!$A$4:$A$103,G52)&lt;&gt;1,"参照ID不正",IF(INDEX('16_評価実績インデックス'!$C$4:$C$103,MATCH(G52,'16_評価実績インデックス'!$A$4:$A$103,0))="","",INDEX('16_評価実績インデックス'!$C$4:$C$103,MATCH(G52,'16_評価実績インデックス'!$A$4:$A$103,0))))),"評価対象不一致",IF(IF(COUNTIF('16_評価実績インデックス'!$A$4:$A$103,G52)&lt;&gt;1,"参照ID不正",IF(INDEX('16_評価実績インデックス'!$S$4:$S$103,MATCH(G52,'16_評価実績インデックス'!$A$4:$A$103,0))="","",INDEX('16_評価実績インデックス'!$S$4:$S$103,MATCH(G52,'16_評価実績インデックス'!$A$4:$A$103,0))))&lt;&gt;"記録あり・内容審査別","評価記録未充足",IF(L52&lt;&gt;"合格","必要評価不合格・未確定","評価充足"))))))))))))</f>
        <v/>
      </c>
      <c r="N52" s="28">
        <f t="shared" si="1"/>
        <v>0</v>
      </c>
      <c r="O52" s="29"/>
      <c r="P52" s="29"/>
    </row>
    <row r="53" spans="1:16" ht="64" customHeight="1" x14ac:dyDescent="0.2">
      <c r="A53" s="29"/>
      <c r="B53" s="29"/>
      <c r="C53" s="29"/>
      <c r="D53" s="29"/>
      <c r="E53" s="28" t="str">
        <f>IF(A53="","",IF(COUNTIF('15_評価計画・品質ゲート'!$V$4:$V$103,D53)&lt;&gt;1,"参照ID不正",IF(INDEX('15_評価計画・品質ゲート'!$A$4:$A$103,MATCH(D53,'15_評価計画・品質ゲート'!$V$4:$V$103,0))="","",INDEX('15_評価計画・品質ゲート'!$A$4:$A$103,MATCH(D53,'15_評価計画・品質ゲート'!$V$4:$V$103,0)))))</f>
        <v/>
      </c>
      <c r="F53" s="29"/>
      <c r="G53" s="29"/>
      <c r="H53" s="29"/>
      <c r="I53" s="29"/>
      <c r="J53" s="29"/>
      <c r="K53" s="29"/>
      <c r="L53" s="28" t="str">
        <f>IF(OR(A53="",G53=""),"",IF(COUNTIF('16_評価実績インデックス'!$A$4:$A$103,G53)&lt;&gt;1,"参照ID不正",IF(INDEX('16_評価実績インデックス'!$O$4:$O$103,MATCH(G53,'16_評価実績インデックス'!$A$4:$A$103,0))="","",INDEX('16_評価実績インデックス'!$O$4:$O$103,MATCH(G53,'16_評価実績インデックス'!$A$4:$A$103,0)))))</f>
        <v/>
      </c>
      <c r="M53" s="28" t="str">
        <f>IF(A53="","",IF(OR(COUNTIF($A$4:$A$153,A53)&lt;&gt;1,COUNTIFS($B$4:$B$153,B53,$C$4:$C$153,C53,$D$4:$D$153,D53)&lt;&gt;1),"集合ID・計画重複",IF(OR(OR(B53="",C53="",D53="",I53="",J53="",O53=""),NOT(ISNUMBER(K53))),"集合承認不足",IF(OR(AND(K53&lt;&gt;"",OR(NOT(ISNUMBER(K53)),IFERROR(K53&lt;1,TRUE),IFERROR(INT(K53)&gt;INT(AsOfDate),TRUE)))),"集合承認日不正",IF(COUNTIF(EvalPlanKeys,D53)&lt;&gt;1,"PlanKey不正",IF(C53&lt;&gt;IF(COUNTIF('15_評価計画・品質ゲート'!$V$4:$V$103,D53)&lt;&gt;1,"参照ID不正",IF(INDEX('15_評価計画・品質ゲート'!$U$4:$U$103,MATCH(D53,'15_評価計画・品質ゲート'!$V$4:$V$103,0))="","",INDEX('15_評価計画・品質ゲート'!$U$4:$U$103,MATCH(D53,'15_評価計画・品質ゲート'!$V$4:$V$103,0)))),"計画Manifest不一致",IF(F53="対象外",IF(H53="","対象外理由不足","対象外承認"),IF(F53&lt;&gt;"必須","適用未判定",IF(OR(G53="",COUNTIF('16_評価実績インデックス'!$A$4:$A$103,G53)&lt;&gt;1),"評価Run不足・不正",IF(OR(C53&lt;&gt;IF(COUNTIF('16_評価実績インデックス'!$A$4:$A$103,G53)&lt;&gt;1,"参照ID不正",IF(INDEX('16_評価実績インデックス'!$T$4:$T$103,MATCH(G53,'16_評価実績インデックス'!$A$4:$A$103,0))="","",INDEX('16_評価実績インデックス'!$T$4:$T$103,MATCH(G53,'16_評価実績インデックス'!$A$4:$A$103,0)))),D53&lt;&gt;IF(COUNTIF('16_評価実績インデックス'!$A$4:$A$103,G53)&lt;&gt;1,"参照ID不正",IF(INDEX('16_評価実績インデックス'!$B$4:$B$103,MATCH(G53,'16_評価実績インデックス'!$A$4:$A$103,0))="","",INDEX('16_評価実績インデックス'!$B$4:$B$103,MATCH(G53,'16_評価実績インデックス'!$A$4:$A$103,0)))),B53&lt;&gt;IF(COUNTIF('16_評価実績インデックス'!$A$4:$A$103,G53)&lt;&gt;1,"参照ID不正",IF(INDEX('16_評価実績インデックス'!$C$4:$C$103,MATCH(G53,'16_評価実績インデックス'!$A$4:$A$103,0))="","",INDEX('16_評価実績インデックス'!$C$4:$C$103,MATCH(G53,'16_評価実績インデックス'!$A$4:$A$103,0))))),"評価対象不一致",IF(IF(COUNTIF('16_評価実績インデックス'!$A$4:$A$103,G53)&lt;&gt;1,"参照ID不正",IF(INDEX('16_評価実績インデックス'!$S$4:$S$103,MATCH(G53,'16_評価実績インデックス'!$A$4:$A$103,0))="","",INDEX('16_評価実績インデックス'!$S$4:$S$103,MATCH(G53,'16_評価実績インデックス'!$A$4:$A$103,0))))&lt;&gt;"記録あり・内容審査別","評価記録未充足",IF(L53&lt;&gt;"合格","必要評価不合格・未確定","評価充足"))))))))))))</f>
        <v/>
      </c>
      <c r="N53" s="28">
        <f t="shared" si="1"/>
        <v>0</v>
      </c>
      <c r="O53" s="29"/>
      <c r="P53" s="29"/>
    </row>
    <row r="54" spans="1:16" ht="64" customHeight="1" x14ac:dyDescent="0.2">
      <c r="A54" s="29"/>
      <c r="B54" s="29"/>
      <c r="C54" s="29"/>
      <c r="D54" s="29"/>
      <c r="E54" s="28" t="str">
        <f>IF(A54="","",IF(COUNTIF('15_評価計画・品質ゲート'!$V$4:$V$103,D54)&lt;&gt;1,"参照ID不正",IF(INDEX('15_評価計画・品質ゲート'!$A$4:$A$103,MATCH(D54,'15_評価計画・品質ゲート'!$V$4:$V$103,0))="","",INDEX('15_評価計画・品質ゲート'!$A$4:$A$103,MATCH(D54,'15_評価計画・品質ゲート'!$V$4:$V$103,0)))))</f>
        <v/>
      </c>
      <c r="F54" s="29"/>
      <c r="G54" s="29"/>
      <c r="H54" s="29"/>
      <c r="I54" s="29"/>
      <c r="J54" s="29"/>
      <c r="K54" s="29"/>
      <c r="L54" s="28" t="str">
        <f>IF(OR(A54="",G54=""),"",IF(COUNTIF('16_評価実績インデックス'!$A$4:$A$103,G54)&lt;&gt;1,"参照ID不正",IF(INDEX('16_評価実績インデックス'!$O$4:$O$103,MATCH(G54,'16_評価実績インデックス'!$A$4:$A$103,0))="","",INDEX('16_評価実績インデックス'!$O$4:$O$103,MATCH(G54,'16_評価実績インデックス'!$A$4:$A$103,0)))))</f>
        <v/>
      </c>
      <c r="M54" s="28" t="str">
        <f>IF(A54="","",IF(OR(COUNTIF($A$4:$A$153,A54)&lt;&gt;1,COUNTIFS($B$4:$B$153,B54,$C$4:$C$153,C54,$D$4:$D$153,D54)&lt;&gt;1),"集合ID・計画重複",IF(OR(OR(B54="",C54="",D54="",I54="",J54="",O54=""),NOT(ISNUMBER(K54))),"集合承認不足",IF(OR(AND(K54&lt;&gt;"",OR(NOT(ISNUMBER(K54)),IFERROR(K54&lt;1,TRUE),IFERROR(INT(K54)&gt;INT(AsOfDate),TRUE)))),"集合承認日不正",IF(COUNTIF(EvalPlanKeys,D54)&lt;&gt;1,"PlanKey不正",IF(C54&lt;&gt;IF(COUNTIF('15_評価計画・品質ゲート'!$V$4:$V$103,D54)&lt;&gt;1,"参照ID不正",IF(INDEX('15_評価計画・品質ゲート'!$U$4:$U$103,MATCH(D54,'15_評価計画・品質ゲート'!$V$4:$V$103,0))="","",INDEX('15_評価計画・品質ゲート'!$U$4:$U$103,MATCH(D54,'15_評価計画・品質ゲート'!$V$4:$V$103,0)))),"計画Manifest不一致",IF(F54="対象外",IF(H54="","対象外理由不足","対象外承認"),IF(F54&lt;&gt;"必須","適用未判定",IF(OR(G54="",COUNTIF('16_評価実績インデックス'!$A$4:$A$103,G54)&lt;&gt;1),"評価Run不足・不正",IF(OR(C54&lt;&gt;IF(COUNTIF('16_評価実績インデックス'!$A$4:$A$103,G54)&lt;&gt;1,"参照ID不正",IF(INDEX('16_評価実績インデックス'!$T$4:$T$103,MATCH(G54,'16_評価実績インデックス'!$A$4:$A$103,0))="","",INDEX('16_評価実績インデックス'!$T$4:$T$103,MATCH(G54,'16_評価実績インデックス'!$A$4:$A$103,0)))),D54&lt;&gt;IF(COUNTIF('16_評価実績インデックス'!$A$4:$A$103,G54)&lt;&gt;1,"参照ID不正",IF(INDEX('16_評価実績インデックス'!$B$4:$B$103,MATCH(G54,'16_評価実績インデックス'!$A$4:$A$103,0))="","",INDEX('16_評価実績インデックス'!$B$4:$B$103,MATCH(G54,'16_評価実績インデックス'!$A$4:$A$103,0)))),B54&lt;&gt;IF(COUNTIF('16_評価実績インデックス'!$A$4:$A$103,G54)&lt;&gt;1,"参照ID不正",IF(INDEX('16_評価実績インデックス'!$C$4:$C$103,MATCH(G54,'16_評価実績インデックス'!$A$4:$A$103,0))="","",INDEX('16_評価実績インデックス'!$C$4:$C$103,MATCH(G54,'16_評価実績インデックス'!$A$4:$A$103,0))))),"評価対象不一致",IF(IF(COUNTIF('16_評価実績インデックス'!$A$4:$A$103,G54)&lt;&gt;1,"参照ID不正",IF(INDEX('16_評価実績インデックス'!$S$4:$S$103,MATCH(G54,'16_評価実績インデックス'!$A$4:$A$103,0))="","",INDEX('16_評価実績インデックス'!$S$4:$S$103,MATCH(G54,'16_評価実績インデックス'!$A$4:$A$103,0))))&lt;&gt;"記録あり・内容審査別","評価記録未充足",IF(L54&lt;&gt;"合格","必要評価不合格・未確定","評価充足"))))))))))))</f>
        <v/>
      </c>
      <c r="N54" s="28">
        <f t="shared" si="1"/>
        <v>0</v>
      </c>
      <c r="O54" s="29"/>
      <c r="P54" s="29"/>
    </row>
    <row r="55" spans="1:16" ht="64" customHeight="1" x14ac:dyDescent="0.2">
      <c r="A55" s="29"/>
      <c r="B55" s="29"/>
      <c r="C55" s="29"/>
      <c r="D55" s="29"/>
      <c r="E55" s="28" t="str">
        <f>IF(A55="","",IF(COUNTIF('15_評価計画・品質ゲート'!$V$4:$V$103,D55)&lt;&gt;1,"参照ID不正",IF(INDEX('15_評価計画・品質ゲート'!$A$4:$A$103,MATCH(D55,'15_評価計画・品質ゲート'!$V$4:$V$103,0))="","",INDEX('15_評価計画・品質ゲート'!$A$4:$A$103,MATCH(D55,'15_評価計画・品質ゲート'!$V$4:$V$103,0)))))</f>
        <v/>
      </c>
      <c r="F55" s="29"/>
      <c r="G55" s="29"/>
      <c r="H55" s="29"/>
      <c r="I55" s="29"/>
      <c r="J55" s="29"/>
      <c r="K55" s="29"/>
      <c r="L55" s="28" t="str">
        <f>IF(OR(A55="",G55=""),"",IF(COUNTIF('16_評価実績インデックス'!$A$4:$A$103,G55)&lt;&gt;1,"参照ID不正",IF(INDEX('16_評価実績インデックス'!$O$4:$O$103,MATCH(G55,'16_評価実績インデックス'!$A$4:$A$103,0))="","",INDEX('16_評価実績インデックス'!$O$4:$O$103,MATCH(G55,'16_評価実績インデックス'!$A$4:$A$103,0)))))</f>
        <v/>
      </c>
      <c r="M55" s="28" t="str">
        <f>IF(A55="","",IF(OR(COUNTIF($A$4:$A$153,A55)&lt;&gt;1,COUNTIFS($B$4:$B$153,B55,$C$4:$C$153,C55,$D$4:$D$153,D55)&lt;&gt;1),"集合ID・計画重複",IF(OR(OR(B55="",C55="",D55="",I55="",J55="",O55=""),NOT(ISNUMBER(K55))),"集合承認不足",IF(OR(AND(K55&lt;&gt;"",OR(NOT(ISNUMBER(K55)),IFERROR(K55&lt;1,TRUE),IFERROR(INT(K55)&gt;INT(AsOfDate),TRUE)))),"集合承認日不正",IF(COUNTIF(EvalPlanKeys,D55)&lt;&gt;1,"PlanKey不正",IF(C55&lt;&gt;IF(COUNTIF('15_評価計画・品質ゲート'!$V$4:$V$103,D55)&lt;&gt;1,"参照ID不正",IF(INDEX('15_評価計画・品質ゲート'!$U$4:$U$103,MATCH(D55,'15_評価計画・品質ゲート'!$V$4:$V$103,0))="","",INDEX('15_評価計画・品質ゲート'!$U$4:$U$103,MATCH(D55,'15_評価計画・品質ゲート'!$V$4:$V$103,0)))),"計画Manifest不一致",IF(F55="対象外",IF(H55="","対象外理由不足","対象外承認"),IF(F55&lt;&gt;"必須","適用未判定",IF(OR(G55="",COUNTIF('16_評価実績インデックス'!$A$4:$A$103,G55)&lt;&gt;1),"評価Run不足・不正",IF(OR(C55&lt;&gt;IF(COUNTIF('16_評価実績インデックス'!$A$4:$A$103,G55)&lt;&gt;1,"参照ID不正",IF(INDEX('16_評価実績インデックス'!$T$4:$T$103,MATCH(G55,'16_評価実績インデックス'!$A$4:$A$103,0))="","",INDEX('16_評価実績インデックス'!$T$4:$T$103,MATCH(G55,'16_評価実績インデックス'!$A$4:$A$103,0)))),D55&lt;&gt;IF(COUNTIF('16_評価実績インデックス'!$A$4:$A$103,G55)&lt;&gt;1,"参照ID不正",IF(INDEX('16_評価実績インデックス'!$B$4:$B$103,MATCH(G55,'16_評価実績インデックス'!$A$4:$A$103,0))="","",INDEX('16_評価実績インデックス'!$B$4:$B$103,MATCH(G55,'16_評価実績インデックス'!$A$4:$A$103,0)))),B55&lt;&gt;IF(COUNTIF('16_評価実績インデックス'!$A$4:$A$103,G55)&lt;&gt;1,"参照ID不正",IF(INDEX('16_評価実績インデックス'!$C$4:$C$103,MATCH(G55,'16_評価実績インデックス'!$A$4:$A$103,0))="","",INDEX('16_評価実績インデックス'!$C$4:$C$103,MATCH(G55,'16_評価実績インデックス'!$A$4:$A$103,0))))),"評価対象不一致",IF(IF(COUNTIF('16_評価実績インデックス'!$A$4:$A$103,G55)&lt;&gt;1,"参照ID不正",IF(INDEX('16_評価実績インデックス'!$S$4:$S$103,MATCH(G55,'16_評価実績インデックス'!$A$4:$A$103,0))="","",INDEX('16_評価実績インデックス'!$S$4:$S$103,MATCH(G55,'16_評価実績インデックス'!$A$4:$A$103,0))))&lt;&gt;"記録あり・内容審査別","評価記録未充足",IF(L55&lt;&gt;"合格","必要評価不合格・未確定","評価充足"))))))))))))</f>
        <v/>
      </c>
      <c r="N55" s="28">
        <f t="shared" si="1"/>
        <v>0</v>
      </c>
      <c r="O55" s="29"/>
      <c r="P55" s="29"/>
    </row>
    <row r="56" spans="1:16" ht="64" customHeight="1" x14ac:dyDescent="0.2">
      <c r="A56" s="29"/>
      <c r="B56" s="29"/>
      <c r="C56" s="29"/>
      <c r="D56" s="29"/>
      <c r="E56" s="28" t="str">
        <f>IF(A56="","",IF(COUNTIF('15_評価計画・品質ゲート'!$V$4:$V$103,D56)&lt;&gt;1,"参照ID不正",IF(INDEX('15_評価計画・品質ゲート'!$A$4:$A$103,MATCH(D56,'15_評価計画・品質ゲート'!$V$4:$V$103,0))="","",INDEX('15_評価計画・品質ゲート'!$A$4:$A$103,MATCH(D56,'15_評価計画・品質ゲート'!$V$4:$V$103,0)))))</f>
        <v/>
      </c>
      <c r="F56" s="29"/>
      <c r="G56" s="29"/>
      <c r="H56" s="29"/>
      <c r="I56" s="29"/>
      <c r="J56" s="29"/>
      <c r="K56" s="29"/>
      <c r="L56" s="28" t="str">
        <f>IF(OR(A56="",G56=""),"",IF(COUNTIF('16_評価実績インデックス'!$A$4:$A$103,G56)&lt;&gt;1,"参照ID不正",IF(INDEX('16_評価実績インデックス'!$O$4:$O$103,MATCH(G56,'16_評価実績インデックス'!$A$4:$A$103,0))="","",INDEX('16_評価実績インデックス'!$O$4:$O$103,MATCH(G56,'16_評価実績インデックス'!$A$4:$A$103,0)))))</f>
        <v/>
      </c>
      <c r="M56" s="28" t="str">
        <f>IF(A56="","",IF(OR(COUNTIF($A$4:$A$153,A56)&lt;&gt;1,COUNTIFS($B$4:$B$153,B56,$C$4:$C$153,C56,$D$4:$D$153,D56)&lt;&gt;1),"集合ID・計画重複",IF(OR(OR(B56="",C56="",D56="",I56="",J56="",O56=""),NOT(ISNUMBER(K56))),"集合承認不足",IF(OR(AND(K56&lt;&gt;"",OR(NOT(ISNUMBER(K56)),IFERROR(K56&lt;1,TRUE),IFERROR(INT(K56)&gt;INT(AsOfDate),TRUE)))),"集合承認日不正",IF(COUNTIF(EvalPlanKeys,D56)&lt;&gt;1,"PlanKey不正",IF(C56&lt;&gt;IF(COUNTIF('15_評価計画・品質ゲート'!$V$4:$V$103,D56)&lt;&gt;1,"参照ID不正",IF(INDEX('15_評価計画・品質ゲート'!$U$4:$U$103,MATCH(D56,'15_評価計画・品質ゲート'!$V$4:$V$103,0))="","",INDEX('15_評価計画・品質ゲート'!$U$4:$U$103,MATCH(D56,'15_評価計画・品質ゲート'!$V$4:$V$103,0)))),"計画Manifest不一致",IF(F56="対象外",IF(H56="","対象外理由不足","対象外承認"),IF(F56&lt;&gt;"必須","適用未判定",IF(OR(G56="",COUNTIF('16_評価実績インデックス'!$A$4:$A$103,G56)&lt;&gt;1),"評価Run不足・不正",IF(OR(C56&lt;&gt;IF(COUNTIF('16_評価実績インデックス'!$A$4:$A$103,G56)&lt;&gt;1,"参照ID不正",IF(INDEX('16_評価実績インデックス'!$T$4:$T$103,MATCH(G56,'16_評価実績インデックス'!$A$4:$A$103,0))="","",INDEX('16_評価実績インデックス'!$T$4:$T$103,MATCH(G56,'16_評価実績インデックス'!$A$4:$A$103,0)))),D56&lt;&gt;IF(COUNTIF('16_評価実績インデックス'!$A$4:$A$103,G56)&lt;&gt;1,"参照ID不正",IF(INDEX('16_評価実績インデックス'!$B$4:$B$103,MATCH(G56,'16_評価実績インデックス'!$A$4:$A$103,0))="","",INDEX('16_評価実績インデックス'!$B$4:$B$103,MATCH(G56,'16_評価実績インデックス'!$A$4:$A$103,0)))),B56&lt;&gt;IF(COUNTIF('16_評価実績インデックス'!$A$4:$A$103,G56)&lt;&gt;1,"参照ID不正",IF(INDEX('16_評価実績インデックス'!$C$4:$C$103,MATCH(G56,'16_評価実績インデックス'!$A$4:$A$103,0))="","",INDEX('16_評価実績インデックス'!$C$4:$C$103,MATCH(G56,'16_評価実績インデックス'!$A$4:$A$103,0))))),"評価対象不一致",IF(IF(COUNTIF('16_評価実績インデックス'!$A$4:$A$103,G56)&lt;&gt;1,"参照ID不正",IF(INDEX('16_評価実績インデックス'!$S$4:$S$103,MATCH(G56,'16_評価実績インデックス'!$A$4:$A$103,0))="","",INDEX('16_評価実績インデックス'!$S$4:$S$103,MATCH(G56,'16_評価実績インデックス'!$A$4:$A$103,0))))&lt;&gt;"記録あり・内容審査別","評価記録未充足",IF(L56&lt;&gt;"合格","必要評価不合格・未確定","評価充足"))))))))))))</f>
        <v/>
      </c>
      <c r="N56" s="28">
        <f t="shared" si="1"/>
        <v>0</v>
      </c>
      <c r="O56" s="29"/>
      <c r="P56" s="29"/>
    </row>
    <row r="57" spans="1:16" ht="64" customHeight="1" x14ac:dyDescent="0.2">
      <c r="A57" s="29"/>
      <c r="B57" s="29"/>
      <c r="C57" s="29"/>
      <c r="D57" s="29"/>
      <c r="E57" s="28" t="str">
        <f>IF(A57="","",IF(COUNTIF('15_評価計画・品質ゲート'!$V$4:$V$103,D57)&lt;&gt;1,"参照ID不正",IF(INDEX('15_評価計画・品質ゲート'!$A$4:$A$103,MATCH(D57,'15_評価計画・品質ゲート'!$V$4:$V$103,0))="","",INDEX('15_評価計画・品質ゲート'!$A$4:$A$103,MATCH(D57,'15_評価計画・品質ゲート'!$V$4:$V$103,0)))))</f>
        <v/>
      </c>
      <c r="F57" s="29"/>
      <c r="G57" s="29"/>
      <c r="H57" s="29"/>
      <c r="I57" s="29"/>
      <c r="J57" s="29"/>
      <c r="K57" s="29"/>
      <c r="L57" s="28" t="str">
        <f>IF(OR(A57="",G57=""),"",IF(COUNTIF('16_評価実績インデックス'!$A$4:$A$103,G57)&lt;&gt;1,"参照ID不正",IF(INDEX('16_評価実績インデックス'!$O$4:$O$103,MATCH(G57,'16_評価実績インデックス'!$A$4:$A$103,0))="","",INDEX('16_評価実績インデックス'!$O$4:$O$103,MATCH(G57,'16_評価実績インデックス'!$A$4:$A$103,0)))))</f>
        <v/>
      </c>
      <c r="M57" s="28" t="str">
        <f>IF(A57="","",IF(OR(COUNTIF($A$4:$A$153,A57)&lt;&gt;1,COUNTIFS($B$4:$B$153,B57,$C$4:$C$153,C57,$D$4:$D$153,D57)&lt;&gt;1),"集合ID・計画重複",IF(OR(OR(B57="",C57="",D57="",I57="",J57="",O57=""),NOT(ISNUMBER(K57))),"集合承認不足",IF(OR(AND(K57&lt;&gt;"",OR(NOT(ISNUMBER(K57)),IFERROR(K57&lt;1,TRUE),IFERROR(INT(K57)&gt;INT(AsOfDate),TRUE)))),"集合承認日不正",IF(COUNTIF(EvalPlanKeys,D57)&lt;&gt;1,"PlanKey不正",IF(C57&lt;&gt;IF(COUNTIF('15_評価計画・品質ゲート'!$V$4:$V$103,D57)&lt;&gt;1,"参照ID不正",IF(INDEX('15_評価計画・品質ゲート'!$U$4:$U$103,MATCH(D57,'15_評価計画・品質ゲート'!$V$4:$V$103,0))="","",INDEX('15_評価計画・品質ゲート'!$U$4:$U$103,MATCH(D57,'15_評価計画・品質ゲート'!$V$4:$V$103,0)))),"計画Manifest不一致",IF(F57="対象外",IF(H57="","対象外理由不足","対象外承認"),IF(F57&lt;&gt;"必須","適用未判定",IF(OR(G57="",COUNTIF('16_評価実績インデックス'!$A$4:$A$103,G57)&lt;&gt;1),"評価Run不足・不正",IF(OR(C57&lt;&gt;IF(COUNTIF('16_評価実績インデックス'!$A$4:$A$103,G57)&lt;&gt;1,"参照ID不正",IF(INDEX('16_評価実績インデックス'!$T$4:$T$103,MATCH(G57,'16_評価実績インデックス'!$A$4:$A$103,0))="","",INDEX('16_評価実績インデックス'!$T$4:$T$103,MATCH(G57,'16_評価実績インデックス'!$A$4:$A$103,0)))),D57&lt;&gt;IF(COUNTIF('16_評価実績インデックス'!$A$4:$A$103,G57)&lt;&gt;1,"参照ID不正",IF(INDEX('16_評価実績インデックス'!$B$4:$B$103,MATCH(G57,'16_評価実績インデックス'!$A$4:$A$103,0))="","",INDEX('16_評価実績インデックス'!$B$4:$B$103,MATCH(G57,'16_評価実績インデックス'!$A$4:$A$103,0)))),B57&lt;&gt;IF(COUNTIF('16_評価実績インデックス'!$A$4:$A$103,G57)&lt;&gt;1,"参照ID不正",IF(INDEX('16_評価実績インデックス'!$C$4:$C$103,MATCH(G57,'16_評価実績インデックス'!$A$4:$A$103,0))="","",INDEX('16_評価実績インデックス'!$C$4:$C$103,MATCH(G57,'16_評価実績インデックス'!$A$4:$A$103,0))))),"評価対象不一致",IF(IF(COUNTIF('16_評価実績インデックス'!$A$4:$A$103,G57)&lt;&gt;1,"参照ID不正",IF(INDEX('16_評価実績インデックス'!$S$4:$S$103,MATCH(G57,'16_評価実績インデックス'!$A$4:$A$103,0))="","",INDEX('16_評価実績インデックス'!$S$4:$S$103,MATCH(G57,'16_評価実績インデックス'!$A$4:$A$103,0))))&lt;&gt;"記録あり・内容審査別","評価記録未充足",IF(L57&lt;&gt;"合格","必要評価不合格・未確定","評価充足"))))))))))))</f>
        <v/>
      </c>
      <c r="N57" s="28">
        <f t="shared" si="1"/>
        <v>0</v>
      </c>
      <c r="O57" s="29"/>
      <c r="P57" s="29"/>
    </row>
    <row r="58" spans="1:16" ht="64" customHeight="1" x14ac:dyDescent="0.2">
      <c r="A58" s="29"/>
      <c r="B58" s="29"/>
      <c r="C58" s="29"/>
      <c r="D58" s="29"/>
      <c r="E58" s="28" t="str">
        <f>IF(A58="","",IF(COUNTIF('15_評価計画・品質ゲート'!$V$4:$V$103,D58)&lt;&gt;1,"参照ID不正",IF(INDEX('15_評価計画・品質ゲート'!$A$4:$A$103,MATCH(D58,'15_評価計画・品質ゲート'!$V$4:$V$103,0))="","",INDEX('15_評価計画・品質ゲート'!$A$4:$A$103,MATCH(D58,'15_評価計画・品質ゲート'!$V$4:$V$103,0)))))</f>
        <v/>
      </c>
      <c r="F58" s="29"/>
      <c r="G58" s="29"/>
      <c r="H58" s="29"/>
      <c r="I58" s="29"/>
      <c r="J58" s="29"/>
      <c r="K58" s="29"/>
      <c r="L58" s="28" t="str">
        <f>IF(OR(A58="",G58=""),"",IF(COUNTIF('16_評価実績インデックス'!$A$4:$A$103,G58)&lt;&gt;1,"参照ID不正",IF(INDEX('16_評価実績インデックス'!$O$4:$O$103,MATCH(G58,'16_評価実績インデックス'!$A$4:$A$103,0))="","",INDEX('16_評価実績インデックス'!$O$4:$O$103,MATCH(G58,'16_評価実績インデックス'!$A$4:$A$103,0)))))</f>
        <v/>
      </c>
      <c r="M58" s="28" t="str">
        <f>IF(A58="","",IF(OR(COUNTIF($A$4:$A$153,A58)&lt;&gt;1,COUNTIFS($B$4:$B$153,B58,$C$4:$C$153,C58,$D$4:$D$153,D58)&lt;&gt;1),"集合ID・計画重複",IF(OR(OR(B58="",C58="",D58="",I58="",J58="",O58=""),NOT(ISNUMBER(K58))),"集合承認不足",IF(OR(AND(K58&lt;&gt;"",OR(NOT(ISNUMBER(K58)),IFERROR(K58&lt;1,TRUE),IFERROR(INT(K58)&gt;INT(AsOfDate),TRUE)))),"集合承認日不正",IF(COUNTIF(EvalPlanKeys,D58)&lt;&gt;1,"PlanKey不正",IF(C58&lt;&gt;IF(COUNTIF('15_評価計画・品質ゲート'!$V$4:$V$103,D58)&lt;&gt;1,"参照ID不正",IF(INDEX('15_評価計画・品質ゲート'!$U$4:$U$103,MATCH(D58,'15_評価計画・品質ゲート'!$V$4:$V$103,0))="","",INDEX('15_評価計画・品質ゲート'!$U$4:$U$103,MATCH(D58,'15_評価計画・品質ゲート'!$V$4:$V$103,0)))),"計画Manifest不一致",IF(F58="対象外",IF(H58="","対象外理由不足","対象外承認"),IF(F58&lt;&gt;"必須","適用未判定",IF(OR(G58="",COUNTIF('16_評価実績インデックス'!$A$4:$A$103,G58)&lt;&gt;1),"評価Run不足・不正",IF(OR(C58&lt;&gt;IF(COUNTIF('16_評価実績インデックス'!$A$4:$A$103,G58)&lt;&gt;1,"参照ID不正",IF(INDEX('16_評価実績インデックス'!$T$4:$T$103,MATCH(G58,'16_評価実績インデックス'!$A$4:$A$103,0))="","",INDEX('16_評価実績インデックス'!$T$4:$T$103,MATCH(G58,'16_評価実績インデックス'!$A$4:$A$103,0)))),D58&lt;&gt;IF(COUNTIF('16_評価実績インデックス'!$A$4:$A$103,G58)&lt;&gt;1,"参照ID不正",IF(INDEX('16_評価実績インデックス'!$B$4:$B$103,MATCH(G58,'16_評価実績インデックス'!$A$4:$A$103,0))="","",INDEX('16_評価実績インデックス'!$B$4:$B$103,MATCH(G58,'16_評価実績インデックス'!$A$4:$A$103,0)))),B58&lt;&gt;IF(COUNTIF('16_評価実績インデックス'!$A$4:$A$103,G58)&lt;&gt;1,"参照ID不正",IF(INDEX('16_評価実績インデックス'!$C$4:$C$103,MATCH(G58,'16_評価実績インデックス'!$A$4:$A$103,0))="","",INDEX('16_評価実績インデックス'!$C$4:$C$103,MATCH(G58,'16_評価実績インデックス'!$A$4:$A$103,0))))),"評価対象不一致",IF(IF(COUNTIF('16_評価実績インデックス'!$A$4:$A$103,G58)&lt;&gt;1,"参照ID不正",IF(INDEX('16_評価実績インデックス'!$S$4:$S$103,MATCH(G58,'16_評価実績インデックス'!$A$4:$A$103,0))="","",INDEX('16_評価実績インデックス'!$S$4:$S$103,MATCH(G58,'16_評価実績インデックス'!$A$4:$A$103,0))))&lt;&gt;"記録あり・内容審査別","評価記録未充足",IF(L58&lt;&gt;"合格","必要評価不合格・未確定","評価充足"))))))))))))</f>
        <v/>
      </c>
      <c r="N58" s="28">
        <f t="shared" si="1"/>
        <v>0</v>
      </c>
      <c r="O58" s="29"/>
      <c r="P58" s="29"/>
    </row>
    <row r="59" spans="1:16" ht="64" customHeight="1" x14ac:dyDescent="0.2">
      <c r="A59" s="29"/>
      <c r="B59" s="29"/>
      <c r="C59" s="29"/>
      <c r="D59" s="29"/>
      <c r="E59" s="28" t="str">
        <f>IF(A59="","",IF(COUNTIF('15_評価計画・品質ゲート'!$V$4:$V$103,D59)&lt;&gt;1,"参照ID不正",IF(INDEX('15_評価計画・品質ゲート'!$A$4:$A$103,MATCH(D59,'15_評価計画・品質ゲート'!$V$4:$V$103,0))="","",INDEX('15_評価計画・品質ゲート'!$A$4:$A$103,MATCH(D59,'15_評価計画・品質ゲート'!$V$4:$V$103,0)))))</f>
        <v/>
      </c>
      <c r="F59" s="29"/>
      <c r="G59" s="29"/>
      <c r="H59" s="29"/>
      <c r="I59" s="29"/>
      <c r="J59" s="29"/>
      <c r="K59" s="29"/>
      <c r="L59" s="28" t="str">
        <f>IF(OR(A59="",G59=""),"",IF(COUNTIF('16_評価実績インデックス'!$A$4:$A$103,G59)&lt;&gt;1,"参照ID不正",IF(INDEX('16_評価実績インデックス'!$O$4:$O$103,MATCH(G59,'16_評価実績インデックス'!$A$4:$A$103,0))="","",INDEX('16_評価実績インデックス'!$O$4:$O$103,MATCH(G59,'16_評価実績インデックス'!$A$4:$A$103,0)))))</f>
        <v/>
      </c>
      <c r="M59" s="28" t="str">
        <f>IF(A59="","",IF(OR(COUNTIF($A$4:$A$153,A59)&lt;&gt;1,COUNTIFS($B$4:$B$153,B59,$C$4:$C$153,C59,$D$4:$D$153,D59)&lt;&gt;1),"集合ID・計画重複",IF(OR(OR(B59="",C59="",D59="",I59="",J59="",O59=""),NOT(ISNUMBER(K59))),"集合承認不足",IF(OR(AND(K59&lt;&gt;"",OR(NOT(ISNUMBER(K59)),IFERROR(K59&lt;1,TRUE),IFERROR(INT(K59)&gt;INT(AsOfDate),TRUE)))),"集合承認日不正",IF(COUNTIF(EvalPlanKeys,D59)&lt;&gt;1,"PlanKey不正",IF(C59&lt;&gt;IF(COUNTIF('15_評価計画・品質ゲート'!$V$4:$V$103,D59)&lt;&gt;1,"参照ID不正",IF(INDEX('15_評価計画・品質ゲート'!$U$4:$U$103,MATCH(D59,'15_評価計画・品質ゲート'!$V$4:$V$103,0))="","",INDEX('15_評価計画・品質ゲート'!$U$4:$U$103,MATCH(D59,'15_評価計画・品質ゲート'!$V$4:$V$103,0)))),"計画Manifest不一致",IF(F59="対象外",IF(H59="","対象外理由不足","対象外承認"),IF(F59&lt;&gt;"必須","適用未判定",IF(OR(G59="",COUNTIF('16_評価実績インデックス'!$A$4:$A$103,G59)&lt;&gt;1),"評価Run不足・不正",IF(OR(C59&lt;&gt;IF(COUNTIF('16_評価実績インデックス'!$A$4:$A$103,G59)&lt;&gt;1,"参照ID不正",IF(INDEX('16_評価実績インデックス'!$T$4:$T$103,MATCH(G59,'16_評価実績インデックス'!$A$4:$A$103,0))="","",INDEX('16_評価実績インデックス'!$T$4:$T$103,MATCH(G59,'16_評価実績インデックス'!$A$4:$A$103,0)))),D59&lt;&gt;IF(COUNTIF('16_評価実績インデックス'!$A$4:$A$103,G59)&lt;&gt;1,"参照ID不正",IF(INDEX('16_評価実績インデックス'!$B$4:$B$103,MATCH(G59,'16_評価実績インデックス'!$A$4:$A$103,0))="","",INDEX('16_評価実績インデックス'!$B$4:$B$103,MATCH(G59,'16_評価実績インデックス'!$A$4:$A$103,0)))),B59&lt;&gt;IF(COUNTIF('16_評価実績インデックス'!$A$4:$A$103,G59)&lt;&gt;1,"参照ID不正",IF(INDEX('16_評価実績インデックス'!$C$4:$C$103,MATCH(G59,'16_評価実績インデックス'!$A$4:$A$103,0))="","",INDEX('16_評価実績インデックス'!$C$4:$C$103,MATCH(G59,'16_評価実績インデックス'!$A$4:$A$103,0))))),"評価対象不一致",IF(IF(COUNTIF('16_評価実績インデックス'!$A$4:$A$103,G59)&lt;&gt;1,"参照ID不正",IF(INDEX('16_評価実績インデックス'!$S$4:$S$103,MATCH(G59,'16_評価実績インデックス'!$A$4:$A$103,0))="","",INDEX('16_評価実績インデックス'!$S$4:$S$103,MATCH(G59,'16_評価実績インデックス'!$A$4:$A$103,0))))&lt;&gt;"記録あり・内容審査別","評価記録未充足",IF(L59&lt;&gt;"合格","必要評価不合格・未確定","評価充足"))))))))))))</f>
        <v/>
      </c>
      <c r="N59" s="28">
        <f t="shared" si="1"/>
        <v>0</v>
      </c>
      <c r="O59" s="29"/>
      <c r="P59" s="29"/>
    </row>
    <row r="60" spans="1:16" ht="64" customHeight="1" x14ac:dyDescent="0.2">
      <c r="A60" s="29"/>
      <c r="B60" s="29"/>
      <c r="C60" s="29"/>
      <c r="D60" s="29"/>
      <c r="E60" s="28" t="str">
        <f>IF(A60="","",IF(COUNTIF('15_評価計画・品質ゲート'!$V$4:$V$103,D60)&lt;&gt;1,"参照ID不正",IF(INDEX('15_評価計画・品質ゲート'!$A$4:$A$103,MATCH(D60,'15_評価計画・品質ゲート'!$V$4:$V$103,0))="","",INDEX('15_評価計画・品質ゲート'!$A$4:$A$103,MATCH(D60,'15_評価計画・品質ゲート'!$V$4:$V$103,0)))))</f>
        <v/>
      </c>
      <c r="F60" s="29"/>
      <c r="G60" s="29"/>
      <c r="H60" s="29"/>
      <c r="I60" s="29"/>
      <c r="J60" s="29"/>
      <c r="K60" s="29"/>
      <c r="L60" s="28" t="str">
        <f>IF(OR(A60="",G60=""),"",IF(COUNTIF('16_評価実績インデックス'!$A$4:$A$103,G60)&lt;&gt;1,"参照ID不正",IF(INDEX('16_評価実績インデックス'!$O$4:$O$103,MATCH(G60,'16_評価実績インデックス'!$A$4:$A$103,0))="","",INDEX('16_評価実績インデックス'!$O$4:$O$103,MATCH(G60,'16_評価実績インデックス'!$A$4:$A$103,0)))))</f>
        <v/>
      </c>
      <c r="M60" s="28" t="str">
        <f>IF(A60="","",IF(OR(COUNTIF($A$4:$A$153,A60)&lt;&gt;1,COUNTIFS($B$4:$B$153,B60,$C$4:$C$153,C60,$D$4:$D$153,D60)&lt;&gt;1),"集合ID・計画重複",IF(OR(OR(B60="",C60="",D60="",I60="",J60="",O60=""),NOT(ISNUMBER(K60))),"集合承認不足",IF(OR(AND(K60&lt;&gt;"",OR(NOT(ISNUMBER(K60)),IFERROR(K60&lt;1,TRUE),IFERROR(INT(K60)&gt;INT(AsOfDate),TRUE)))),"集合承認日不正",IF(COUNTIF(EvalPlanKeys,D60)&lt;&gt;1,"PlanKey不正",IF(C60&lt;&gt;IF(COUNTIF('15_評価計画・品質ゲート'!$V$4:$V$103,D60)&lt;&gt;1,"参照ID不正",IF(INDEX('15_評価計画・品質ゲート'!$U$4:$U$103,MATCH(D60,'15_評価計画・品質ゲート'!$V$4:$V$103,0))="","",INDEX('15_評価計画・品質ゲート'!$U$4:$U$103,MATCH(D60,'15_評価計画・品質ゲート'!$V$4:$V$103,0)))),"計画Manifest不一致",IF(F60="対象外",IF(H60="","対象外理由不足","対象外承認"),IF(F60&lt;&gt;"必須","適用未判定",IF(OR(G60="",COUNTIF('16_評価実績インデックス'!$A$4:$A$103,G60)&lt;&gt;1),"評価Run不足・不正",IF(OR(C60&lt;&gt;IF(COUNTIF('16_評価実績インデックス'!$A$4:$A$103,G60)&lt;&gt;1,"参照ID不正",IF(INDEX('16_評価実績インデックス'!$T$4:$T$103,MATCH(G60,'16_評価実績インデックス'!$A$4:$A$103,0))="","",INDEX('16_評価実績インデックス'!$T$4:$T$103,MATCH(G60,'16_評価実績インデックス'!$A$4:$A$103,0)))),D60&lt;&gt;IF(COUNTIF('16_評価実績インデックス'!$A$4:$A$103,G60)&lt;&gt;1,"参照ID不正",IF(INDEX('16_評価実績インデックス'!$B$4:$B$103,MATCH(G60,'16_評価実績インデックス'!$A$4:$A$103,0))="","",INDEX('16_評価実績インデックス'!$B$4:$B$103,MATCH(G60,'16_評価実績インデックス'!$A$4:$A$103,0)))),B60&lt;&gt;IF(COUNTIF('16_評価実績インデックス'!$A$4:$A$103,G60)&lt;&gt;1,"参照ID不正",IF(INDEX('16_評価実績インデックス'!$C$4:$C$103,MATCH(G60,'16_評価実績インデックス'!$A$4:$A$103,0))="","",INDEX('16_評価実績インデックス'!$C$4:$C$103,MATCH(G60,'16_評価実績インデックス'!$A$4:$A$103,0))))),"評価対象不一致",IF(IF(COUNTIF('16_評価実績インデックス'!$A$4:$A$103,G60)&lt;&gt;1,"参照ID不正",IF(INDEX('16_評価実績インデックス'!$S$4:$S$103,MATCH(G60,'16_評価実績インデックス'!$A$4:$A$103,0))="","",INDEX('16_評価実績インデックス'!$S$4:$S$103,MATCH(G60,'16_評価実績インデックス'!$A$4:$A$103,0))))&lt;&gt;"記録あり・内容審査別","評価記録未充足",IF(L60&lt;&gt;"合格","必要評価不合格・未確定","評価充足"))))))))))))</f>
        <v/>
      </c>
      <c r="N60" s="28">
        <f t="shared" si="1"/>
        <v>0</v>
      </c>
      <c r="O60" s="29"/>
      <c r="P60" s="29"/>
    </row>
    <row r="61" spans="1:16" ht="64" customHeight="1" x14ac:dyDescent="0.2">
      <c r="A61" s="29"/>
      <c r="B61" s="29"/>
      <c r="C61" s="29"/>
      <c r="D61" s="29"/>
      <c r="E61" s="28" t="str">
        <f>IF(A61="","",IF(COUNTIF('15_評価計画・品質ゲート'!$V$4:$V$103,D61)&lt;&gt;1,"参照ID不正",IF(INDEX('15_評価計画・品質ゲート'!$A$4:$A$103,MATCH(D61,'15_評価計画・品質ゲート'!$V$4:$V$103,0))="","",INDEX('15_評価計画・品質ゲート'!$A$4:$A$103,MATCH(D61,'15_評価計画・品質ゲート'!$V$4:$V$103,0)))))</f>
        <v/>
      </c>
      <c r="F61" s="29"/>
      <c r="G61" s="29"/>
      <c r="H61" s="29"/>
      <c r="I61" s="29"/>
      <c r="J61" s="29"/>
      <c r="K61" s="29"/>
      <c r="L61" s="28" t="str">
        <f>IF(OR(A61="",G61=""),"",IF(COUNTIF('16_評価実績インデックス'!$A$4:$A$103,G61)&lt;&gt;1,"参照ID不正",IF(INDEX('16_評価実績インデックス'!$O$4:$O$103,MATCH(G61,'16_評価実績インデックス'!$A$4:$A$103,0))="","",INDEX('16_評価実績インデックス'!$O$4:$O$103,MATCH(G61,'16_評価実績インデックス'!$A$4:$A$103,0)))))</f>
        <v/>
      </c>
      <c r="M61" s="28" t="str">
        <f>IF(A61="","",IF(OR(COUNTIF($A$4:$A$153,A61)&lt;&gt;1,COUNTIFS($B$4:$B$153,B61,$C$4:$C$153,C61,$D$4:$D$153,D61)&lt;&gt;1),"集合ID・計画重複",IF(OR(OR(B61="",C61="",D61="",I61="",J61="",O61=""),NOT(ISNUMBER(K61))),"集合承認不足",IF(OR(AND(K61&lt;&gt;"",OR(NOT(ISNUMBER(K61)),IFERROR(K61&lt;1,TRUE),IFERROR(INT(K61)&gt;INT(AsOfDate),TRUE)))),"集合承認日不正",IF(COUNTIF(EvalPlanKeys,D61)&lt;&gt;1,"PlanKey不正",IF(C61&lt;&gt;IF(COUNTIF('15_評価計画・品質ゲート'!$V$4:$V$103,D61)&lt;&gt;1,"参照ID不正",IF(INDEX('15_評価計画・品質ゲート'!$U$4:$U$103,MATCH(D61,'15_評価計画・品質ゲート'!$V$4:$V$103,0))="","",INDEX('15_評価計画・品質ゲート'!$U$4:$U$103,MATCH(D61,'15_評価計画・品質ゲート'!$V$4:$V$103,0)))),"計画Manifest不一致",IF(F61="対象外",IF(H61="","対象外理由不足","対象外承認"),IF(F61&lt;&gt;"必須","適用未判定",IF(OR(G61="",COUNTIF('16_評価実績インデックス'!$A$4:$A$103,G61)&lt;&gt;1),"評価Run不足・不正",IF(OR(C61&lt;&gt;IF(COUNTIF('16_評価実績インデックス'!$A$4:$A$103,G61)&lt;&gt;1,"参照ID不正",IF(INDEX('16_評価実績インデックス'!$T$4:$T$103,MATCH(G61,'16_評価実績インデックス'!$A$4:$A$103,0))="","",INDEX('16_評価実績インデックス'!$T$4:$T$103,MATCH(G61,'16_評価実績インデックス'!$A$4:$A$103,0)))),D61&lt;&gt;IF(COUNTIF('16_評価実績インデックス'!$A$4:$A$103,G61)&lt;&gt;1,"参照ID不正",IF(INDEX('16_評価実績インデックス'!$B$4:$B$103,MATCH(G61,'16_評価実績インデックス'!$A$4:$A$103,0))="","",INDEX('16_評価実績インデックス'!$B$4:$B$103,MATCH(G61,'16_評価実績インデックス'!$A$4:$A$103,0)))),B61&lt;&gt;IF(COUNTIF('16_評価実績インデックス'!$A$4:$A$103,G61)&lt;&gt;1,"参照ID不正",IF(INDEX('16_評価実績インデックス'!$C$4:$C$103,MATCH(G61,'16_評価実績インデックス'!$A$4:$A$103,0))="","",INDEX('16_評価実績インデックス'!$C$4:$C$103,MATCH(G61,'16_評価実績インデックス'!$A$4:$A$103,0))))),"評価対象不一致",IF(IF(COUNTIF('16_評価実績インデックス'!$A$4:$A$103,G61)&lt;&gt;1,"参照ID不正",IF(INDEX('16_評価実績インデックス'!$S$4:$S$103,MATCH(G61,'16_評価実績インデックス'!$A$4:$A$103,0))="","",INDEX('16_評価実績インデックス'!$S$4:$S$103,MATCH(G61,'16_評価実績インデックス'!$A$4:$A$103,0))))&lt;&gt;"記録あり・内容審査別","評価記録未充足",IF(L61&lt;&gt;"合格","必要評価不合格・未確定","評価充足"))))))))))))</f>
        <v/>
      </c>
      <c r="N61" s="28">
        <f t="shared" si="1"/>
        <v>0</v>
      </c>
      <c r="O61" s="29"/>
      <c r="P61" s="29"/>
    </row>
    <row r="62" spans="1:16" ht="64" customHeight="1" x14ac:dyDescent="0.2">
      <c r="A62" s="29"/>
      <c r="B62" s="29"/>
      <c r="C62" s="29"/>
      <c r="D62" s="29"/>
      <c r="E62" s="28" t="str">
        <f>IF(A62="","",IF(COUNTIF('15_評価計画・品質ゲート'!$V$4:$V$103,D62)&lt;&gt;1,"参照ID不正",IF(INDEX('15_評価計画・品質ゲート'!$A$4:$A$103,MATCH(D62,'15_評価計画・品質ゲート'!$V$4:$V$103,0))="","",INDEX('15_評価計画・品質ゲート'!$A$4:$A$103,MATCH(D62,'15_評価計画・品質ゲート'!$V$4:$V$103,0)))))</f>
        <v/>
      </c>
      <c r="F62" s="29"/>
      <c r="G62" s="29"/>
      <c r="H62" s="29"/>
      <c r="I62" s="29"/>
      <c r="J62" s="29"/>
      <c r="K62" s="29"/>
      <c r="L62" s="28" t="str">
        <f>IF(OR(A62="",G62=""),"",IF(COUNTIF('16_評価実績インデックス'!$A$4:$A$103,G62)&lt;&gt;1,"参照ID不正",IF(INDEX('16_評価実績インデックス'!$O$4:$O$103,MATCH(G62,'16_評価実績インデックス'!$A$4:$A$103,0))="","",INDEX('16_評価実績インデックス'!$O$4:$O$103,MATCH(G62,'16_評価実績インデックス'!$A$4:$A$103,0)))))</f>
        <v/>
      </c>
      <c r="M62" s="28" t="str">
        <f>IF(A62="","",IF(OR(COUNTIF($A$4:$A$153,A62)&lt;&gt;1,COUNTIFS($B$4:$B$153,B62,$C$4:$C$153,C62,$D$4:$D$153,D62)&lt;&gt;1),"集合ID・計画重複",IF(OR(OR(B62="",C62="",D62="",I62="",J62="",O62=""),NOT(ISNUMBER(K62))),"集合承認不足",IF(OR(AND(K62&lt;&gt;"",OR(NOT(ISNUMBER(K62)),IFERROR(K62&lt;1,TRUE),IFERROR(INT(K62)&gt;INT(AsOfDate),TRUE)))),"集合承認日不正",IF(COUNTIF(EvalPlanKeys,D62)&lt;&gt;1,"PlanKey不正",IF(C62&lt;&gt;IF(COUNTIF('15_評価計画・品質ゲート'!$V$4:$V$103,D62)&lt;&gt;1,"参照ID不正",IF(INDEX('15_評価計画・品質ゲート'!$U$4:$U$103,MATCH(D62,'15_評価計画・品質ゲート'!$V$4:$V$103,0))="","",INDEX('15_評価計画・品質ゲート'!$U$4:$U$103,MATCH(D62,'15_評価計画・品質ゲート'!$V$4:$V$103,0)))),"計画Manifest不一致",IF(F62="対象外",IF(H62="","対象外理由不足","対象外承認"),IF(F62&lt;&gt;"必須","適用未判定",IF(OR(G62="",COUNTIF('16_評価実績インデックス'!$A$4:$A$103,G62)&lt;&gt;1),"評価Run不足・不正",IF(OR(C62&lt;&gt;IF(COUNTIF('16_評価実績インデックス'!$A$4:$A$103,G62)&lt;&gt;1,"参照ID不正",IF(INDEX('16_評価実績インデックス'!$T$4:$T$103,MATCH(G62,'16_評価実績インデックス'!$A$4:$A$103,0))="","",INDEX('16_評価実績インデックス'!$T$4:$T$103,MATCH(G62,'16_評価実績インデックス'!$A$4:$A$103,0)))),D62&lt;&gt;IF(COUNTIF('16_評価実績インデックス'!$A$4:$A$103,G62)&lt;&gt;1,"参照ID不正",IF(INDEX('16_評価実績インデックス'!$B$4:$B$103,MATCH(G62,'16_評価実績インデックス'!$A$4:$A$103,0))="","",INDEX('16_評価実績インデックス'!$B$4:$B$103,MATCH(G62,'16_評価実績インデックス'!$A$4:$A$103,0)))),B62&lt;&gt;IF(COUNTIF('16_評価実績インデックス'!$A$4:$A$103,G62)&lt;&gt;1,"参照ID不正",IF(INDEX('16_評価実績インデックス'!$C$4:$C$103,MATCH(G62,'16_評価実績インデックス'!$A$4:$A$103,0))="","",INDEX('16_評価実績インデックス'!$C$4:$C$103,MATCH(G62,'16_評価実績インデックス'!$A$4:$A$103,0))))),"評価対象不一致",IF(IF(COUNTIF('16_評価実績インデックス'!$A$4:$A$103,G62)&lt;&gt;1,"参照ID不正",IF(INDEX('16_評価実績インデックス'!$S$4:$S$103,MATCH(G62,'16_評価実績インデックス'!$A$4:$A$103,0))="","",INDEX('16_評価実績インデックス'!$S$4:$S$103,MATCH(G62,'16_評価実績インデックス'!$A$4:$A$103,0))))&lt;&gt;"記録あり・内容審査別","評価記録未充足",IF(L62&lt;&gt;"合格","必要評価不合格・未確定","評価充足"))))))))))))</f>
        <v/>
      </c>
      <c r="N62" s="28">
        <f t="shared" si="1"/>
        <v>0</v>
      </c>
      <c r="O62" s="29"/>
      <c r="P62" s="29"/>
    </row>
    <row r="63" spans="1:16" ht="64" customHeight="1" x14ac:dyDescent="0.2">
      <c r="A63" s="29"/>
      <c r="B63" s="29"/>
      <c r="C63" s="29"/>
      <c r="D63" s="29"/>
      <c r="E63" s="28" t="str">
        <f>IF(A63="","",IF(COUNTIF('15_評価計画・品質ゲート'!$V$4:$V$103,D63)&lt;&gt;1,"参照ID不正",IF(INDEX('15_評価計画・品質ゲート'!$A$4:$A$103,MATCH(D63,'15_評価計画・品質ゲート'!$V$4:$V$103,0))="","",INDEX('15_評価計画・品質ゲート'!$A$4:$A$103,MATCH(D63,'15_評価計画・品質ゲート'!$V$4:$V$103,0)))))</f>
        <v/>
      </c>
      <c r="F63" s="29"/>
      <c r="G63" s="29"/>
      <c r="H63" s="29"/>
      <c r="I63" s="29"/>
      <c r="J63" s="29"/>
      <c r="K63" s="29"/>
      <c r="L63" s="28" t="str">
        <f>IF(OR(A63="",G63=""),"",IF(COUNTIF('16_評価実績インデックス'!$A$4:$A$103,G63)&lt;&gt;1,"参照ID不正",IF(INDEX('16_評価実績インデックス'!$O$4:$O$103,MATCH(G63,'16_評価実績インデックス'!$A$4:$A$103,0))="","",INDEX('16_評価実績インデックス'!$O$4:$O$103,MATCH(G63,'16_評価実績インデックス'!$A$4:$A$103,0)))))</f>
        <v/>
      </c>
      <c r="M63" s="28" t="str">
        <f>IF(A63="","",IF(OR(COUNTIF($A$4:$A$153,A63)&lt;&gt;1,COUNTIFS($B$4:$B$153,B63,$C$4:$C$153,C63,$D$4:$D$153,D63)&lt;&gt;1),"集合ID・計画重複",IF(OR(OR(B63="",C63="",D63="",I63="",J63="",O63=""),NOT(ISNUMBER(K63))),"集合承認不足",IF(OR(AND(K63&lt;&gt;"",OR(NOT(ISNUMBER(K63)),IFERROR(K63&lt;1,TRUE),IFERROR(INT(K63)&gt;INT(AsOfDate),TRUE)))),"集合承認日不正",IF(COUNTIF(EvalPlanKeys,D63)&lt;&gt;1,"PlanKey不正",IF(C63&lt;&gt;IF(COUNTIF('15_評価計画・品質ゲート'!$V$4:$V$103,D63)&lt;&gt;1,"参照ID不正",IF(INDEX('15_評価計画・品質ゲート'!$U$4:$U$103,MATCH(D63,'15_評価計画・品質ゲート'!$V$4:$V$103,0))="","",INDEX('15_評価計画・品質ゲート'!$U$4:$U$103,MATCH(D63,'15_評価計画・品質ゲート'!$V$4:$V$103,0)))),"計画Manifest不一致",IF(F63="対象外",IF(H63="","対象外理由不足","対象外承認"),IF(F63&lt;&gt;"必須","適用未判定",IF(OR(G63="",COUNTIF('16_評価実績インデックス'!$A$4:$A$103,G63)&lt;&gt;1),"評価Run不足・不正",IF(OR(C63&lt;&gt;IF(COUNTIF('16_評価実績インデックス'!$A$4:$A$103,G63)&lt;&gt;1,"参照ID不正",IF(INDEX('16_評価実績インデックス'!$T$4:$T$103,MATCH(G63,'16_評価実績インデックス'!$A$4:$A$103,0))="","",INDEX('16_評価実績インデックス'!$T$4:$T$103,MATCH(G63,'16_評価実績インデックス'!$A$4:$A$103,0)))),D63&lt;&gt;IF(COUNTIF('16_評価実績インデックス'!$A$4:$A$103,G63)&lt;&gt;1,"参照ID不正",IF(INDEX('16_評価実績インデックス'!$B$4:$B$103,MATCH(G63,'16_評価実績インデックス'!$A$4:$A$103,0))="","",INDEX('16_評価実績インデックス'!$B$4:$B$103,MATCH(G63,'16_評価実績インデックス'!$A$4:$A$103,0)))),B63&lt;&gt;IF(COUNTIF('16_評価実績インデックス'!$A$4:$A$103,G63)&lt;&gt;1,"参照ID不正",IF(INDEX('16_評価実績インデックス'!$C$4:$C$103,MATCH(G63,'16_評価実績インデックス'!$A$4:$A$103,0))="","",INDEX('16_評価実績インデックス'!$C$4:$C$103,MATCH(G63,'16_評価実績インデックス'!$A$4:$A$103,0))))),"評価対象不一致",IF(IF(COUNTIF('16_評価実績インデックス'!$A$4:$A$103,G63)&lt;&gt;1,"参照ID不正",IF(INDEX('16_評価実績インデックス'!$S$4:$S$103,MATCH(G63,'16_評価実績インデックス'!$A$4:$A$103,0))="","",INDEX('16_評価実績インデックス'!$S$4:$S$103,MATCH(G63,'16_評価実績インデックス'!$A$4:$A$103,0))))&lt;&gt;"記録あり・内容審査別","評価記録未充足",IF(L63&lt;&gt;"合格","必要評価不合格・未確定","評価充足"))))))))))))</f>
        <v/>
      </c>
      <c r="N63" s="28">
        <f t="shared" si="1"/>
        <v>0</v>
      </c>
      <c r="O63" s="29"/>
      <c r="P63" s="29"/>
    </row>
    <row r="64" spans="1:16" ht="64" customHeight="1" x14ac:dyDescent="0.2">
      <c r="A64" s="29"/>
      <c r="B64" s="29"/>
      <c r="C64" s="29"/>
      <c r="D64" s="29"/>
      <c r="E64" s="28" t="str">
        <f>IF(A64="","",IF(COUNTIF('15_評価計画・品質ゲート'!$V$4:$V$103,D64)&lt;&gt;1,"参照ID不正",IF(INDEX('15_評価計画・品質ゲート'!$A$4:$A$103,MATCH(D64,'15_評価計画・品質ゲート'!$V$4:$V$103,0))="","",INDEX('15_評価計画・品質ゲート'!$A$4:$A$103,MATCH(D64,'15_評価計画・品質ゲート'!$V$4:$V$103,0)))))</f>
        <v/>
      </c>
      <c r="F64" s="29"/>
      <c r="G64" s="29"/>
      <c r="H64" s="29"/>
      <c r="I64" s="29"/>
      <c r="J64" s="29"/>
      <c r="K64" s="29"/>
      <c r="L64" s="28" t="str">
        <f>IF(OR(A64="",G64=""),"",IF(COUNTIF('16_評価実績インデックス'!$A$4:$A$103,G64)&lt;&gt;1,"参照ID不正",IF(INDEX('16_評価実績インデックス'!$O$4:$O$103,MATCH(G64,'16_評価実績インデックス'!$A$4:$A$103,0))="","",INDEX('16_評価実績インデックス'!$O$4:$O$103,MATCH(G64,'16_評価実績インデックス'!$A$4:$A$103,0)))))</f>
        <v/>
      </c>
      <c r="M64" s="28" t="str">
        <f>IF(A64="","",IF(OR(COUNTIF($A$4:$A$153,A64)&lt;&gt;1,COUNTIFS($B$4:$B$153,B64,$C$4:$C$153,C64,$D$4:$D$153,D64)&lt;&gt;1),"集合ID・計画重複",IF(OR(OR(B64="",C64="",D64="",I64="",J64="",O64=""),NOT(ISNUMBER(K64))),"集合承認不足",IF(OR(AND(K64&lt;&gt;"",OR(NOT(ISNUMBER(K64)),IFERROR(K64&lt;1,TRUE),IFERROR(INT(K64)&gt;INT(AsOfDate),TRUE)))),"集合承認日不正",IF(COUNTIF(EvalPlanKeys,D64)&lt;&gt;1,"PlanKey不正",IF(C64&lt;&gt;IF(COUNTIF('15_評価計画・品質ゲート'!$V$4:$V$103,D64)&lt;&gt;1,"参照ID不正",IF(INDEX('15_評価計画・品質ゲート'!$U$4:$U$103,MATCH(D64,'15_評価計画・品質ゲート'!$V$4:$V$103,0))="","",INDEX('15_評価計画・品質ゲート'!$U$4:$U$103,MATCH(D64,'15_評価計画・品質ゲート'!$V$4:$V$103,0)))),"計画Manifest不一致",IF(F64="対象外",IF(H64="","対象外理由不足","対象外承認"),IF(F64&lt;&gt;"必須","適用未判定",IF(OR(G64="",COUNTIF('16_評価実績インデックス'!$A$4:$A$103,G64)&lt;&gt;1),"評価Run不足・不正",IF(OR(C64&lt;&gt;IF(COUNTIF('16_評価実績インデックス'!$A$4:$A$103,G64)&lt;&gt;1,"参照ID不正",IF(INDEX('16_評価実績インデックス'!$T$4:$T$103,MATCH(G64,'16_評価実績インデックス'!$A$4:$A$103,0))="","",INDEX('16_評価実績インデックス'!$T$4:$T$103,MATCH(G64,'16_評価実績インデックス'!$A$4:$A$103,0)))),D64&lt;&gt;IF(COUNTIF('16_評価実績インデックス'!$A$4:$A$103,G64)&lt;&gt;1,"参照ID不正",IF(INDEX('16_評価実績インデックス'!$B$4:$B$103,MATCH(G64,'16_評価実績インデックス'!$A$4:$A$103,0))="","",INDEX('16_評価実績インデックス'!$B$4:$B$103,MATCH(G64,'16_評価実績インデックス'!$A$4:$A$103,0)))),B64&lt;&gt;IF(COUNTIF('16_評価実績インデックス'!$A$4:$A$103,G64)&lt;&gt;1,"参照ID不正",IF(INDEX('16_評価実績インデックス'!$C$4:$C$103,MATCH(G64,'16_評価実績インデックス'!$A$4:$A$103,0))="","",INDEX('16_評価実績インデックス'!$C$4:$C$103,MATCH(G64,'16_評価実績インデックス'!$A$4:$A$103,0))))),"評価対象不一致",IF(IF(COUNTIF('16_評価実績インデックス'!$A$4:$A$103,G64)&lt;&gt;1,"参照ID不正",IF(INDEX('16_評価実績インデックス'!$S$4:$S$103,MATCH(G64,'16_評価実績インデックス'!$A$4:$A$103,0))="","",INDEX('16_評価実績インデックス'!$S$4:$S$103,MATCH(G64,'16_評価実績インデックス'!$A$4:$A$103,0))))&lt;&gt;"記録あり・内容審査別","評価記録未充足",IF(L64&lt;&gt;"合格","必要評価不合格・未確定","評価充足"))))))))))))</f>
        <v/>
      </c>
      <c r="N64" s="28">
        <f t="shared" si="1"/>
        <v>0</v>
      </c>
      <c r="O64" s="29"/>
      <c r="P64" s="29"/>
    </row>
    <row r="65" spans="1:16" ht="64" customHeight="1" x14ac:dyDescent="0.2">
      <c r="A65" s="29"/>
      <c r="B65" s="29"/>
      <c r="C65" s="29"/>
      <c r="D65" s="29"/>
      <c r="E65" s="28" t="str">
        <f>IF(A65="","",IF(COUNTIF('15_評価計画・品質ゲート'!$V$4:$V$103,D65)&lt;&gt;1,"参照ID不正",IF(INDEX('15_評価計画・品質ゲート'!$A$4:$A$103,MATCH(D65,'15_評価計画・品質ゲート'!$V$4:$V$103,0))="","",INDEX('15_評価計画・品質ゲート'!$A$4:$A$103,MATCH(D65,'15_評価計画・品質ゲート'!$V$4:$V$103,0)))))</f>
        <v/>
      </c>
      <c r="F65" s="29"/>
      <c r="G65" s="29"/>
      <c r="H65" s="29"/>
      <c r="I65" s="29"/>
      <c r="J65" s="29"/>
      <c r="K65" s="29"/>
      <c r="L65" s="28" t="str">
        <f>IF(OR(A65="",G65=""),"",IF(COUNTIF('16_評価実績インデックス'!$A$4:$A$103,G65)&lt;&gt;1,"参照ID不正",IF(INDEX('16_評価実績インデックス'!$O$4:$O$103,MATCH(G65,'16_評価実績インデックス'!$A$4:$A$103,0))="","",INDEX('16_評価実績インデックス'!$O$4:$O$103,MATCH(G65,'16_評価実績インデックス'!$A$4:$A$103,0)))))</f>
        <v/>
      </c>
      <c r="M65" s="28" t="str">
        <f>IF(A65="","",IF(OR(COUNTIF($A$4:$A$153,A65)&lt;&gt;1,COUNTIFS($B$4:$B$153,B65,$C$4:$C$153,C65,$D$4:$D$153,D65)&lt;&gt;1),"集合ID・計画重複",IF(OR(OR(B65="",C65="",D65="",I65="",J65="",O65=""),NOT(ISNUMBER(K65))),"集合承認不足",IF(OR(AND(K65&lt;&gt;"",OR(NOT(ISNUMBER(K65)),IFERROR(K65&lt;1,TRUE),IFERROR(INT(K65)&gt;INT(AsOfDate),TRUE)))),"集合承認日不正",IF(COUNTIF(EvalPlanKeys,D65)&lt;&gt;1,"PlanKey不正",IF(C65&lt;&gt;IF(COUNTIF('15_評価計画・品質ゲート'!$V$4:$V$103,D65)&lt;&gt;1,"参照ID不正",IF(INDEX('15_評価計画・品質ゲート'!$U$4:$U$103,MATCH(D65,'15_評価計画・品質ゲート'!$V$4:$V$103,0))="","",INDEX('15_評価計画・品質ゲート'!$U$4:$U$103,MATCH(D65,'15_評価計画・品質ゲート'!$V$4:$V$103,0)))),"計画Manifest不一致",IF(F65="対象外",IF(H65="","対象外理由不足","対象外承認"),IF(F65&lt;&gt;"必須","適用未判定",IF(OR(G65="",COUNTIF('16_評価実績インデックス'!$A$4:$A$103,G65)&lt;&gt;1),"評価Run不足・不正",IF(OR(C65&lt;&gt;IF(COUNTIF('16_評価実績インデックス'!$A$4:$A$103,G65)&lt;&gt;1,"参照ID不正",IF(INDEX('16_評価実績インデックス'!$T$4:$T$103,MATCH(G65,'16_評価実績インデックス'!$A$4:$A$103,0))="","",INDEX('16_評価実績インデックス'!$T$4:$T$103,MATCH(G65,'16_評価実績インデックス'!$A$4:$A$103,0)))),D65&lt;&gt;IF(COUNTIF('16_評価実績インデックス'!$A$4:$A$103,G65)&lt;&gt;1,"参照ID不正",IF(INDEX('16_評価実績インデックス'!$B$4:$B$103,MATCH(G65,'16_評価実績インデックス'!$A$4:$A$103,0))="","",INDEX('16_評価実績インデックス'!$B$4:$B$103,MATCH(G65,'16_評価実績インデックス'!$A$4:$A$103,0)))),B65&lt;&gt;IF(COUNTIF('16_評価実績インデックス'!$A$4:$A$103,G65)&lt;&gt;1,"参照ID不正",IF(INDEX('16_評価実績インデックス'!$C$4:$C$103,MATCH(G65,'16_評価実績インデックス'!$A$4:$A$103,0))="","",INDEX('16_評価実績インデックス'!$C$4:$C$103,MATCH(G65,'16_評価実績インデックス'!$A$4:$A$103,0))))),"評価対象不一致",IF(IF(COUNTIF('16_評価実績インデックス'!$A$4:$A$103,G65)&lt;&gt;1,"参照ID不正",IF(INDEX('16_評価実績インデックス'!$S$4:$S$103,MATCH(G65,'16_評価実績インデックス'!$A$4:$A$103,0))="","",INDEX('16_評価実績インデックス'!$S$4:$S$103,MATCH(G65,'16_評価実績インデックス'!$A$4:$A$103,0))))&lt;&gt;"記録あり・内容審査別","評価記録未充足",IF(L65&lt;&gt;"合格","必要評価不合格・未確定","評価充足"))))))))))))</f>
        <v/>
      </c>
      <c r="N65" s="28">
        <f t="shared" si="1"/>
        <v>0</v>
      </c>
      <c r="O65" s="29"/>
      <c r="P65" s="29"/>
    </row>
    <row r="66" spans="1:16" ht="64" customHeight="1" x14ac:dyDescent="0.2">
      <c r="A66" s="29"/>
      <c r="B66" s="29"/>
      <c r="C66" s="29"/>
      <c r="D66" s="29"/>
      <c r="E66" s="28" t="str">
        <f>IF(A66="","",IF(COUNTIF('15_評価計画・品質ゲート'!$V$4:$V$103,D66)&lt;&gt;1,"参照ID不正",IF(INDEX('15_評価計画・品質ゲート'!$A$4:$A$103,MATCH(D66,'15_評価計画・品質ゲート'!$V$4:$V$103,0))="","",INDEX('15_評価計画・品質ゲート'!$A$4:$A$103,MATCH(D66,'15_評価計画・品質ゲート'!$V$4:$V$103,0)))))</f>
        <v/>
      </c>
      <c r="F66" s="29"/>
      <c r="G66" s="29"/>
      <c r="H66" s="29"/>
      <c r="I66" s="29"/>
      <c r="J66" s="29"/>
      <c r="K66" s="29"/>
      <c r="L66" s="28" t="str">
        <f>IF(OR(A66="",G66=""),"",IF(COUNTIF('16_評価実績インデックス'!$A$4:$A$103,G66)&lt;&gt;1,"参照ID不正",IF(INDEX('16_評価実績インデックス'!$O$4:$O$103,MATCH(G66,'16_評価実績インデックス'!$A$4:$A$103,0))="","",INDEX('16_評価実績インデックス'!$O$4:$O$103,MATCH(G66,'16_評価実績インデックス'!$A$4:$A$103,0)))))</f>
        <v/>
      </c>
      <c r="M66" s="28" t="str">
        <f>IF(A66="","",IF(OR(COUNTIF($A$4:$A$153,A66)&lt;&gt;1,COUNTIFS($B$4:$B$153,B66,$C$4:$C$153,C66,$D$4:$D$153,D66)&lt;&gt;1),"集合ID・計画重複",IF(OR(OR(B66="",C66="",D66="",I66="",J66="",O66=""),NOT(ISNUMBER(K66))),"集合承認不足",IF(OR(AND(K66&lt;&gt;"",OR(NOT(ISNUMBER(K66)),IFERROR(K66&lt;1,TRUE),IFERROR(INT(K66)&gt;INT(AsOfDate),TRUE)))),"集合承認日不正",IF(COUNTIF(EvalPlanKeys,D66)&lt;&gt;1,"PlanKey不正",IF(C66&lt;&gt;IF(COUNTIF('15_評価計画・品質ゲート'!$V$4:$V$103,D66)&lt;&gt;1,"参照ID不正",IF(INDEX('15_評価計画・品質ゲート'!$U$4:$U$103,MATCH(D66,'15_評価計画・品質ゲート'!$V$4:$V$103,0))="","",INDEX('15_評価計画・品質ゲート'!$U$4:$U$103,MATCH(D66,'15_評価計画・品質ゲート'!$V$4:$V$103,0)))),"計画Manifest不一致",IF(F66="対象外",IF(H66="","対象外理由不足","対象外承認"),IF(F66&lt;&gt;"必須","適用未判定",IF(OR(G66="",COUNTIF('16_評価実績インデックス'!$A$4:$A$103,G66)&lt;&gt;1),"評価Run不足・不正",IF(OR(C66&lt;&gt;IF(COUNTIF('16_評価実績インデックス'!$A$4:$A$103,G66)&lt;&gt;1,"参照ID不正",IF(INDEX('16_評価実績インデックス'!$T$4:$T$103,MATCH(G66,'16_評価実績インデックス'!$A$4:$A$103,0))="","",INDEX('16_評価実績インデックス'!$T$4:$T$103,MATCH(G66,'16_評価実績インデックス'!$A$4:$A$103,0)))),D66&lt;&gt;IF(COUNTIF('16_評価実績インデックス'!$A$4:$A$103,G66)&lt;&gt;1,"参照ID不正",IF(INDEX('16_評価実績インデックス'!$B$4:$B$103,MATCH(G66,'16_評価実績インデックス'!$A$4:$A$103,0))="","",INDEX('16_評価実績インデックス'!$B$4:$B$103,MATCH(G66,'16_評価実績インデックス'!$A$4:$A$103,0)))),B66&lt;&gt;IF(COUNTIF('16_評価実績インデックス'!$A$4:$A$103,G66)&lt;&gt;1,"参照ID不正",IF(INDEX('16_評価実績インデックス'!$C$4:$C$103,MATCH(G66,'16_評価実績インデックス'!$A$4:$A$103,0))="","",INDEX('16_評価実績インデックス'!$C$4:$C$103,MATCH(G66,'16_評価実績インデックス'!$A$4:$A$103,0))))),"評価対象不一致",IF(IF(COUNTIF('16_評価実績インデックス'!$A$4:$A$103,G66)&lt;&gt;1,"参照ID不正",IF(INDEX('16_評価実績インデックス'!$S$4:$S$103,MATCH(G66,'16_評価実績インデックス'!$A$4:$A$103,0))="","",INDEX('16_評価実績インデックス'!$S$4:$S$103,MATCH(G66,'16_評価実績インデックス'!$A$4:$A$103,0))))&lt;&gt;"記録あり・内容審査別","評価記録未充足",IF(L66&lt;&gt;"合格","必要評価不合格・未確定","評価充足"))))))))))))</f>
        <v/>
      </c>
      <c r="N66" s="28">
        <f t="shared" si="1"/>
        <v>0</v>
      </c>
      <c r="O66" s="29"/>
      <c r="P66" s="29"/>
    </row>
    <row r="67" spans="1:16" ht="64" customHeight="1" x14ac:dyDescent="0.2">
      <c r="A67" s="29"/>
      <c r="B67" s="29"/>
      <c r="C67" s="29"/>
      <c r="D67" s="29"/>
      <c r="E67" s="28" t="str">
        <f>IF(A67="","",IF(COUNTIF('15_評価計画・品質ゲート'!$V$4:$V$103,D67)&lt;&gt;1,"参照ID不正",IF(INDEX('15_評価計画・品質ゲート'!$A$4:$A$103,MATCH(D67,'15_評価計画・品質ゲート'!$V$4:$V$103,0))="","",INDEX('15_評価計画・品質ゲート'!$A$4:$A$103,MATCH(D67,'15_評価計画・品質ゲート'!$V$4:$V$103,0)))))</f>
        <v/>
      </c>
      <c r="F67" s="29"/>
      <c r="G67" s="29"/>
      <c r="H67" s="29"/>
      <c r="I67" s="29"/>
      <c r="J67" s="29"/>
      <c r="K67" s="29"/>
      <c r="L67" s="28" t="str">
        <f>IF(OR(A67="",G67=""),"",IF(COUNTIF('16_評価実績インデックス'!$A$4:$A$103,G67)&lt;&gt;1,"参照ID不正",IF(INDEX('16_評価実績インデックス'!$O$4:$O$103,MATCH(G67,'16_評価実績インデックス'!$A$4:$A$103,0))="","",INDEX('16_評価実績インデックス'!$O$4:$O$103,MATCH(G67,'16_評価実績インデックス'!$A$4:$A$103,0)))))</f>
        <v/>
      </c>
      <c r="M67" s="28" t="str">
        <f>IF(A67="","",IF(OR(COUNTIF($A$4:$A$153,A67)&lt;&gt;1,COUNTIFS($B$4:$B$153,B67,$C$4:$C$153,C67,$D$4:$D$153,D67)&lt;&gt;1),"集合ID・計画重複",IF(OR(OR(B67="",C67="",D67="",I67="",J67="",O67=""),NOT(ISNUMBER(K67))),"集合承認不足",IF(OR(AND(K67&lt;&gt;"",OR(NOT(ISNUMBER(K67)),IFERROR(K67&lt;1,TRUE),IFERROR(INT(K67)&gt;INT(AsOfDate),TRUE)))),"集合承認日不正",IF(COUNTIF(EvalPlanKeys,D67)&lt;&gt;1,"PlanKey不正",IF(C67&lt;&gt;IF(COUNTIF('15_評価計画・品質ゲート'!$V$4:$V$103,D67)&lt;&gt;1,"参照ID不正",IF(INDEX('15_評価計画・品質ゲート'!$U$4:$U$103,MATCH(D67,'15_評価計画・品質ゲート'!$V$4:$V$103,0))="","",INDEX('15_評価計画・品質ゲート'!$U$4:$U$103,MATCH(D67,'15_評価計画・品質ゲート'!$V$4:$V$103,0)))),"計画Manifest不一致",IF(F67="対象外",IF(H67="","対象外理由不足","対象外承認"),IF(F67&lt;&gt;"必須","適用未判定",IF(OR(G67="",COUNTIF('16_評価実績インデックス'!$A$4:$A$103,G67)&lt;&gt;1),"評価Run不足・不正",IF(OR(C67&lt;&gt;IF(COUNTIF('16_評価実績インデックス'!$A$4:$A$103,G67)&lt;&gt;1,"参照ID不正",IF(INDEX('16_評価実績インデックス'!$T$4:$T$103,MATCH(G67,'16_評価実績インデックス'!$A$4:$A$103,0))="","",INDEX('16_評価実績インデックス'!$T$4:$T$103,MATCH(G67,'16_評価実績インデックス'!$A$4:$A$103,0)))),D67&lt;&gt;IF(COUNTIF('16_評価実績インデックス'!$A$4:$A$103,G67)&lt;&gt;1,"参照ID不正",IF(INDEX('16_評価実績インデックス'!$B$4:$B$103,MATCH(G67,'16_評価実績インデックス'!$A$4:$A$103,0))="","",INDEX('16_評価実績インデックス'!$B$4:$B$103,MATCH(G67,'16_評価実績インデックス'!$A$4:$A$103,0)))),B67&lt;&gt;IF(COUNTIF('16_評価実績インデックス'!$A$4:$A$103,G67)&lt;&gt;1,"参照ID不正",IF(INDEX('16_評価実績インデックス'!$C$4:$C$103,MATCH(G67,'16_評価実績インデックス'!$A$4:$A$103,0))="","",INDEX('16_評価実績インデックス'!$C$4:$C$103,MATCH(G67,'16_評価実績インデックス'!$A$4:$A$103,0))))),"評価対象不一致",IF(IF(COUNTIF('16_評価実績インデックス'!$A$4:$A$103,G67)&lt;&gt;1,"参照ID不正",IF(INDEX('16_評価実績インデックス'!$S$4:$S$103,MATCH(G67,'16_評価実績インデックス'!$A$4:$A$103,0))="","",INDEX('16_評価実績インデックス'!$S$4:$S$103,MATCH(G67,'16_評価実績インデックス'!$A$4:$A$103,0))))&lt;&gt;"記録あり・内容審査別","評価記録未充足",IF(L67&lt;&gt;"合格","必要評価不合格・未確定","評価充足"))))))))))))</f>
        <v/>
      </c>
      <c r="N67" s="28">
        <f t="shared" si="1"/>
        <v>0</v>
      </c>
      <c r="O67" s="29"/>
      <c r="P67" s="29"/>
    </row>
    <row r="68" spans="1:16" ht="64" customHeight="1" x14ac:dyDescent="0.2">
      <c r="A68" s="29"/>
      <c r="B68" s="29"/>
      <c r="C68" s="29"/>
      <c r="D68" s="29"/>
      <c r="E68" s="28" t="str">
        <f>IF(A68="","",IF(COUNTIF('15_評価計画・品質ゲート'!$V$4:$V$103,D68)&lt;&gt;1,"参照ID不正",IF(INDEX('15_評価計画・品質ゲート'!$A$4:$A$103,MATCH(D68,'15_評価計画・品質ゲート'!$V$4:$V$103,0))="","",INDEX('15_評価計画・品質ゲート'!$A$4:$A$103,MATCH(D68,'15_評価計画・品質ゲート'!$V$4:$V$103,0)))))</f>
        <v/>
      </c>
      <c r="F68" s="29"/>
      <c r="G68" s="29"/>
      <c r="H68" s="29"/>
      <c r="I68" s="29"/>
      <c r="J68" s="29"/>
      <c r="K68" s="29"/>
      <c r="L68" s="28" t="str">
        <f>IF(OR(A68="",G68=""),"",IF(COUNTIF('16_評価実績インデックス'!$A$4:$A$103,G68)&lt;&gt;1,"参照ID不正",IF(INDEX('16_評価実績インデックス'!$O$4:$O$103,MATCH(G68,'16_評価実績インデックス'!$A$4:$A$103,0))="","",INDEX('16_評価実績インデックス'!$O$4:$O$103,MATCH(G68,'16_評価実績インデックス'!$A$4:$A$103,0)))))</f>
        <v/>
      </c>
      <c r="M68" s="28" t="str">
        <f>IF(A68="","",IF(OR(COUNTIF($A$4:$A$153,A68)&lt;&gt;1,COUNTIFS($B$4:$B$153,B68,$C$4:$C$153,C68,$D$4:$D$153,D68)&lt;&gt;1),"集合ID・計画重複",IF(OR(OR(B68="",C68="",D68="",I68="",J68="",O68=""),NOT(ISNUMBER(K68))),"集合承認不足",IF(OR(AND(K68&lt;&gt;"",OR(NOT(ISNUMBER(K68)),IFERROR(K68&lt;1,TRUE),IFERROR(INT(K68)&gt;INT(AsOfDate),TRUE)))),"集合承認日不正",IF(COUNTIF(EvalPlanKeys,D68)&lt;&gt;1,"PlanKey不正",IF(C68&lt;&gt;IF(COUNTIF('15_評価計画・品質ゲート'!$V$4:$V$103,D68)&lt;&gt;1,"参照ID不正",IF(INDEX('15_評価計画・品質ゲート'!$U$4:$U$103,MATCH(D68,'15_評価計画・品質ゲート'!$V$4:$V$103,0))="","",INDEX('15_評価計画・品質ゲート'!$U$4:$U$103,MATCH(D68,'15_評価計画・品質ゲート'!$V$4:$V$103,0)))),"計画Manifest不一致",IF(F68="対象外",IF(H68="","対象外理由不足","対象外承認"),IF(F68&lt;&gt;"必須","適用未判定",IF(OR(G68="",COUNTIF('16_評価実績インデックス'!$A$4:$A$103,G68)&lt;&gt;1),"評価Run不足・不正",IF(OR(C68&lt;&gt;IF(COUNTIF('16_評価実績インデックス'!$A$4:$A$103,G68)&lt;&gt;1,"参照ID不正",IF(INDEX('16_評価実績インデックス'!$T$4:$T$103,MATCH(G68,'16_評価実績インデックス'!$A$4:$A$103,0))="","",INDEX('16_評価実績インデックス'!$T$4:$T$103,MATCH(G68,'16_評価実績インデックス'!$A$4:$A$103,0)))),D68&lt;&gt;IF(COUNTIF('16_評価実績インデックス'!$A$4:$A$103,G68)&lt;&gt;1,"参照ID不正",IF(INDEX('16_評価実績インデックス'!$B$4:$B$103,MATCH(G68,'16_評価実績インデックス'!$A$4:$A$103,0))="","",INDEX('16_評価実績インデックス'!$B$4:$B$103,MATCH(G68,'16_評価実績インデックス'!$A$4:$A$103,0)))),B68&lt;&gt;IF(COUNTIF('16_評価実績インデックス'!$A$4:$A$103,G68)&lt;&gt;1,"参照ID不正",IF(INDEX('16_評価実績インデックス'!$C$4:$C$103,MATCH(G68,'16_評価実績インデックス'!$A$4:$A$103,0))="","",INDEX('16_評価実績インデックス'!$C$4:$C$103,MATCH(G68,'16_評価実績インデックス'!$A$4:$A$103,0))))),"評価対象不一致",IF(IF(COUNTIF('16_評価実績インデックス'!$A$4:$A$103,G68)&lt;&gt;1,"参照ID不正",IF(INDEX('16_評価実績インデックス'!$S$4:$S$103,MATCH(G68,'16_評価実績インデックス'!$A$4:$A$103,0))="","",INDEX('16_評価実績インデックス'!$S$4:$S$103,MATCH(G68,'16_評価実績インデックス'!$A$4:$A$103,0))))&lt;&gt;"記録あり・内容審査別","評価記録未充足",IF(L68&lt;&gt;"合格","必要評価不合格・未確定","評価充足"))))))))))))</f>
        <v/>
      </c>
      <c r="N68" s="28">
        <f t="shared" ref="N68:N99" si="2">IF(OR(M68="評価充足",M68="対象外承認"),1,0)</f>
        <v>0</v>
      </c>
      <c r="O68" s="29"/>
      <c r="P68" s="29"/>
    </row>
    <row r="69" spans="1:16" ht="64" customHeight="1" x14ac:dyDescent="0.2">
      <c r="A69" s="29"/>
      <c r="B69" s="29"/>
      <c r="C69" s="29"/>
      <c r="D69" s="29"/>
      <c r="E69" s="28" t="str">
        <f>IF(A69="","",IF(COUNTIF('15_評価計画・品質ゲート'!$V$4:$V$103,D69)&lt;&gt;1,"参照ID不正",IF(INDEX('15_評価計画・品質ゲート'!$A$4:$A$103,MATCH(D69,'15_評価計画・品質ゲート'!$V$4:$V$103,0))="","",INDEX('15_評価計画・品質ゲート'!$A$4:$A$103,MATCH(D69,'15_評価計画・品質ゲート'!$V$4:$V$103,0)))))</f>
        <v/>
      </c>
      <c r="F69" s="29"/>
      <c r="G69" s="29"/>
      <c r="H69" s="29"/>
      <c r="I69" s="29"/>
      <c r="J69" s="29"/>
      <c r="K69" s="29"/>
      <c r="L69" s="28" t="str">
        <f>IF(OR(A69="",G69=""),"",IF(COUNTIF('16_評価実績インデックス'!$A$4:$A$103,G69)&lt;&gt;1,"参照ID不正",IF(INDEX('16_評価実績インデックス'!$O$4:$O$103,MATCH(G69,'16_評価実績インデックス'!$A$4:$A$103,0))="","",INDEX('16_評価実績インデックス'!$O$4:$O$103,MATCH(G69,'16_評価実績インデックス'!$A$4:$A$103,0)))))</f>
        <v/>
      </c>
      <c r="M69" s="28" t="str">
        <f>IF(A69="","",IF(OR(COUNTIF($A$4:$A$153,A69)&lt;&gt;1,COUNTIFS($B$4:$B$153,B69,$C$4:$C$153,C69,$D$4:$D$153,D69)&lt;&gt;1),"集合ID・計画重複",IF(OR(OR(B69="",C69="",D69="",I69="",J69="",O69=""),NOT(ISNUMBER(K69))),"集合承認不足",IF(OR(AND(K69&lt;&gt;"",OR(NOT(ISNUMBER(K69)),IFERROR(K69&lt;1,TRUE),IFERROR(INT(K69)&gt;INT(AsOfDate),TRUE)))),"集合承認日不正",IF(COUNTIF(EvalPlanKeys,D69)&lt;&gt;1,"PlanKey不正",IF(C69&lt;&gt;IF(COUNTIF('15_評価計画・品質ゲート'!$V$4:$V$103,D69)&lt;&gt;1,"参照ID不正",IF(INDEX('15_評価計画・品質ゲート'!$U$4:$U$103,MATCH(D69,'15_評価計画・品質ゲート'!$V$4:$V$103,0))="","",INDEX('15_評価計画・品質ゲート'!$U$4:$U$103,MATCH(D69,'15_評価計画・品質ゲート'!$V$4:$V$103,0)))),"計画Manifest不一致",IF(F69="対象外",IF(H69="","対象外理由不足","対象外承認"),IF(F69&lt;&gt;"必須","適用未判定",IF(OR(G69="",COUNTIF('16_評価実績インデックス'!$A$4:$A$103,G69)&lt;&gt;1),"評価Run不足・不正",IF(OR(C69&lt;&gt;IF(COUNTIF('16_評価実績インデックス'!$A$4:$A$103,G69)&lt;&gt;1,"参照ID不正",IF(INDEX('16_評価実績インデックス'!$T$4:$T$103,MATCH(G69,'16_評価実績インデックス'!$A$4:$A$103,0))="","",INDEX('16_評価実績インデックス'!$T$4:$T$103,MATCH(G69,'16_評価実績インデックス'!$A$4:$A$103,0)))),D69&lt;&gt;IF(COUNTIF('16_評価実績インデックス'!$A$4:$A$103,G69)&lt;&gt;1,"参照ID不正",IF(INDEX('16_評価実績インデックス'!$B$4:$B$103,MATCH(G69,'16_評価実績インデックス'!$A$4:$A$103,0))="","",INDEX('16_評価実績インデックス'!$B$4:$B$103,MATCH(G69,'16_評価実績インデックス'!$A$4:$A$103,0)))),B69&lt;&gt;IF(COUNTIF('16_評価実績インデックス'!$A$4:$A$103,G69)&lt;&gt;1,"参照ID不正",IF(INDEX('16_評価実績インデックス'!$C$4:$C$103,MATCH(G69,'16_評価実績インデックス'!$A$4:$A$103,0))="","",INDEX('16_評価実績インデックス'!$C$4:$C$103,MATCH(G69,'16_評価実績インデックス'!$A$4:$A$103,0))))),"評価対象不一致",IF(IF(COUNTIF('16_評価実績インデックス'!$A$4:$A$103,G69)&lt;&gt;1,"参照ID不正",IF(INDEX('16_評価実績インデックス'!$S$4:$S$103,MATCH(G69,'16_評価実績インデックス'!$A$4:$A$103,0))="","",INDEX('16_評価実績インデックス'!$S$4:$S$103,MATCH(G69,'16_評価実績インデックス'!$A$4:$A$103,0))))&lt;&gt;"記録あり・内容審査別","評価記録未充足",IF(L69&lt;&gt;"合格","必要評価不合格・未確定","評価充足"))))))))))))</f>
        <v/>
      </c>
      <c r="N69" s="28">
        <f t="shared" si="2"/>
        <v>0</v>
      </c>
      <c r="O69" s="29"/>
      <c r="P69" s="29"/>
    </row>
    <row r="70" spans="1:16" ht="64" customHeight="1" x14ac:dyDescent="0.2">
      <c r="A70" s="29"/>
      <c r="B70" s="29"/>
      <c r="C70" s="29"/>
      <c r="D70" s="29"/>
      <c r="E70" s="28" t="str">
        <f>IF(A70="","",IF(COUNTIF('15_評価計画・品質ゲート'!$V$4:$V$103,D70)&lt;&gt;1,"参照ID不正",IF(INDEX('15_評価計画・品質ゲート'!$A$4:$A$103,MATCH(D70,'15_評価計画・品質ゲート'!$V$4:$V$103,0))="","",INDEX('15_評価計画・品質ゲート'!$A$4:$A$103,MATCH(D70,'15_評価計画・品質ゲート'!$V$4:$V$103,0)))))</f>
        <v/>
      </c>
      <c r="F70" s="29"/>
      <c r="G70" s="29"/>
      <c r="H70" s="29"/>
      <c r="I70" s="29"/>
      <c r="J70" s="29"/>
      <c r="K70" s="29"/>
      <c r="L70" s="28" t="str">
        <f>IF(OR(A70="",G70=""),"",IF(COUNTIF('16_評価実績インデックス'!$A$4:$A$103,G70)&lt;&gt;1,"参照ID不正",IF(INDEX('16_評価実績インデックス'!$O$4:$O$103,MATCH(G70,'16_評価実績インデックス'!$A$4:$A$103,0))="","",INDEX('16_評価実績インデックス'!$O$4:$O$103,MATCH(G70,'16_評価実績インデックス'!$A$4:$A$103,0)))))</f>
        <v/>
      </c>
      <c r="M70" s="28" t="str">
        <f>IF(A70="","",IF(OR(COUNTIF($A$4:$A$153,A70)&lt;&gt;1,COUNTIFS($B$4:$B$153,B70,$C$4:$C$153,C70,$D$4:$D$153,D70)&lt;&gt;1),"集合ID・計画重複",IF(OR(OR(B70="",C70="",D70="",I70="",J70="",O70=""),NOT(ISNUMBER(K70))),"集合承認不足",IF(OR(AND(K70&lt;&gt;"",OR(NOT(ISNUMBER(K70)),IFERROR(K70&lt;1,TRUE),IFERROR(INT(K70)&gt;INT(AsOfDate),TRUE)))),"集合承認日不正",IF(COUNTIF(EvalPlanKeys,D70)&lt;&gt;1,"PlanKey不正",IF(C70&lt;&gt;IF(COUNTIF('15_評価計画・品質ゲート'!$V$4:$V$103,D70)&lt;&gt;1,"参照ID不正",IF(INDEX('15_評価計画・品質ゲート'!$U$4:$U$103,MATCH(D70,'15_評価計画・品質ゲート'!$V$4:$V$103,0))="","",INDEX('15_評価計画・品質ゲート'!$U$4:$U$103,MATCH(D70,'15_評価計画・品質ゲート'!$V$4:$V$103,0)))),"計画Manifest不一致",IF(F70="対象外",IF(H70="","対象外理由不足","対象外承認"),IF(F70&lt;&gt;"必須","適用未判定",IF(OR(G70="",COUNTIF('16_評価実績インデックス'!$A$4:$A$103,G70)&lt;&gt;1),"評価Run不足・不正",IF(OR(C70&lt;&gt;IF(COUNTIF('16_評価実績インデックス'!$A$4:$A$103,G70)&lt;&gt;1,"参照ID不正",IF(INDEX('16_評価実績インデックス'!$T$4:$T$103,MATCH(G70,'16_評価実績インデックス'!$A$4:$A$103,0))="","",INDEX('16_評価実績インデックス'!$T$4:$T$103,MATCH(G70,'16_評価実績インデックス'!$A$4:$A$103,0)))),D70&lt;&gt;IF(COUNTIF('16_評価実績インデックス'!$A$4:$A$103,G70)&lt;&gt;1,"参照ID不正",IF(INDEX('16_評価実績インデックス'!$B$4:$B$103,MATCH(G70,'16_評価実績インデックス'!$A$4:$A$103,0))="","",INDEX('16_評価実績インデックス'!$B$4:$B$103,MATCH(G70,'16_評価実績インデックス'!$A$4:$A$103,0)))),B70&lt;&gt;IF(COUNTIF('16_評価実績インデックス'!$A$4:$A$103,G70)&lt;&gt;1,"参照ID不正",IF(INDEX('16_評価実績インデックス'!$C$4:$C$103,MATCH(G70,'16_評価実績インデックス'!$A$4:$A$103,0))="","",INDEX('16_評価実績インデックス'!$C$4:$C$103,MATCH(G70,'16_評価実績インデックス'!$A$4:$A$103,0))))),"評価対象不一致",IF(IF(COUNTIF('16_評価実績インデックス'!$A$4:$A$103,G70)&lt;&gt;1,"参照ID不正",IF(INDEX('16_評価実績インデックス'!$S$4:$S$103,MATCH(G70,'16_評価実績インデックス'!$A$4:$A$103,0))="","",INDEX('16_評価実績インデックス'!$S$4:$S$103,MATCH(G70,'16_評価実績インデックス'!$A$4:$A$103,0))))&lt;&gt;"記録あり・内容審査別","評価記録未充足",IF(L70&lt;&gt;"合格","必要評価不合格・未確定","評価充足"))))))))))))</f>
        <v/>
      </c>
      <c r="N70" s="28">
        <f t="shared" si="2"/>
        <v>0</v>
      </c>
      <c r="O70" s="29"/>
      <c r="P70" s="29"/>
    </row>
    <row r="71" spans="1:16" ht="64" customHeight="1" x14ac:dyDescent="0.2">
      <c r="A71" s="29"/>
      <c r="B71" s="29"/>
      <c r="C71" s="29"/>
      <c r="D71" s="29"/>
      <c r="E71" s="28" t="str">
        <f>IF(A71="","",IF(COUNTIF('15_評価計画・品質ゲート'!$V$4:$V$103,D71)&lt;&gt;1,"参照ID不正",IF(INDEX('15_評価計画・品質ゲート'!$A$4:$A$103,MATCH(D71,'15_評価計画・品質ゲート'!$V$4:$V$103,0))="","",INDEX('15_評価計画・品質ゲート'!$A$4:$A$103,MATCH(D71,'15_評価計画・品質ゲート'!$V$4:$V$103,0)))))</f>
        <v/>
      </c>
      <c r="F71" s="29"/>
      <c r="G71" s="29"/>
      <c r="H71" s="29"/>
      <c r="I71" s="29"/>
      <c r="J71" s="29"/>
      <c r="K71" s="29"/>
      <c r="L71" s="28" t="str">
        <f>IF(OR(A71="",G71=""),"",IF(COUNTIF('16_評価実績インデックス'!$A$4:$A$103,G71)&lt;&gt;1,"参照ID不正",IF(INDEX('16_評価実績インデックス'!$O$4:$O$103,MATCH(G71,'16_評価実績インデックス'!$A$4:$A$103,0))="","",INDEX('16_評価実績インデックス'!$O$4:$O$103,MATCH(G71,'16_評価実績インデックス'!$A$4:$A$103,0)))))</f>
        <v/>
      </c>
      <c r="M71" s="28" t="str">
        <f>IF(A71="","",IF(OR(COUNTIF($A$4:$A$153,A71)&lt;&gt;1,COUNTIFS($B$4:$B$153,B71,$C$4:$C$153,C71,$D$4:$D$153,D71)&lt;&gt;1),"集合ID・計画重複",IF(OR(OR(B71="",C71="",D71="",I71="",J71="",O71=""),NOT(ISNUMBER(K71))),"集合承認不足",IF(OR(AND(K71&lt;&gt;"",OR(NOT(ISNUMBER(K71)),IFERROR(K71&lt;1,TRUE),IFERROR(INT(K71)&gt;INT(AsOfDate),TRUE)))),"集合承認日不正",IF(COUNTIF(EvalPlanKeys,D71)&lt;&gt;1,"PlanKey不正",IF(C71&lt;&gt;IF(COUNTIF('15_評価計画・品質ゲート'!$V$4:$V$103,D71)&lt;&gt;1,"参照ID不正",IF(INDEX('15_評価計画・品質ゲート'!$U$4:$U$103,MATCH(D71,'15_評価計画・品質ゲート'!$V$4:$V$103,0))="","",INDEX('15_評価計画・品質ゲート'!$U$4:$U$103,MATCH(D71,'15_評価計画・品質ゲート'!$V$4:$V$103,0)))),"計画Manifest不一致",IF(F71="対象外",IF(H71="","対象外理由不足","対象外承認"),IF(F71&lt;&gt;"必須","適用未判定",IF(OR(G71="",COUNTIF('16_評価実績インデックス'!$A$4:$A$103,G71)&lt;&gt;1),"評価Run不足・不正",IF(OR(C71&lt;&gt;IF(COUNTIF('16_評価実績インデックス'!$A$4:$A$103,G71)&lt;&gt;1,"参照ID不正",IF(INDEX('16_評価実績インデックス'!$T$4:$T$103,MATCH(G71,'16_評価実績インデックス'!$A$4:$A$103,0))="","",INDEX('16_評価実績インデックス'!$T$4:$T$103,MATCH(G71,'16_評価実績インデックス'!$A$4:$A$103,0)))),D71&lt;&gt;IF(COUNTIF('16_評価実績インデックス'!$A$4:$A$103,G71)&lt;&gt;1,"参照ID不正",IF(INDEX('16_評価実績インデックス'!$B$4:$B$103,MATCH(G71,'16_評価実績インデックス'!$A$4:$A$103,0))="","",INDEX('16_評価実績インデックス'!$B$4:$B$103,MATCH(G71,'16_評価実績インデックス'!$A$4:$A$103,0)))),B71&lt;&gt;IF(COUNTIF('16_評価実績インデックス'!$A$4:$A$103,G71)&lt;&gt;1,"参照ID不正",IF(INDEX('16_評価実績インデックス'!$C$4:$C$103,MATCH(G71,'16_評価実績インデックス'!$A$4:$A$103,0))="","",INDEX('16_評価実績インデックス'!$C$4:$C$103,MATCH(G71,'16_評価実績インデックス'!$A$4:$A$103,0))))),"評価対象不一致",IF(IF(COUNTIF('16_評価実績インデックス'!$A$4:$A$103,G71)&lt;&gt;1,"参照ID不正",IF(INDEX('16_評価実績インデックス'!$S$4:$S$103,MATCH(G71,'16_評価実績インデックス'!$A$4:$A$103,0))="","",INDEX('16_評価実績インデックス'!$S$4:$S$103,MATCH(G71,'16_評価実績インデックス'!$A$4:$A$103,0))))&lt;&gt;"記録あり・内容審査別","評価記録未充足",IF(L71&lt;&gt;"合格","必要評価不合格・未確定","評価充足"))))))))))))</f>
        <v/>
      </c>
      <c r="N71" s="28">
        <f t="shared" si="2"/>
        <v>0</v>
      </c>
      <c r="O71" s="29"/>
      <c r="P71" s="29"/>
    </row>
    <row r="72" spans="1:16" ht="64" customHeight="1" x14ac:dyDescent="0.2">
      <c r="A72" s="29"/>
      <c r="B72" s="29"/>
      <c r="C72" s="29"/>
      <c r="D72" s="29"/>
      <c r="E72" s="28" t="str">
        <f>IF(A72="","",IF(COUNTIF('15_評価計画・品質ゲート'!$V$4:$V$103,D72)&lt;&gt;1,"参照ID不正",IF(INDEX('15_評価計画・品質ゲート'!$A$4:$A$103,MATCH(D72,'15_評価計画・品質ゲート'!$V$4:$V$103,0))="","",INDEX('15_評価計画・品質ゲート'!$A$4:$A$103,MATCH(D72,'15_評価計画・品質ゲート'!$V$4:$V$103,0)))))</f>
        <v/>
      </c>
      <c r="F72" s="29"/>
      <c r="G72" s="29"/>
      <c r="H72" s="29"/>
      <c r="I72" s="29"/>
      <c r="J72" s="29"/>
      <c r="K72" s="29"/>
      <c r="L72" s="28" t="str">
        <f>IF(OR(A72="",G72=""),"",IF(COUNTIF('16_評価実績インデックス'!$A$4:$A$103,G72)&lt;&gt;1,"参照ID不正",IF(INDEX('16_評価実績インデックス'!$O$4:$O$103,MATCH(G72,'16_評価実績インデックス'!$A$4:$A$103,0))="","",INDEX('16_評価実績インデックス'!$O$4:$O$103,MATCH(G72,'16_評価実績インデックス'!$A$4:$A$103,0)))))</f>
        <v/>
      </c>
      <c r="M72" s="28" t="str">
        <f>IF(A72="","",IF(OR(COUNTIF($A$4:$A$153,A72)&lt;&gt;1,COUNTIFS($B$4:$B$153,B72,$C$4:$C$153,C72,$D$4:$D$153,D72)&lt;&gt;1),"集合ID・計画重複",IF(OR(OR(B72="",C72="",D72="",I72="",J72="",O72=""),NOT(ISNUMBER(K72))),"集合承認不足",IF(OR(AND(K72&lt;&gt;"",OR(NOT(ISNUMBER(K72)),IFERROR(K72&lt;1,TRUE),IFERROR(INT(K72)&gt;INT(AsOfDate),TRUE)))),"集合承認日不正",IF(COUNTIF(EvalPlanKeys,D72)&lt;&gt;1,"PlanKey不正",IF(C72&lt;&gt;IF(COUNTIF('15_評価計画・品質ゲート'!$V$4:$V$103,D72)&lt;&gt;1,"参照ID不正",IF(INDEX('15_評価計画・品質ゲート'!$U$4:$U$103,MATCH(D72,'15_評価計画・品質ゲート'!$V$4:$V$103,0))="","",INDEX('15_評価計画・品質ゲート'!$U$4:$U$103,MATCH(D72,'15_評価計画・品質ゲート'!$V$4:$V$103,0)))),"計画Manifest不一致",IF(F72="対象外",IF(H72="","対象外理由不足","対象外承認"),IF(F72&lt;&gt;"必須","適用未判定",IF(OR(G72="",COUNTIF('16_評価実績インデックス'!$A$4:$A$103,G72)&lt;&gt;1),"評価Run不足・不正",IF(OR(C72&lt;&gt;IF(COUNTIF('16_評価実績インデックス'!$A$4:$A$103,G72)&lt;&gt;1,"参照ID不正",IF(INDEX('16_評価実績インデックス'!$T$4:$T$103,MATCH(G72,'16_評価実績インデックス'!$A$4:$A$103,0))="","",INDEX('16_評価実績インデックス'!$T$4:$T$103,MATCH(G72,'16_評価実績インデックス'!$A$4:$A$103,0)))),D72&lt;&gt;IF(COUNTIF('16_評価実績インデックス'!$A$4:$A$103,G72)&lt;&gt;1,"参照ID不正",IF(INDEX('16_評価実績インデックス'!$B$4:$B$103,MATCH(G72,'16_評価実績インデックス'!$A$4:$A$103,0))="","",INDEX('16_評価実績インデックス'!$B$4:$B$103,MATCH(G72,'16_評価実績インデックス'!$A$4:$A$103,0)))),B72&lt;&gt;IF(COUNTIF('16_評価実績インデックス'!$A$4:$A$103,G72)&lt;&gt;1,"参照ID不正",IF(INDEX('16_評価実績インデックス'!$C$4:$C$103,MATCH(G72,'16_評価実績インデックス'!$A$4:$A$103,0))="","",INDEX('16_評価実績インデックス'!$C$4:$C$103,MATCH(G72,'16_評価実績インデックス'!$A$4:$A$103,0))))),"評価対象不一致",IF(IF(COUNTIF('16_評価実績インデックス'!$A$4:$A$103,G72)&lt;&gt;1,"参照ID不正",IF(INDEX('16_評価実績インデックス'!$S$4:$S$103,MATCH(G72,'16_評価実績インデックス'!$A$4:$A$103,0))="","",INDEX('16_評価実績インデックス'!$S$4:$S$103,MATCH(G72,'16_評価実績インデックス'!$A$4:$A$103,0))))&lt;&gt;"記録あり・内容審査別","評価記録未充足",IF(L72&lt;&gt;"合格","必要評価不合格・未確定","評価充足"))))))))))))</f>
        <v/>
      </c>
      <c r="N72" s="28">
        <f t="shared" si="2"/>
        <v>0</v>
      </c>
      <c r="O72" s="29"/>
      <c r="P72" s="29"/>
    </row>
    <row r="73" spans="1:16" ht="64" customHeight="1" x14ac:dyDescent="0.2">
      <c r="A73" s="29"/>
      <c r="B73" s="29"/>
      <c r="C73" s="29"/>
      <c r="D73" s="29"/>
      <c r="E73" s="28" t="str">
        <f>IF(A73="","",IF(COUNTIF('15_評価計画・品質ゲート'!$V$4:$V$103,D73)&lt;&gt;1,"参照ID不正",IF(INDEX('15_評価計画・品質ゲート'!$A$4:$A$103,MATCH(D73,'15_評価計画・品質ゲート'!$V$4:$V$103,0))="","",INDEX('15_評価計画・品質ゲート'!$A$4:$A$103,MATCH(D73,'15_評価計画・品質ゲート'!$V$4:$V$103,0)))))</f>
        <v/>
      </c>
      <c r="F73" s="29"/>
      <c r="G73" s="29"/>
      <c r="H73" s="29"/>
      <c r="I73" s="29"/>
      <c r="J73" s="29"/>
      <c r="K73" s="29"/>
      <c r="L73" s="28" t="str">
        <f>IF(OR(A73="",G73=""),"",IF(COUNTIF('16_評価実績インデックス'!$A$4:$A$103,G73)&lt;&gt;1,"参照ID不正",IF(INDEX('16_評価実績インデックス'!$O$4:$O$103,MATCH(G73,'16_評価実績インデックス'!$A$4:$A$103,0))="","",INDEX('16_評価実績インデックス'!$O$4:$O$103,MATCH(G73,'16_評価実績インデックス'!$A$4:$A$103,0)))))</f>
        <v/>
      </c>
      <c r="M73" s="28" t="str">
        <f>IF(A73="","",IF(OR(COUNTIF($A$4:$A$153,A73)&lt;&gt;1,COUNTIFS($B$4:$B$153,B73,$C$4:$C$153,C73,$D$4:$D$153,D73)&lt;&gt;1),"集合ID・計画重複",IF(OR(OR(B73="",C73="",D73="",I73="",J73="",O73=""),NOT(ISNUMBER(K73))),"集合承認不足",IF(OR(AND(K73&lt;&gt;"",OR(NOT(ISNUMBER(K73)),IFERROR(K73&lt;1,TRUE),IFERROR(INT(K73)&gt;INT(AsOfDate),TRUE)))),"集合承認日不正",IF(COUNTIF(EvalPlanKeys,D73)&lt;&gt;1,"PlanKey不正",IF(C73&lt;&gt;IF(COUNTIF('15_評価計画・品質ゲート'!$V$4:$V$103,D73)&lt;&gt;1,"参照ID不正",IF(INDEX('15_評価計画・品質ゲート'!$U$4:$U$103,MATCH(D73,'15_評価計画・品質ゲート'!$V$4:$V$103,0))="","",INDEX('15_評価計画・品質ゲート'!$U$4:$U$103,MATCH(D73,'15_評価計画・品質ゲート'!$V$4:$V$103,0)))),"計画Manifest不一致",IF(F73="対象外",IF(H73="","対象外理由不足","対象外承認"),IF(F73&lt;&gt;"必須","適用未判定",IF(OR(G73="",COUNTIF('16_評価実績インデックス'!$A$4:$A$103,G73)&lt;&gt;1),"評価Run不足・不正",IF(OR(C73&lt;&gt;IF(COUNTIF('16_評価実績インデックス'!$A$4:$A$103,G73)&lt;&gt;1,"参照ID不正",IF(INDEX('16_評価実績インデックス'!$T$4:$T$103,MATCH(G73,'16_評価実績インデックス'!$A$4:$A$103,0))="","",INDEX('16_評価実績インデックス'!$T$4:$T$103,MATCH(G73,'16_評価実績インデックス'!$A$4:$A$103,0)))),D73&lt;&gt;IF(COUNTIF('16_評価実績インデックス'!$A$4:$A$103,G73)&lt;&gt;1,"参照ID不正",IF(INDEX('16_評価実績インデックス'!$B$4:$B$103,MATCH(G73,'16_評価実績インデックス'!$A$4:$A$103,0))="","",INDEX('16_評価実績インデックス'!$B$4:$B$103,MATCH(G73,'16_評価実績インデックス'!$A$4:$A$103,0)))),B73&lt;&gt;IF(COUNTIF('16_評価実績インデックス'!$A$4:$A$103,G73)&lt;&gt;1,"参照ID不正",IF(INDEX('16_評価実績インデックス'!$C$4:$C$103,MATCH(G73,'16_評価実績インデックス'!$A$4:$A$103,0))="","",INDEX('16_評価実績インデックス'!$C$4:$C$103,MATCH(G73,'16_評価実績インデックス'!$A$4:$A$103,0))))),"評価対象不一致",IF(IF(COUNTIF('16_評価実績インデックス'!$A$4:$A$103,G73)&lt;&gt;1,"参照ID不正",IF(INDEX('16_評価実績インデックス'!$S$4:$S$103,MATCH(G73,'16_評価実績インデックス'!$A$4:$A$103,0))="","",INDEX('16_評価実績インデックス'!$S$4:$S$103,MATCH(G73,'16_評価実績インデックス'!$A$4:$A$103,0))))&lt;&gt;"記録あり・内容審査別","評価記録未充足",IF(L73&lt;&gt;"合格","必要評価不合格・未確定","評価充足"))))))))))))</f>
        <v/>
      </c>
      <c r="N73" s="28">
        <f t="shared" si="2"/>
        <v>0</v>
      </c>
      <c r="O73" s="29"/>
      <c r="P73" s="29"/>
    </row>
    <row r="74" spans="1:16" ht="64" customHeight="1" x14ac:dyDescent="0.2">
      <c r="A74" s="29"/>
      <c r="B74" s="29"/>
      <c r="C74" s="29"/>
      <c r="D74" s="29"/>
      <c r="E74" s="28" t="str">
        <f>IF(A74="","",IF(COUNTIF('15_評価計画・品質ゲート'!$V$4:$V$103,D74)&lt;&gt;1,"参照ID不正",IF(INDEX('15_評価計画・品質ゲート'!$A$4:$A$103,MATCH(D74,'15_評価計画・品質ゲート'!$V$4:$V$103,0))="","",INDEX('15_評価計画・品質ゲート'!$A$4:$A$103,MATCH(D74,'15_評価計画・品質ゲート'!$V$4:$V$103,0)))))</f>
        <v/>
      </c>
      <c r="F74" s="29"/>
      <c r="G74" s="29"/>
      <c r="H74" s="29"/>
      <c r="I74" s="29"/>
      <c r="J74" s="29"/>
      <c r="K74" s="29"/>
      <c r="L74" s="28" t="str">
        <f>IF(OR(A74="",G74=""),"",IF(COUNTIF('16_評価実績インデックス'!$A$4:$A$103,G74)&lt;&gt;1,"参照ID不正",IF(INDEX('16_評価実績インデックス'!$O$4:$O$103,MATCH(G74,'16_評価実績インデックス'!$A$4:$A$103,0))="","",INDEX('16_評価実績インデックス'!$O$4:$O$103,MATCH(G74,'16_評価実績インデックス'!$A$4:$A$103,0)))))</f>
        <v/>
      </c>
      <c r="M74" s="28" t="str">
        <f>IF(A74="","",IF(OR(COUNTIF($A$4:$A$153,A74)&lt;&gt;1,COUNTIFS($B$4:$B$153,B74,$C$4:$C$153,C74,$D$4:$D$153,D74)&lt;&gt;1),"集合ID・計画重複",IF(OR(OR(B74="",C74="",D74="",I74="",J74="",O74=""),NOT(ISNUMBER(K74))),"集合承認不足",IF(OR(AND(K74&lt;&gt;"",OR(NOT(ISNUMBER(K74)),IFERROR(K74&lt;1,TRUE),IFERROR(INT(K74)&gt;INT(AsOfDate),TRUE)))),"集合承認日不正",IF(COUNTIF(EvalPlanKeys,D74)&lt;&gt;1,"PlanKey不正",IF(C74&lt;&gt;IF(COUNTIF('15_評価計画・品質ゲート'!$V$4:$V$103,D74)&lt;&gt;1,"参照ID不正",IF(INDEX('15_評価計画・品質ゲート'!$U$4:$U$103,MATCH(D74,'15_評価計画・品質ゲート'!$V$4:$V$103,0))="","",INDEX('15_評価計画・品質ゲート'!$U$4:$U$103,MATCH(D74,'15_評価計画・品質ゲート'!$V$4:$V$103,0)))),"計画Manifest不一致",IF(F74="対象外",IF(H74="","対象外理由不足","対象外承認"),IF(F74&lt;&gt;"必須","適用未判定",IF(OR(G74="",COUNTIF('16_評価実績インデックス'!$A$4:$A$103,G74)&lt;&gt;1),"評価Run不足・不正",IF(OR(C74&lt;&gt;IF(COUNTIF('16_評価実績インデックス'!$A$4:$A$103,G74)&lt;&gt;1,"参照ID不正",IF(INDEX('16_評価実績インデックス'!$T$4:$T$103,MATCH(G74,'16_評価実績インデックス'!$A$4:$A$103,0))="","",INDEX('16_評価実績インデックス'!$T$4:$T$103,MATCH(G74,'16_評価実績インデックス'!$A$4:$A$103,0)))),D74&lt;&gt;IF(COUNTIF('16_評価実績インデックス'!$A$4:$A$103,G74)&lt;&gt;1,"参照ID不正",IF(INDEX('16_評価実績インデックス'!$B$4:$B$103,MATCH(G74,'16_評価実績インデックス'!$A$4:$A$103,0))="","",INDEX('16_評価実績インデックス'!$B$4:$B$103,MATCH(G74,'16_評価実績インデックス'!$A$4:$A$103,0)))),B74&lt;&gt;IF(COUNTIF('16_評価実績インデックス'!$A$4:$A$103,G74)&lt;&gt;1,"参照ID不正",IF(INDEX('16_評価実績インデックス'!$C$4:$C$103,MATCH(G74,'16_評価実績インデックス'!$A$4:$A$103,0))="","",INDEX('16_評価実績インデックス'!$C$4:$C$103,MATCH(G74,'16_評価実績インデックス'!$A$4:$A$103,0))))),"評価対象不一致",IF(IF(COUNTIF('16_評価実績インデックス'!$A$4:$A$103,G74)&lt;&gt;1,"参照ID不正",IF(INDEX('16_評価実績インデックス'!$S$4:$S$103,MATCH(G74,'16_評価実績インデックス'!$A$4:$A$103,0))="","",INDEX('16_評価実績インデックス'!$S$4:$S$103,MATCH(G74,'16_評価実績インデックス'!$A$4:$A$103,0))))&lt;&gt;"記録あり・内容審査別","評価記録未充足",IF(L74&lt;&gt;"合格","必要評価不合格・未確定","評価充足"))))))))))))</f>
        <v/>
      </c>
      <c r="N74" s="28">
        <f t="shared" si="2"/>
        <v>0</v>
      </c>
      <c r="O74" s="29"/>
      <c r="P74" s="29"/>
    </row>
    <row r="75" spans="1:16" ht="64" customHeight="1" x14ac:dyDescent="0.2">
      <c r="A75" s="29"/>
      <c r="B75" s="29"/>
      <c r="C75" s="29"/>
      <c r="D75" s="29"/>
      <c r="E75" s="28" t="str">
        <f>IF(A75="","",IF(COUNTIF('15_評価計画・品質ゲート'!$V$4:$V$103,D75)&lt;&gt;1,"参照ID不正",IF(INDEX('15_評価計画・品質ゲート'!$A$4:$A$103,MATCH(D75,'15_評価計画・品質ゲート'!$V$4:$V$103,0))="","",INDEX('15_評価計画・品質ゲート'!$A$4:$A$103,MATCH(D75,'15_評価計画・品質ゲート'!$V$4:$V$103,0)))))</f>
        <v/>
      </c>
      <c r="F75" s="29"/>
      <c r="G75" s="29"/>
      <c r="H75" s="29"/>
      <c r="I75" s="29"/>
      <c r="J75" s="29"/>
      <c r="K75" s="29"/>
      <c r="L75" s="28" t="str">
        <f>IF(OR(A75="",G75=""),"",IF(COUNTIF('16_評価実績インデックス'!$A$4:$A$103,G75)&lt;&gt;1,"参照ID不正",IF(INDEX('16_評価実績インデックス'!$O$4:$O$103,MATCH(G75,'16_評価実績インデックス'!$A$4:$A$103,0))="","",INDEX('16_評価実績インデックス'!$O$4:$O$103,MATCH(G75,'16_評価実績インデックス'!$A$4:$A$103,0)))))</f>
        <v/>
      </c>
      <c r="M75" s="28" t="str">
        <f>IF(A75="","",IF(OR(COUNTIF($A$4:$A$153,A75)&lt;&gt;1,COUNTIFS($B$4:$B$153,B75,$C$4:$C$153,C75,$D$4:$D$153,D75)&lt;&gt;1),"集合ID・計画重複",IF(OR(OR(B75="",C75="",D75="",I75="",J75="",O75=""),NOT(ISNUMBER(K75))),"集合承認不足",IF(OR(AND(K75&lt;&gt;"",OR(NOT(ISNUMBER(K75)),IFERROR(K75&lt;1,TRUE),IFERROR(INT(K75)&gt;INT(AsOfDate),TRUE)))),"集合承認日不正",IF(COUNTIF(EvalPlanKeys,D75)&lt;&gt;1,"PlanKey不正",IF(C75&lt;&gt;IF(COUNTIF('15_評価計画・品質ゲート'!$V$4:$V$103,D75)&lt;&gt;1,"参照ID不正",IF(INDEX('15_評価計画・品質ゲート'!$U$4:$U$103,MATCH(D75,'15_評価計画・品質ゲート'!$V$4:$V$103,0))="","",INDEX('15_評価計画・品質ゲート'!$U$4:$U$103,MATCH(D75,'15_評価計画・品質ゲート'!$V$4:$V$103,0)))),"計画Manifest不一致",IF(F75="対象外",IF(H75="","対象外理由不足","対象外承認"),IF(F75&lt;&gt;"必須","適用未判定",IF(OR(G75="",COUNTIF('16_評価実績インデックス'!$A$4:$A$103,G75)&lt;&gt;1),"評価Run不足・不正",IF(OR(C75&lt;&gt;IF(COUNTIF('16_評価実績インデックス'!$A$4:$A$103,G75)&lt;&gt;1,"参照ID不正",IF(INDEX('16_評価実績インデックス'!$T$4:$T$103,MATCH(G75,'16_評価実績インデックス'!$A$4:$A$103,0))="","",INDEX('16_評価実績インデックス'!$T$4:$T$103,MATCH(G75,'16_評価実績インデックス'!$A$4:$A$103,0)))),D75&lt;&gt;IF(COUNTIF('16_評価実績インデックス'!$A$4:$A$103,G75)&lt;&gt;1,"参照ID不正",IF(INDEX('16_評価実績インデックス'!$B$4:$B$103,MATCH(G75,'16_評価実績インデックス'!$A$4:$A$103,0))="","",INDEX('16_評価実績インデックス'!$B$4:$B$103,MATCH(G75,'16_評価実績インデックス'!$A$4:$A$103,0)))),B75&lt;&gt;IF(COUNTIF('16_評価実績インデックス'!$A$4:$A$103,G75)&lt;&gt;1,"参照ID不正",IF(INDEX('16_評価実績インデックス'!$C$4:$C$103,MATCH(G75,'16_評価実績インデックス'!$A$4:$A$103,0))="","",INDEX('16_評価実績インデックス'!$C$4:$C$103,MATCH(G75,'16_評価実績インデックス'!$A$4:$A$103,0))))),"評価対象不一致",IF(IF(COUNTIF('16_評価実績インデックス'!$A$4:$A$103,G75)&lt;&gt;1,"参照ID不正",IF(INDEX('16_評価実績インデックス'!$S$4:$S$103,MATCH(G75,'16_評価実績インデックス'!$A$4:$A$103,0))="","",INDEX('16_評価実績インデックス'!$S$4:$S$103,MATCH(G75,'16_評価実績インデックス'!$A$4:$A$103,0))))&lt;&gt;"記録あり・内容審査別","評価記録未充足",IF(L75&lt;&gt;"合格","必要評価不合格・未確定","評価充足"))))))))))))</f>
        <v/>
      </c>
      <c r="N75" s="28">
        <f t="shared" si="2"/>
        <v>0</v>
      </c>
      <c r="O75" s="29"/>
      <c r="P75" s="29"/>
    </row>
    <row r="76" spans="1:16" ht="64" customHeight="1" x14ac:dyDescent="0.2">
      <c r="A76" s="29"/>
      <c r="B76" s="29"/>
      <c r="C76" s="29"/>
      <c r="D76" s="29"/>
      <c r="E76" s="28" t="str">
        <f>IF(A76="","",IF(COUNTIF('15_評価計画・品質ゲート'!$V$4:$V$103,D76)&lt;&gt;1,"参照ID不正",IF(INDEX('15_評価計画・品質ゲート'!$A$4:$A$103,MATCH(D76,'15_評価計画・品質ゲート'!$V$4:$V$103,0))="","",INDEX('15_評価計画・品質ゲート'!$A$4:$A$103,MATCH(D76,'15_評価計画・品質ゲート'!$V$4:$V$103,0)))))</f>
        <v/>
      </c>
      <c r="F76" s="29"/>
      <c r="G76" s="29"/>
      <c r="H76" s="29"/>
      <c r="I76" s="29"/>
      <c r="J76" s="29"/>
      <c r="K76" s="29"/>
      <c r="L76" s="28" t="str">
        <f>IF(OR(A76="",G76=""),"",IF(COUNTIF('16_評価実績インデックス'!$A$4:$A$103,G76)&lt;&gt;1,"参照ID不正",IF(INDEX('16_評価実績インデックス'!$O$4:$O$103,MATCH(G76,'16_評価実績インデックス'!$A$4:$A$103,0))="","",INDEX('16_評価実績インデックス'!$O$4:$O$103,MATCH(G76,'16_評価実績インデックス'!$A$4:$A$103,0)))))</f>
        <v/>
      </c>
      <c r="M76" s="28" t="str">
        <f>IF(A76="","",IF(OR(COUNTIF($A$4:$A$153,A76)&lt;&gt;1,COUNTIFS($B$4:$B$153,B76,$C$4:$C$153,C76,$D$4:$D$153,D76)&lt;&gt;1),"集合ID・計画重複",IF(OR(OR(B76="",C76="",D76="",I76="",J76="",O76=""),NOT(ISNUMBER(K76))),"集合承認不足",IF(OR(AND(K76&lt;&gt;"",OR(NOT(ISNUMBER(K76)),IFERROR(K76&lt;1,TRUE),IFERROR(INT(K76)&gt;INT(AsOfDate),TRUE)))),"集合承認日不正",IF(COUNTIF(EvalPlanKeys,D76)&lt;&gt;1,"PlanKey不正",IF(C76&lt;&gt;IF(COUNTIF('15_評価計画・品質ゲート'!$V$4:$V$103,D76)&lt;&gt;1,"参照ID不正",IF(INDEX('15_評価計画・品質ゲート'!$U$4:$U$103,MATCH(D76,'15_評価計画・品質ゲート'!$V$4:$V$103,0))="","",INDEX('15_評価計画・品質ゲート'!$U$4:$U$103,MATCH(D76,'15_評価計画・品質ゲート'!$V$4:$V$103,0)))),"計画Manifest不一致",IF(F76="対象外",IF(H76="","対象外理由不足","対象外承認"),IF(F76&lt;&gt;"必須","適用未判定",IF(OR(G76="",COUNTIF('16_評価実績インデックス'!$A$4:$A$103,G76)&lt;&gt;1),"評価Run不足・不正",IF(OR(C76&lt;&gt;IF(COUNTIF('16_評価実績インデックス'!$A$4:$A$103,G76)&lt;&gt;1,"参照ID不正",IF(INDEX('16_評価実績インデックス'!$T$4:$T$103,MATCH(G76,'16_評価実績インデックス'!$A$4:$A$103,0))="","",INDEX('16_評価実績インデックス'!$T$4:$T$103,MATCH(G76,'16_評価実績インデックス'!$A$4:$A$103,0)))),D76&lt;&gt;IF(COUNTIF('16_評価実績インデックス'!$A$4:$A$103,G76)&lt;&gt;1,"参照ID不正",IF(INDEX('16_評価実績インデックス'!$B$4:$B$103,MATCH(G76,'16_評価実績インデックス'!$A$4:$A$103,0))="","",INDEX('16_評価実績インデックス'!$B$4:$B$103,MATCH(G76,'16_評価実績インデックス'!$A$4:$A$103,0)))),B76&lt;&gt;IF(COUNTIF('16_評価実績インデックス'!$A$4:$A$103,G76)&lt;&gt;1,"参照ID不正",IF(INDEX('16_評価実績インデックス'!$C$4:$C$103,MATCH(G76,'16_評価実績インデックス'!$A$4:$A$103,0))="","",INDEX('16_評価実績インデックス'!$C$4:$C$103,MATCH(G76,'16_評価実績インデックス'!$A$4:$A$103,0))))),"評価対象不一致",IF(IF(COUNTIF('16_評価実績インデックス'!$A$4:$A$103,G76)&lt;&gt;1,"参照ID不正",IF(INDEX('16_評価実績インデックス'!$S$4:$S$103,MATCH(G76,'16_評価実績インデックス'!$A$4:$A$103,0))="","",INDEX('16_評価実績インデックス'!$S$4:$S$103,MATCH(G76,'16_評価実績インデックス'!$A$4:$A$103,0))))&lt;&gt;"記録あり・内容審査別","評価記録未充足",IF(L76&lt;&gt;"合格","必要評価不合格・未確定","評価充足"))))))))))))</f>
        <v/>
      </c>
      <c r="N76" s="28">
        <f t="shared" si="2"/>
        <v>0</v>
      </c>
      <c r="O76" s="29"/>
      <c r="P76" s="29"/>
    </row>
    <row r="77" spans="1:16" ht="64" customHeight="1" x14ac:dyDescent="0.2">
      <c r="A77" s="29"/>
      <c r="B77" s="29"/>
      <c r="C77" s="29"/>
      <c r="D77" s="29"/>
      <c r="E77" s="28" t="str">
        <f>IF(A77="","",IF(COUNTIF('15_評価計画・品質ゲート'!$V$4:$V$103,D77)&lt;&gt;1,"参照ID不正",IF(INDEX('15_評価計画・品質ゲート'!$A$4:$A$103,MATCH(D77,'15_評価計画・品質ゲート'!$V$4:$V$103,0))="","",INDEX('15_評価計画・品質ゲート'!$A$4:$A$103,MATCH(D77,'15_評価計画・品質ゲート'!$V$4:$V$103,0)))))</f>
        <v/>
      </c>
      <c r="F77" s="29"/>
      <c r="G77" s="29"/>
      <c r="H77" s="29"/>
      <c r="I77" s="29"/>
      <c r="J77" s="29"/>
      <c r="K77" s="29"/>
      <c r="L77" s="28" t="str">
        <f>IF(OR(A77="",G77=""),"",IF(COUNTIF('16_評価実績インデックス'!$A$4:$A$103,G77)&lt;&gt;1,"参照ID不正",IF(INDEX('16_評価実績インデックス'!$O$4:$O$103,MATCH(G77,'16_評価実績インデックス'!$A$4:$A$103,0))="","",INDEX('16_評価実績インデックス'!$O$4:$O$103,MATCH(G77,'16_評価実績インデックス'!$A$4:$A$103,0)))))</f>
        <v/>
      </c>
      <c r="M77" s="28" t="str">
        <f>IF(A77="","",IF(OR(COUNTIF($A$4:$A$153,A77)&lt;&gt;1,COUNTIFS($B$4:$B$153,B77,$C$4:$C$153,C77,$D$4:$D$153,D77)&lt;&gt;1),"集合ID・計画重複",IF(OR(OR(B77="",C77="",D77="",I77="",J77="",O77=""),NOT(ISNUMBER(K77))),"集合承認不足",IF(OR(AND(K77&lt;&gt;"",OR(NOT(ISNUMBER(K77)),IFERROR(K77&lt;1,TRUE),IFERROR(INT(K77)&gt;INT(AsOfDate),TRUE)))),"集合承認日不正",IF(COUNTIF(EvalPlanKeys,D77)&lt;&gt;1,"PlanKey不正",IF(C77&lt;&gt;IF(COUNTIF('15_評価計画・品質ゲート'!$V$4:$V$103,D77)&lt;&gt;1,"参照ID不正",IF(INDEX('15_評価計画・品質ゲート'!$U$4:$U$103,MATCH(D77,'15_評価計画・品質ゲート'!$V$4:$V$103,0))="","",INDEX('15_評価計画・品質ゲート'!$U$4:$U$103,MATCH(D77,'15_評価計画・品質ゲート'!$V$4:$V$103,0)))),"計画Manifest不一致",IF(F77="対象外",IF(H77="","対象外理由不足","対象外承認"),IF(F77&lt;&gt;"必須","適用未判定",IF(OR(G77="",COUNTIF('16_評価実績インデックス'!$A$4:$A$103,G77)&lt;&gt;1),"評価Run不足・不正",IF(OR(C77&lt;&gt;IF(COUNTIF('16_評価実績インデックス'!$A$4:$A$103,G77)&lt;&gt;1,"参照ID不正",IF(INDEX('16_評価実績インデックス'!$T$4:$T$103,MATCH(G77,'16_評価実績インデックス'!$A$4:$A$103,0))="","",INDEX('16_評価実績インデックス'!$T$4:$T$103,MATCH(G77,'16_評価実績インデックス'!$A$4:$A$103,0)))),D77&lt;&gt;IF(COUNTIF('16_評価実績インデックス'!$A$4:$A$103,G77)&lt;&gt;1,"参照ID不正",IF(INDEX('16_評価実績インデックス'!$B$4:$B$103,MATCH(G77,'16_評価実績インデックス'!$A$4:$A$103,0))="","",INDEX('16_評価実績インデックス'!$B$4:$B$103,MATCH(G77,'16_評価実績インデックス'!$A$4:$A$103,0)))),B77&lt;&gt;IF(COUNTIF('16_評価実績インデックス'!$A$4:$A$103,G77)&lt;&gt;1,"参照ID不正",IF(INDEX('16_評価実績インデックス'!$C$4:$C$103,MATCH(G77,'16_評価実績インデックス'!$A$4:$A$103,0))="","",INDEX('16_評価実績インデックス'!$C$4:$C$103,MATCH(G77,'16_評価実績インデックス'!$A$4:$A$103,0))))),"評価対象不一致",IF(IF(COUNTIF('16_評価実績インデックス'!$A$4:$A$103,G77)&lt;&gt;1,"参照ID不正",IF(INDEX('16_評価実績インデックス'!$S$4:$S$103,MATCH(G77,'16_評価実績インデックス'!$A$4:$A$103,0))="","",INDEX('16_評価実績インデックス'!$S$4:$S$103,MATCH(G77,'16_評価実績インデックス'!$A$4:$A$103,0))))&lt;&gt;"記録あり・内容審査別","評価記録未充足",IF(L77&lt;&gt;"合格","必要評価不合格・未確定","評価充足"))))))))))))</f>
        <v/>
      </c>
      <c r="N77" s="28">
        <f t="shared" si="2"/>
        <v>0</v>
      </c>
      <c r="O77" s="29"/>
      <c r="P77" s="29"/>
    </row>
    <row r="78" spans="1:16" ht="64" customHeight="1" x14ac:dyDescent="0.2">
      <c r="A78" s="29"/>
      <c r="B78" s="29"/>
      <c r="C78" s="29"/>
      <c r="D78" s="29"/>
      <c r="E78" s="28" t="str">
        <f>IF(A78="","",IF(COUNTIF('15_評価計画・品質ゲート'!$V$4:$V$103,D78)&lt;&gt;1,"参照ID不正",IF(INDEX('15_評価計画・品質ゲート'!$A$4:$A$103,MATCH(D78,'15_評価計画・品質ゲート'!$V$4:$V$103,0))="","",INDEX('15_評価計画・品質ゲート'!$A$4:$A$103,MATCH(D78,'15_評価計画・品質ゲート'!$V$4:$V$103,0)))))</f>
        <v/>
      </c>
      <c r="F78" s="29"/>
      <c r="G78" s="29"/>
      <c r="H78" s="29"/>
      <c r="I78" s="29"/>
      <c r="J78" s="29"/>
      <c r="K78" s="29"/>
      <c r="L78" s="28" t="str">
        <f>IF(OR(A78="",G78=""),"",IF(COUNTIF('16_評価実績インデックス'!$A$4:$A$103,G78)&lt;&gt;1,"参照ID不正",IF(INDEX('16_評価実績インデックス'!$O$4:$O$103,MATCH(G78,'16_評価実績インデックス'!$A$4:$A$103,0))="","",INDEX('16_評価実績インデックス'!$O$4:$O$103,MATCH(G78,'16_評価実績インデックス'!$A$4:$A$103,0)))))</f>
        <v/>
      </c>
      <c r="M78" s="28" t="str">
        <f>IF(A78="","",IF(OR(COUNTIF($A$4:$A$153,A78)&lt;&gt;1,COUNTIFS($B$4:$B$153,B78,$C$4:$C$153,C78,$D$4:$D$153,D78)&lt;&gt;1),"集合ID・計画重複",IF(OR(OR(B78="",C78="",D78="",I78="",J78="",O78=""),NOT(ISNUMBER(K78))),"集合承認不足",IF(OR(AND(K78&lt;&gt;"",OR(NOT(ISNUMBER(K78)),IFERROR(K78&lt;1,TRUE),IFERROR(INT(K78)&gt;INT(AsOfDate),TRUE)))),"集合承認日不正",IF(COUNTIF(EvalPlanKeys,D78)&lt;&gt;1,"PlanKey不正",IF(C78&lt;&gt;IF(COUNTIF('15_評価計画・品質ゲート'!$V$4:$V$103,D78)&lt;&gt;1,"参照ID不正",IF(INDEX('15_評価計画・品質ゲート'!$U$4:$U$103,MATCH(D78,'15_評価計画・品質ゲート'!$V$4:$V$103,0))="","",INDEX('15_評価計画・品質ゲート'!$U$4:$U$103,MATCH(D78,'15_評価計画・品質ゲート'!$V$4:$V$103,0)))),"計画Manifest不一致",IF(F78="対象外",IF(H78="","対象外理由不足","対象外承認"),IF(F78&lt;&gt;"必須","適用未判定",IF(OR(G78="",COUNTIF('16_評価実績インデックス'!$A$4:$A$103,G78)&lt;&gt;1),"評価Run不足・不正",IF(OR(C78&lt;&gt;IF(COUNTIF('16_評価実績インデックス'!$A$4:$A$103,G78)&lt;&gt;1,"参照ID不正",IF(INDEX('16_評価実績インデックス'!$T$4:$T$103,MATCH(G78,'16_評価実績インデックス'!$A$4:$A$103,0))="","",INDEX('16_評価実績インデックス'!$T$4:$T$103,MATCH(G78,'16_評価実績インデックス'!$A$4:$A$103,0)))),D78&lt;&gt;IF(COUNTIF('16_評価実績インデックス'!$A$4:$A$103,G78)&lt;&gt;1,"参照ID不正",IF(INDEX('16_評価実績インデックス'!$B$4:$B$103,MATCH(G78,'16_評価実績インデックス'!$A$4:$A$103,0))="","",INDEX('16_評価実績インデックス'!$B$4:$B$103,MATCH(G78,'16_評価実績インデックス'!$A$4:$A$103,0)))),B78&lt;&gt;IF(COUNTIF('16_評価実績インデックス'!$A$4:$A$103,G78)&lt;&gt;1,"参照ID不正",IF(INDEX('16_評価実績インデックス'!$C$4:$C$103,MATCH(G78,'16_評価実績インデックス'!$A$4:$A$103,0))="","",INDEX('16_評価実績インデックス'!$C$4:$C$103,MATCH(G78,'16_評価実績インデックス'!$A$4:$A$103,0))))),"評価対象不一致",IF(IF(COUNTIF('16_評価実績インデックス'!$A$4:$A$103,G78)&lt;&gt;1,"参照ID不正",IF(INDEX('16_評価実績インデックス'!$S$4:$S$103,MATCH(G78,'16_評価実績インデックス'!$A$4:$A$103,0))="","",INDEX('16_評価実績インデックス'!$S$4:$S$103,MATCH(G78,'16_評価実績インデックス'!$A$4:$A$103,0))))&lt;&gt;"記録あり・内容審査別","評価記録未充足",IF(L78&lt;&gt;"合格","必要評価不合格・未確定","評価充足"))))))))))))</f>
        <v/>
      </c>
      <c r="N78" s="28">
        <f t="shared" si="2"/>
        <v>0</v>
      </c>
      <c r="O78" s="29"/>
      <c r="P78" s="29"/>
    </row>
    <row r="79" spans="1:16" ht="64" customHeight="1" x14ac:dyDescent="0.2">
      <c r="A79" s="29"/>
      <c r="B79" s="29"/>
      <c r="C79" s="29"/>
      <c r="D79" s="29"/>
      <c r="E79" s="28" t="str">
        <f>IF(A79="","",IF(COUNTIF('15_評価計画・品質ゲート'!$V$4:$V$103,D79)&lt;&gt;1,"参照ID不正",IF(INDEX('15_評価計画・品質ゲート'!$A$4:$A$103,MATCH(D79,'15_評価計画・品質ゲート'!$V$4:$V$103,0))="","",INDEX('15_評価計画・品質ゲート'!$A$4:$A$103,MATCH(D79,'15_評価計画・品質ゲート'!$V$4:$V$103,0)))))</f>
        <v/>
      </c>
      <c r="F79" s="29"/>
      <c r="G79" s="29"/>
      <c r="H79" s="29"/>
      <c r="I79" s="29"/>
      <c r="J79" s="29"/>
      <c r="K79" s="29"/>
      <c r="L79" s="28" t="str">
        <f>IF(OR(A79="",G79=""),"",IF(COUNTIF('16_評価実績インデックス'!$A$4:$A$103,G79)&lt;&gt;1,"参照ID不正",IF(INDEX('16_評価実績インデックス'!$O$4:$O$103,MATCH(G79,'16_評価実績インデックス'!$A$4:$A$103,0))="","",INDEX('16_評価実績インデックス'!$O$4:$O$103,MATCH(G79,'16_評価実績インデックス'!$A$4:$A$103,0)))))</f>
        <v/>
      </c>
      <c r="M79" s="28" t="str">
        <f>IF(A79="","",IF(OR(COUNTIF($A$4:$A$153,A79)&lt;&gt;1,COUNTIFS($B$4:$B$153,B79,$C$4:$C$153,C79,$D$4:$D$153,D79)&lt;&gt;1),"集合ID・計画重複",IF(OR(OR(B79="",C79="",D79="",I79="",J79="",O79=""),NOT(ISNUMBER(K79))),"集合承認不足",IF(OR(AND(K79&lt;&gt;"",OR(NOT(ISNUMBER(K79)),IFERROR(K79&lt;1,TRUE),IFERROR(INT(K79)&gt;INT(AsOfDate),TRUE)))),"集合承認日不正",IF(COUNTIF(EvalPlanKeys,D79)&lt;&gt;1,"PlanKey不正",IF(C79&lt;&gt;IF(COUNTIF('15_評価計画・品質ゲート'!$V$4:$V$103,D79)&lt;&gt;1,"参照ID不正",IF(INDEX('15_評価計画・品質ゲート'!$U$4:$U$103,MATCH(D79,'15_評価計画・品質ゲート'!$V$4:$V$103,0))="","",INDEX('15_評価計画・品質ゲート'!$U$4:$U$103,MATCH(D79,'15_評価計画・品質ゲート'!$V$4:$V$103,0)))),"計画Manifest不一致",IF(F79="対象外",IF(H79="","対象外理由不足","対象外承認"),IF(F79&lt;&gt;"必須","適用未判定",IF(OR(G79="",COUNTIF('16_評価実績インデックス'!$A$4:$A$103,G79)&lt;&gt;1),"評価Run不足・不正",IF(OR(C79&lt;&gt;IF(COUNTIF('16_評価実績インデックス'!$A$4:$A$103,G79)&lt;&gt;1,"参照ID不正",IF(INDEX('16_評価実績インデックス'!$T$4:$T$103,MATCH(G79,'16_評価実績インデックス'!$A$4:$A$103,0))="","",INDEX('16_評価実績インデックス'!$T$4:$T$103,MATCH(G79,'16_評価実績インデックス'!$A$4:$A$103,0)))),D79&lt;&gt;IF(COUNTIF('16_評価実績インデックス'!$A$4:$A$103,G79)&lt;&gt;1,"参照ID不正",IF(INDEX('16_評価実績インデックス'!$B$4:$B$103,MATCH(G79,'16_評価実績インデックス'!$A$4:$A$103,0))="","",INDEX('16_評価実績インデックス'!$B$4:$B$103,MATCH(G79,'16_評価実績インデックス'!$A$4:$A$103,0)))),B79&lt;&gt;IF(COUNTIF('16_評価実績インデックス'!$A$4:$A$103,G79)&lt;&gt;1,"参照ID不正",IF(INDEX('16_評価実績インデックス'!$C$4:$C$103,MATCH(G79,'16_評価実績インデックス'!$A$4:$A$103,0))="","",INDEX('16_評価実績インデックス'!$C$4:$C$103,MATCH(G79,'16_評価実績インデックス'!$A$4:$A$103,0))))),"評価対象不一致",IF(IF(COUNTIF('16_評価実績インデックス'!$A$4:$A$103,G79)&lt;&gt;1,"参照ID不正",IF(INDEX('16_評価実績インデックス'!$S$4:$S$103,MATCH(G79,'16_評価実績インデックス'!$A$4:$A$103,0))="","",INDEX('16_評価実績インデックス'!$S$4:$S$103,MATCH(G79,'16_評価実績インデックス'!$A$4:$A$103,0))))&lt;&gt;"記録あり・内容審査別","評価記録未充足",IF(L79&lt;&gt;"合格","必要評価不合格・未確定","評価充足"))))))))))))</f>
        <v/>
      </c>
      <c r="N79" s="28">
        <f t="shared" si="2"/>
        <v>0</v>
      </c>
      <c r="O79" s="29"/>
      <c r="P79" s="29"/>
    </row>
    <row r="80" spans="1:16" ht="64" customHeight="1" x14ac:dyDescent="0.2">
      <c r="A80" s="29"/>
      <c r="B80" s="29"/>
      <c r="C80" s="29"/>
      <c r="D80" s="29"/>
      <c r="E80" s="28" t="str">
        <f>IF(A80="","",IF(COUNTIF('15_評価計画・品質ゲート'!$V$4:$V$103,D80)&lt;&gt;1,"参照ID不正",IF(INDEX('15_評価計画・品質ゲート'!$A$4:$A$103,MATCH(D80,'15_評価計画・品質ゲート'!$V$4:$V$103,0))="","",INDEX('15_評価計画・品質ゲート'!$A$4:$A$103,MATCH(D80,'15_評価計画・品質ゲート'!$V$4:$V$103,0)))))</f>
        <v/>
      </c>
      <c r="F80" s="29"/>
      <c r="G80" s="29"/>
      <c r="H80" s="29"/>
      <c r="I80" s="29"/>
      <c r="J80" s="29"/>
      <c r="K80" s="29"/>
      <c r="L80" s="28" t="str">
        <f>IF(OR(A80="",G80=""),"",IF(COUNTIF('16_評価実績インデックス'!$A$4:$A$103,G80)&lt;&gt;1,"参照ID不正",IF(INDEX('16_評価実績インデックス'!$O$4:$O$103,MATCH(G80,'16_評価実績インデックス'!$A$4:$A$103,0))="","",INDEX('16_評価実績インデックス'!$O$4:$O$103,MATCH(G80,'16_評価実績インデックス'!$A$4:$A$103,0)))))</f>
        <v/>
      </c>
      <c r="M80" s="28" t="str">
        <f>IF(A80="","",IF(OR(COUNTIF($A$4:$A$153,A80)&lt;&gt;1,COUNTIFS($B$4:$B$153,B80,$C$4:$C$153,C80,$D$4:$D$153,D80)&lt;&gt;1),"集合ID・計画重複",IF(OR(OR(B80="",C80="",D80="",I80="",J80="",O80=""),NOT(ISNUMBER(K80))),"集合承認不足",IF(OR(AND(K80&lt;&gt;"",OR(NOT(ISNUMBER(K80)),IFERROR(K80&lt;1,TRUE),IFERROR(INT(K80)&gt;INT(AsOfDate),TRUE)))),"集合承認日不正",IF(COUNTIF(EvalPlanKeys,D80)&lt;&gt;1,"PlanKey不正",IF(C80&lt;&gt;IF(COUNTIF('15_評価計画・品質ゲート'!$V$4:$V$103,D80)&lt;&gt;1,"参照ID不正",IF(INDEX('15_評価計画・品質ゲート'!$U$4:$U$103,MATCH(D80,'15_評価計画・品質ゲート'!$V$4:$V$103,0))="","",INDEX('15_評価計画・品質ゲート'!$U$4:$U$103,MATCH(D80,'15_評価計画・品質ゲート'!$V$4:$V$103,0)))),"計画Manifest不一致",IF(F80="対象外",IF(H80="","対象外理由不足","対象外承認"),IF(F80&lt;&gt;"必須","適用未判定",IF(OR(G80="",COUNTIF('16_評価実績インデックス'!$A$4:$A$103,G80)&lt;&gt;1),"評価Run不足・不正",IF(OR(C80&lt;&gt;IF(COUNTIF('16_評価実績インデックス'!$A$4:$A$103,G80)&lt;&gt;1,"参照ID不正",IF(INDEX('16_評価実績インデックス'!$T$4:$T$103,MATCH(G80,'16_評価実績インデックス'!$A$4:$A$103,0))="","",INDEX('16_評価実績インデックス'!$T$4:$T$103,MATCH(G80,'16_評価実績インデックス'!$A$4:$A$103,0)))),D80&lt;&gt;IF(COUNTIF('16_評価実績インデックス'!$A$4:$A$103,G80)&lt;&gt;1,"参照ID不正",IF(INDEX('16_評価実績インデックス'!$B$4:$B$103,MATCH(G80,'16_評価実績インデックス'!$A$4:$A$103,0))="","",INDEX('16_評価実績インデックス'!$B$4:$B$103,MATCH(G80,'16_評価実績インデックス'!$A$4:$A$103,0)))),B80&lt;&gt;IF(COUNTIF('16_評価実績インデックス'!$A$4:$A$103,G80)&lt;&gt;1,"参照ID不正",IF(INDEX('16_評価実績インデックス'!$C$4:$C$103,MATCH(G80,'16_評価実績インデックス'!$A$4:$A$103,0))="","",INDEX('16_評価実績インデックス'!$C$4:$C$103,MATCH(G80,'16_評価実績インデックス'!$A$4:$A$103,0))))),"評価対象不一致",IF(IF(COUNTIF('16_評価実績インデックス'!$A$4:$A$103,G80)&lt;&gt;1,"参照ID不正",IF(INDEX('16_評価実績インデックス'!$S$4:$S$103,MATCH(G80,'16_評価実績インデックス'!$A$4:$A$103,0))="","",INDEX('16_評価実績インデックス'!$S$4:$S$103,MATCH(G80,'16_評価実績インデックス'!$A$4:$A$103,0))))&lt;&gt;"記録あり・内容審査別","評価記録未充足",IF(L80&lt;&gt;"合格","必要評価不合格・未確定","評価充足"))))))))))))</f>
        <v/>
      </c>
      <c r="N80" s="28">
        <f t="shared" si="2"/>
        <v>0</v>
      </c>
      <c r="O80" s="29"/>
      <c r="P80" s="29"/>
    </row>
    <row r="81" spans="1:16" ht="64" customHeight="1" x14ac:dyDescent="0.2">
      <c r="A81" s="29"/>
      <c r="B81" s="29"/>
      <c r="C81" s="29"/>
      <c r="D81" s="29"/>
      <c r="E81" s="28" t="str">
        <f>IF(A81="","",IF(COUNTIF('15_評価計画・品質ゲート'!$V$4:$V$103,D81)&lt;&gt;1,"参照ID不正",IF(INDEX('15_評価計画・品質ゲート'!$A$4:$A$103,MATCH(D81,'15_評価計画・品質ゲート'!$V$4:$V$103,0))="","",INDEX('15_評価計画・品質ゲート'!$A$4:$A$103,MATCH(D81,'15_評価計画・品質ゲート'!$V$4:$V$103,0)))))</f>
        <v/>
      </c>
      <c r="F81" s="29"/>
      <c r="G81" s="29"/>
      <c r="H81" s="29"/>
      <c r="I81" s="29"/>
      <c r="J81" s="29"/>
      <c r="K81" s="29"/>
      <c r="L81" s="28" t="str">
        <f>IF(OR(A81="",G81=""),"",IF(COUNTIF('16_評価実績インデックス'!$A$4:$A$103,G81)&lt;&gt;1,"参照ID不正",IF(INDEX('16_評価実績インデックス'!$O$4:$O$103,MATCH(G81,'16_評価実績インデックス'!$A$4:$A$103,0))="","",INDEX('16_評価実績インデックス'!$O$4:$O$103,MATCH(G81,'16_評価実績インデックス'!$A$4:$A$103,0)))))</f>
        <v/>
      </c>
      <c r="M81" s="28" t="str">
        <f>IF(A81="","",IF(OR(COUNTIF($A$4:$A$153,A81)&lt;&gt;1,COUNTIFS($B$4:$B$153,B81,$C$4:$C$153,C81,$D$4:$D$153,D81)&lt;&gt;1),"集合ID・計画重複",IF(OR(OR(B81="",C81="",D81="",I81="",J81="",O81=""),NOT(ISNUMBER(K81))),"集合承認不足",IF(OR(AND(K81&lt;&gt;"",OR(NOT(ISNUMBER(K81)),IFERROR(K81&lt;1,TRUE),IFERROR(INT(K81)&gt;INT(AsOfDate),TRUE)))),"集合承認日不正",IF(COUNTIF(EvalPlanKeys,D81)&lt;&gt;1,"PlanKey不正",IF(C81&lt;&gt;IF(COUNTIF('15_評価計画・品質ゲート'!$V$4:$V$103,D81)&lt;&gt;1,"参照ID不正",IF(INDEX('15_評価計画・品質ゲート'!$U$4:$U$103,MATCH(D81,'15_評価計画・品質ゲート'!$V$4:$V$103,0))="","",INDEX('15_評価計画・品質ゲート'!$U$4:$U$103,MATCH(D81,'15_評価計画・品質ゲート'!$V$4:$V$103,0)))),"計画Manifest不一致",IF(F81="対象外",IF(H81="","対象外理由不足","対象外承認"),IF(F81&lt;&gt;"必須","適用未判定",IF(OR(G81="",COUNTIF('16_評価実績インデックス'!$A$4:$A$103,G81)&lt;&gt;1),"評価Run不足・不正",IF(OR(C81&lt;&gt;IF(COUNTIF('16_評価実績インデックス'!$A$4:$A$103,G81)&lt;&gt;1,"参照ID不正",IF(INDEX('16_評価実績インデックス'!$T$4:$T$103,MATCH(G81,'16_評価実績インデックス'!$A$4:$A$103,0))="","",INDEX('16_評価実績インデックス'!$T$4:$T$103,MATCH(G81,'16_評価実績インデックス'!$A$4:$A$103,0)))),D81&lt;&gt;IF(COUNTIF('16_評価実績インデックス'!$A$4:$A$103,G81)&lt;&gt;1,"参照ID不正",IF(INDEX('16_評価実績インデックス'!$B$4:$B$103,MATCH(G81,'16_評価実績インデックス'!$A$4:$A$103,0))="","",INDEX('16_評価実績インデックス'!$B$4:$B$103,MATCH(G81,'16_評価実績インデックス'!$A$4:$A$103,0)))),B81&lt;&gt;IF(COUNTIF('16_評価実績インデックス'!$A$4:$A$103,G81)&lt;&gt;1,"参照ID不正",IF(INDEX('16_評価実績インデックス'!$C$4:$C$103,MATCH(G81,'16_評価実績インデックス'!$A$4:$A$103,0))="","",INDEX('16_評価実績インデックス'!$C$4:$C$103,MATCH(G81,'16_評価実績インデックス'!$A$4:$A$103,0))))),"評価対象不一致",IF(IF(COUNTIF('16_評価実績インデックス'!$A$4:$A$103,G81)&lt;&gt;1,"参照ID不正",IF(INDEX('16_評価実績インデックス'!$S$4:$S$103,MATCH(G81,'16_評価実績インデックス'!$A$4:$A$103,0))="","",INDEX('16_評価実績インデックス'!$S$4:$S$103,MATCH(G81,'16_評価実績インデックス'!$A$4:$A$103,0))))&lt;&gt;"記録あり・内容審査別","評価記録未充足",IF(L81&lt;&gt;"合格","必要評価不合格・未確定","評価充足"))))))))))))</f>
        <v/>
      </c>
      <c r="N81" s="28">
        <f t="shared" si="2"/>
        <v>0</v>
      </c>
      <c r="O81" s="29"/>
      <c r="P81" s="29"/>
    </row>
    <row r="82" spans="1:16" ht="64" customHeight="1" x14ac:dyDescent="0.2">
      <c r="A82" s="29"/>
      <c r="B82" s="29"/>
      <c r="C82" s="29"/>
      <c r="D82" s="29"/>
      <c r="E82" s="28" t="str">
        <f>IF(A82="","",IF(COUNTIF('15_評価計画・品質ゲート'!$V$4:$V$103,D82)&lt;&gt;1,"参照ID不正",IF(INDEX('15_評価計画・品質ゲート'!$A$4:$A$103,MATCH(D82,'15_評価計画・品質ゲート'!$V$4:$V$103,0))="","",INDEX('15_評価計画・品質ゲート'!$A$4:$A$103,MATCH(D82,'15_評価計画・品質ゲート'!$V$4:$V$103,0)))))</f>
        <v/>
      </c>
      <c r="F82" s="29"/>
      <c r="G82" s="29"/>
      <c r="H82" s="29"/>
      <c r="I82" s="29"/>
      <c r="J82" s="29"/>
      <c r="K82" s="29"/>
      <c r="L82" s="28" t="str">
        <f>IF(OR(A82="",G82=""),"",IF(COUNTIF('16_評価実績インデックス'!$A$4:$A$103,G82)&lt;&gt;1,"参照ID不正",IF(INDEX('16_評価実績インデックス'!$O$4:$O$103,MATCH(G82,'16_評価実績インデックス'!$A$4:$A$103,0))="","",INDEX('16_評価実績インデックス'!$O$4:$O$103,MATCH(G82,'16_評価実績インデックス'!$A$4:$A$103,0)))))</f>
        <v/>
      </c>
      <c r="M82" s="28" t="str">
        <f>IF(A82="","",IF(OR(COUNTIF($A$4:$A$153,A82)&lt;&gt;1,COUNTIFS($B$4:$B$153,B82,$C$4:$C$153,C82,$D$4:$D$153,D82)&lt;&gt;1),"集合ID・計画重複",IF(OR(OR(B82="",C82="",D82="",I82="",J82="",O82=""),NOT(ISNUMBER(K82))),"集合承認不足",IF(OR(AND(K82&lt;&gt;"",OR(NOT(ISNUMBER(K82)),IFERROR(K82&lt;1,TRUE),IFERROR(INT(K82)&gt;INT(AsOfDate),TRUE)))),"集合承認日不正",IF(COUNTIF(EvalPlanKeys,D82)&lt;&gt;1,"PlanKey不正",IF(C82&lt;&gt;IF(COUNTIF('15_評価計画・品質ゲート'!$V$4:$V$103,D82)&lt;&gt;1,"参照ID不正",IF(INDEX('15_評価計画・品質ゲート'!$U$4:$U$103,MATCH(D82,'15_評価計画・品質ゲート'!$V$4:$V$103,0))="","",INDEX('15_評価計画・品質ゲート'!$U$4:$U$103,MATCH(D82,'15_評価計画・品質ゲート'!$V$4:$V$103,0)))),"計画Manifest不一致",IF(F82="対象外",IF(H82="","対象外理由不足","対象外承認"),IF(F82&lt;&gt;"必須","適用未判定",IF(OR(G82="",COUNTIF('16_評価実績インデックス'!$A$4:$A$103,G82)&lt;&gt;1),"評価Run不足・不正",IF(OR(C82&lt;&gt;IF(COUNTIF('16_評価実績インデックス'!$A$4:$A$103,G82)&lt;&gt;1,"参照ID不正",IF(INDEX('16_評価実績インデックス'!$T$4:$T$103,MATCH(G82,'16_評価実績インデックス'!$A$4:$A$103,0))="","",INDEX('16_評価実績インデックス'!$T$4:$T$103,MATCH(G82,'16_評価実績インデックス'!$A$4:$A$103,0)))),D82&lt;&gt;IF(COUNTIF('16_評価実績インデックス'!$A$4:$A$103,G82)&lt;&gt;1,"参照ID不正",IF(INDEX('16_評価実績インデックス'!$B$4:$B$103,MATCH(G82,'16_評価実績インデックス'!$A$4:$A$103,0))="","",INDEX('16_評価実績インデックス'!$B$4:$B$103,MATCH(G82,'16_評価実績インデックス'!$A$4:$A$103,0)))),B82&lt;&gt;IF(COUNTIF('16_評価実績インデックス'!$A$4:$A$103,G82)&lt;&gt;1,"参照ID不正",IF(INDEX('16_評価実績インデックス'!$C$4:$C$103,MATCH(G82,'16_評価実績インデックス'!$A$4:$A$103,0))="","",INDEX('16_評価実績インデックス'!$C$4:$C$103,MATCH(G82,'16_評価実績インデックス'!$A$4:$A$103,0))))),"評価対象不一致",IF(IF(COUNTIF('16_評価実績インデックス'!$A$4:$A$103,G82)&lt;&gt;1,"参照ID不正",IF(INDEX('16_評価実績インデックス'!$S$4:$S$103,MATCH(G82,'16_評価実績インデックス'!$A$4:$A$103,0))="","",INDEX('16_評価実績インデックス'!$S$4:$S$103,MATCH(G82,'16_評価実績インデックス'!$A$4:$A$103,0))))&lt;&gt;"記録あり・内容審査別","評価記録未充足",IF(L82&lt;&gt;"合格","必要評価不合格・未確定","評価充足"))))))))))))</f>
        <v/>
      </c>
      <c r="N82" s="28">
        <f t="shared" si="2"/>
        <v>0</v>
      </c>
      <c r="O82" s="29"/>
      <c r="P82" s="29"/>
    </row>
    <row r="83" spans="1:16" ht="64" customHeight="1" x14ac:dyDescent="0.2">
      <c r="A83" s="29"/>
      <c r="B83" s="29"/>
      <c r="C83" s="29"/>
      <c r="D83" s="29"/>
      <c r="E83" s="28" t="str">
        <f>IF(A83="","",IF(COUNTIF('15_評価計画・品質ゲート'!$V$4:$V$103,D83)&lt;&gt;1,"参照ID不正",IF(INDEX('15_評価計画・品質ゲート'!$A$4:$A$103,MATCH(D83,'15_評価計画・品質ゲート'!$V$4:$V$103,0))="","",INDEX('15_評価計画・品質ゲート'!$A$4:$A$103,MATCH(D83,'15_評価計画・品質ゲート'!$V$4:$V$103,0)))))</f>
        <v/>
      </c>
      <c r="F83" s="29"/>
      <c r="G83" s="29"/>
      <c r="H83" s="29"/>
      <c r="I83" s="29"/>
      <c r="J83" s="29"/>
      <c r="K83" s="29"/>
      <c r="L83" s="28" t="str">
        <f>IF(OR(A83="",G83=""),"",IF(COUNTIF('16_評価実績インデックス'!$A$4:$A$103,G83)&lt;&gt;1,"参照ID不正",IF(INDEX('16_評価実績インデックス'!$O$4:$O$103,MATCH(G83,'16_評価実績インデックス'!$A$4:$A$103,0))="","",INDEX('16_評価実績インデックス'!$O$4:$O$103,MATCH(G83,'16_評価実績インデックス'!$A$4:$A$103,0)))))</f>
        <v/>
      </c>
      <c r="M83" s="28" t="str">
        <f>IF(A83="","",IF(OR(COUNTIF($A$4:$A$153,A83)&lt;&gt;1,COUNTIFS($B$4:$B$153,B83,$C$4:$C$153,C83,$D$4:$D$153,D83)&lt;&gt;1),"集合ID・計画重複",IF(OR(OR(B83="",C83="",D83="",I83="",J83="",O83=""),NOT(ISNUMBER(K83))),"集合承認不足",IF(OR(AND(K83&lt;&gt;"",OR(NOT(ISNUMBER(K83)),IFERROR(K83&lt;1,TRUE),IFERROR(INT(K83)&gt;INT(AsOfDate),TRUE)))),"集合承認日不正",IF(COUNTIF(EvalPlanKeys,D83)&lt;&gt;1,"PlanKey不正",IF(C83&lt;&gt;IF(COUNTIF('15_評価計画・品質ゲート'!$V$4:$V$103,D83)&lt;&gt;1,"参照ID不正",IF(INDEX('15_評価計画・品質ゲート'!$U$4:$U$103,MATCH(D83,'15_評価計画・品質ゲート'!$V$4:$V$103,0))="","",INDEX('15_評価計画・品質ゲート'!$U$4:$U$103,MATCH(D83,'15_評価計画・品質ゲート'!$V$4:$V$103,0)))),"計画Manifest不一致",IF(F83="対象外",IF(H83="","対象外理由不足","対象外承認"),IF(F83&lt;&gt;"必須","適用未判定",IF(OR(G83="",COUNTIF('16_評価実績インデックス'!$A$4:$A$103,G83)&lt;&gt;1),"評価Run不足・不正",IF(OR(C83&lt;&gt;IF(COUNTIF('16_評価実績インデックス'!$A$4:$A$103,G83)&lt;&gt;1,"参照ID不正",IF(INDEX('16_評価実績インデックス'!$T$4:$T$103,MATCH(G83,'16_評価実績インデックス'!$A$4:$A$103,0))="","",INDEX('16_評価実績インデックス'!$T$4:$T$103,MATCH(G83,'16_評価実績インデックス'!$A$4:$A$103,0)))),D83&lt;&gt;IF(COUNTIF('16_評価実績インデックス'!$A$4:$A$103,G83)&lt;&gt;1,"参照ID不正",IF(INDEX('16_評価実績インデックス'!$B$4:$B$103,MATCH(G83,'16_評価実績インデックス'!$A$4:$A$103,0))="","",INDEX('16_評価実績インデックス'!$B$4:$B$103,MATCH(G83,'16_評価実績インデックス'!$A$4:$A$103,0)))),B83&lt;&gt;IF(COUNTIF('16_評価実績インデックス'!$A$4:$A$103,G83)&lt;&gt;1,"参照ID不正",IF(INDEX('16_評価実績インデックス'!$C$4:$C$103,MATCH(G83,'16_評価実績インデックス'!$A$4:$A$103,0))="","",INDEX('16_評価実績インデックス'!$C$4:$C$103,MATCH(G83,'16_評価実績インデックス'!$A$4:$A$103,0))))),"評価対象不一致",IF(IF(COUNTIF('16_評価実績インデックス'!$A$4:$A$103,G83)&lt;&gt;1,"参照ID不正",IF(INDEX('16_評価実績インデックス'!$S$4:$S$103,MATCH(G83,'16_評価実績インデックス'!$A$4:$A$103,0))="","",INDEX('16_評価実績インデックス'!$S$4:$S$103,MATCH(G83,'16_評価実績インデックス'!$A$4:$A$103,0))))&lt;&gt;"記録あり・内容審査別","評価記録未充足",IF(L83&lt;&gt;"合格","必要評価不合格・未確定","評価充足"))))))))))))</f>
        <v/>
      </c>
      <c r="N83" s="28">
        <f t="shared" si="2"/>
        <v>0</v>
      </c>
      <c r="O83" s="29"/>
      <c r="P83" s="29"/>
    </row>
    <row r="84" spans="1:16" ht="64" customHeight="1" x14ac:dyDescent="0.2">
      <c r="A84" s="29"/>
      <c r="B84" s="29"/>
      <c r="C84" s="29"/>
      <c r="D84" s="29"/>
      <c r="E84" s="28" t="str">
        <f>IF(A84="","",IF(COUNTIF('15_評価計画・品質ゲート'!$V$4:$V$103,D84)&lt;&gt;1,"参照ID不正",IF(INDEX('15_評価計画・品質ゲート'!$A$4:$A$103,MATCH(D84,'15_評価計画・品質ゲート'!$V$4:$V$103,0))="","",INDEX('15_評価計画・品質ゲート'!$A$4:$A$103,MATCH(D84,'15_評価計画・品質ゲート'!$V$4:$V$103,0)))))</f>
        <v/>
      </c>
      <c r="F84" s="29"/>
      <c r="G84" s="29"/>
      <c r="H84" s="29"/>
      <c r="I84" s="29"/>
      <c r="J84" s="29"/>
      <c r="K84" s="29"/>
      <c r="L84" s="28" t="str">
        <f>IF(OR(A84="",G84=""),"",IF(COUNTIF('16_評価実績インデックス'!$A$4:$A$103,G84)&lt;&gt;1,"参照ID不正",IF(INDEX('16_評価実績インデックス'!$O$4:$O$103,MATCH(G84,'16_評価実績インデックス'!$A$4:$A$103,0))="","",INDEX('16_評価実績インデックス'!$O$4:$O$103,MATCH(G84,'16_評価実績インデックス'!$A$4:$A$103,0)))))</f>
        <v/>
      </c>
      <c r="M84" s="28" t="str">
        <f>IF(A84="","",IF(OR(COUNTIF($A$4:$A$153,A84)&lt;&gt;1,COUNTIFS($B$4:$B$153,B84,$C$4:$C$153,C84,$D$4:$D$153,D84)&lt;&gt;1),"集合ID・計画重複",IF(OR(OR(B84="",C84="",D84="",I84="",J84="",O84=""),NOT(ISNUMBER(K84))),"集合承認不足",IF(OR(AND(K84&lt;&gt;"",OR(NOT(ISNUMBER(K84)),IFERROR(K84&lt;1,TRUE),IFERROR(INT(K84)&gt;INT(AsOfDate),TRUE)))),"集合承認日不正",IF(COUNTIF(EvalPlanKeys,D84)&lt;&gt;1,"PlanKey不正",IF(C84&lt;&gt;IF(COUNTIF('15_評価計画・品質ゲート'!$V$4:$V$103,D84)&lt;&gt;1,"参照ID不正",IF(INDEX('15_評価計画・品質ゲート'!$U$4:$U$103,MATCH(D84,'15_評価計画・品質ゲート'!$V$4:$V$103,0))="","",INDEX('15_評価計画・品質ゲート'!$U$4:$U$103,MATCH(D84,'15_評価計画・品質ゲート'!$V$4:$V$103,0)))),"計画Manifest不一致",IF(F84="対象外",IF(H84="","対象外理由不足","対象外承認"),IF(F84&lt;&gt;"必須","適用未判定",IF(OR(G84="",COUNTIF('16_評価実績インデックス'!$A$4:$A$103,G84)&lt;&gt;1),"評価Run不足・不正",IF(OR(C84&lt;&gt;IF(COUNTIF('16_評価実績インデックス'!$A$4:$A$103,G84)&lt;&gt;1,"参照ID不正",IF(INDEX('16_評価実績インデックス'!$T$4:$T$103,MATCH(G84,'16_評価実績インデックス'!$A$4:$A$103,0))="","",INDEX('16_評価実績インデックス'!$T$4:$T$103,MATCH(G84,'16_評価実績インデックス'!$A$4:$A$103,0)))),D84&lt;&gt;IF(COUNTIF('16_評価実績インデックス'!$A$4:$A$103,G84)&lt;&gt;1,"参照ID不正",IF(INDEX('16_評価実績インデックス'!$B$4:$B$103,MATCH(G84,'16_評価実績インデックス'!$A$4:$A$103,0))="","",INDEX('16_評価実績インデックス'!$B$4:$B$103,MATCH(G84,'16_評価実績インデックス'!$A$4:$A$103,0)))),B84&lt;&gt;IF(COUNTIF('16_評価実績インデックス'!$A$4:$A$103,G84)&lt;&gt;1,"参照ID不正",IF(INDEX('16_評価実績インデックス'!$C$4:$C$103,MATCH(G84,'16_評価実績インデックス'!$A$4:$A$103,0))="","",INDEX('16_評価実績インデックス'!$C$4:$C$103,MATCH(G84,'16_評価実績インデックス'!$A$4:$A$103,0))))),"評価対象不一致",IF(IF(COUNTIF('16_評価実績インデックス'!$A$4:$A$103,G84)&lt;&gt;1,"参照ID不正",IF(INDEX('16_評価実績インデックス'!$S$4:$S$103,MATCH(G84,'16_評価実績インデックス'!$A$4:$A$103,0))="","",INDEX('16_評価実績インデックス'!$S$4:$S$103,MATCH(G84,'16_評価実績インデックス'!$A$4:$A$103,0))))&lt;&gt;"記録あり・内容審査別","評価記録未充足",IF(L84&lt;&gt;"合格","必要評価不合格・未確定","評価充足"))))))))))))</f>
        <v/>
      </c>
      <c r="N84" s="28">
        <f t="shared" si="2"/>
        <v>0</v>
      </c>
      <c r="O84" s="29"/>
      <c r="P84" s="29"/>
    </row>
    <row r="85" spans="1:16" ht="64" customHeight="1" x14ac:dyDescent="0.2">
      <c r="A85" s="29"/>
      <c r="B85" s="29"/>
      <c r="C85" s="29"/>
      <c r="D85" s="29"/>
      <c r="E85" s="28" t="str">
        <f>IF(A85="","",IF(COUNTIF('15_評価計画・品質ゲート'!$V$4:$V$103,D85)&lt;&gt;1,"参照ID不正",IF(INDEX('15_評価計画・品質ゲート'!$A$4:$A$103,MATCH(D85,'15_評価計画・品質ゲート'!$V$4:$V$103,0))="","",INDEX('15_評価計画・品質ゲート'!$A$4:$A$103,MATCH(D85,'15_評価計画・品質ゲート'!$V$4:$V$103,0)))))</f>
        <v/>
      </c>
      <c r="F85" s="29"/>
      <c r="G85" s="29"/>
      <c r="H85" s="29"/>
      <c r="I85" s="29"/>
      <c r="J85" s="29"/>
      <c r="K85" s="29"/>
      <c r="L85" s="28" t="str">
        <f>IF(OR(A85="",G85=""),"",IF(COUNTIF('16_評価実績インデックス'!$A$4:$A$103,G85)&lt;&gt;1,"参照ID不正",IF(INDEX('16_評価実績インデックス'!$O$4:$O$103,MATCH(G85,'16_評価実績インデックス'!$A$4:$A$103,0))="","",INDEX('16_評価実績インデックス'!$O$4:$O$103,MATCH(G85,'16_評価実績インデックス'!$A$4:$A$103,0)))))</f>
        <v/>
      </c>
      <c r="M85" s="28" t="str">
        <f>IF(A85="","",IF(OR(COUNTIF($A$4:$A$153,A85)&lt;&gt;1,COUNTIFS($B$4:$B$153,B85,$C$4:$C$153,C85,$D$4:$D$153,D85)&lt;&gt;1),"集合ID・計画重複",IF(OR(OR(B85="",C85="",D85="",I85="",J85="",O85=""),NOT(ISNUMBER(K85))),"集合承認不足",IF(OR(AND(K85&lt;&gt;"",OR(NOT(ISNUMBER(K85)),IFERROR(K85&lt;1,TRUE),IFERROR(INT(K85)&gt;INT(AsOfDate),TRUE)))),"集合承認日不正",IF(COUNTIF(EvalPlanKeys,D85)&lt;&gt;1,"PlanKey不正",IF(C85&lt;&gt;IF(COUNTIF('15_評価計画・品質ゲート'!$V$4:$V$103,D85)&lt;&gt;1,"参照ID不正",IF(INDEX('15_評価計画・品質ゲート'!$U$4:$U$103,MATCH(D85,'15_評価計画・品質ゲート'!$V$4:$V$103,0))="","",INDEX('15_評価計画・品質ゲート'!$U$4:$U$103,MATCH(D85,'15_評価計画・品質ゲート'!$V$4:$V$103,0)))),"計画Manifest不一致",IF(F85="対象外",IF(H85="","対象外理由不足","対象外承認"),IF(F85&lt;&gt;"必須","適用未判定",IF(OR(G85="",COUNTIF('16_評価実績インデックス'!$A$4:$A$103,G85)&lt;&gt;1),"評価Run不足・不正",IF(OR(C85&lt;&gt;IF(COUNTIF('16_評価実績インデックス'!$A$4:$A$103,G85)&lt;&gt;1,"参照ID不正",IF(INDEX('16_評価実績インデックス'!$T$4:$T$103,MATCH(G85,'16_評価実績インデックス'!$A$4:$A$103,0))="","",INDEX('16_評価実績インデックス'!$T$4:$T$103,MATCH(G85,'16_評価実績インデックス'!$A$4:$A$103,0)))),D85&lt;&gt;IF(COUNTIF('16_評価実績インデックス'!$A$4:$A$103,G85)&lt;&gt;1,"参照ID不正",IF(INDEX('16_評価実績インデックス'!$B$4:$B$103,MATCH(G85,'16_評価実績インデックス'!$A$4:$A$103,0))="","",INDEX('16_評価実績インデックス'!$B$4:$B$103,MATCH(G85,'16_評価実績インデックス'!$A$4:$A$103,0)))),B85&lt;&gt;IF(COUNTIF('16_評価実績インデックス'!$A$4:$A$103,G85)&lt;&gt;1,"参照ID不正",IF(INDEX('16_評価実績インデックス'!$C$4:$C$103,MATCH(G85,'16_評価実績インデックス'!$A$4:$A$103,0))="","",INDEX('16_評価実績インデックス'!$C$4:$C$103,MATCH(G85,'16_評価実績インデックス'!$A$4:$A$103,0))))),"評価対象不一致",IF(IF(COUNTIF('16_評価実績インデックス'!$A$4:$A$103,G85)&lt;&gt;1,"参照ID不正",IF(INDEX('16_評価実績インデックス'!$S$4:$S$103,MATCH(G85,'16_評価実績インデックス'!$A$4:$A$103,0))="","",INDEX('16_評価実績インデックス'!$S$4:$S$103,MATCH(G85,'16_評価実績インデックス'!$A$4:$A$103,0))))&lt;&gt;"記録あり・内容審査別","評価記録未充足",IF(L85&lt;&gt;"合格","必要評価不合格・未確定","評価充足"))))))))))))</f>
        <v/>
      </c>
      <c r="N85" s="28">
        <f t="shared" si="2"/>
        <v>0</v>
      </c>
      <c r="O85" s="29"/>
      <c r="P85" s="29"/>
    </row>
    <row r="86" spans="1:16" ht="64" customHeight="1" x14ac:dyDescent="0.2">
      <c r="A86" s="29"/>
      <c r="B86" s="29"/>
      <c r="C86" s="29"/>
      <c r="D86" s="29"/>
      <c r="E86" s="28" t="str">
        <f>IF(A86="","",IF(COUNTIF('15_評価計画・品質ゲート'!$V$4:$V$103,D86)&lt;&gt;1,"参照ID不正",IF(INDEX('15_評価計画・品質ゲート'!$A$4:$A$103,MATCH(D86,'15_評価計画・品質ゲート'!$V$4:$V$103,0))="","",INDEX('15_評価計画・品質ゲート'!$A$4:$A$103,MATCH(D86,'15_評価計画・品質ゲート'!$V$4:$V$103,0)))))</f>
        <v/>
      </c>
      <c r="F86" s="29"/>
      <c r="G86" s="29"/>
      <c r="H86" s="29"/>
      <c r="I86" s="29"/>
      <c r="J86" s="29"/>
      <c r="K86" s="29"/>
      <c r="L86" s="28" t="str">
        <f>IF(OR(A86="",G86=""),"",IF(COUNTIF('16_評価実績インデックス'!$A$4:$A$103,G86)&lt;&gt;1,"参照ID不正",IF(INDEX('16_評価実績インデックス'!$O$4:$O$103,MATCH(G86,'16_評価実績インデックス'!$A$4:$A$103,0))="","",INDEX('16_評価実績インデックス'!$O$4:$O$103,MATCH(G86,'16_評価実績インデックス'!$A$4:$A$103,0)))))</f>
        <v/>
      </c>
      <c r="M86" s="28" t="str">
        <f>IF(A86="","",IF(OR(COUNTIF($A$4:$A$153,A86)&lt;&gt;1,COUNTIFS($B$4:$B$153,B86,$C$4:$C$153,C86,$D$4:$D$153,D86)&lt;&gt;1),"集合ID・計画重複",IF(OR(OR(B86="",C86="",D86="",I86="",J86="",O86=""),NOT(ISNUMBER(K86))),"集合承認不足",IF(OR(AND(K86&lt;&gt;"",OR(NOT(ISNUMBER(K86)),IFERROR(K86&lt;1,TRUE),IFERROR(INT(K86)&gt;INT(AsOfDate),TRUE)))),"集合承認日不正",IF(COUNTIF(EvalPlanKeys,D86)&lt;&gt;1,"PlanKey不正",IF(C86&lt;&gt;IF(COUNTIF('15_評価計画・品質ゲート'!$V$4:$V$103,D86)&lt;&gt;1,"参照ID不正",IF(INDEX('15_評価計画・品質ゲート'!$U$4:$U$103,MATCH(D86,'15_評価計画・品質ゲート'!$V$4:$V$103,0))="","",INDEX('15_評価計画・品質ゲート'!$U$4:$U$103,MATCH(D86,'15_評価計画・品質ゲート'!$V$4:$V$103,0)))),"計画Manifest不一致",IF(F86="対象外",IF(H86="","対象外理由不足","対象外承認"),IF(F86&lt;&gt;"必須","適用未判定",IF(OR(G86="",COUNTIF('16_評価実績インデックス'!$A$4:$A$103,G86)&lt;&gt;1),"評価Run不足・不正",IF(OR(C86&lt;&gt;IF(COUNTIF('16_評価実績インデックス'!$A$4:$A$103,G86)&lt;&gt;1,"参照ID不正",IF(INDEX('16_評価実績インデックス'!$T$4:$T$103,MATCH(G86,'16_評価実績インデックス'!$A$4:$A$103,0))="","",INDEX('16_評価実績インデックス'!$T$4:$T$103,MATCH(G86,'16_評価実績インデックス'!$A$4:$A$103,0)))),D86&lt;&gt;IF(COUNTIF('16_評価実績インデックス'!$A$4:$A$103,G86)&lt;&gt;1,"参照ID不正",IF(INDEX('16_評価実績インデックス'!$B$4:$B$103,MATCH(G86,'16_評価実績インデックス'!$A$4:$A$103,0))="","",INDEX('16_評価実績インデックス'!$B$4:$B$103,MATCH(G86,'16_評価実績インデックス'!$A$4:$A$103,0)))),B86&lt;&gt;IF(COUNTIF('16_評価実績インデックス'!$A$4:$A$103,G86)&lt;&gt;1,"参照ID不正",IF(INDEX('16_評価実績インデックス'!$C$4:$C$103,MATCH(G86,'16_評価実績インデックス'!$A$4:$A$103,0))="","",INDEX('16_評価実績インデックス'!$C$4:$C$103,MATCH(G86,'16_評価実績インデックス'!$A$4:$A$103,0))))),"評価対象不一致",IF(IF(COUNTIF('16_評価実績インデックス'!$A$4:$A$103,G86)&lt;&gt;1,"参照ID不正",IF(INDEX('16_評価実績インデックス'!$S$4:$S$103,MATCH(G86,'16_評価実績インデックス'!$A$4:$A$103,0))="","",INDEX('16_評価実績インデックス'!$S$4:$S$103,MATCH(G86,'16_評価実績インデックス'!$A$4:$A$103,0))))&lt;&gt;"記録あり・内容審査別","評価記録未充足",IF(L86&lt;&gt;"合格","必要評価不合格・未確定","評価充足"))))))))))))</f>
        <v/>
      </c>
      <c r="N86" s="28">
        <f t="shared" si="2"/>
        <v>0</v>
      </c>
      <c r="O86" s="29"/>
      <c r="P86" s="29"/>
    </row>
    <row r="87" spans="1:16" ht="64" customHeight="1" x14ac:dyDescent="0.2">
      <c r="A87" s="29"/>
      <c r="B87" s="29"/>
      <c r="C87" s="29"/>
      <c r="D87" s="29"/>
      <c r="E87" s="28" t="str">
        <f>IF(A87="","",IF(COUNTIF('15_評価計画・品質ゲート'!$V$4:$V$103,D87)&lt;&gt;1,"参照ID不正",IF(INDEX('15_評価計画・品質ゲート'!$A$4:$A$103,MATCH(D87,'15_評価計画・品質ゲート'!$V$4:$V$103,0))="","",INDEX('15_評価計画・品質ゲート'!$A$4:$A$103,MATCH(D87,'15_評価計画・品質ゲート'!$V$4:$V$103,0)))))</f>
        <v/>
      </c>
      <c r="F87" s="29"/>
      <c r="G87" s="29"/>
      <c r="H87" s="29"/>
      <c r="I87" s="29"/>
      <c r="J87" s="29"/>
      <c r="K87" s="29"/>
      <c r="L87" s="28" t="str">
        <f>IF(OR(A87="",G87=""),"",IF(COUNTIF('16_評価実績インデックス'!$A$4:$A$103,G87)&lt;&gt;1,"参照ID不正",IF(INDEX('16_評価実績インデックス'!$O$4:$O$103,MATCH(G87,'16_評価実績インデックス'!$A$4:$A$103,0))="","",INDEX('16_評価実績インデックス'!$O$4:$O$103,MATCH(G87,'16_評価実績インデックス'!$A$4:$A$103,0)))))</f>
        <v/>
      </c>
      <c r="M87" s="28" t="str">
        <f>IF(A87="","",IF(OR(COUNTIF($A$4:$A$153,A87)&lt;&gt;1,COUNTIFS($B$4:$B$153,B87,$C$4:$C$153,C87,$D$4:$D$153,D87)&lt;&gt;1),"集合ID・計画重複",IF(OR(OR(B87="",C87="",D87="",I87="",J87="",O87=""),NOT(ISNUMBER(K87))),"集合承認不足",IF(OR(AND(K87&lt;&gt;"",OR(NOT(ISNUMBER(K87)),IFERROR(K87&lt;1,TRUE),IFERROR(INT(K87)&gt;INT(AsOfDate),TRUE)))),"集合承認日不正",IF(COUNTIF(EvalPlanKeys,D87)&lt;&gt;1,"PlanKey不正",IF(C87&lt;&gt;IF(COUNTIF('15_評価計画・品質ゲート'!$V$4:$V$103,D87)&lt;&gt;1,"参照ID不正",IF(INDEX('15_評価計画・品質ゲート'!$U$4:$U$103,MATCH(D87,'15_評価計画・品質ゲート'!$V$4:$V$103,0))="","",INDEX('15_評価計画・品質ゲート'!$U$4:$U$103,MATCH(D87,'15_評価計画・品質ゲート'!$V$4:$V$103,0)))),"計画Manifest不一致",IF(F87="対象外",IF(H87="","対象外理由不足","対象外承認"),IF(F87&lt;&gt;"必須","適用未判定",IF(OR(G87="",COUNTIF('16_評価実績インデックス'!$A$4:$A$103,G87)&lt;&gt;1),"評価Run不足・不正",IF(OR(C87&lt;&gt;IF(COUNTIF('16_評価実績インデックス'!$A$4:$A$103,G87)&lt;&gt;1,"参照ID不正",IF(INDEX('16_評価実績インデックス'!$T$4:$T$103,MATCH(G87,'16_評価実績インデックス'!$A$4:$A$103,0))="","",INDEX('16_評価実績インデックス'!$T$4:$T$103,MATCH(G87,'16_評価実績インデックス'!$A$4:$A$103,0)))),D87&lt;&gt;IF(COUNTIF('16_評価実績インデックス'!$A$4:$A$103,G87)&lt;&gt;1,"参照ID不正",IF(INDEX('16_評価実績インデックス'!$B$4:$B$103,MATCH(G87,'16_評価実績インデックス'!$A$4:$A$103,0))="","",INDEX('16_評価実績インデックス'!$B$4:$B$103,MATCH(G87,'16_評価実績インデックス'!$A$4:$A$103,0)))),B87&lt;&gt;IF(COUNTIF('16_評価実績インデックス'!$A$4:$A$103,G87)&lt;&gt;1,"参照ID不正",IF(INDEX('16_評価実績インデックス'!$C$4:$C$103,MATCH(G87,'16_評価実績インデックス'!$A$4:$A$103,0))="","",INDEX('16_評価実績インデックス'!$C$4:$C$103,MATCH(G87,'16_評価実績インデックス'!$A$4:$A$103,0))))),"評価対象不一致",IF(IF(COUNTIF('16_評価実績インデックス'!$A$4:$A$103,G87)&lt;&gt;1,"参照ID不正",IF(INDEX('16_評価実績インデックス'!$S$4:$S$103,MATCH(G87,'16_評価実績インデックス'!$A$4:$A$103,0))="","",INDEX('16_評価実績インデックス'!$S$4:$S$103,MATCH(G87,'16_評価実績インデックス'!$A$4:$A$103,0))))&lt;&gt;"記録あり・内容審査別","評価記録未充足",IF(L87&lt;&gt;"合格","必要評価不合格・未確定","評価充足"))))))))))))</f>
        <v/>
      </c>
      <c r="N87" s="28">
        <f t="shared" si="2"/>
        <v>0</v>
      </c>
      <c r="O87" s="29"/>
      <c r="P87" s="29"/>
    </row>
    <row r="88" spans="1:16" ht="64" customHeight="1" x14ac:dyDescent="0.2">
      <c r="A88" s="29"/>
      <c r="B88" s="29"/>
      <c r="C88" s="29"/>
      <c r="D88" s="29"/>
      <c r="E88" s="28" t="str">
        <f>IF(A88="","",IF(COUNTIF('15_評価計画・品質ゲート'!$V$4:$V$103,D88)&lt;&gt;1,"参照ID不正",IF(INDEX('15_評価計画・品質ゲート'!$A$4:$A$103,MATCH(D88,'15_評価計画・品質ゲート'!$V$4:$V$103,0))="","",INDEX('15_評価計画・品質ゲート'!$A$4:$A$103,MATCH(D88,'15_評価計画・品質ゲート'!$V$4:$V$103,0)))))</f>
        <v/>
      </c>
      <c r="F88" s="29"/>
      <c r="G88" s="29"/>
      <c r="H88" s="29"/>
      <c r="I88" s="29"/>
      <c r="J88" s="29"/>
      <c r="K88" s="29"/>
      <c r="L88" s="28" t="str">
        <f>IF(OR(A88="",G88=""),"",IF(COUNTIF('16_評価実績インデックス'!$A$4:$A$103,G88)&lt;&gt;1,"参照ID不正",IF(INDEX('16_評価実績インデックス'!$O$4:$O$103,MATCH(G88,'16_評価実績インデックス'!$A$4:$A$103,0))="","",INDEX('16_評価実績インデックス'!$O$4:$O$103,MATCH(G88,'16_評価実績インデックス'!$A$4:$A$103,0)))))</f>
        <v/>
      </c>
      <c r="M88" s="28" t="str">
        <f>IF(A88="","",IF(OR(COUNTIF($A$4:$A$153,A88)&lt;&gt;1,COUNTIFS($B$4:$B$153,B88,$C$4:$C$153,C88,$D$4:$D$153,D88)&lt;&gt;1),"集合ID・計画重複",IF(OR(OR(B88="",C88="",D88="",I88="",J88="",O88=""),NOT(ISNUMBER(K88))),"集合承認不足",IF(OR(AND(K88&lt;&gt;"",OR(NOT(ISNUMBER(K88)),IFERROR(K88&lt;1,TRUE),IFERROR(INT(K88)&gt;INT(AsOfDate),TRUE)))),"集合承認日不正",IF(COUNTIF(EvalPlanKeys,D88)&lt;&gt;1,"PlanKey不正",IF(C88&lt;&gt;IF(COUNTIF('15_評価計画・品質ゲート'!$V$4:$V$103,D88)&lt;&gt;1,"参照ID不正",IF(INDEX('15_評価計画・品質ゲート'!$U$4:$U$103,MATCH(D88,'15_評価計画・品質ゲート'!$V$4:$V$103,0))="","",INDEX('15_評価計画・品質ゲート'!$U$4:$U$103,MATCH(D88,'15_評価計画・品質ゲート'!$V$4:$V$103,0)))),"計画Manifest不一致",IF(F88="対象外",IF(H88="","対象外理由不足","対象外承認"),IF(F88&lt;&gt;"必須","適用未判定",IF(OR(G88="",COUNTIF('16_評価実績インデックス'!$A$4:$A$103,G88)&lt;&gt;1),"評価Run不足・不正",IF(OR(C88&lt;&gt;IF(COUNTIF('16_評価実績インデックス'!$A$4:$A$103,G88)&lt;&gt;1,"参照ID不正",IF(INDEX('16_評価実績インデックス'!$T$4:$T$103,MATCH(G88,'16_評価実績インデックス'!$A$4:$A$103,0))="","",INDEX('16_評価実績インデックス'!$T$4:$T$103,MATCH(G88,'16_評価実績インデックス'!$A$4:$A$103,0)))),D88&lt;&gt;IF(COUNTIF('16_評価実績インデックス'!$A$4:$A$103,G88)&lt;&gt;1,"参照ID不正",IF(INDEX('16_評価実績インデックス'!$B$4:$B$103,MATCH(G88,'16_評価実績インデックス'!$A$4:$A$103,0))="","",INDEX('16_評価実績インデックス'!$B$4:$B$103,MATCH(G88,'16_評価実績インデックス'!$A$4:$A$103,0)))),B88&lt;&gt;IF(COUNTIF('16_評価実績インデックス'!$A$4:$A$103,G88)&lt;&gt;1,"参照ID不正",IF(INDEX('16_評価実績インデックス'!$C$4:$C$103,MATCH(G88,'16_評価実績インデックス'!$A$4:$A$103,0))="","",INDEX('16_評価実績インデックス'!$C$4:$C$103,MATCH(G88,'16_評価実績インデックス'!$A$4:$A$103,0))))),"評価対象不一致",IF(IF(COUNTIF('16_評価実績インデックス'!$A$4:$A$103,G88)&lt;&gt;1,"参照ID不正",IF(INDEX('16_評価実績インデックス'!$S$4:$S$103,MATCH(G88,'16_評価実績インデックス'!$A$4:$A$103,0))="","",INDEX('16_評価実績インデックス'!$S$4:$S$103,MATCH(G88,'16_評価実績インデックス'!$A$4:$A$103,0))))&lt;&gt;"記録あり・内容審査別","評価記録未充足",IF(L88&lt;&gt;"合格","必要評価不合格・未確定","評価充足"))))))))))))</f>
        <v/>
      </c>
      <c r="N88" s="28">
        <f t="shared" si="2"/>
        <v>0</v>
      </c>
      <c r="O88" s="29"/>
      <c r="P88" s="29"/>
    </row>
    <row r="89" spans="1:16" ht="64" customHeight="1" x14ac:dyDescent="0.2">
      <c r="A89" s="29"/>
      <c r="B89" s="29"/>
      <c r="C89" s="29"/>
      <c r="D89" s="29"/>
      <c r="E89" s="28" t="str">
        <f>IF(A89="","",IF(COUNTIF('15_評価計画・品質ゲート'!$V$4:$V$103,D89)&lt;&gt;1,"参照ID不正",IF(INDEX('15_評価計画・品質ゲート'!$A$4:$A$103,MATCH(D89,'15_評価計画・品質ゲート'!$V$4:$V$103,0))="","",INDEX('15_評価計画・品質ゲート'!$A$4:$A$103,MATCH(D89,'15_評価計画・品質ゲート'!$V$4:$V$103,0)))))</f>
        <v/>
      </c>
      <c r="F89" s="29"/>
      <c r="G89" s="29"/>
      <c r="H89" s="29"/>
      <c r="I89" s="29"/>
      <c r="J89" s="29"/>
      <c r="K89" s="29"/>
      <c r="L89" s="28" t="str">
        <f>IF(OR(A89="",G89=""),"",IF(COUNTIF('16_評価実績インデックス'!$A$4:$A$103,G89)&lt;&gt;1,"参照ID不正",IF(INDEX('16_評価実績インデックス'!$O$4:$O$103,MATCH(G89,'16_評価実績インデックス'!$A$4:$A$103,0))="","",INDEX('16_評価実績インデックス'!$O$4:$O$103,MATCH(G89,'16_評価実績インデックス'!$A$4:$A$103,0)))))</f>
        <v/>
      </c>
      <c r="M89" s="28" t="str">
        <f>IF(A89="","",IF(OR(COUNTIF($A$4:$A$153,A89)&lt;&gt;1,COUNTIFS($B$4:$B$153,B89,$C$4:$C$153,C89,$D$4:$D$153,D89)&lt;&gt;1),"集合ID・計画重複",IF(OR(OR(B89="",C89="",D89="",I89="",J89="",O89=""),NOT(ISNUMBER(K89))),"集合承認不足",IF(OR(AND(K89&lt;&gt;"",OR(NOT(ISNUMBER(K89)),IFERROR(K89&lt;1,TRUE),IFERROR(INT(K89)&gt;INT(AsOfDate),TRUE)))),"集合承認日不正",IF(COUNTIF(EvalPlanKeys,D89)&lt;&gt;1,"PlanKey不正",IF(C89&lt;&gt;IF(COUNTIF('15_評価計画・品質ゲート'!$V$4:$V$103,D89)&lt;&gt;1,"参照ID不正",IF(INDEX('15_評価計画・品質ゲート'!$U$4:$U$103,MATCH(D89,'15_評価計画・品質ゲート'!$V$4:$V$103,0))="","",INDEX('15_評価計画・品質ゲート'!$U$4:$U$103,MATCH(D89,'15_評価計画・品質ゲート'!$V$4:$V$103,0)))),"計画Manifest不一致",IF(F89="対象外",IF(H89="","対象外理由不足","対象外承認"),IF(F89&lt;&gt;"必須","適用未判定",IF(OR(G89="",COUNTIF('16_評価実績インデックス'!$A$4:$A$103,G89)&lt;&gt;1),"評価Run不足・不正",IF(OR(C89&lt;&gt;IF(COUNTIF('16_評価実績インデックス'!$A$4:$A$103,G89)&lt;&gt;1,"参照ID不正",IF(INDEX('16_評価実績インデックス'!$T$4:$T$103,MATCH(G89,'16_評価実績インデックス'!$A$4:$A$103,0))="","",INDEX('16_評価実績インデックス'!$T$4:$T$103,MATCH(G89,'16_評価実績インデックス'!$A$4:$A$103,0)))),D89&lt;&gt;IF(COUNTIF('16_評価実績インデックス'!$A$4:$A$103,G89)&lt;&gt;1,"参照ID不正",IF(INDEX('16_評価実績インデックス'!$B$4:$B$103,MATCH(G89,'16_評価実績インデックス'!$A$4:$A$103,0))="","",INDEX('16_評価実績インデックス'!$B$4:$B$103,MATCH(G89,'16_評価実績インデックス'!$A$4:$A$103,0)))),B89&lt;&gt;IF(COUNTIF('16_評価実績インデックス'!$A$4:$A$103,G89)&lt;&gt;1,"参照ID不正",IF(INDEX('16_評価実績インデックス'!$C$4:$C$103,MATCH(G89,'16_評価実績インデックス'!$A$4:$A$103,0))="","",INDEX('16_評価実績インデックス'!$C$4:$C$103,MATCH(G89,'16_評価実績インデックス'!$A$4:$A$103,0))))),"評価対象不一致",IF(IF(COUNTIF('16_評価実績インデックス'!$A$4:$A$103,G89)&lt;&gt;1,"参照ID不正",IF(INDEX('16_評価実績インデックス'!$S$4:$S$103,MATCH(G89,'16_評価実績インデックス'!$A$4:$A$103,0))="","",INDEX('16_評価実績インデックス'!$S$4:$S$103,MATCH(G89,'16_評価実績インデックス'!$A$4:$A$103,0))))&lt;&gt;"記録あり・内容審査別","評価記録未充足",IF(L89&lt;&gt;"合格","必要評価不合格・未確定","評価充足"))))))))))))</f>
        <v/>
      </c>
      <c r="N89" s="28">
        <f t="shared" si="2"/>
        <v>0</v>
      </c>
      <c r="O89" s="29"/>
      <c r="P89" s="29"/>
    </row>
    <row r="90" spans="1:16" ht="64" customHeight="1" x14ac:dyDescent="0.2">
      <c r="A90" s="29"/>
      <c r="B90" s="29"/>
      <c r="C90" s="29"/>
      <c r="D90" s="29"/>
      <c r="E90" s="28" t="str">
        <f>IF(A90="","",IF(COUNTIF('15_評価計画・品質ゲート'!$V$4:$V$103,D90)&lt;&gt;1,"参照ID不正",IF(INDEX('15_評価計画・品質ゲート'!$A$4:$A$103,MATCH(D90,'15_評価計画・品質ゲート'!$V$4:$V$103,0))="","",INDEX('15_評価計画・品質ゲート'!$A$4:$A$103,MATCH(D90,'15_評価計画・品質ゲート'!$V$4:$V$103,0)))))</f>
        <v/>
      </c>
      <c r="F90" s="29"/>
      <c r="G90" s="29"/>
      <c r="H90" s="29"/>
      <c r="I90" s="29"/>
      <c r="J90" s="29"/>
      <c r="K90" s="29"/>
      <c r="L90" s="28" t="str">
        <f>IF(OR(A90="",G90=""),"",IF(COUNTIF('16_評価実績インデックス'!$A$4:$A$103,G90)&lt;&gt;1,"参照ID不正",IF(INDEX('16_評価実績インデックス'!$O$4:$O$103,MATCH(G90,'16_評価実績インデックス'!$A$4:$A$103,0))="","",INDEX('16_評価実績インデックス'!$O$4:$O$103,MATCH(G90,'16_評価実績インデックス'!$A$4:$A$103,0)))))</f>
        <v/>
      </c>
      <c r="M90" s="28" t="str">
        <f>IF(A90="","",IF(OR(COUNTIF($A$4:$A$153,A90)&lt;&gt;1,COUNTIFS($B$4:$B$153,B90,$C$4:$C$153,C90,$D$4:$D$153,D90)&lt;&gt;1),"集合ID・計画重複",IF(OR(OR(B90="",C90="",D90="",I90="",J90="",O90=""),NOT(ISNUMBER(K90))),"集合承認不足",IF(OR(AND(K90&lt;&gt;"",OR(NOT(ISNUMBER(K90)),IFERROR(K90&lt;1,TRUE),IFERROR(INT(K90)&gt;INT(AsOfDate),TRUE)))),"集合承認日不正",IF(COUNTIF(EvalPlanKeys,D90)&lt;&gt;1,"PlanKey不正",IF(C90&lt;&gt;IF(COUNTIF('15_評価計画・品質ゲート'!$V$4:$V$103,D90)&lt;&gt;1,"参照ID不正",IF(INDEX('15_評価計画・品質ゲート'!$U$4:$U$103,MATCH(D90,'15_評価計画・品質ゲート'!$V$4:$V$103,0))="","",INDEX('15_評価計画・品質ゲート'!$U$4:$U$103,MATCH(D90,'15_評価計画・品質ゲート'!$V$4:$V$103,0)))),"計画Manifest不一致",IF(F90="対象外",IF(H90="","対象外理由不足","対象外承認"),IF(F90&lt;&gt;"必須","適用未判定",IF(OR(G90="",COUNTIF('16_評価実績インデックス'!$A$4:$A$103,G90)&lt;&gt;1),"評価Run不足・不正",IF(OR(C90&lt;&gt;IF(COUNTIF('16_評価実績インデックス'!$A$4:$A$103,G90)&lt;&gt;1,"参照ID不正",IF(INDEX('16_評価実績インデックス'!$T$4:$T$103,MATCH(G90,'16_評価実績インデックス'!$A$4:$A$103,0))="","",INDEX('16_評価実績インデックス'!$T$4:$T$103,MATCH(G90,'16_評価実績インデックス'!$A$4:$A$103,0)))),D90&lt;&gt;IF(COUNTIF('16_評価実績インデックス'!$A$4:$A$103,G90)&lt;&gt;1,"参照ID不正",IF(INDEX('16_評価実績インデックス'!$B$4:$B$103,MATCH(G90,'16_評価実績インデックス'!$A$4:$A$103,0))="","",INDEX('16_評価実績インデックス'!$B$4:$B$103,MATCH(G90,'16_評価実績インデックス'!$A$4:$A$103,0)))),B90&lt;&gt;IF(COUNTIF('16_評価実績インデックス'!$A$4:$A$103,G90)&lt;&gt;1,"参照ID不正",IF(INDEX('16_評価実績インデックス'!$C$4:$C$103,MATCH(G90,'16_評価実績インデックス'!$A$4:$A$103,0))="","",INDEX('16_評価実績インデックス'!$C$4:$C$103,MATCH(G90,'16_評価実績インデックス'!$A$4:$A$103,0))))),"評価対象不一致",IF(IF(COUNTIF('16_評価実績インデックス'!$A$4:$A$103,G90)&lt;&gt;1,"参照ID不正",IF(INDEX('16_評価実績インデックス'!$S$4:$S$103,MATCH(G90,'16_評価実績インデックス'!$A$4:$A$103,0))="","",INDEX('16_評価実績インデックス'!$S$4:$S$103,MATCH(G90,'16_評価実績インデックス'!$A$4:$A$103,0))))&lt;&gt;"記録あり・内容審査別","評価記録未充足",IF(L90&lt;&gt;"合格","必要評価不合格・未確定","評価充足"))))))))))))</f>
        <v/>
      </c>
      <c r="N90" s="28">
        <f t="shared" si="2"/>
        <v>0</v>
      </c>
      <c r="O90" s="29"/>
      <c r="P90" s="29"/>
    </row>
    <row r="91" spans="1:16" ht="64" customHeight="1" x14ac:dyDescent="0.2">
      <c r="A91" s="29"/>
      <c r="B91" s="29"/>
      <c r="C91" s="29"/>
      <c r="D91" s="29"/>
      <c r="E91" s="28" t="str">
        <f>IF(A91="","",IF(COUNTIF('15_評価計画・品質ゲート'!$V$4:$V$103,D91)&lt;&gt;1,"参照ID不正",IF(INDEX('15_評価計画・品質ゲート'!$A$4:$A$103,MATCH(D91,'15_評価計画・品質ゲート'!$V$4:$V$103,0))="","",INDEX('15_評価計画・品質ゲート'!$A$4:$A$103,MATCH(D91,'15_評価計画・品質ゲート'!$V$4:$V$103,0)))))</f>
        <v/>
      </c>
      <c r="F91" s="29"/>
      <c r="G91" s="29"/>
      <c r="H91" s="29"/>
      <c r="I91" s="29"/>
      <c r="J91" s="29"/>
      <c r="K91" s="29"/>
      <c r="L91" s="28" t="str">
        <f>IF(OR(A91="",G91=""),"",IF(COUNTIF('16_評価実績インデックス'!$A$4:$A$103,G91)&lt;&gt;1,"参照ID不正",IF(INDEX('16_評価実績インデックス'!$O$4:$O$103,MATCH(G91,'16_評価実績インデックス'!$A$4:$A$103,0))="","",INDEX('16_評価実績インデックス'!$O$4:$O$103,MATCH(G91,'16_評価実績インデックス'!$A$4:$A$103,0)))))</f>
        <v/>
      </c>
      <c r="M91" s="28" t="str">
        <f>IF(A91="","",IF(OR(COUNTIF($A$4:$A$153,A91)&lt;&gt;1,COUNTIFS($B$4:$B$153,B91,$C$4:$C$153,C91,$D$4:$D$153,D91)&lt;&gt;1),"集合ID・計画重複",IF(OR(OR(B91="",C91="",D91="",I91="",J91="",O91=""),NOT(ISNUMBER(K91))),"集合承認不足",IF(OR(AND(K91&lt;&gt;"",OR(NOT(ISNUMBER(K91)),IFERROR(K91&lt;1,TRUE),IFERROR(INT(K91)&gt;INT(AsOfDate),TRUE)))),"集合承認日不正",IF(COUNTIF(EvalPlanKeys,D91)&lt;&gt;1,"PlanKey不正",IF(C91&lt;&gt;IF(COUNTIF('15_評価計画・品質ゲート'!$V$4:$V$103,D91)&lt;&gt;1,"参照ID不正",IF(INDEX('15_評価計画・品質ゲート'!$U$4:$U$103,MATCH(D91,'15_評価計画・品質ゲート'!$V$4:$V$103,0))="","",INDEX('15_評価計画・品質ゲート'!$U$4:$U$103,MATCH(D91,'15_評価計画・品質ゲート'!$V$4:$V$103,0)))),"計画Manifest不一致",IF(F91="対象外",IF(H91="","対象外理由不足","対象外承認"),IF(F91&lt;&gt;"必須","適用未判定",IF(OR(G91="",COUNTIF('16_評価実績インデックス'!$A$4:$A$103,G91)&lt;&gt;1),"評価Run不足・不正",IF(OR(C91&lt;&gt;IF(COUNTIF('16_評価実績インデックス'!$A$4:$A$103,G91)&lt;&gt;1,"参照ID不正",IF(INDEX('16_評価実績インデックス'!$T$4:$T$103,MATCH(G91,'16_評価実績インデックス'!$A$4:$A$103,0))="","",INDEX('16_評価実績インデックス'!$T$4:$T$103,MATCH(G91,'16_評価実績インデックス'!$A$4:$A$103,0)))),D91&lt;&gt;IF(COUNTIF('16_評価実績インデックス'!$A$4:$A$103,G91)&lt;&gt;1,"参照ID不正",IF(INDEX('16_評価実績インデックス'!$B$4:$B$103,MATCH(G91,'16_評価実績インデックス'!$A$4:$A$103,0))="","",INDEX('16_評価実績インデックス'!$B$4:$B$103,MATCH(G91,'16_評価実績インデックス'!$A$4:$A$103,0)))),B91&lt;&gt;IF(COUNTIF('16_評価実績インデックス'!$A$4:$A$103,G91)&lt;&gt;1,"参照ID不正",IF(INDEX('16_評価実績インデックス'!$C$4:$C$103,MATCH(G91,'16_評価実績インデックス'!$A$4:$A$103,0))="","",INDEX('16_評価実績インデックス'!$C$4:$C$103,MATCH(G91,'16_評価実績インデックス'!$A$4:$A$103,0))))),"評価対象不一致",IF(IF(COUNTIF('16_評価実績インデックス'!$A$4:$A$103,G91)&lt;&gt;1,"参照ID不正",IF(INDEX('16_評価実績インデックス'!$S$4:$S$103,MATCH(G91,'16_評価実績インデックス'!$A$4:$A$103,0))="","",INDEX('16_評価実績インデックス'!$S$4:$S$103,MATCH(G91,'16_評価実績インデックス'!$A$4:$A$103,0))))&lt;&gt;"記録あり・内容審査別","評価記録未充足",IF(L91&lt;&gt;"合格","必要評価不合格・未確定","評価充足"))))))))))))</f>
        <v/>
      </c>
      <c r="N91" s="28">
        <f t="shared" si="2"/>
        <v>0</v>
      </c>
      <c r="O91" s="29"/>
      <c r="P91" s="29"/>
    </row>
    <row r="92" spans="1:16" ht="64" customHeight="1" x14ac:dyDescent="0.2">
      <c r="A92" s="29"/>
      <c r="B92" s="29"/>
      <c r="C92" s="29"/>
      <c r="D92" s="29"/>
      <c r="E92" s="28" t="str">
        <f>IF(A92="","",IF(COUNTIF('15_評価計画・品質ゲート'!$V$4:$V$103,D92)&lt;&gt;1,"参照ID不正",IF(INDEX('15_評価計画・品質ゲート'!$A$4:$A$103,MATCH(D92,'15_評価計画・品質ゲート'!$V$4:$V$103,0))="","",INDEX('15_評価計画・品質ゲート'!$A$4:$A$103,MATCH(D92,'15_評価計画・品質ゲート'!$V$4:$V$103,0)))))</f>
        <v/>
      </c>
      <c r="F92" s="29"/>
      <c r="G92" s="29"/>
      <c r="H92" s="29"/>
      <c r="I92" s="29"/>
      <c r="J92" s="29"/>
      <c r="K92" s="29"/>
      <c r="L92" s="28" t="str">
        <f>IF(OR(A92="",G92=""),"",IF(COUNTIF('16_評価実績インデックス'!$A$4:$A$103,G92)&lt;&gt;1,"参照ID不正",IF(INDEX('16_評価実績インデックス'!$O$4:$O$103,MATCH(G92,'16_評価実績インデックス'!$A$4:$A$103,0))="","",INDEX('16_評価実績インデックス'!$O$4:$O$103,MATCH(G92,'16_評価実績インデックス'!$A$4:$A$103,0)))))</f>
        <v/>
      </c>
      <c r="M92" s="28" t="str">
        <f>IF(A92="","",IF(OR(COUNTIF($A$4:$A$153,A92)&lt;&gt;1,COUNTIFS($B$4:$B$153,B92,$C$4:$C$153,C92,$D$4:$D$153,D92)&lt;&gt;1),"集合ID・計画重複",IF(OR(OR(B92="",C92="",D92="",I92="",J92="",O92=""),NOT(ISNUMBER(K92))),"集合承認不足",IF(OR(AND(K92&lt;&gt;"",OR(NOT(ISNUMBER(K92)),IFERROR(K92&lt;1,TRUE),IFERROR(INT(K92)&gt;INT(AsOfDate),TRUE)))),"集合承認日不正",IF(COUNTIF(EvalPlanKeys,D92)&lt;&gt;1,"PlanKey不正",IF(C92&lt;&gt;IF(COUNTIF('15_評価計画・品質ゲート'!$V$4:$V$103,D92)&lt;&gt;1,"参照ID不正",IF(INDEX('15_評価計画・品質ゲート'!$U$4:$U$103,MATCH(D92,'15_評価計画・品質ゲート'!$V$4:$V$103,0))="","",INDEX('15_評価計画・品質ゲート'!$U$4:$U$103,MATCH(D92,'15_評価計画・品質ゲート'!$V$4:$V$103,0)))),"計画Manifest不一致",IF(F92="対象外",IF(H92="","対象外理由不足","対象外承認"),IF(F92&lt;&gt;"必須","適用未判定",IF(OR(G92="",COUNTIF('16_評価実績インデックス'!$A$4:$A$103,G92)&lt;&gt;1),"評価Run不足・不正",IF(OR(C92&lt;&gt;IF(COUNTIF('16_評価実績インデックス'!$A$4:$A$103,G92)&lt;&gt;1,"参照ID不正",IF(INDEX('16_評価実績インデックス'!$T$4:$T$103,MATCH(G92,'16_評価実績インデックス'!$A$4:$A$103,0))="","",INDEX('16_評価実績インデックス'!$T$4:$T$103,MATCH(G92,'16_評価実績インデックス'!$A$4:$A$103,0)))),D92&lt;&gt;IF(COUNTIF('16_評価実績インデックス'!$A$4:$A$103,G92)&lt;&gt;1,"参照ID不正",IF(INDEX('16_評価実績インデックス'!$B$4:$B$103,MATCH(G92,'16_評価実績インデックス'!$A$4:$A$103,0))="","",INDEX('16_評価実績インデックス'!$B$4:$B$103,MATCH(G92,'16_評価実績インデックス'!$A$4:$A$103,0)))),B92&lt;&gt;IF(COUNTIF('16_評価実績インデックス'!$A$4:$A$103,G92)&lt;&gt;1,"参照ID不正",IF(INDEX('16_評価実績インデックス'!$C$4:$C$103,MATCH(G92,'16_評価実績インデックス'!$A$4:$A$103,0))="","",INDEX('16_評価実績インデックス'!$C$4:$C$103,MATCH(G92,'16_評価実績インデックス'!$A$4:$A$103,0))))),"評価対象不一致",IF(IF(COUNTIF('16_評価実績インデックス'!$A$4:$A$103,G92)&lt;&gt;1,"参照ID不正",IF(INDEX('16_評価実績インデックス'!$S$4:$S$103,MATCH(G92,'16_評価実績インデックス'!$A$4:$A$103,0))="","",INDEX('16_評価実績インデックス'!$S$4:$S$103,MATCH(G92,'16_評価実績インデックス'!$A$4:$A$103,0))))&lt;&gt;"記録あり・内容審査別","評価記録未充足",IF(L92&lt;&gt;"合格","必要評価不合格・未確定","評価充足"))))))))))))</f>
        <v/>
      </c>
      <c r="N92" s="28">
        <f t="shared" si="2"/>
        <v>0</v>
      </c>
      <c r="O92" s="29"/>
      <c r="P92" s="29"/>
    </row>
    <row r="93" spans="1:16" ht="64" customHeight="1" x14ac:dyDescent="0.2">
      <c r="A93" s="29"/>
      <c r="B93" s="29"/>
      <c r="C93" s="29"/>
      <c r="D93" s="29"/>
      <c r="E93" s="28" t="str">
        <f>IF(A93="","",IF(COUNTIF('15_評価計画・品質ゲート'!$V$4:$V$103,D93)&lt;&gt;1,"参照ID不正",IF(INDEX('15_評価計画・品質ゲート'!$A$4:$A$103,MATCH(D93,'15_評価計画・品質ゲート'!$V$4:$V$103,0))="","",INDEX('15_評価計画・品質ゲート'!$A$4:$A$103,MATCH(D93,'15_評価計画・品質ゲート'!$V$4:$V$103,0)))))</f>
        <v/>
      </c>
      <c r="F93" s="29"/>
      <c r="G93" s="29"/>
      <c r="H93" s="29"/>
      <c r="I93" s="29"/>
      <c r="J93" s="29"/>
      <c r="K93" s="29"/>
      <c r="L93" s="28" t="str">
        <f>IF(OR(A93="",G93=""),"",IF(COUNTIF('16_評価実績インデックス'!$A$4:$A$103,G93)&lt;&gt;1,"参照ID不正",IF(INDEX('16_評価実績インデックス'!$O$4:$O$103,MATCH(G93,'16_評価実績インデックス'!$A$4:$A$103,0))="","",INDEX('16_評価実績インデックス'!$O$4:$O$103,MATCH(G93,'16_評価実績インデックス'!$A$4:$A$103,0)))))</f>
        <v/>
      </c>
      <c r="M93" s="28" t="str">
        <f>IF(A93="","",IF(OR(COUNTIF($A$4:$A$153,A93)&lt;&gt;1,COUNTIFS($B$4:$B$153,B93,$C$4:$C$153,C93,$D$4:$D$153,D93)&lt;&gt;1),"集合ID・計画重複",IF(OR(OR(B93="",C93="",D93="",I93="",J93="",O93=""),NOT(ISNUMBER(K93))),"集合承認不足",IF(OR(AND(K93&lt;&gt;"",OR(NOT(ISNUMBER(K93)),IFERROR(K93&lt;1,TRUE),IFERROR(INT(K93)&gt;INT(AsOfDate),TRUE)))),"集合承認日不正",IF(COUNTIF(EvalPlanKeys,D93)&lt;&gt;1,"PlanKey不正",IF(C93&lt;&gt;IF(COUNTIF('15_評価計画・品質ゲート'!$V$4:$V$103,D93)&lt;&gt;1,"参照ID不正",IF(INDEX('15_評価計画・品質ゲート'!$U$4:$U$103,MATCH(D93,'15_評価計画・品質ゲート'!$V$4:$V$103,0))="","",INDEX('15_評価計画・品質ゲート'!$U$4:$U$103,MATCH(D93,'15_評価計画・品質ゲート'!$V$4:$V$103,0)))),"計画Manifest不一致",IF(F93="対象外",IF(H93="","対象外理由不足","対象外承認"),IF(F93&lt;&gt;"必須","適用未判定",IF(OR(G93="",COUNTIF('16_評価実績インデックス'!$A$4:$A$103,G93)&lt;&gt;1),"評価Run不足・不正",IF(OR(C93&lt;&gt;IF(COUNTIF('16_評価実績インデックス'!$A$4:$A$103,G93)&lt;&gt;1,"参照ID不正",IF(INDEX('16_評価実績インデックス'!$T$4:$T$103,MATCH(G93,'16_評価実績インデックス'!$A$4:$A$103,0))="","",INDEX('16_評価実績インデックス'!$T$4:$T$103,MATCH(G93,'16_評価実績インデックス'!$A$4:$A$103,0)))),D93&lt;&gt;IF(COUNTIF('16_評価実績インデックス'!$A$4:$A$103,G93)&lt;&gt;1,"参照ID不正",IF(INDEX('16_評価実績インデックス'!$B$4:$B$103,MATCH(G93,'16_評価実績インデックス'!$A$4:$A$103,0))="","",INDEX('16_評価実績インデックス'!$B$4:$B$103,MATCH(G93,'16_評価実績インデックス'!$A$4:$A$103,0)))),B93&lt;&gt;IF(COUNTIF('16_評価実績インデックス'!$A$4:$A$103,G93)&lt;&gt;1,"参照ID不正",IF(INDEX('16_評価実績インデックス'!$C$4:$C$103,MATCH(G93,'16_評価実績インデックス'!$A$4:$A$103,0))="","",INDEX('16_評価実績インデックス'!$C$4:$C$103,MATCH(G93,'16_評価実績インデックス'!$A$4:$A$103,0))))),"評価対象不一致",IF(IF(COUNTIF('16_評価実績インデックス'!$A$4:$A$103,G93)&lt;&gt;1,"参照ID不正",IF(INDEX('16_評価実績インデックス'!$S$4:$S$103,MATCH(G93,'16_評価実績インデックス'!$A$4:$A$103,0))="","",INDEX('16_評価実績インデックス'!$S$4:$S$103,MATCH(G93,'16_評価実績インデックス'!$A$4:$A$103,0))))&lt;&gt;"記録あり・内容審査別","評価記録未充足",IF(L93&lt;&gt;"合格","必要評価不合格・未確定","評価充足"))))))))))))</f>
        <v/>
      </c>
      <c r="N93" s="28">
        <f t="shared" si="2"/>
        <v>0</v>
      </c>
      <c r="O93" s="29"/>
      <c r="P93" s="29"/>
    </row>
    <row r="94" spans="1:16" ht="64" customHeight="1" x14ac:dyDescent="0.2">
      <c r="A94" s="29"/>
      <c r="B94" s="29"/>
      <c r="C94" s="29"/>
      <c r="D94" s="29"/>
      <c r="E94" s="28" t="str">
        <f>IF(A94="","",IF(COUNTIF('15_評価計画・品質ゲート'!$V$4:$V$103,D94)&lt;&gt;1,"参照ID不正",IF(INDEX('15_評価計画・品質ゲート'!$A$4:$A$103,MATCH(D94,'15_評価計画・品質ゲート'!$V$4:$V$103,0))="","",INDEX('15_評価計画・品質ゲート'!$A$4:$A$103,MATCH(D94,'15_評価計画・品質ゲート'!$V$4:$V$103,0)))))</f>
        <v/>
      </c>
      <c r="F94" s="29"/>
      <c r="G94" s="29"/>
      <c r="H94" s="29"/>
      <c r="I94" s="29"/>
      <c r="J94" s="29"/>
      <c r="K94" s="29"/>
      <c r="L94" s="28" t="str">
        <f>IF(OR(A94="",G94=""),"",IF(COUNTIF('16_評価実績インデックス'!$A$4:$A$103,G94)&lt;&gt;1,"参照ID不正",IF(INDEX('16_評価実績インデックス'!$O$4:$O$103,MATCH(G94,'16_評価実績インデックス'!$A$4:$A$103,0))="","",INDEX('16_評価実績インデックス'!$O$4:$O$103,MATCH(G94,'16_評価実績インデックス'!$A$4:$A$103,0)))))</f>
        <v/>
      </c>
      <c r="M94" s="28" t="str">
        <f>IF(A94="","",IF(OR(COUNTIF($A$4:$A$153,A94)&lt;&gt;1,COUNTIFS($B$4:$B$153,B94,$C$4:$C$153,C94,$D$4:$D$153,D94)&lt;&gt;1),"集合ID・計画重複",IF(OR(OR(B94="",C94="",D94="",I94="",J94="",O94=""),NOT(ISNUMBER(K94))),"集合承認不足",IF(OR(AND(K94&lt;&gt;"",OR(NOT(ISNUMBER(K94)),IFERROR(K94&lt;1,TRUE),IFERROR(INT(K94)&gt;INT(AsOfDate),TRUE)))),"集合承認日不正",IF(COUNTIF(EvalPlanKeys,D94)&lt;&gt;1,"PlanKey不正",IF(C94&lt;&gt;IF(COUNTIF('15_評価計画・品質ゲート'!$V$4:$V$103,D94)&lt;&gt;1,"参照ID不正",IF(INDEX('15_評価計画・品質ゲート'!$U$4:$U$103,MATCH(D94,'15_評価計画・品質ゲート'!$V$4:$V$103,0))="","",INDEX('15_評価計画・品質ゲート'!$U$4:$U$103,MATCH(D94,'15_評価計画・品質ゲート'!$V$4:$V$103,0)))),"計画Manifest不一致",IF(F94="対象外",IF(H94="","対象外理由不足","対象外承認"),IF(F94&lt;&gt;"必須","適用未判定",IF(OR(G94="",COUNTIF('16_評価実績インデックス'!$A$4:$A$103,G94)&lt;&gt;1),"評価Run不足・不正",IF(OR(C94&lt;&gt;IF(COUNTIF('16_評価実績インデックス'!$A$4:$A$103,G94)&lt;&gt;1,"参照ID不正",IF(INDEX('16_評価実績インデックス'!$T$4:$T$103,MATCH(G94,'16_評価実績インデックス'!$A$4:$A$103,0))="","",INDEX('16_評価実績インデックス'!$T$4:$T$103,MATCH(G94,'16_評価実績インデックス'!$A$4:$A$103,0)))),D94&lt;&gt;IF(COUNTIF('16_評価実績インデックス'!$A$4:$A$103,G94)&lt;&gt;1,"参照ID不正",IF(INDEX('16_評価実績インデックス'!$B$4:$B$103,MATCH(G94,'16_評価実績インデックス'!$A$4:$A$103,0))="","",INDEX('16_評価実績インデックス'!$B$4:$B$103,MATCH(G94,'16_評価実績インデックス'!$A$4:$A$103,0)))),B94&lt;&gt;IF(COUNTIF('16_評価実績インデックス'!$A$4:$A$103,G94)&lt;&gt;1,"参照ID不正",IF(INDEX('16_評価実績インデックス'!$C$4:$C$103,MATCH(G94,'16_評価実績インデックス'!$A$4:$A$103,0))="","",INDEX('16_評価実績インデックス'!$C$4:$C$103,MATCH(G94,'16_評価実績インデックス'!$A$4:$A$103,0))))),"評価対象不一致",IF(IF(COUNTIF('16_評価実績インデックス'!$A$4:$A$103,G94)&lt;&gt;1,"参照ID不正",IF(INDEX('16_評価実績インデックス'!$S$4:$S$103,MATCH(G94,'16_評価実績インデックス'!$A$4:$A$103,0))="","",INDEX('16_評価実績インデックス'!$S$4:$S$103,MATCH(G94,'16_評価実績インデックス'!$A$4:$A$103,0))))&lt;&gt;"記録あり・内容審査別","評価記録未充足",IF(L94&lt;&gt;"合格","必要評価不合格・未確定","評価充足"))))))))))))</f>
        <v/>
      </c>
      <c r="N94" s="28">
        <f t="shared" si="2"/>
        <v>0</v>
      </c>
      <c r="O94" s="29"/>
      <c r="P94" s="29"/>
    </row>
    <row r="95" spans="1:16" ht="64" customHeight="1" x14ac:dyDescent="0.2">
      <c r="A95" s="29"/>
      <c r="B95" s="29"/>
      <c r="C95" s="29"/>
      <c r="D95" s="29"/>
      <c r="E95" s="28" t="str">
        <f>IF(A95="","",IF(COUNTIF('15_評価計画・品質ゲート'!$V$4:$V$103,D95)&lt;&gt;1,"参照ID不正",IF(INDEX('15_評価計画・品質ゲート'!$A$4:$A$103,MATCH(D95,'15_評価計画・品質ゲート'!$V$4:$V$103,0))="","",INDEX('15_評価計画・品質ゲート'!$A$4:$A$103,MATCH(D95,'15_評価計画・品質ゲート'!$V$4:$V$103,0)))))</f>
        <v/>
      </c>
      <c r="F95" s="29"/>
      <c r="G95" s="29"/>
      <c r="H95" s="29"/>
      <c r="I95" s="29"/>
      <c r="J95" s="29"/>
      <c r="K95" s="29"/>
      <c r="L95" s="28" t="str">
        <f>IF(OR(A95="",G95=""),"",IF(COUNTIF('16_評価実績インデックス'!$A$4:$A$103,G95)&lt;&gt;1,"参照ID不正",IF(INDEX('16_評価実績インデックス'!$O$4:$O$103,MATCH(G95,'16_評価実績インデックス'!$A$4:$A$103,0))="","",INDEX('16_評価実績インデックス'!$O$4:$O$103,MATCH(G95,'16_評価実績インデックス'!$A$4:$A$103,0)))))</f>
        <v/>
      </c>
      <c r="M95" s="28" t="str">
        <f>IF(A95="","",IF(OR(COUNTIF($A$4:$A$153,A95)&lt;&gt;1,COUNTIFS($B$4:$B$153,B95,$C$4:$C$153,C95,$D$4:$D$153,D95)&lt;&gt;1),"集合ID・計画重複",IF(OR(OR(B95="",C95="",D95="",I95="",J95="",O95=""),NOT(ISNUMBER(K95))),"集合承認不足",IF(OR(AND(K95&lt;&gt;"",OR(NOT(ISNUMBER(K95)),IFERROR(K95&lt;1,TRUE),IFERROR(INT(K95)&gt;INT(AsOfDate),TRUE)))),"集合承認日不正",IF(COUNTIF(EvalPlanKeys,D95)&lt;&gt;1,"PlanKey不正",IF(C95&lt;&gt;IF(COUNTIF('15_評価計画・品質ゲート'!$V$4:$V$103,D95)&lt;&gt;1,"参照ID不正",IF(INDEX('15_評価計画・品質ゲート'!$U$4:$U$103,MATCH(D95,'15_評価計画・品質ゲート'!$V$4:$V$103,0))="","",INDEX('15_評価計画・品質ゲート'!$U$4:$U$103,MATCH(D95,'15_評価計画・品質ゲート'!$V$4:$V$103,0)))),"計画Manifest不一致",IF(F95="対象外",IF(H95="","対象外理由不足","対象外承認"),IF(F95&lt;&gt;"必須","適用未判定",IF(OR(G95="",COUNTIF('16_評価実績インデックス'!$A$4:$A$103,G95)&lt;&gt;1),"評価Run不足・不正",IF(OR(C95&lt;&gt;IF(COUNTIF('16_評価実績インデックス'!$A$4:$A$103,G95)&lt;&gt;1,"参照ID不正",IF(INDEX('16_評価実績インデックス'!$T$4:$T$103,MATCH(G95,'16_評価実績インデックス'!$A$4:$A$103,0))="","",INDEX('16_評価実績インデックス'!$T$4:$T$103,MATCH(G95,'16_評価実績インデックス'!$A$4:$A$103,0)))),D95&lt;&gt;IF(COUNTIF('16_評価実績インデックス'!$A$4:$A$103,G95)&lt;&gt;1,"参照ID不正",IF(INDEX('16_評価実績インデックス'!$B$4:$B$103,MATCH(G95,'16_評価実績インデックス'!$A$4:$A$103,0))="","",INDEX('16_評価実績インデックス'!$B$4:$B$103,MATCH(G95,'16_評価実績インデックス'!$A$4:$A$103,0)))),B95&lt;&gt;IF(COUNTIF('16_評価実績インデックス'!$A$4:$A$103,G95)&lt;&gt;1,"参照ID不正",IF(INDEX('16_評価実績インデックス'!$C$4:$C$103,MATCH(G95,'16_評価実績インデックス'!$A$4:$A$103,0))="","",INDEX('16_評価実績インデックス'!$C$4:$C$103,MATCH(G95,'16_評価実績インデックス'!$A$4:$A$103,0))))),"評価対象不一致",IF(IF(COUNTIF('16_評価実績インデックス'!$A$4:$A$103,G95)&lt;&gt;1,"参照ID不正",IF(INDEX('16_評価実績インデックス'!$S$4:$S$103,MATCH(G95,'16_評価実績インデックス'!$A$4:$A$103,0))="","",INDEX('16_評価実績インデックス'!$S$4:$S$103,MATCH(G95,'16_評価実績インデックス'!$A$4:$A$103,0))))&lt;&gt;"記録あり・内容審査別","評価記録未充足",IF(L95&lt;&gt;"合格","必要評価不合格・未確定","評価充足"))))))))))))</f>
        <v/>
      </c>
      <c r="N95" s="28">
        <f t="shared" si="2"/>
        <v>0</v>
      </c>
      <c r="O95" s="29"/>
      <c r="P95" s="29"/>
    </row>
    <row r="96" spans="1:16" ht="64" customHeight="1" x14ac:dyDescent="0.2">
      <c r="A96" s="29"/>
      <c r="B96" s="29"/>
      <c r="C96" s="29"/>
      <c r="D96" s="29"/>
      <c r="E96" s="28" t="str">
        <f>IF(A96="","",IF(COUNTIF('15_評価計画・品質ゲート'!$V$4:$V$103,D96)&lt;&gt;1,"参照ID不正",IF(INDEX('15_評価計画・品質ゲート'!$A$4:$A$103,MATCH(D96,'15_評価計画・品質ゲート'!$V$4:$V$103,0))="","",INDEX('15_評価計画・品質ゲート'!$A$4:$A$103,MATCH(D96,'15_評価計画・品質ゲート'!$V$4:$V$103,0)))))</f>
        <v/>
      </c>
      <c r="F96" s="29"/>
      <c r="G96" s="29"/>
      <c r="H96" s="29"/>
      <c r="I96" s="29"/>
      <c r="J96" s="29"/>
      <c r="K96" s="29"/>
      <c r="L96" s="28" t="str">
        <f>IF(OR(A96="",G96=""),"",IF(COUNTIF('16_評価実績インデックス'!$A$4:$A$103,G96)&lt;&gt;1,"参照ID不正",IF(INDEX('16_評価実績インデックス'!$O$4:$O$103,MATCH(G96,'16_評価実績インデックス'!$A$4:$A$103,0))="","",INDEX('16_評価実績インデックス'!$O$4:$O$103,MATCH(G96,'16_評価実績インデックス'!$A$4:$A$103,0)))))</f>
        <v/>
      </c>
      <c r="M96" s="28" t="str">
        <f>IF(A96="","",IF(OR(COUNTIF($A$4:$A$153,A96)&lt;&gt;1,COUNTIFS($B$4:$B$153,B96,$C$4:$C$153,C96,$D$4:$D$153,D96)&lt;&gt;1),"集合ID・計画重複",IF(OR(OR(B96="",C96="",D96="",I96="",J96="",O96=""),NOT(ISNUMBER(K96))),"集合承認不足",IF(OR(AND(K96&lt;&gt;"",OR(NOT(ISNUMBER(K96)),IFERROR(K96&lt;1,TRUE),IFERROR(INT(K96)&gt;INT(AsOfDate),TRUE)))),"集合承認日不正",IF(COUNTIF(EvalPlanKeys,D96)&lt;&gt;1,"PlanKey不正",IF(C96&lt;&gt;IF(COUNTIF('15_評価計画・品質ゲート'!$V$4:$V$103,D96)&lt;&gt;1,"参照ID不正",IF(INDEX('15_評価計画・品質ゲート'!$U$4:$U$103,MATCH(D96,'15_評価計画・品質ゲート'!$V$4:$V$103,0))="","",INDEX('15_評価計画・品質ゲート'!$U$4:$U$103,MATCH(D96,'15_評価計画・品質ゲート'!$V$4:$V$103,0)))),"計画Manifest不一致",IF(F96="対象外",IF(H96="","対象外理由不足","対象外承認"),IF(F96&lt;&gt;"必須","適用未判定",IF(OR(G96="",COUNTIF('16_評価実績インデックス'!$A$4:$A$103,G96)&lt;&gt;1),"評価Run不足・不正",IF(OR(C96&lt;&gt;IF(COUNTIF('16_評価実績インデックス'!$A$4:$A$103,G96)&lt;&gt;1,"参照ID不正",IF(INDEX('16_評価実績インデックス'!$T$4:$T$103,MATCH(G96,'16_評価実績インデックス'!$A$4:$A$103,0))="","",INDEX('16_評価実績インデックス'!$T$4:$T$103,MATCH(G96,'16_評価実績インデックス'!$A$4:$A$103,0)))),D96&lt;&gt;IF(COUNTIF('16_評価実績インデックス'!$A$4:$A$103,G96)&lt;&gt;1,"参照ID不正",IF(INDEX('16_評価実績インデックス'!$B$4:$B$103,MATCH(G96,'16_評価実績インデックス'!$A$4:$A$103,0))="","",INDEX('16_評価実績インデックス'!$B$4:$B$103,MATCH(G96,'16_評価実績インデックス'!$A$4:$A$103,0)))),B96&lt;&gt;IF(COUNTIF('16_評価実績インデックス'!$A$4:$A$103,G96)&lt;&gt;1,"参照ID不正",IF(INDEX('16_評価実績インデックス'!$C$4:$C$103,MATCH(G96,'16_評価実績インデックス'!$A$4:$A$103,0))="","",INDEX('16_評価実績インデックス'!$C$4:$C$103,MATCH(G96,'16_評価実績インデックス'!$A$4:$A$103,0))))),"評価対象不一致",IF(IF(COUNTIF('16_評価実績インデックス'!$A$4:$A$103,G96)&lt;&gt;1,"参照ID不正",IF(INDEX('16_評価実績インデックス'!$S$4:$S$103,MATCH(G96,'16_評価実績インデックス'!$A$4:$A$103,0))="","",INDEX('16_評価実績インデックス'!$S$4:$S$103,MATCH(G96,'16_評価実績インデックス'!$A$4:$A$103,0))))&lt;&gt;"記録あり・内容審査別","評価記録未充足",IF(L96&lt;&gt;"合格","必要評価不合格・未確定","評価充足"))))))))))))</f>
        <v/>
      </c>
      <c r="N96" s="28">
        <f t="shared" si="2"/>
        <v>0</v>
      </c>
      <c r="O96" s="29"/>
      <c r="P96" s="29"/>
    </row>
    <row r="97" spans="1:16" ht="64" customHeight="1" x14ac:dyDescent="0.2">
      <c r="A97" s="29"/>
      <c r="B97" s="29"/>
      <c r="C97" s="29"/>
      <c r="D97" s="29"/>
      <c r="E97" s="28" t="str">
        <f>IF(A97="","",IF(COUNTIF('15_評価計画・品質ゲート'!$V$4:$V$103,D97)&lt;&gt;1,"参照ID不正",IF(INDEX('15_評価計画・品質ゲート'!$A$4:$A$103,MATCH(D97,'15_評価計画・品質ゲート'!$V$4:$V$103,0))="","",INDEX('15_評価計画・品質ゲート'!$A$4:$A$103,MATCH(D97,'15_評価計画・品質ゲート'!$V$4:$V$103,0)))))</f>
        <v/>
      </c>
      <c r="F97" s="29"/>
      <c r="G97" s="29"/>
      <c r="H97" s="29"/>
      <c r="I97" s="29"/>
      <c r="J97" s="29"/>
      <c r="K97" s="29"/>
      <c r="L97" s="28" t="str">
        <f>IF(OR(A97="",G97=""),"",IF(COUNTIF('16_評価実績インデックス'!$A$4:$A$103,G97)&lt;&gt;1,"参照ID不正",IF(INDEX('16_評価実績インデックス'!$O$4:$O$103,MATCH(G97,'16_評価実績インデックス'!$A$4:$A$103,0))="","",INDEX('16_評価実績インデックス'!$O$4:$O$103,MATCH(G97,'16_評価実績インデックス'!$A$4:$A$103,0)))))</f>
        <v/>
      </c>
      <c r="M97" s="28" t="str">
        <f>IF(A97="","",IF(OR(COUNTIF($A$4:$A$153,A97)&lt;&gt;1,COUNTIFS($B$4:$B$153,B97,$C$4:$C$153,C97,$D$4:$D$153,D97)&lt;&gt;1),"集合ID・計画重複",IF(OR(OR(B97="",C97="",D97="",I97="",J97="",O97=""),NOT(ISNUMBER(K97))),"集合承認不足",IF(OR(AND(K97&lt;&gt;"",OR(NOT(ISNUMBER(K97)),IFERROR(K97&lt;1,TRUE),IFERROR(INT(K97)&gt;INT(AsOfDate),TRUE)))),"集合承認日不正",IF(COUNTIF(EvalPlanKeys,D97)&lt;&gt;1,"PlanKey不正",IF(C97&lt;&gt;IF(COUNTIF('15_評価計画・品質ゲート'!$V$4:$V$103,D97)&lt;&gt;1,"参照ID不正",IF(INDEX('15_評価計画・品質ゲート'!$U$4:$U$103,MATCH(D97,'15_評価計画・品質ゲート'!$V$4:$V$103,0))="","",INDEX('15_評価計画・品質ゲート'!$U$4:$U$103,MATCH(D97,'15_評価計画・品質ゲート'!$V$4:$V$103,0)))),"計画Manifest不一致",IF(F97="対象外",IF(H97="","対象外理由不足","対象外承認"),IF(F97&lt;&gt;"必須","適用未判定",IF(OR(G97="",COUNTIF('16_評価実績インデックス'!$A$4:$A$103,G97)&lt;&gt;1),"評価Run不足・不正",IF(OR(C97&lt;&gt;IF(COUNTIF('16_評価実績インデックス'!$A$4:$A$103,G97)&lt;&gt;1,"参照ID不正",IF(INDEX('16_評価実績インデックス'!$T$4:$T$103,MATCH(G97,'16_評価実績インデックス'!$A$4:$A$103,0))="","",INDEX('16_評価実績インデックス'!$T$4:$T$103,MATCH(G97,'16_評価実績インデックス'!$A$4:$A$103,0)))),D97&lt;&gt;IF(COUNTIF('16_評価実績インデックス'!$A$4:$A$103,G97)&lt;&gt;1,"参照ID不正",IF(INDEX('16_評価実績インデックス'!$B$4:$B$103,MATCH(G97,'16_評価実績インデックス'!$A$4:$A$103,0))="","",INDEX('16_評価実績インデックス'!$B$4:$B$103,MATCH(G97,'16_評価実績インデックス'!$A$4:$A$103,0)))),B97&lt;&gt;IF(COUNTIF('16_評価実績インデックス'!$A$4:$A$103,G97)&lt;&gt;1,"参照ID不正",IF(INDEX('16_評価実績インデックス'!$C$4:$C$103,MATCH(G97,'16_評価実績インデックス'!$A$4:$A$103,0))="","",INDEX('16_評価実績インデックス'!$C$4:$C$103,MATCH(G97,'16_評価実績インデックス'!$A$4:$A$103,0))))),"評価対象不一致",IF(IF(COUNTIF('16_評価実績インデックス'!$A$4:$A$103,G97)&lt;&gt;1,"参照ID不正",IF(INDEX('16_評価実績インデックス'!$S$4:$S$103,MATCH(G97,'16_評価実績インデックス'!$A$4:$A$103,0))="","",INDEX('16_評価実績インデックス'!$S$4:$S$103,MATCH(G97,'16_評価実績インデックス'!$A$4:$A$103,0))))&lt;&gt;"記録あり・内容審査別","評価記録未充足",IF(L97&lt;&gt;"合格","必要評価不合格・未確定","評価充足"))))))))))))</f>
        <v/>
      </c>
      <c r="N97" s="28">
        <f t="shared" si="2"/>
        <v>0</v>
      </c>
      <c r="O97" s="29"/>
      <c r="P97" s="29"/>
    </row>
    <row r="98" spans="1:16" ht="64" customHeight="1" x14ac:dyDescent="0.2">
      <c r="A98" s="29"/>
      <c r="B98" s="29"/>
      <c r="C98" s="29"/>
      <c r="D98" s="29"/>
      <c r="E98" s="28" t="str">
        <f>IF(A98="","",IF(COUNTIF('15_評価計画・品質ゲート'!$V$4:$V$103,D98)&lt;&gt;1,"参照ID不正",IF(INDEX('15_評価計画・品質ゲート'!$A$4:$A$103,MATCH(D98,'15_評価計画・品質ゲート'!$V$4:$V$103,0))="","",INDEX('15_評価計画・品質ゲート'!$A$4:$A$103,MATCH(D98,'15_評価計画・品質ゲート'!$V$4:$V$103,0)))))</f>
        <v/>
      </c>
      <c r="F98" s="29"/>
      <c r="G98" s="29"/>
      <c r="H98" s="29"/>
      <c r="I98" s="29"/>
      <c r="J98" s="29"/>
      <c r="K98" s="29"/>
      <c r="L98" s="28" t="str">
        <f>IF(OR(A98="",G98=""),"",IF(COUNTIF('16_評価実績インデックス'!$A$4:$A$103,G98)&lt;&gt;1,"参照ID不正",IF(INDEX('16_評価実績インデックス'!$O$4:$O$103,MATCH(G98,'16_評価実績インデックス'!$A$4:$A$103,0))="","",INDEX('16_評価実績インデックス'!$O$4:$O$103,MATCH(G98,'16_評価実績インデックス'!$A$4:$A$103,0)))))</f>
        <v/>
      </c>
      <c r="M98" s="28" t="str">
        <f>IF(A98="","",IF(OR(COUNTIF($A$4:$A$153,A98)&lt;&gt;1,COUNTIFS($B$4:$B$153,B98,$C$4:$C$153,C98,$D$4:$D$153,D98)&lt;&gt;1),"集合ID・計画重複",IF(OR(OR(B98="",C98="",D98="",I98="",J98="",O98=""),NOT(ISNUMBER(K98))),"集合承認不足",IF(OR(AND(K98&lt;&gt;"",OR(NOT(ISNUMBER(K98)),IFERROR(K98&lt;1,TRUE),IFERROR(INT(K98)&gt;INT(AsOfDate),TRUE)))),"集合承認日不正",IF(COUNTIF(EvalPlanKeys,D98)&lt;&gt;1,"PlanKey不正",IF(C98&lt;&gt;IF(COUNTIF('15_評価計画・品質ゲート'!$V$4:$V$103,D98)&lt;&gt;1,"参照ID不正",IF(INDEX('15_評価計画・品質ゲート'!$U$4:$U$103,MATCH(D98,'15_評価計画・品質ゲート'!$V$4:$V$103,0))="","",INDEX('15_評価計画・品質ゲート'!$U$4:$U$103,MATCH(D98,'15_評価計画・品質ゲート'!$V$4:$V$103,0)))),"計画Manifest不一致",IF(F98="対象外",IF(H98="","対象外理由不足","対象外承認"),IF(F98&lt;&gt;"必須","適用未判定",IF(OR(G98="",COUNTIF('16_評価実績インデックス'!$A$4:$A$103,G98)&lt;&gt;1),"評価Run不足・不正",IF(OR(C98&lt;&gt;IF(COUNTIF('16_評価実績インデックス'!$A$4:$A$103,G98)&lt;&gt;1,"参照ID不正",IF(INDEX('16_評価実績インデックス'!$T$4:$T$103,MATCH(G98,'16_評価実績インデックス'!$A$4:$A$103,0))="","",INDEX('16_評価実績インデックス'!$T$4:$T$103,MATCH(G98,'16_評価実績インデックス'!$A$4:$A$103,0)))),D98&lt;&gt;IF(COUNTIF('16_評価実績インデックス'!$A$4:$A$103,G98)&lt;&gt;1,"参照ID不正",IF(INDEX('16_評価実績インデックス'!$B$4:$B$103,MATCH(G98,'16_評価実績インデックス'!$A$4:$A$103,0))="","",INDEX('16_評価実績インデックス'!$B$4:$B$103,MATCH(G98,'16_評価実績インデックス'!$A$4:$A$103,0)))),B98&lt;&gt;IF(COUNTIF('16_評価実績インデックス'!$A$4:$A$103,G98)&lt;&gt;1,"参照ID不正",IF(INDEX('16_評価実績インデックス'!$C$4:$C$103,MATCH(G98,'16_評価実績インデックス'!$A$4:$A$103,0))="","",INDEX('16_評価実績インデックス'!$C$4:$C$103,MATCH(G98,'16_評価実績インデックス'!$A$4:$A$103,0))))),"評価対象不一致",IF(IF(COUNTIF('16_評価実績インデックス'!$A$4:$A$103,G98)&lt;&gt;1,"参照ID不正",IF(INDEX('16_評価実績インデックス'!$S$4:$S$103,MATCH(G98,'16_評価実績インデックス'!$A$4:$A$103,0))="","",INDEX('16_評価実績インデックス'!$S$4:$S$103,MATCH(G98,'16_評価実績インデックス'!$A$4:$A$103,0))))&lt;&gt;"記録あり・内容審査別","評価記録未充足",IF(L98&lt;&gt;"合格","必要評価不合格・未確定","評価充足"))))))))))))</f>
        <v/>
      </c>
      <c r="N98" s="28">
        <f t="shared" si="2"/>
        <v>0</v>
      </c>
      <c r="O98" s="29"/>
      <c r="P98" s="29"/>
    </row>
    <row r="99" spans="1:16" ht="64" customHeight="1" x14ac:dyDescent="0.2">
      <c r="A99" s="29"/>
      <c r="B99" s="29"/>
      <c r="C99" s="29"/>
      <c r="D99" s="29"/>
      <c r="E99" s="28" t="str">
        <f>IF(A99="","",IF(COUNTIF('15_評価計画・品質ゲート'!$V$4:$V$103,D99)&lt;&gt;1,"参照ID不正",IF(INDEX('15_評価計画・品質ゲート'!$A$4:$A$103,MATCH(D99,'15_評価計画・品質ゲート'!$V$4:$V$103,0))="","",INDEX('15_評価計画・品質ゲート'!$A$4:$A$103,MATCH(D99,'15_評価計画・品質ゲート'!$V$4:$V$103,0)))))</f>
        <v/>
      </c>
      <c r="F99" s="29"/>
      <c r="G99" s="29"/>
      <c r="H99" s="29"/>
      <c r="I99" s="29"/>
      <c r="J99" s="29"/>
      <c r="K99" s="29"/>
      <c r="L99" s="28" t="str">
        <f>IF(OR(A99="",G99=""),"",IF(COUNTIF('16_評価実績インデックス'!$A$4:$A$103,G99)&lt;&gt;1,"参照ID不正",IF(INDEX('16_評価実績インデックス'!$O$4:$O$103,MATCH(G99,'16_評価実績インデックス'!$A$4:$A$103,0))="","",INDEX('16_評価実績インデックス'!$O$4:$O$103,MATCH(G99,'16_評価実績インデックス'!$A$4:$A$103,0)))))</f>
        <v/>
      </c>
      <c r="M99" s="28" t="str">
        <f>IF(A99="","",IF(OR(COUNTIF($A$4:$A$153,A99)&lt;&gt;1,COUNTIFS($B$4:$B$153,B99,$C$4:$C$153,C99,$D$4:$D$153,D99)&lt;&gt;1),"集合ID・計画重複",IF(OR(OR(B99="",C99="",D99="",I99="",J99="",O99=""),NOT(ISNUMBER(K99))),"集合承認不足",IF(OR(AND(K99&lt;&gt;"",OR(NOT(ISNUMBER(K99)),IFERROR(K99&lt;1,TRUE),IFERROR(INT(K99)&gt;INT(AsOfDate),TRUE)))),"集合承認日不正",IF(COUNTIF(EvalPlanKeys,D99)&lt;&gt;1,"PlanKey不正",IF(C99&lt;&gt;IF(COUNTIF('15_評価計画・品質ゲート'!$V$4:$V$103,D99)&lt;&gt;1,"参照ID不正",IF(INDEX('15_評価計画・品質ゲート'!$U$4:$U$103,MATCH(D99,'15_評価計画・品質ゲート'!$V$4:$V$103,0))="","",INDEX('15_評価計画・品質ゲート'!$U$4:$U$103,MATCH(D99,'15_評価計画・品質ゲート'!$V$4:$V$103,0)))),"計画Manifest不一致",IF(F99="対象外",IF(H99="","対象外理由不足","対象外承認"),IF(F99&lt;&gt;"必須","適用未判定",IF(OR(G99="",COUNTIF('16_評価実績インデックス'!$A$4:$A$103,G99)&lt;&gt;1),"評価Run不足・不正",IF(OR(C99&lt;&gt;IF(COUNTIF('16_評価実績インデックス'!$A$4:$A$103,G99)&lt;&gt;1,"参照ID不正",IF(INDEX('16_評価実績インデックス'!$T$4:$T$103,MATCH(G99,'16_評価実績インデックス'!$A$4:$A$103,0))="","",INDEX('16_評価実績インデックス'!$T$4:$T$103,MATCH(G99,'16_評価実績インデックス'!$A$4:$A$103,0)))),D99&lt;&gt;IF(COUNTIF('16_評価実績インデックス'!$A$4:$A$103,G99)&lt;&gt;1,"参照ID不正",IF(INDEX('16_評価実績インデックス'!$B$4:$B$103,MATCH(G99,'16_評価実績インデックス'!$A$4:$A$103,0))="","",INDEX('16_評価実績インデックス'!$B$4:$B$103,MATCH(G99,'16_評価実績インデックス'!$A$4:$A$103,0)))),B99&lt;&gt;IF(COUNTIF('16_評価実績インデックス'!$A$4:$A$103,G99)&lt;&gt;1,"参照ID不正",IF(INDEX('16_評価実績インデックス'!$C$4:$C$103,MATCH(G99,'16_評価実績インデックス'!$A$4:$A$103,0))="","",INDEX('16_評価実績インデックス'!$C$4:$C$103,MATCH(G99,'16_評価実績インデックス'!$A$4:$A$103,0))))),"評価対象不一致",IF(IF(COUNTIF('16_評価実績インデックス'!$A$4:$A$103,G99)&lt;&gt;1,"参照ID不正",IF(INDEX('16_評価実績インデックス'!$S$4:$S$103,MATCH(G99,'16_評価実績インデックス'!$A$4:$A$103,0))="","",INDEX('16_評価実績インデックス'!$S$4:$S$103,MATCH(G99,'16_評価実績インデックス'!$A$4:$A$103,0))))&lt;&gt;"記録あり・内容審査別","評価記録未充足",IF(L99&lt;&gt;"合格","必要評価不合格・未確定","評価充足"))))))))))))</f>
        <v/>
      </c>
      <c r="N99" s="28">
        <f t="shared" si="2"/>
        <v>0</v>
      </c>
      <c r="O99" s="29"/>
      <c r="P99" s="29"/>
    </row>
    <row r="100" spans="1:16" ht="64" customHeight="1" x14ac:dyDescent="0.2">
      <c r="A100" s="29"/>
      <c r="B100" s="29"/>
      <c r="C100" s="29"/>
      <c r="D100" s="29"/>
      <c r="E100" s="28" t="str">
        <f>IF(A100="","",IF(COUNTIF('15_評価計画・品質ゲート'!$V$4:$V$103,D100)&lt;&gt;1,"参照ID不正",IF(INDEX('15_評価計画・品質ゲート'!$A$4:$A$103,MATCH(D100,'15_評価計画・品質ゲート'!$V$4:$V$103,0))="","",INDEX('15_評価計画・品質ゲート'!$A$4:$A$103,MATCH(D100,'15_評価計画・品質ゲート'!$V$4:$V$103,0)))))</f>
        <v/>
      </c>
      <c r="F100" s="29"/>
      <c r="G100" s="29"/>
      <c r="H100" s="29"/>
      <c r="I100" s="29"/>
      <c r="J100" s="29"/>
      <c r="K100" s="29"/>
      <c r="L100" s="28" t="str">
        <f>IF(OR(A100="",G100=""),"",IF(COUNTIF('16_評価実績インデックス'!$A$4:$A$103,G100)&lt;&gt;1,"参照ID不正",IF(INDEX('16_評価実績インデックス'!$O$4:$O$103,MATCH(G100,'16_評価実績インデックス'!$A$4:$A$103,0))="","",INDEX('16_評価実績インデックス'!$O$4:$O$103,MATCH(G100,'16_評価実績インデックス'!$A$4:$A$103,0)))))</f>
        <v/>
      </c>
      <c r="M100" s="28" t="str">
        <f>IF(A100="","",IF(OR(COUNTIF($A$4:$A$153,A100)&lt;&gt;1,COUNTIFS($B$4:$B$153,B100,$C$4:$C$153,C100,$D$4:$D$153,D100)&lt;&gt;1),"集合ID・計画重複",IF(OR(OR(B100="",C100="",D100="",I100="",J100="",O100=""),NOT(ISNUMBER(K100))),"集合承認不足",IF(OR(AND(K100&lt;&gt;"",OR(NOT(ISNUMBER(K100)),IFERROR(K100&lt;1,TRUE),IFERROR(INT(K100)&gt;INT(AsOfDate),TRUE)))),"集合承認日不正",IF(COUNTIF(EvalPlanKeys,D100)&lt;&gt;1,"PlanKey不正",IF(C100&lt;&gt;IF(COUNTIF('15_評価計画・品質ゲート'!$V$4:$V$103,D100)&lt;&gt;1,"参照ID不正",IF(INDEX('15_評価計画・品質ゲート'!$U$4:$U$103,MATCH(D100,'15_評価計画・品質ゲート'!$V$4:$V$103,0))="","",INDEX('15_評価計画・品質ゲート'!$U$4:$U$103,MATCH(D100,'15_評価計画・品質ゲート'!$V$4:$V$103,0)))),"計画Manifest不一致",IF(F100="対象外",IF(H100="","対象外理由不足","対象外承認"),IF(F100&lt;&gt;"必須","適用未判定",IF(OR(G100="",COUNTIF('16_評価実績インデックス'!$A$4:$A$103,G100)&lt;&gt;1),"評価Run不足・不正",IF(OR(C100&lt;&gt;IF(COUNTIF('16_評価実績インデックス'!$A$4:$A$103,G100)&lt;&gt;1,"参照ID不正",IF(INDEX('16_評価実績インデックス'!$T$4:$T$103,MATCH(G100,'16_評価実績インデックス'!$A$4:$A$103,0))="","",INDEX('16_評価実績インデックス'!$T$4:$T$103,MATCH(G100,'16_評価実績インデックス'!$A$4:$A$103,0)))),D100&lt;&gt;IF(COUNTIF('16_評価実績インデックス'!$A$4:$A$103,G100)&lt;&gt;1,"参照ID不正",IF(INDEX('16_評価実績インデックス'!$B$4:$B$103,MATCH(G100,'16_評価実績インデックス'!$A$4:$A$103,0))="","",INDEX('16_評価実績インデックス'!$B$4:$B$103,MATCH(G100,'16_評価実績インデックス'!$A$4:$A$103,0)))),B100&lt;&gt;IF(COUNTIF('16_評価実績インデックス'!$A$4:$A$103,G100)&lt;&gt;1,"参照ID不正",IF(INDEX('16_評価実績インデックス'!$C$4:$C$103,MATCH(G100,'16_評価実績インデックス'!$A$4:$A$103,0))="","",INDEX('16_評価実績インデックス'!$C$4:$C$103,MATCH(G100,'16_評価実績インデックス'!$A$4:$A$103,0))))),"評価対象不一致",IF(IF(COUNTIF('16_評価実績インデックス'!$A$4:$A$103,G100)&lt;&gt;1,"参照ID不正",IF(INDEX('16_評価実績インデックス'!$S$4:$S$103,MATCH(G100,'16_評価実績インデックス'!$A$4:$A$103,0))="","",INDEX('16_評価実績インデックス'!$S$4:$S$103,MATCH(G100,'16_評価実績インデックス'!$A$4:$A$103,0))))&lt;&gt;"記録あり・内容審査別","評価記録未充足",IF(L100&lt;&gt;"合格","必要評価不合格・未確定","評価充足"))))))))))))</f>
        <v/>
      </c>
      <c r="N100" s="28">
        <f t="shared" ref="N100:N131" si="3">IF(OR(M100="評価充足",M100="対象外承認"),1,0)</f>
        <v>0</v>
      </c>
      <c r="O100" s="29"/>
      <c r="P100" s="29"/>
    </row>
    <row r="101" spans="1:16" ht="64" customHeight="1" x14ac:dyDescent="0.2">
      <c r="A101" s="29"/>
      <c r="B101" s="29"/>
      <c r="C101" s="29"/>
      <c r="D101" s="29"/>
      <c r="E101" s="28" t="str">
        <f>IF(A101="","",IF(COUNTIF('15_評価計画・品質ゲート'!$V$4:$V$103,D101)&lt;&gt;1,"参照ID不正",IF(INDEX('15_評価計画・品質ゲート'!$A$4:$A$103,MATCH(D101,'15_評価計画・品質ゲート'!$V$4:$V$103,0))="","",INDEX('15_評価計画・品質ゲート'!$A$4:$A$103,MATCH(D101,'15_評価計画・品質ゲート'!$V$4:$V$103,0)))))</f>
        <v/>
      </c>
      <c r="F101" s="29"/>
      <c r="G101" s="29"/>
      <c r="H101" s="29"/>
      <c r="I101" s="29"/>
      <c r="J101" s="29"/>
      <c r="K101" s="29"/>
      <c r="L101" s="28" t="str">
        <f>IF(OR(A101="",G101=""),"",IF(COUNTIF('16_評価実績インデックス'!$A$4:$A$103,G101)&lt;&gt;1,"参照ID不正",IF(INDEX('16_評価実績インデックス'!$O$4:$O$103,MATCH(G101,'16_評価実績インデックス'!$A$4:$A$103,0))="","",INDEX('16_評価実績インデックス'!$O$4:$O$103,MATCH(G101,'16_評価実績インデックス'!$A$4:$A$103,0)))))</f>
        <v/>
      </c>
      <c r="M101" s="28" t="str">
        <f>IF(A101="","",IF(OR(COUNTIF($A$4:$A$153,A101)&lt;&gt;1,COUNTIFS($B$4:$B$153,B101,$C$4:$C$153,C101,$D$4:$D$153,D101)&lt;&gt;1),"集合ID・計画重複",IF(OR(OR(B101="",C101="",D101="",I101="",J101="",O101=""),NOT(ISNUMBER(K101))),"集合承認不足",IF(OR(AND(K101&lt;&gt;"",OR(NOT(ISNUMBER(K101)),IFERROR(K101&lt;1,TRUE),IFERROR(INT(K101)&gt;INT(AsOfDate),TRUE)))),"集合承認日不正",IF(COUNTIF(EvalPlanKeys,D101)&lt;&gt;1,"PlanKey不正",IF(C101&lt;&gt;IF(COUNTIF('15_評価計画・品質ゲート'!$V$4:$V$103,D101)&lt;&gt;1,"参照ID不正",IF(INDEX('15_評価計画・品質ゲート'!$U$4:$U$103,MATCH(D101,'15_評価計画・品質ゲート'!$V$4:$V$103,0))="","",INDEX('15_評価計画・品質ゲート'!$U$4:$U$103,MATCH(D101,'15_評価計画・品質ゲート'!$V$4:$V$103,0)))),"計画Manifest不一致",IF(F101="対象外",IF(H101="","対象外理由不足","対象外承認"),IF(F101&lt;&gt;"必須","適用未判定",IF(OR(G101="",COUNTIF('16_評価実績インデックス'!$A$4:$A$103,G101)&lt;&gt;1),"評価Run不足・不正",IF(OR(C101&lt;&gt;IF(COUNTIF('16_評価実績インデックス'!$A$4:$A$103,G101)&lt;&gt;1,"参照ID不正",IF(INDEX('16_評価実績インデックス'!$T$4:$T$103,MATCH(G101,'16_評価実績インデックス'!$A$4:$A$103,0))="","",INDEX('16_評価実績インデックス'!$T$4:$T$103,MATCH(G101,'16_評価実績インデックス'!$A$4:$A$103,0)))),D101&lt;&gt;IF(COUNTIF('16_評価実績インデックス'!$A$4:$A$103,G101)&lt;&gt;1,"参照ID不正",IF(INDEX('16_評価実績インデックス'!$B$4:$B$103,MATCH(G101,'16_評価実績インデックス'!$A$4:$A$103,0))="","",INDEX('16_評価実績インデックス'!$B$4:$B$103,MATCH(G101,'16_評価実績インデックス'!$A$4:$A$103,0)))),B101&lt;&gt;IF(COUNTIF('16_評価実績インデックス'!$A$4:$A$103,G101)&lt;&gt;1,"参照ID不正",IF(INDEX('16_評価実績インデックス'!$C$4:$C$103,MATCH(G101,'16_評価実績インデックス'!$A$4:$A$103,0))="","",INDEX('16_評価実績インデックス'!$C$4:$C$103,MATCH(G101,'16_評価実績インデックス'!$A$4:$A$103,0))))),"評価対象不一致",IF(IF(COUNTIF('16_評価実績インデックス'!$A$4:$A$103,G101)&lt;&gt;1,"参照ID不正",IF(INDEX('16_評価実績インデックス'!$S$4:$S$103,MATCH(G101,'16_評価実績インデックス'!$A$4:$A$103,0))="","",INDEX('16_評価実績インデックス'!$S$4:$S$103,MATCH(G101,'16_評価実績インデックス'!$A$4:$A$103,0))))&lt;&gt;"記録あり・内容審査別","評価記録未充足",IF(L101&lt;&gt;"合格","必要評価不合格・未確定","評価充足"))))))))))))</f>
        <v/>
      </c>
      <c r="N101" s="28">
        <f t="shared" si="3"/>
        <v>0</v>
      </c>
      <c r="O101" s="29"/>
      <c r="P101" s="29"/>
    </row>
    <row r="102" spans="1:16" ht="64" customHeight="1" x14ac:dyDescent="0.2">
      <c r="A102" s="29"/>
      <c r="B102" s="29"/>
      <c r="C102" s="29"/>
      <c r="D102" s="29"/>
      <c r="E102" s="28" t="str">
        <f>IF(A102="","",IF(COUNTIF('15_評価計画・品質ゲート'!$V$4:$V$103,D102)&lt;&gt;1,"参照ID不正",IF(INDEX('15_評価計画・品質ゲート'!$A$4:$A$103,MATCH(D102,'15_評価計画・品質ゲート'!$V$4:$V$103,0))="","",INDEX('15_評価計画・品質ゲート'!$A$4:$A$103,MATCH(D102,'15_評価計画・品質ゲート'!$V$4:$V$103,0)))))</f>
        <v/>
      </c>
      <c r="F102" s="29"/>
      <c r="G102" s="29"/>
      <c r="H102" s="29"/>
      <c r="I102" s="29"/>
      <c r="J102" s="29"/>
      <c r="K102" s="29"/>
      <c r="L102" s="28" t="str">
        <f>IF(OR(A102="",G102=""),"",IF(COUNTIF('16_評価実績インデックス'!$A$4:$A$103,G102)&lt;&gt;1,"参照ID不正",IF(INDEX('16_評価実績インデックス'!$O$4:$O$103,MATCH(G102,'16_評価実績インデックス'!$A$4:$A$103,0))="","",INDEX('16_評価実績インデックス'!$O$4:$O$103,MATCH(G102,'16_評価実績インデックス'!$A$4:$A$103,0)))))</f>
        <v/>
      </c>
      <c r="M102" s="28" t="str">
        <f>IF(A102="","",IF(OR(COUNTIF($A$4:$A$153,A102)&lt;&gt;1,COUNTIFS($B$4:$B$153,B102,$C$4:$C$153,C102,$D$4:$D$153,D102)&lt;&gt;1),"集合ID・計画重複",IF(OR(OR(B102="",C102="",D102="",I102="",J102="",O102=""),NOT(ISNUMBER(K102))),"集合承認不足",IF(OR(AND(K102&lt;&gt;"",OR(NOT(ISNUMBER(K102)),IFERROR(K102&lt;1,TRUE),IFERROR(INT(K102)&gt;INT(AsOfDate),TRUE)))),"集合承認日不正",IF(COUNTIF(EvalPlanKeys,D102)&lt;&gt;1,"PlanKey不正",IF(C102&lt;&gt;IF(COUNTIF('15_評価計画・品質ゲート'!$V$4:$V$103,D102)&lt;&gt;1,"参照ID不正",IF(INDEX('15_評価計画・品質ゲート'!$U$4:$U$103,MATCH(D102,'15_評価計画・品質ゲート'!$V$4:$V$103,0))="","",INDEX('15_評価計画・品質ゲート'!$U$4:$U$103,MATCH(D102,'15_評価計画・品質ゲート'!$V$4:$V$103,0)))),"計画Manifest不一致",IF(F102="対象外",IF(H102="","対象外理由不足","対象外承認"),IF(F102&lt;&gt;"必須","適用未判定",IF(OR(G102="",COUNTIF('16_評価実績インデックス'!$A$4:$A$103,G102)&lt;&gt;1),"評価Run不足・不正",IF(OR(C102&lt;&gt;IF(COUNTIF('16_評価実績インデックス'!$A$4:$A$103,G102)&lt;&gt;1,"参照ID不正",IF(INDEX('16_評価実績インデックス'!$T$4:$T$103,MATCH(G102,'16_評価実績インデックス'!$A$4:$A$103,0))="","",INDEX('16_評価実績インデックス'!$T$4:$T$103,MATCH(G102,'16_評価実績インデックス'!$A$4:$A$103,0)))),D102&lt;&gt;IF(COUNTIF('16_評価実績インデックス'!$A$4:$A$103,G102)&lt;&gt;1,"参照ID不正",IF(INDEX('16_評価実績インデックス'!$B$4:$B$103,MATCH(G102,'16_評価実績インデックス'!$A$4:$A$103,0))="","",INDEX('16_評価実績インデックス'!$B$4:$B$103,MATCH(G102,'16_評価実績インデックス'!$A$4:$A$103,0)))),B102&lt;&gt;IF(COUNTIF('16_評価実績インデックス'!$A$4:$A$103,G102)&lt;&gt;1,"参照ID不正",IF(INDEX('16_評価実績インデックス'!$C$4:$C$103,MATCH(G102,'16_評価実績インデックス'!$A$4:$A$103,0))="","",INDEX('16_評価実績インデックス'!$C$4:$C$103,MATCH(G102,'16_評価実績インデックス'!$A$4:$A$103,0))))),"評価対象不一致",IF(IF(COUNTIF('16_評価実績インデックス'!$A$4:$A$103,G102)&lt;&gt;1,"参照ID不正",IF(INDEX('16_評価実績インデックス'!$S$4:$S$103,MATCH(G102,'16_評価実績インデックス'!$A$4:$A$103,0))="","",INDEX('16_評価実績インデックス'!$S$4:$S$103,MATCH(G102,'16_評価実績インデックス'!$A$4:$A$103,0))))&lt;&gt;"記録あり・内容審査別","評価記録未充足",IF(L102&lt;&gt;"合格","必要評価不合格・未確定","評価充足"))))))))))))</f>
        <v/>
      </c>
      <c r="N102" s="28">
        <f t="shared" si="3"/>
        <v>0</v>
      </c>
      <c r="O102" s="29"/>
      <c r="P102" s="29"/>
    </row>
    <row r="103" spans="1:16" ht="64" customHeight="1" x14ac:dyDescent="0.2">
      <c r="A103" s="29"/>
      <c r="B103" s="29"/>
      <c r="C103" s="29"/>
      <c r="D103" s="29"/>
      <c r="E103" s="28" t="str">
        <f>IF(A103="","",IF(COUNTIF('15_評価計画・品質ゲート'!$V$4:$V$103,D103)&lt;&gt;1,"参照ID不正",IF(INDEX('15_評価計画・品質ゲート'!$A$4:$A$103,MATCH(D103,'15_評価計画・品質ゲート'!$V$4:$V$103,0))="","",INDEX('15_評価計画・品質ゲート'!$A$4:$A$103,MATCH(D103,'15_評価計画・品質ゲート'!$V$4:$V$103,0)))))</f>
        <v/>
      </c>
      <c r="F103" s="29"/>
      <c r="G103" s="29"/>
      <c r="H103" s="29"/>
      <c r="I103" s="29"/>
      <c r="J103" s="29"/>
      <c r="K103" s="29"/>
      <c r="L103" s="28" t="str">
        <f>IF(OR(A103="",G103=""),"",IF(COUNTIF('16_評価実績インデックス'!$A$4:$A$103,G103)&lt;&gt;1,"参照ID不正",IF(INDEX('16_評価実績インデックス'!$O$4:$O$103,MATCH(G103,'16_評価実績インデックス'!$A$4:$A$103,0))="","",INDEX('16_評価実績インデックス'!$O$4:$O$103,MATCH(G103,'16_評価実績インデックス'!$A$4:$A$103,0)))))</f>
        <v/>
      </c>
      <c r="M103" s="28" t="str">
        <f>IF(A103="","",IF(OR(COUNTIF($A$4:$A$153,A103)&lt;&gt;1,COUNTIFS($B$4:$B$153,B103,$C$4:$C$153,C103,$D$4:$D$153,D103)&lt;&gt;1),"集合ID・計画重複",IF(OR(OR(B103="",C103="",D103="",I103="",J103="",O103=""),NOT(ISNUMBER(K103))),"集合承認不足",IF(OR(AND(K103&lt;&gt;"",OR(NOT(ISNUMBER(K103)),IFERROR(K103&lt;1,TRUE),IFERROR(INT(K103)&gt;INT(AsOfDate),TRUE)))),"集合承認日不正",IF(COUNTIF(EvalPlanKeys,D103)&lt;&gt;1,"PlanKey不正",IF(C103&lt;&gt;IF(COUNTIF('15_評価計画・品質ゲート'!$V$4:$V$103,D103)&lt;&gt;1,"参照ID不正",IF(INDEX('15_評価計画・品質ゲート'!$U$4:$U$103,MATCH(D103,'15_評価計画・品質ゲート'!$V$4:$V$103,0))="","",INDEX('15_評価計画・品質ゲート'!$U$4:$U$103,MATCH(D103,'15_評価計画・品質ゲート'!$V$4:$V$103,0)))),"計画Manifest不一致",IF(F103="対象外",IF(H103="","対象外理由不足","対象外承認"),IF(F103&lt;&gt;"必須","適用未判定",IF(OR(G103="",COUNTIF('16_評価実績インデックス'!$A$4:$A$103,G103)&lt;&gt;1),"評価Run不足・不正",IF(OR(C103&lt;&gt;IF(COUNTIF('16_評価実績インデックス'!$A$4:$A$103,G103)&lt;&gt;1,"参照ID不正",IF(INDEX('16_評価実績インデックス'!$T$4:$T$103,MATCH(G103,'16_評価実績インデックス'!$A$4:$A$103,0))="","",INDEX('16_評価実績インデックス'!$T$4:$T$103,MATCH(G103,'16_評価実績インデックス'!$A$4:$A$103,0)))),D103&lt;&gt;IF(COUNTIF('16_評価実績インデックス'!$A$4:$A$103,G103)&lt;&gt;1,"参照ID不正",IF(INDEX('16_評価実績インデックス'!$B$4:$B$103,MATCH(G103,'16_評価実績インデックス'!$A$4:$A$103,0))="","",INDEX('16_評価実績インデックス'!$B$4:$B$103,MATCH(G103,'16_評価実績インデックス'!$A$4:$A$103,0)))),B103&lt;&gt;IF(COUNTIF('16_評価実績インデックス'!$A$4:$A$103,G103)&lt;&gt;1,"参照ID不正",IF(INDEX('16_評価実績インデックス'!$C$4:$C$103,MATCH(G103,'16_評価実績インデックス'!$A$4:$A$103,0))="","",INDEX('16_評価実績インデックス'!$C$4:$C$103,MATCH(G103,'16_評価実績インデックス'!$A$4:$A$103,0))))),"評価対象不一致",IF(IF(COUNTIF('16_評価実績インデックス'!$A$4:$A$103,G103)&lt;&gt;1,"参照ID不正",IF(INDEX('16_評価実績インデックス'!$S$4:$S$103,MATCH(G103,'16_評価実績インデックス'!$A$4:$A$103,0))="","",INDEX('16_評価実績インデックス'!$S$4:$S$103,MATCH(G103,'16_評価実績インデックス'!$A$4:$A$103,0))))&lt;&gt;"記録あり・内容審査別","評価記録未充足",IF(L103&lt;&gt;"合格","必要評価不合格・未確定","評価充足"))))))))))))</f>
        <v/>
      </c>
      <c r="N103" s="28">
        <f t="shared" si="3"/>
        <v>0</v>
      </c>
      <c r="O103" s="29"/>
      <c r="P103" s="29"/>
    </row>
    <row r="104" spans="1:16" ht="64" customHeight="1" x14ac:dyDescent="0.2">
      <c r="A104" s="29"/>
      <c r="B104" s="29"/>
      <c r="C104" s="29"/>
      <c r="D104" s="29"/>
      <c r="E104" s="28" t="str">
        <f>IF(A104="","",IF(COUNTIF('15_評価計画・品質ゲート'!$V$4:$V$103,D104)&lt;&gt;1,"参照ID不正",IF(INDEX('15_評価計画・品質ゲート'!$A$4:$A$103,MATCH(D104,'15_評価計画・品質ゲート'!$V$4:$V$103,0))="","",INDEX('15_評価計画・品質ゲート'!$A$4:$A$103,MATCH(D104,'15_評価計画・品質ゲート'!$V$4:$V$103,0)))))</f>
        <v/>
      </c>
      <c r="F104" s="29"/>
      <c r="G104" s="29"/>
      <c r="H104" s="29"/>
      <c r="I104" s="29"/>
      <c r="J104" s="29"/>
      <c r="K104" s="29"/>
      <c r="L104" s="28" t="str">
        <f>IF(OR(A104="",G104=""),"",IF(COUNTIF('16_評価実績インデックス'!$A$4:$A$103,G104)&lt;&gt;1,"参照ID不正",IF(INDEX('16_評価実績インデックス'!$O$4:$O$103,MATCH(G104,'16_評価実績インデックス'!$A$4:$A$103,0))="","",INDEX('16_評価実績インデックス'!$O$4:$O$103,MATCH(G104,'16_評価実績インデックス'!$A$4:$A$103,0)))))</f>
        <v/>
      </c>
      <c r="M104" s="28" t="str">
        <f>IF(A104="","",IF(OR(COUNTIF($A$4:$A$153,A104)&lt;&gt;1,COUNTIFS($B$4:$B$153,B104,$C$4:$C$153,C104,$D$4:$D$153,D104)&lt;&gt;1),"集合ID・計画重複",IF(OR(OR(B104="",C104="",D104="",I104="",J104="",O104=""),NOT(ISNUMBER(K104))),"集合承認不足",IF(OR(AND(K104&lt;&gt;"",OR(NOT(ISNUMBER(K104)),IFERROR(K104&lt;1,TRUE),IFERROR(INT(K104)&gt;INT(AsOfDate),TRUE)))),"集合承認日不正",IF(COUNTIF(EvalPlanKeys,D104)&lt;&gt;1,"PlanKey不正",IF(C104&lt;&gt;IF(COUNTIF('15_評価計画・品質ゲート'!$V$4:$V$103,D104)&lt;&gt;1,"参照ID不正",IF(INDEX('15_評価計画・品質ゲート'!$U$4:$U$103,MATCH(D104,'15_評価計画・品質ゲート'!$V$4:$V$103,0))="","",INDEX('15_評価計画・品質ゲート'!$U$4:$U$103,MATCH(D104,'15_評価計画・品質ゲート'!$V$4:$V$103,0)))),"計画Manifest不一致",IF(F104="対象外",IF(H104="","対象外理由不足","対象外承認"),IF(F104&lt;&gt;"必須","適用未判定",IF(OR(G104="",COUNTIF('16_評価実績インデックス'!$A$4:$A$103,G104)&lt;&gt;1),"評価Run不足・不正",IF(OR(C104&lt;&gt;IF(COUNTIF('16_評価実績インデックス'!$A$4:$A$103,G104)&lt;&gt;1,"参照ID不正",IF(INDEX('16_評価実績インデックス'!$T$4:$T$103,MATCH(G104,'16_評価実績インデックス'!$A$4:$A$103,0))="","",INDEX('16_評価実績インデックス'!$T$4:$T$103,MATCH(G104,'16_評価実績インデックス'!$A$4:$A$103,0)))),D104&lt;&gt;IF(COUNTIF('16_評価実績インデックス'!$A$4:$A$103,G104)&lt;&gt;1,"参照ID不正",IF(INDEX('16_評価実績インデックス'!$B$4:$B$103,MATCH(G104,'16_評価実績インデックス'!$A$4:$A$103,0))="","",INDEX('16_評価実績インデックス'!$B$4:$B$103,MATCH(G104,'16_評価実績インデックス'!$A$4:$A$103,0)))),B104&lt;&gt;IF(COUNTIF('16_評価実績インデックス'!$A$4:$A$103,G104)&lt;&gt;1,"参照ID不正",IF(INDEX('16_評価実績インデックス'!$C$4:$C$103,MATCH(G104,'16_評価実績インデックス'!$A$4:$A$103,0))="","",INDEX('16_評価実績インデックス'!$C$4:$C$103,MATCH(G104,'16_評価実績インデックス'!$A$4:$A$103,0))))),"評価対象不一致",IF(IF(COUNTIF('16_評価実績インデックス'!$A$4:$A$103,G104)&lt;&gt;1,"参照ID不正",IF(INDEX('16_評価実績インデックス'!$S$4:$S$103,MATCH(G104,'16_評価実績インデックス'!$A$4:$A$103,0))="","",INDEX('16_評価実績インデックス'!$S$4:$S$103,MATCH(G104,'16_評価実績インデックス'!$A$4:$A$103,0))))&lt;&gt;"記録あり・内容審査別","評価記録未充足",IF(L104&lt;&gt;"合格","必要評価不合格・未確定","評価充足"))))))))))))</f>
        <v/>
      </c>
      <c r="N104" s="28">
        <f t="shared" si="3"/>
        <v>0</v>
      </c>
      <c r="O104" s="29"/>
      <c r="P104" s="29"/>
    </row>
    <row r="105" spans="1:16" ht="64" customHeight="1" x14ac:dyDescent="0.2">
      <c r="A105" s="29"/>
      <c r="B105" s="29"/>
      <c r="C105" s="29"/>
      <c r="D105" s="29"/>
      <c r="E105" s="28" t="str">
        <f>IF(A105="","",IF(COUNTIF('15_評価計画・品質ゲート'!$V$4:$V$103,D105)&lt;&gt;1,"参照ID不正",IF(INDEX('15_評価計画・品質ゲート'!$A$4:$A$103,MATCH(D105,'15_評価計画・品質ゲート'!$V$4:$V$103,0))="","",INDEX('15_評価計画・品質ゲート'!$A$4:$A$103,MATCH(D105,'15_評価計画・品質ゲート'!$V$4:$V$103,0)))))</f>
        <v/>
      </c>
      <c r="F105" s="29"/>
      <c r="G105" s="29"/>
      <c r="H105" s="29"/>
      <c r="I105" s="29"/>
      <c r="J105" s="29"/>
      <c r="K105" s="29"/>
      <c r="L105" s="28" t="str">
        <f>IF(OR(A105="",G105=""),"",IF(COUNTIF('16_評価実績インデックス'!$A$4:$A$103,G105)&lt;&gt;1,"参照ID不正",IF(INDEX('16_評価実績インデックス'!$O$4:$O$103,MATCH(G105,'16_評価実績インデックス'!$A$4:$A$103,0))="","",INDEX('16_評価実績インデックス'!$O$4:$O$103,MATCH(G105,'16_評価実績インデックス'!$A$4:$A$103,0)))))</f>
        <v/>
      </c>
      <c r="M105" s="28" t="str">
        <f>IF(A105="","",IF(OR(COUNTIF($A$4:$A$153,A105)&lt;&gt;1,COUNTIFS($B$4:$B$153,B105,$C$4:$C$153,C105,$D$4:$D$153,D105)&lt;&gt;1),"集合ID・計画重複",IF(OR(OR(B105="",C105="",D105="",I105="",J105="",O105=""),NOT(ISNUMBER(K105))),"集合承認不足",IF(OR(AND(K105&lt;&gt;"",OR(NOT(ISNUMBER(K105)),IFERROR(K105&lt;1,TRUE),IFERROR(INT(K105)&gt;INT(AsOfDate),TRUE)))),"集合承認日不正",IF(COUNTIF(EvalPlanKeys,D105)&lt;&gt;1,"PlanKey不正",IF(C105&lt;&gt;IF(COUNTIF('15_評価計画・品質ゲート'!$V$4:$V$103,D105)&lt;&gt;1,"参照ID不正",IF(INDEX('15_評価計画・品質ゲート'!$U$4:$U$103,MATCH(D105,'15_評価計画・品質ゲート'!$V$4:$V$103,0))="","",INDEX('15_評価計画・品質ゲート'!$U$4:$U$103,MATCH(D105,'15_評価計画・品質ゲート'!$V$4:$V$103,0)))),"計画Manifest不一致",IF(F105="対象外",IF(H105="","対象外理由不足","対象外承認"),IF(F105&lt;&gt;"必須","適用未判定",IF(OR(G105="",COUNTIF('16_評価実績インデックス'!$A$4:$A$103,G105)&lt;&gt;1),"評価Run不足・不正",IF(OR(C105&lt;&gt;IF(COUNTIF('16_評価実績インデックス'!$A$4:$A$103,G105)&lt;&gt;1,"参照ID不正",IF(INDEX('16_評価実績インデックス'!$T$4:$T$103,MATCH(G105,'16_評価実績インデックス'!$A$4:$A$103,0))="","",INDEX('16_評価実績インデックス'!$T$4:$T$103,MATCH(G105,'16_評価実績インデックス'!$A$4:$A$103,0)))),D105&lt;&gt;IF(COUNTIF('16_評価実績インデックス'!$A$4:$A$103,G105)&lt;&gt;1,"参照ID不正",IF(INDEX('16_評価実績インデックス'!$B$4:$B$103,MATCH(G105,'16_評価実績インデックス'!$A$4:$A$103,0))="","",INDEX('16_評価実績インデックス'!$B$4:$B$103,MATCH(G105,'16_評価実績インデックス'!$A$4:$A$103,0)))),B105&lt;&gt;IF(COUNTIF('16_評価実績インデックス'!$A$4:$A$103,G105)&lt;&gt;1,"参照ID不正",IF(INDEX('16_評価実績インデックス'!$C$4:$C$103,MATCH(G105,'16_評価実績インデックス'!$A$4:$A$103,0))="","",INDEX('16_評価実績インデックス'!$C$4:$C$103,MATCH(G105,'16_評価実績インデックス'!$A$4:$A$103,0))))),"評価対象不一致",IF(IF(COUNTIF('16_評価実績インデックス'!$A$4:$A$103,G105)&lt;&gt;1,"参照ID不正",IF(INDEX('16_評価実績インデックス'!$S$4:$S$103,MATCH(G105,'16_評価実績インデックス'!$A$4:$A$103,0))="","",INDEX('16_評価実績インデックス'!$S$4:$S$103,MATCH(G105,'16_評価実績インデックス'!$A$4:$A$103,0))))&lt;&gt;"記録あり・内容審査別","評価記録未充足",IF(L105&lt;&gt;"合格","必要評価不合格・未確定","評価充足"))))))))))))</f>
        <v/>
      </c>
      <c r="N105" s="28">
        <f t="shared" si="3"/>
        <v>0</v>
      </c>
      <c r="O105" s="29"/>
      <c r="P105" s="29"/>
    </row>
    <row r="106" spans="1:16" ht="64" customHeight="1" x14ac:dyDescent="0.2">
      <c r="A106" s="29"/>
      <c r="B106" s="29"/>
      <c r="C106" s="29"/>
      <c r="D106" s="29"/>
      <c r="E106" s="28" t="str">
        <f>IF(A106="","",IF(COUNTIF('15_評価計画・品質ゲート'!$V$4:$V$103,D106)&lt;&gt;1,"参照ID不正",IF(INDEX('15_評価計画・品質ゲート'!$A$4:$A$103,MATCH(D106,'15_評価計画・品質ゲート'!$V$4:$V$103,0))="","",INDEX('15_評価計画・品質ゲート'!$A$4:$A$103,MATCH(D106,'15_評価計画・品質ゲート'!$V$4:$V$103,0)))))</f>
        <v/>
      </c>
      <c r="F106" s="29"/>
      <c r="G106" s="29"/>
      <c r="H106" s="29"/>
      <c r="I106" s="29"/>
      <c r="J106" s="29"/>
      <c r="K106" s="29"/>
      <c r="L106" s="28" t="str">
        <f>IF(OR(A106="",G106=""),"",IF(COUNTIF('16_評価実績インデックス'!$A$4:$A$103,G106)&lt;&gt;1,"参照ID不正",IF(INDEX('16_評価実績インデックス'!$O$4:$O$103,MATCH(G106,'16_評価実績インデックス'!$A$4:$A$103,0))="","",INDEX('16_評価実績インデックス'!$O$4:$O$103,MATCH(G106,'16_評価実績インデックス'!$A$4:$A$103,0)))))</f>
        <v/>
      </c>
      <c r="M106" s="28" t="str">
        <f>IF(A106="","",IF(OR(COUNTIF($A$4:$A$153,A106)&lt;&gt;1,COUNTIFS($B$4:$B$153,B106,$C$4:$C$153,C106,$D$4:$D$153,D106)&lt;&gt;1),"集合ID・計画重複",IF(OR(OR(B106="",C106="",D106="",I106="",J106="",O106=""),NOT(ISNUMBER(K106))),"集合承認不足",IF(OR(AND(K106&lt;&gt;"",OR(NOT(ISNUMBER(K106)),IFERROR(K106&lt;1,TRUE),IFERROR(INT(K106)&gt;INT(AsOfDate),TRUE)))),"集合承認日不正",IF(COUNTIF(EvalPlanKeys,D106)&lt;&gt;1,"PlanKey不正",IF(C106&lt;&gt;IF(COUNTIF('15_評価計画・品質ゲート'!$V$4:$V$103,D106)&lt;&gt;1,"参照ID不正",IF(INDEX('15_評価計画・品質ゲート'!$U$4:$U$103,MATCH(D106,'15_評価計画・品質ゲート'!$V$4:$V$103,0))="","",INDEX('15_評価計画・品質ゲート'!$U$4:$U$103,MATCH(D106,'15_評価計画・品質ゲート'!$V$4:$V$103,0)))),"計画Manifest不一致",IF(F106="対象外",IF(H106="","対象外理由不足","対象外承認"),IF(F106&lt;&gt;"必須","適用未判定",IF(OR(G106="",COUNTIF('16_評価実績インデックス'!$A$4:$A$103,G106)&lt;&gt;1),"評価Run不足・不正",IF(OR(C106&lt;&gt;IF(COUNTIF('16_評価実績インデックス'!$A$4:$A$103,G106)&lt;&gt;1,"参照ID不正",IF(INDEX('16_評価実績インデックス'!$T$4:$T$103,MATCH(G106,'16_評価実績インデックス'!$A$4:$A$103,0))="","",INDEX('16_評価実績インデックス'!$T$4:$T$103,MATCH(G106,'16_評価実績インデックス'!$A$4:$A$103,0)))),D106&lt;&gt;IF(COUNTIF('16_評価実績インデックス'!$A$4:$A$103,G106)&lt;&gt;1,"参照ID不正",IF(INDEX('16_評価実績インデックス'!$B$4:$B$103,MATCH(G106,'16_評価実績インデックス'!$A$4:$A$103,0))="","",INDEX('16_評価実績インデックス'!$B$4:$B$103,MATCH(G106,'16_評価実績インデックス'!$A$4:$A$103,0)))),B106&lt;&gt;IF(COUNTIF('16_評価実績インデックス'!$A$4:$A$103,G106)&lt;&gt;1,"参照ID不正",IF(INDEX('16_評価実績インデックス'!$C$4:$C$103,MATCH(G106,'16_評価実績インデックス'!$A$4:$A$103,0))="","",INDEX('16_評価実績インデックス'!$C$4:$C$103,MATCH(G106,'16_評価実績インデックス'!$A$4:$A$103,0))))),"評価対象不一致",IF(IF(COUNTIF('16_評価実績インデックス'!$A$4:$A$103,G106)&lt;&gt;1,"参照ID不正",IF(INDEX('16_評価実績インデックス'!$S$4:$S$103,MATCH(G106,'16_評価実績インデックス'!$A$4:$A$103,0))="","",INDEX('16_評価実績インデックス'!$S$4:$S$103,MATCH(G106,'16_評価実績インデックス'!$A$4:$A$103,0))))&lt;&gt;"記録あり・内容審査別","評価記録未充足",IF(L106&lt;&gt;"合格","必要評価不合格・未確定","評価充足"))))))))))))</f>
        <v/>
      </c>
      <c r="N106" s="28">
        <f t="shared" si="3"/>
        <v>0</v>
      </c>
      <c r="O106" s="29"/>
      <c r="P106" s="29"/>
    </row>
    <row r="107" spans="1:16" ht="64" customHeight="1" x14ac:dyDescent="0.2">
      <c r="A107" s="29"/>
      <c r="B107" s="29"/>
      <c r="C107" s="29"/>
      <c r="D107" s="29"/>
      <c r="E107" s="28" t="str">
        <f>IF(A107="","",IF(COUNTIF('15_評価計画・品質ゲート'!$V$4:$V$103,D107)&lt;&gt;1,"参照ID不正",IF(INDEX('15_評価計画・品質ゲート'!$A$4:$A$103,MATCH(D107,'15_評価計画・品質ゲート'!$V$4:$V$103,0))="","",INDEX('15_評価計画・品質ゲート'!$A$4:$A$103,MATCH(D107,'15_評価計画・品質ゲート'!$V$4:$V$103,0)))))</f>
        <v/>
      </c>
      <c r="F107" s="29"/>
      <c r="G107" s="29"/>
      <c r="H107" s="29"/>
      <c r="I107" s="29"/>
      <c r="J107" s="29"/>
      <c r="K107" s="29"/>
      <c r="L107" s="28" t="str">
        <f>IF(OR(A107="",G107=""),"",IF(COUNTIF('16_評価実績インデックス'!$A$4:$A$103,G107)&lt;&gt;1,"参照ID不正",IF(INDEX('16_評価実績インデックス'!$O$4:$O$103,MATCH(G107,'16_評価実績インデックス'!$A$4:$A$103,0))="","",INDEX('16_評価実績インデックス'!$O$4:$O$103,MATCH(G107,'16_評価実績インデックス'!$A$4:$A$103,0)))))</f>
        <v/>
      </c>
      <c r="M107" s="28" t="str">
        <f>IF(A107="","",IF(OR(COUNTIF($A$4:$A$153,A107)&lt;&gt;1,COUNTIFS($B$4:$B$153,B107,$C$4:$C$153,C107,$D$4:$D$153,D107)&lt;&gt;1),"集合ID・計画重複",IF(OR(OR(B107="",C107="",D107="",I107="",J107="",O107=""),NOT(ISNUMBER(K107))),"集合承認不足",IF(OR(AND(K107&lt;&gt;"",OR(NOT(ISNUMBER(K107)),IFERROR(K107&lt;1,TRUE),IFERROR(INT(K107)&gt;INT(AsOfDate),TRUE)))),"集合承認日不正",IF(COUNTIF(EvalPlanKeys,D107)&lt;&gt;1,"PlanKey不正",IF(C107&lt;&gt;IF(COUNTIF('15_評価計画・品質ゲート'!$V$4:$V$103,D107)&lt;&gt;1,"参照ID不正",IF(INDEX('15_評価計画・品質ゲート'!$U$4:$U$103,MATCH(D107,'15_評価計画・品質ゲート'!$V$4:$V$103,0))="","",INDEX('15_評価計画・品質ゲート'!$U$4:$U$103,MATCH(D107,'15_評価計画・品質ゲート'!$V$4:$V$103,0)))),"計画Manifest不一致",IF(F107="対象外",IF(H107="","対象外理由不足","対象外承認"),IF(F107&lt;&gt;"必須","適用未判定",IF(OR(G107="",COUNTIF('16_評価実績インデックス'!$A$4:$A$103,G107)&lt;&gt;1),"評価Run不足・不正",IF(OR(C107&lt;&gt;IF(COUNTIF('16_評価実績インデックス'!$A$4:$A$103,G107)&lt;&gt;1,"参照ID不正",IF(INDEX('16_評価実績インデックス'!$T$4:$T$103,MATCH(G107,'16_評価実績インデックス'!$A$4:$A$103,0))="","",INDEX('16_評価実績インデックス'!$T$4:$T$103,MATCH(G107,'16_評価実績インデックス'!$A$4:$A$103,0)))),D107&lt;&gt;IF(COUNTIF('16_評価実績インデックス'!$A$4:$A$103,G107)&lt;&gt;1,"参照ID不正",IF(INDEX('16_評価実績インデックス'!$B$4:$B$103,MATCH(G107,'16_評価実績インデックス'!$A$4:$A$103,0))="","",INDEX('16_評価実績インデックス'!$B$4:$B$103,MATCH(G107,'16_評価実績インデックス'!$A$4:$A$103,0)))),B107&lt;&gt;IF(COUNTIF('16_評価実績インデックス'!$A$4:$A$103,G107)&lt;&gt;1,"参照ID不正",IF(INDEX('16_評価実績インデックス'!$C$4:$C$103,MATCH(G107,'16_評価実績インデックス'!$A$4:$A$103,0))="","",INDEX('16_評価実績インデックス'!$C$4:$C$103,MATCH(G107,'16_評価実績インデックス'!$A$4:$A$103,0))))),"評価対象不一致",IF(IF(COUNTIF('16_評価実績インデックス'!$A$4:$A$103,G107)&lt;&gt;1,"参照ID不正",IF(INDEX('16_評価実績インデックス'!$S$4:$S$103,MATCH(G107,'16_評価実績インデックス'!$A$4:$A$103,0))="","",INDEX('16_評価実績インデックス'!$S$4:$S$103,MATCH(G107,'16_評価実績インデックス'!$A$4:$A$103,0))))&lt;&gt;"記録あり・内容審査別","評価記録未充足",IF(L107&lt;&gt;"合格","必要評価不合格・未確定","評価充足"))))))))))))</f>
        <v/>
      </c>
      <c r="N107" s="28">
        <f t="shared" si="3"/>
        <v>0</v>
      </c>
      <c r="O107" s="29"/>
      <c r="P107" s="29"/>
    </row>
    <row r="108" spans="1:16" ht="64" customHeight="1" x14ac:dyDescent="0.2">
      <c r="A108" s="29"/>
      <c r="B108" s="29"/>
      <c r="C108" s="29"/>
      <c r="D108" s="29"/>
      <c r="E108" s="28" t="str">
        <f>IF(A108="","",IF(COUNTIF('15_評価計画・品質ゲート'!$V$4:$V$103,D108)&lt;&gt;1,"参照ID不正",IF(INDEX('15_評価計画・品質ゲート'!$A$4:$A$103,MATCH(D108,'15_評価計画・品質ゲート'!$V$4:$V$103,0))="","",INDEX('15_評価計画・品質ゲート'!$A$4:$A$103,MATCH(D108,'15_評価計画・品質ゲート'!$V$4:$V$103,0)))))</f>
        <v/>
      </c>
      <c r="F108" s="29"/>
      <c r="G108" s="29"/>
      <c r="H108" s="29"/>
      <c r="I108" s="29"/>
      <c r="J108" s="29"/>
      <c r="K108" s="29"/>
      <c r="L108" s="28" t="str">
        <f>IF(OR(A108="",G108=""),"",IF(COUNTIF('16_評価実績インデックス'!$A$4:$A$103,G108)&lt;&gt;1,"参照ID不正",IF(INDEX('16_評価実績インデックス'!$O$4:$O$103,MATCH(G108,'16_評価実績インデックス'!$A$4:$A$103,0))="","",INDEX('16_評価実績インデックス'!$O$4:$O$103,MATCH(G108,'16_評価実績インデックス'!$A$4:$A$103,0)))))</f>
        <v/>
      </c>
      <c r="M108" s="28" t="str">
        <f>IF(A108="","",IF(OR(COUNTIF($A$4:$A$153,A108)&lt;&gt;1,COUNTIFS($B$4:$B$153,B108,$C$4:$C$153,C108,$D$4:$D$153,D108)&lt;&gt;1),"集合ID・計画重複",IF(OR(OR(B108="",C108="",D108="",I108="",J108="",O108=""),NOT(ISNUMBER(K108))),"集合承認不足",IF(OR(AND(K108&lt;&gt;"",OR(NOT(ISNUMBER(K108)),IFERROR(K108&lt;1,TRUE),IFERROR(INT(K108)&gt;INT(AsOfDate),TRUE)))),"集合承認日不正",IF(COUNTIF(EvalPlanKeys,D108)&lt;&gt;1,"PlanKey不正",IF(C108&lt;&gt;IF(COUNTIF('15_評価計画・品質ゲート'!$V$4:$V$103,D108)&lt;&gt;1,"参照ID不正",IF(INDEX('15_評価計画・品質ゲート'!$U$4:$U$103,MATCH(D108,'15_評価計画・品質ゲート'!$V$4:$V$103,0))="","",INDEX('15_評価計画・品質ゲート'!$U$4:$U$103,MATCH(D108,'15_評価計画・品質ゲート'!$V$4:$V$103,0)))),"計画Manifest不一致",IF(F108="対象外",IF(H108="","対象外理由不足","対象外承認"),IF(F108&lt;&gt;"必須","適用未判定",IF(OR(G108="",COUNTIF('16_評価実績インデックス'!$A$4:$A$103,G108)&lt;&gt;1),"評価Run不足・不正",IF(OR(C108&lt;&gt;IF(COUNTIF('16_評価実績インデックス'!$A$4:$A$103,G108)&lt;&gt;1,"参照ID不正",IF(INDEX('16_評価実績インデックス'!$T$4:$T$103,MATCH(G108,'16_評価実績インデックス'!$A$4:$A$103,0))="","",INDEX('16_評価実績インデックス'!$T$4:$T$103,MATCH(G108,'16_評価実績インデックス'!$A$4:$A$103,0)))),D108&lt;&gt;IF(COUNTIF('16_評価実績インデックス'!$A$4:$A$103,G108)&lt;&gt;1,"参照ID不正",IF(INDEX('16_評価実績インデックス'!$B$4:$B$103,MATCH(G108,'16_評価実績インデックス'!$A$4:$A$103,0))="","",INDEX('16_評価実績インデックス'!$B$4:$B$103,MATCH(G108,'16_評価実績インデックス'!$A$4:$A$103,0)))),B108&lt;&gt;IF(COUNTIF('16_評価実績インデックス'!$A$4:$A$103,G108)&lt;&gt;1,"参照ID不正",IF(INDEX('16_評価実績インデックス'!$C$4:$C$103,MATCH(G108,'16_評価実績インデックス'!$A$4:$A$103,0))="","",INDEX('16_評価実績インデックス'!$C$4:$C$103,MATCH(G108,'16_評価実績インデックス'!$A$4:$A$103,0))))),"評価対象不一致",IF(IF(COUNTIF('16_評価実績インデックス'!$A$4:$A$103,G108)&lt;&gt;1,"参照ID不正",IF(INDEX('16_評価実績インデックス'!$S$4:$S$103,MATCH(G108,'16_評価実績インデックス'!$A$4:$A$103,0))="","",INDEX('16_評価実績インデックス'!$S$4:$S$103,MATCH(G108,'16_評価実績インデックス'!$A$4:$A$103,0))))&lt;&gt;"記録あり・内容審査別","評価記録未充足",IF(L108&lt;&gt;"合格","必要評価不合格・未確定","評価充足"))))))))))))</f>
        <v/>
      </c>
      <c r="N108" s="28">
        <f t="shared" si="3"/>
        <v>0</v>
      </c>
      <c r="O108" s="29"/>
      <c r="P108" s="29"/>
    </row>
    <row r="109" spans="1:16" ht="64" customHeight="1" x14ac:dyDescent="0.2">
      <c r="A109" s="29"/>
      <c r="B109" s="29"/>
      <c r="C109" s="29"/>
      <c r="D109" s="29"/>
      <c r="E109" s="28" t="str">
        <f>IF(A109="","",IF(COUNTIF('15_評価計画・品質ゲート'!$V$4:$V$103,D109)&lt;&gt;1,"参照ID不正",IF(INDEX('15_評価計画・品質ゲート'!$A$4:$A$103,MATCH(D109,'15_評価計画・品質ゲート'!$V$4:$V$103,0))="","",INDEX('15_評価計画・品質ゲート'!$A$4:$A$103,MATCH(D109,'15_評価計画・品質ゲート'!$V$4:$V$103,0)))))</f>
        <v/>
      </c>
      <c r="F109" s="29"/>
      <c r="G109" s="29"/>
      <c r="H109" s="29"/>
      <c r="I109" s="29"/>
      <c r="J109" s="29"/>
      <c r="K109" s="29"/>
      <c r="L109" s="28" t="str">
        <f>IF(OR(A109="",G109=""),"",IF(COUNTIF('16_評価実績インデックス'!$A$4:$A$103,G109)&lt;&gt;1,"参照ID不正",IF(INDEX('16_評価実績インデックス'!$O$4:$O$103,MATCH(G109,'16_評価実績インデックス'!$A$4:$A$103,0))="","",INDEX('16_評価実績インデックス'!$O$4:$O$103,MATCH(G109,'16_評価実績インデックス'!$A$4:$A$103,0)))))</f>
        <v/>
      </c>
      <c r="M109" s="28" t="str">
        <f>IF(A109="","",IF(OR(COUNTIF($A$4:$A$153,A109)&lt;&gt;1,COUNTIFS($B$4:$B$153,B109,$C$4:$C$153,C109,$D$4:$D$153,D109)&lt;&gt;1),"集合ID・計画重複",IF(OR(OR(B109="",C109="",D109="",I109="",J109="",O109=""),NOT(ISNUMBER(K109))),"集合承認不足",IF(OR(AND(K109&lt;&gt;"",OR(NOT(ISNUMBER(K109)),IFERROR(K109&lt;1,TRUE),IFERROR(INT(K109)&gt;INT(AsOfDate),TRUE)))),"集合承認日不正",IF(COUNTIF(EvalPlanKeys,D109)&lt;&gt;1,"PlanKey不正",IF(C109&lt;&gt;IF(COUNTIF('15_評価計画・品質ゲート'!$V$4:$V$103,D109)&lt;&gt;1,"参照ID不正",IF(INDEX('15_評価計画・品質ゲート'!$U$4:$U$103,MATCH(D109,'15_評価計画・品質ゲート'!$V$4:$V$103,0))="","",INDEX('15_評価計画・品質ゲート'!$U$4:$U$103,MATCH(D109,'15_評価計画・品質ゲート'!$V$4:$V$103,0)))),"計画Manifest不一致",IF(F109="対象外",IF(H109="","対象外理由不足","対象外承認"),IF(F109&lt;&gt;"必須","適用未判定",IF(OR(G109="",COUNTIF('16_評価実績インデックス'!$A$4:$A$103,G109)&lt;&gt;1),"評価Run不足・不正",IF(OR(C109&lt;&gt;IF(COUNTIF('16_評価実績インデックス'!$A$4:$A$103,G109)&lt;&gt;1,"参照ID不正",IF(INDEX('16_評価実績インデックス'!$T$4:$T$103,MATCH(G109,'16_評価実績インデックス'!$A$4:$A$103,0))="","",INDEX('16_評価実績インデックス'!$T$4:$T$103,MATCH(G109,'16_評価実績インデックス'!$A$4:$A$103,0)))),D109&lt;&gt;IF(COUNTIF('16_評価実績インデックス'!$A$4:$A$103,G109)&lt;&gt;1,"参照ID不正",IF(INDEX('16_評価実績インデックス'!$B$4:$B$103,MATCH(G109,'16_評価実績インデックス'!$A$4:$A$103,0))="","",INDEX('16_評価実績インデックス'!$B$4:$B$103,MATCH(G109,'16_評価実績インデックス'!$A$4:$A$103,0)))),B109&lt;&gt;IF(COUNTIF('16_評価実績インデックス'!$A$4:$A$103,G109)&lt;&gt;1,"参照ID不正",IF(INDEX('16_評価実績インデックス'!$C$4:$C$103,MATCH(G109,'16_評価実績インデックス'!$A$4:$A$103,0))="","",INDEX('16_評価実績インデックス'!$C$4:$C$103,MATCH(G109,'16_評価実績インデックス'!$A$4:$A$103,0))))),"評価対象不一致",IF(IF(COUNTIF('16_評価実績インデックス'!$A$4:$A$103,G109)&lt;&gt;1,"参照ID不正",IF(INDEX('16_評価実績インデックス'!$S$4:$S$103,MATCH(G109,'16_評価実績インデックス'!$A$4:$A$103,0))="","",INDEX('16_評価実績インデックス'!$S$4:$S$103,MATCH(G109,'16_評価実績インデックス'!$A$4:$A$103,0))))&lt;&gt;"記録あり・内容審査別","評価記録未充足",IF(L109&lt;&gt;"合格","必要評価不合格・未確定","評価充足"))))))))))))</f>
        <v/>
      </c>
      <c r="N109" s="28">
        <f t="shared" si="3"/>
        <v>0</v>
      </c>
      <c r="O109" s="29"/>
      <c r="P109" s="29"/>
    </row>
    <row r="110" spans="1:16" ht="64" customHeight="1" x14ac:dyDescent="0.2">
      <c r="A110" s="29"/>
      <c r="B110" s="29"/>
      <c r="C110" s="29"/>
      <c r="D110" s="29"/>
      <c r="E110" s="28" t="str">
        <f>IF(A110="","",IF(COUNTIF('15_評価計画・品質ゲート'!$V$4:$V$103,D110)&lt;&gt;1,"参照ID不正",IF(INDEX('15_評価計画・品質ゲート'!$A$4:$A$103,MATCH(D110,'15_評価計画・品質ゲート'!$V$4:$V$103,0))="","",INDEX('15_評価計画・品質ゲート'!$A$4:$A$103,MATCH(D110,'15_評価計画・品質ゲート'!$V$4:$V$103,0)))))</f>
        <v/>
      </c>
      <c r="F110" s="29"/>
      <c r="G110" s="29"/>
      <c r="H110" s="29"/>
      <c r="I110" s="29"/>
      <c r="J110" s="29"/>
      <c r="K110" s="29"/>
      <c r="L110" s="28" t="str">
        <f>IF(OR(A110="",G110=""),"",IF(COUNTIF('16_評価実績インデックス'!$A$4:$A$103,G110)&lt;&gt;1,"参照ID不正",IF(INDEX('16_評価実績インデックス'!$O$4:$O$103,MATCH(G110,'16_評価実績インデックス'!$A$4:$A$103,0))="","",INDEX('16_評価実績インデックス'!$O$4:$O$103,MATCH(G110,'16_評価実績インデックス'!$A$4:$A$103,0)))))</f>
        <v/>
      </c>
      <c r="M110" s="28" t="str">
        <f>IF(A110="","",IF(OR(COUNTIF($A$4:$A$153,A110)&lt;&gt;1,COUNTIFS($B$4:$B$153,B110,$C$4:$C$153,C110,$D$4:$D$153,D110)&lt;&gt;1),"集合ID・計画重複",IF(OR(OR(B110="",C110="",D110="",I110="",J110="",O110=""),NOT(ISNUMBER(K110))),"集合承認不足",IF(OR(AND(K110&lt;&gt;"",OR(NOT(ISNUMBER(K110)),IFERROR(K110&lt;1,TRUE),IFERROR(INT(K110)&gt;INT(AsOfDate),TRUE)))),"集合承認日不正",IF(COUNTIF(EvalPlanKeys,D110)&lt;&gt;1,"PlanKey不正",IF(C110&lt;&gt;IF(COUNTIF('15_評価計画・品質ゲート'!$V$4:$V$103,D110)&lt;&gt;1,"参照ID不正",IF(INDEX('15_評価計画・品質ゲート'!$U$4:$U$103,MATCH(D110,'15_評価計画・品質ゲート'!$V$4:$V$103,0))="","",INDEX('15_評価計画・品質ゲート'!$U$4:$U$103,MATCH(D110,'15_評価計画・品質ゲート'!$V$4:$V$103,0)))),"計画Manifest不一致",IF(F110="対象外",IF(H110="","対象外理由不足","対象外承認"),IF(F110&lt;&gt;"必須","適用未判定",IF(OR(G110="",COUNTIF('16_評価実績インデックス'!$A$4:$A$103,G110)&lt;&gt;1),"評価Run不足・不正",IF(OR(C110&lt;&gt;IF(COUNTIF('16_評価実績インデックス'!$A$4:$A$103,G110)&lt;&gt;1,"参照ID不正",IF(INDEX('16_評価実績インデックス'!$T$4:$T$103,MATCH(G110,'16_評価実績インデックス'!$A$4:$A$103,0))="","",INDEX('16_評価実績インデックス'!$T$4:$T$103,MATCH(G110,'16_評価実績インデックス'!$A$4:$A$103,0)))),D110&lt;&gt;IF(COUNTIF('16_評価実績インデックス'!$A$4:$A$103,G110)&lt;&gt;1,"参照ID不正",IF(INDEX('16_評価実績インデックス'!$B$4:$B$103,MATCH(G110,'16_評価実績インデックス'!$A$4:$A$103,0))="","",INDEX('16_評価実績インデックス'!$B$4:$B$103,MATCH(G110,'16_評価実績インデックス'!$A$4:$A$103,0)))),B110&lt;&gt;IF(COUNTIF('16_評価実績インデックス'!$A$4:$A$103,G110)&lt;&gt;1,"参照ID不正",IF(INDEX('16_評価実績インデックス'!$C$4:$C$103,MATCH(G110,'16_評価実績インデックス'!$A$4:$A$103,0))="","",INDEX('16_評価実績インデックス'!$C$4:$C$103,MATCH(G110,'16_評価実績インデックス'!$A$4:$A$103,0))))),"評価対象不一致",IF(IF(COUNTIF('16_評価実績インデックス'!$A$4:$A$103,G110)&lt;&gt;1,"参照ID不正",IF(INDEX('16_評価実績インデックス'!$S$4:$S$103,MATCH(G110,'16_評価実績インデックス'!$A$4:$A$103,0))="","",INDEX('16_評価実績インデックス'!$S$4:$S$103,MATCH(G110,'16_評価実績インデックス'!$A$4:$A$103,0))))&lt;&gt;"記録あり・内容審査別","評価記録未充足",IF(L110&lt;&gt;"合格","必要評価不合格・未確定","評価充足"))))))))))))</f>
        <v/>
      </c>
      <c r="N110" s="28">
        <f t="shared" si="3"/>
        <v>0</v>
      </c>
      <c r="O110" s="29"/>
      <c r="P110" s="29"/>
    </row>
    <row r="111" spans="1:16" ht="64" customHeight="1" x14ac:dyDescent="0.2">
      <c r="A111" s="29"/>
      <c r="B111" s="29"/>
      <c r="C111" s="29"/>
      <c r="D111" s="29"/>
      <c r="E111" s="28" t="str">
        <f>IF(A111="","",IF(COUNTIF('15_評価計画・品質ゲート'!$V$4:$V$103,D111)&lt;&gt;1,"参照ID不正",IF(INDEX('15_評価計画・品質ゲート'!$A$4:$A$103,MATCH(D111,'15_評価計画・品質ゲート'!$V$4:$V$103,0))="","",INDEX('15_評価計画・品質ゲート'!$A$4:$A$103,MATCH(D111,'15_評価計画・品質ゲート'!$V$4:$V$103,0)))))</f>
        <v/>
      </c>
      <c r="F111" s="29"/>
      <c r="G111" s="29"/>
      <c r="H111" s="29"/>
      <c r="I111" s="29"/>
      <c r="J111" s="29"/>
      <c r="K111" s="29"/>
      <c r="L111" s="28" t="str">
        <f>IF(OR(A111="",G111=""),"",IF(COUNTIF('16_評価実績インデックス'!$A$4:$A$103,G111)&lt;&gt;1,"参照ID不正",IF(INDEX('16_評価実績インデックス'!$O$4:$O$103,MATCH(G111,'16_評価実績インデックス'!$A$4:$A$103,0))="","",INDEX('16_評価実績インデックス'!$O$4:$O$103,MATCH(G111,'16_評価実績インデックス'!$A$4:$A$103,0)))))</f>
        <v/>
      </c>
      <c r="M111" s="28" t="str">
        <f>IF(A111="","",IF(OR(COUNTIF($A$4:$A$153,A111)&lt;&gt;1,COUNTIFS($B$4:$B$153,B111,$C$4:$C$153,C111,$D$4:$D$153,D111)&lt;&gt;1),"集合ID・計画重複",IF(OR(OR(B111="",C111="",D111="",I111="",J111="",O111=""),NOT(ISNUMBER(K111))),"集合承認不足",IF(OR(AND(K111&lt;&gt;"",OR(NOT(ISNUMBER(K111)),IFERROR(K111&lt;1,TRUE),IFERROR(INT(K111)&gt;INT(AsOfDate),TRUE)))),"集合承認日不正",IF(COUNTIF(EvalPlanKeys,D111)&lt;&gt;1,"PlanKey不正",IF(C111&lt;&gt;IF(COUNTIF('15_評価計画・品質ゲート'!$V$4:$V$103,D111)&lt;&gt;1,"参照ID不正",IF(INDEX('15_評価計画・品質ゲート'!$U$4:$U$103,MATCH(D111,'15_評価計画・品質ゲート'!$V$4:$V$103,0))="","",INDEX('15_評価計画・品質ゲート'!$U$4:$U$103,MATCH(D111,'15_評価計画・品質ゲート'!$V$4:$V$103,0)))),"計画Manifest不一致",IF(F111="対象外",IF(H111="","対象外理由不足","対象外承認"),IF(F111&lt;&gt;"必須","適用未判定",IF(OR(G111="",COUNTIF('16_評価実績インデックス'!$A$4:$A$103,G111)&lt;&gt;1),"評価Run不足・不正",IF(OR(C111&lt;&gt;IF(COUNTIF('16_評価実績インデックス'!$A$4:$A$103,G111)&lt;&gt;1,"参照ID不正",IF(INDEX('16_評価実績インデックス'!$T$4:$T$103,MATCH(G111,'16_評価実績インデックス'!$A$4:$A$103,0))="","",INDEX('16_評価実績インデックス'!$T$4:$T$103,MATCH(G111,'16_評価実績インデックス'!$A$4:$A$103,0)))),D111&lt;&gt;IF(COUNTIF('16_評価実績インデックス'!$A$4:$A$103,G111)&lt;&gt;1,"参照ID不正",IF(INDEX('16_評価実績インデックス'!$B$4:$B$103,MATCH(G111,'16_評価実績インデックス'!$A$4:$A$103,0))="","",INDEX('16_評価実績インデックス'!$B$4:$B$103,MATCH(G111,'16_評価実績インデックス'!$A$4:$A$103,0)))),B111&lt;&gt;IF(COUNTIF('16_評価実績インデックス'!$A$4:$A$103,G111)&lt;&gt;1,"参照ID不正",IF(INDEX('16_評価実績インデックス'!$C$4:$C$103,MATCH(G111,'16_評価実績インデックス'!$A$4:$A$103,0))="","",INDEX('16_評価実績インデックス'!$C$4:$C$103,MATCH(G111,'16_評価実績インデックス'!$A$4:$A$103,0))))),"評価対象不一致",IF(IF(COUNTIF('16_評価実績インデックス'!$A$4:$A$103,G111)&lt;&gt;1,"参照ID不正",IF(INDEX('16_評価実績インデックス'!$S$4:$S$103,MATCH(G111,'16_評価実績インデックス'!$A$4:$A$103,0))="","",INDEX('16_評価実績インデックス'!$S$4:$S$103,MATCH(G111,'16_評価実績インデックス'!$A$4:$A$103,0))))&lt;&gt;"記録あり・内容審査別","評価記録未充足",IF(L111&lt;&gt;"合格","必要評価不合格・未確定","評価充足"))))))))))))</f>
        <v/>
      </c>
      <c r="N111" s="28">
        <f t="shared" si="3"/>
        <v>0</v>
      </c>
      <c r="O111" s="29"/>
      <c r="P111" s="29"/>
    </row>
    <row r="112" spans="1:16" ht="64" customHeight="1" x14ac:dyDescent="0.2">
      <c r="A112" s="29"/>
      <c r="B112" s="29"/>
      <c r="C112" s="29"/>
      <c r="D112" s="29"/>
      <c r="E112" s="28" t="str">
        <f>IF(A112="","",IF(COUNTIF('15_評価計画・品質ゲート'!$V$4:$V$103,D112)&lt;&gt;1,"参照ID不正",IF(INDEX('15_評価計画・品質ゲート'!$A$4:$A$103,MATCH(D112,'15_評価計画・品質ゲート'!$V$4:$V$103,0))="","",INDEX('15_評価計画・品質ゲート'!$A$4:$A$103,MATCH(D112,'15_評価計画・品質ゲート'!$V$4:$V$103,0)))))</f>
        <v/>
      </c>
      <c r="F112" s="29"/>
      <c r="G112" s="29"/>
      <c r="H112" s="29"/>
      <c r="I112" s="29"/>
      <c r="J112" s="29"/>
      <c r="K112" s="29"/>
      <c r="L112" s="28" t="str">
        <f>IF(OR(A112="",G112=""),"",IF(COUNTIF('16_評価実績インデックス'!$A$4:$A$103,G112)&lt;&gt;1,"参照ID不正",IF(INDEX('16_評価実績インデックス'!$O$4:$O$103,MATCH(G112,'16_評価実績インデックス'!$A$4:$A$103,0))="","",INDEX('16_評価実績インデックス'!$O$4:$O$103,MATCH(G112,'16_評価実績インデックス'!$A$4:$A$103,0)))))</f>
        <v/>
      </c>
      <c r="M112" s="28" t="str">
        <f>IF(A112="","",IF(OR(COUNTIF($A$4:$A$153,A112)&lt;&gt;1,COUNTIFS($B$4:$B$153,B112,$C$4:$C$153,C112,$D$4:$D$153,D112)&lt;&gt;1),"集合ID・計画重複",IF(OR(OR(B112="",C112="",D112="",I112="",J112="",O112=""),NOT(ISNUMBER(K112))),"集合承認不足",IF(OR(AND(K112&lt;&gt;"",OR(NOT(ISNUMBER(K112)),IFERROR(K112&lt;1,TRUE),IFERROR(INT(K112)&gt;INT(AsOfDate),TRUE)))),"集合承認日不正",IF(COUNTIF(EvalPlanKeys,D112)&lt;&gt;1,"PlanKey不正",IF(C112&lt;&gt;IF(COUNTIF('15_評価計画・品質ゲート'!$V$4:$V$103,D112)&lt;&gt;1,"参照ID不正",IF(INDEX('15_評価計画・品質ゲート'!$U$4:$U$103,MATCH(D112,'15_評価計画・品質ゲート'!$V$4:$V$103,0))="","",INDEX('15_評価計画・品質ゲート'!$U$4:$U$103,MATCH(D112,'15_評価計画・品質ゲート'!$V$4:$V$103,0)))),"計画Manifest不一致",IF(F112="対象外",IF(H112="","対象外理由不足","対象外承認"),IF(F112&lt;&gt;"必須","適用未判定",IF(OR(G112="",COUNTIF('16_評価実績インデックス'!$A$4:$A$103,G112)&lt;&gt;1),"評価Run不足・不正",IF(OR(C112&lt;&gt;IF(COUNTIF('16_評価実績インデックス'!$A$4:$A$103,G112)&lt;&gt;1,"参照ID不正",IF(INDEX('16_評価実績インデックス'!$T$4:$T$103,MATCH(G112,'16_評価実績インデックス'!$A$4:$A$103,0))="","",INDEX('16_評価実績インデックス'!$T$4:$T$103,MATCH(G112,'16_評価実績インデックス'!$A$4:$A$103,0)))),D112&lt;&gt;IF(COUNTIF('16_評価実績インデックス'!$A$4:$A$103,G112)&lt;&gt;1,"参照ID不正",IF(INDEX('16_評価実績インデックス'!$B$4:$B$103,MATCH(G112,'16_評価実績インデックス'!$A$4:$A$103,0))="","",INDEX('16_評価実績インデックス'!$B$4:$B$103,MATCH(G112,'16_評価実績インデックス'!$A$4:$A$103,0)))),B112&lt;&gt;IF(COUNTIF('16_評価実績インデックス'!$A$4:$A$103,G112)&lt;&gt;1,"参照ID不正",IF(INDEX('16_評価実績インデックス'!$C$4:$C$103,MATCH(G112,'16_評価実績インデックス'!$A$4:$A$103,0))="","",INDEX('16_評価実績インデックス'!$C$4:$C$103,MATCH(G112,'16_評価実績インデックス'!$A$4:$A$103,0))))),"評価対象不一致",IF(IF(COUNTIF('16_評価実績インデックス'!$A$4:$A$103,G112)&lt;&gt;1,"参照ID不正",IF(INDEX('16_評価実績インデックス'!$S$4:$S$103,MATCH(G112,'16_評価実績インデックス'!$A$4:$A$103,0))="","",INDEX('16_評価実績インデックス'!$S$4:$S$103,MATCH(G112,'16_評価実績インデックス'!$A$4:$A$103,0))))&lt;&gt;"記録あり・内容審査別","評価記録未充足",IF(L112&lt;&gt;"合格","必要評価不合格・未確定","評価充足"))))))))))))</f>
        <v/>
      </c>
      <c r="N112" s="28">
        <f t="shared" si="3"/>
        <v>0</v>
      </c>
      <c r="O112" s="29"/>
      <c r="P112" s="29"/>
    </row>
    <row r="113" spans="1:16" ht="64" customHeight="1" x14ac:dyDescent="0.2">
      <c r="A113" s="29"/>
      <c r="B113" s="29"/>
      <c r="C113" s="29"/>
      <c r="D113" s="29"/>
      <c r="E113" s="28" t="str">
        <f>IF(A113="","",IF(COUNTIF('15_評価計画・品質ゲート'!$V$4:$V$103,D113)&lt;&gt;1,"参照ID不正",IF(INDEX('15_評価計画・品質ゲート'!$A$4:$A$103,MATCH(D113,'15_評価計画・品質ゲート'!$V$4:$V$103,0))="","",INDEX('15_評価計画・品質ゲート'!$A$4:$A$103,MATCH(D113,'15_評価計画・品質ゲート'!$V$4:$V$103,0)))))</f>
        <v/>
      </c>
      <c r="F113" s="29"/>
      <c r="G113" s="29"/>
      <c r="H113" s="29"/>
      <c r="I113" s="29"/>
      <c r="J113" s="29"/>
      <c r="K113" s="29"/>
      <c r="L113" s="28" t="str">
        <f>IF(OR(A113="",G113=""),"",IF(COUNTIF('16_評価実績インデックス'!$A$4:$A$103,G113)&lt;&gt;1,"参照ID不正",IF(INDEX('16_評価実績インデックス'!$O$4:$O$103,MATCH(G113,'16_評価実績インデックス'!$A$4:$A$103,0))="","",INDEX('16_評価実績インデックス'!$O$4:$O$103,MATCH(G113,'16_評価実績インデックス'!$A$4:$A$103,0)))))</f>
        <v/>
      </c>
      <c r="M113" s="28" t="str">
        <f>IF(A113="","",IF(OR(COUNTIF($A$4:$A$153,A113)&lt;&gt;1,COUNTIFS($B$4:$B$153,B113,$C$4:$C$153,C113,$D$4:$D$153,D113)&lt;&gt;1),"集合ID・計画重複",IF(OR(OR(B113="",C113="",D113="",I113="",J113="",O113=""),NOT(ISNUMBER(K113))),"集合承認不足",IF(OR(AND(K113&lt;&gt;"",OR(NOT(ISNUMBER(K113)),IFERROR(K113&lt;1,TRUE),IFERROR(INT(K113)&gt;INT(AsOfDate),TRUE)))),"集合承認日不正",IF(COUNTIF(EvalPlanKeys,D113)&lt;&gt;1,"PlanKey不正",IF(C113&lt;&gt;IF(COUNTIF('15_評価計画・品質ゲート'!$V$4:$V$103,D113)&lt;&gt;1,"参照ID不正",IF(INDEX('15_評価計画・品質ゲート'!$U$4:$U$103,MATCH(D113,'15_評価計画・品質ゲート'!$V$4:$V$103,0))="","",INDEX('15_評価計画・品質ゲート'!$U$4:$U$103,MATCH(D113,'15_評価計画・品質ゲート'!$V$4:$V$103,0)))),"計画Manifest不一致",IF(F113="対象外",IF(H113="","対象外理由不足","対象外承認"),IF(F113&lt;&gt;"必須","適用未判定",IF(OR(G113="",COUNTIF('16_評価実績インデックス'!$A$4:$A$103,G113)&lt;&gt;1),"評価Run不足・不正",IF(OR(C113&lt;&gt;IF(COUNTIF('16_評価実績インデックス'!$A$4:$A$103,G113)&lt;&gt;1,"参照ID不正",IF(INDEX('16_評価実績インデックス'!$T$4:$T$103,MATCH(G113,'16_評価実績インデックス'!$A$4:$A$103,0))="","",INDEX('16_評価実績インデックス'!$T$4:$T$103,MATCH(G113,'16_評価実績インデックス'!$A$4:$A$103,0)))),D113&lt;&gt;IF(COUNTIF('16_評価実績インデックス'!$A$4:$A$103,G113)&lt;&gt;1,"参照ID不正",IF(INDEX('16_評価実績インデックス'!$B$4:$B$103,MATCH(G113,'16_評価実績インデックス'!$A$4:$A$103,0))="","",INDEX('16_評価実績インデックス'!$B$4:$B$103,MATCH(G113,'16_評価実績インデックス'!$A$4:$A$103,0)))),B113&lt;&gt;IF(COUNTIF('16_評価実績インデックス'!$A$4:$A$103,G113)&lt;&gt;1,"参照ID不正",IF(INDEX('16_評価実績インデックス'!$C$4:$C$103,MATCH(G113,'16_評価実績インデックス'!$A$4:$A$103,0))="","",INDEX('16_評価実績インデックス'!$C$4:$C$103,MATCH(G113,'16_評価実績インデックス'!$A$4:$A$103,0))))),"評価対象不一致",IF(IF(COUNTIF('16_評価実績インデックス'!$A$4:$A$103,G113)&lt;&gt;1,"参照ID不正",IF(INDEX('16_評価実績インデックス'!$S$4:$S$103,MATCH(G113,'16_評価実績インデックス'!$A$4:$A$103,0))="","",INDEX('16_評価実績インデックス'!$S$4:$S$103,MATCH(G113,'16_評価実績インデックス'!$A$4:$A$103,0))))&lt;&gt;"記録あり・内容審査別","評価記録未充足",IF(L113&lt;&gt;"合格","必要評価不合格・未確定","評価充足"))))))))))))</f>
        <v/>
      </c>
      <c r="N113" s="28">
        <f t="shared" si="3"/>
        <v>0</v>
      </c>
      <c r="O113" s="29"/>
      <c r="P113" s="29"/>
    </row>
    <row r="114" spans="1:16" ht="64" customHeight="1" x14ac:dyDescent="0.2">
      <c r="A114" s="29"/>
      <c r="B114" s="29"/>
      <c r="C114" s="29"/>
      <c r="D114" s="29"/>
      <c r="E114" s="28" t="str">
        <f>IF(A114="","",IF(COUNTIF('15_評価計画・品質ゲート'!$V$4:$V$103,D114)&lt;&gt;1,"参照ID不正",IF(INDEX('15_評価計画・品質ゲート'!$A$4:$A$103,MATCH(D114,'15_評価計画・品質ゲート'!$V$4:$V$103,0))="","",INDEX('15_評価計画・品質ゲート'!$A$4:$A$103,MATCH(D114,'15_評価計画・品質ゲート'!$V$4:$V$103,0)))))</f>
        <v/>
      </c>
      <c r="F114" s="29"/>
      <c r="G114" s="29"/>
      <c r="H114" s="29"/>
      <c r="I114" s="29"/>
      <c r="J114" s="29"/>
      <c r="K114" s="29"/>
      <c r="L114" s="28" t="str">
        <f>IF(OR(A114="",G114=""),"",IF(COUNTIF('16_評価実績インデックス'!$A$4:$A$103,G114)&lt;&gt;1,"参照ID不正",IF(INDEX('16_評価実績インデックス'!$O$4:$O$103,MATCH(G114,'16_評価実績インデックス'!$A$4:$A$103,0))="","",INDEX('16_評価実績インデックス'!$O$4:$O$103,MATCH(G114,'16_評価実績インデックス'!$A$4:$A$103,0)))))</f>
        <v/>
      </c>
      <c r="M114" s="28" t="str">
        <f>IF(A114="","",IF(OR(COUNTIF($A$4:$A$153,A114)&lt;&gt;1,COUNTIFS($B$4:$B$153,B114,$C$4:$C$153,C114,$D$4:$D$153,D114)&lt;&gt;1),"集合ID・計画重複",IF(OR(OR(B114="",C114="",D114="",I114="",J114="",O114=""),NOT(ISNUMBER(K114))),"集合承認不足",IF(OR(AND(K114&lt;&gt;"",OR(NOT(ISNUMBER(K114)),IFERROR(K114&lt;1,TRUE),IFERROR(INT(K114)&gt;INT(AsOfDate),TRUE)))),"集合承認日不正",IF(COUNTIF(EvalPlanKeys,D114)&lt;&gt;1,"PlanKey不正",IF(C114&lt;&gt;IF(COUNTIF('15_評価計画・品質ゲート'!$V$4:$V$103,D114)&lt;&gt;1,"参照ID不正",IF(INDEX('15_評価計画・品質ゲート'!$U$4:$U$103,MATCH(D114,'15_評価計画・品質ゲート'!$V$4:$V$103,0))="","",INDEX('15_評価計画・品質ゲート'!$U$4:$U$103,MATCH(D114,'15_評価計画・品質ゲート'!$V$4:$V$103,0)))),"計画Manifest不一致",IF(F114="対象外",IF(H114="","対象外理由不足","対象外承認"),IF(F114&lt;&gt;"必須","適用未判定",IF(OR(G114="",COUNTIF('16_評価実績インデックス'!$A$4:$A$103,G114)&lt;&gt;1),"評価Run不足・不正",IF(OR(C114&lt;&gt;IF(COUNTIF('16_評価実績インデックス'!$A$4:$A$103,G114)&lt;&gt;1,"参照ID不正",IF(INDEX('16_評価実績インデックス'!$T$4:$T$103,MATCH(G114,'16_評価実績インデックス'!$A$4:$A$103,0))="","",INDEX('16_評価実績インデックス'!$T$4:$T$103,MATCH(G114,'16_評価実績インデックス'!$A$4:$A$103,0)))),D114&lt;&gt;IF(COUNTIF('16_評価実績インデックス'!$A$4:$A$103,G114)&lt;&gt;1,"参照ID不正",IF(INDEX('16_評価実績インデックス'!$B$4:$B$103,MATCH(G114,'16_評価実績インデックス'!$A$4:$A$103,0))="","",INDEX('16_評価実績インデックス'!$B$4:$B$103,MATCH(G114,'16_評価実績インデックス'!$A$4:$A$103,0)))),B114&lt;&gt;IF(COUNTIF('16_評価実績インデックス'!$A$4:$A$103,G114)&lt;&gt;1,"参照ID不正",IF(INDEX('16_評価実績インデックス'!$C$4:$C$103,MATCH(G114,'16_評価実績インデックス'!$A$4:$A$103,0))="","",INDEX('16_評価実績インデックス'!$C$4:$C$103,MATCH(G114,'16_評価実績インデックス'!$A$4:$A$103,0))))),"評価対象不一致",IF(IF(COUNTIF('16_評価実績インデックス'!$A$4:$A$103,G114)&lt;&gt;1,"参照ID不正",IF(INDEX('16_評価実績インデックス'!$S$4:$S$103,MATCH(G114,'16_評価実績インデックス'!$A$4:$A$103,0))="","",INDEX('16_評価実績インデックス'!$S$4:$S$103,MATCH(G114,'16_評価実績インデックス'!$A$4:$A$103,0))))&lt;&gt;"記録あり・内容審査別","評価記録未充足",IF(L114&lt;&gt;"合格","必要評価不合格・未確定","評価充足"))))))))))))</f>
        <v/>
      </c>
      <c r="N114" s="28">
        <f t="shared" si="3"/>
        <v>0</v>
      </c>
      <c r="O114" s="29"/>
      <c r="P114" s="29"/>
    </row>
    <row r="115" spans="1:16" ht="64" customHeight="1" x14ac:dyDescent="0.2">
      <c r="A115" s="29"/>
      <c r="B115" s="29"/>
      <c r="C115" s="29"/>
      <c r="D115" s="29"/>
      <c r="E115" s="28" t="str">
        <f>IF(A115="","",IF(COUNTIF('15_評価計画・品質ゲート'!$V$4:$V$103,D115)&lt;&gt;1,"参照ID不正",IF(INDEX('15_評価計画・品質ゲート'!$A$4:$A$103,MATCH(D115,'15_評価計画・品質ゲート'!$V$4:$V$103,0))="","",INDEX('15_評価計画・品質ゲート'!$A$4:$A$103,MATCH(D115,'15_評価計画・品質ゲート'!$V$4:$V$103,0)))))</f>
        <v/>
      </c>
      <c r="F115" s="29"/>
      <c r="G115" s="29"/>
      <c r="H115" s="29"/>
      <c r="I115" s="29"/>
      <c r="J115" s="29"/>
      <c r="K115" s="29"/>
      <c r="L115" s="28" t="str">
        <f>IF(OR(A115="",G115=""),"",IF(COUNTIF('16_評価実績インデックス'!$A$4:$A$103,G115)&lt;&gt;1,"参照ID不正",IF(INDEX('16_評価実績インデックス'!$O$4:$O$103,MATCH(G115,'16_評価実績インデックス'!$A$4:$A$103,0))="","",INDEX('16_評価実績インデックス'!$O$4:$O$103,MATCH(G115,'16_評価実績インデックス'!$A$4:$A$103,0)))))</f>
        <v/>
      </c>
      <c r="M115" s="28" t="str">
        <f>IF(A115="","",IF(OR(COUNTIF($A$4:$A$153,A115)&lt;&gt;1,COUNTIFS($B$4:$B$153,B115,$C$4:$C$153,C115,$D$4:$D$153,D115)&lt;&gt;1),"集合ID・計画重複",IF(OR(OR(B115="",C115="",D115="",I115="",J115="",O115=""),NOT(ISNUMBER(K115))),"集合承認不足",IF(OR(AND(K115&lt;&gt;"",OR(NOT(ISNUMBER(K115)),IFERROR(K115&lt;1,TRUE),IFERROR(INT(K115)&gt;INT(AsOfDate),TRUE)))),"集合承認日不正",IF(COUNTIF(EvalPlanKeys,D115)&lt;&gt;1,"PlanKey不正",IF(C115&lt;&gt;IF(COUNTIF('15_評価計画・品質ゲート'!$V$4:$V$103,D115)&lt;&gt;1,"参照ID不正",IF(INDEX('15_評価計画・品質ゲート'!$U$4:$U$103,MATCH(D115,'15_評価計画・品質ゲート'!$V$4:$V$103,0))="","",INDEX('15_評価計画・品質ゲート'!$U$4:$U$103,MATCH(D115,'15_評価計画・品質ゲート'!$V$4:$V$103,0)))),"計画Manifest不一致",IF(F115="対象外",IF(H115="","対象外理由不足","対象外承認"),IF(F115&lt;&gt;"必須","適用未判定",IF(OR(G115="",COUNTIF('16_評価実績インデックス'!$A$4:$A$103,G115)&lt;&gt;1),"評価Run不足・不正",IF(OR(C115&lt;&gt;IF(COUNTIF('16_評価実績インデックス'!$A$4:$A$103,G115)&lt;&gt;1,"参照ID不正",IF(INDEX('16_評価実績インデックス'!$T$4:$T$103,MATCH(G115,'16_評価実績インデックス'!$A$4:$A$103,0))="","",INDEX('16_評価実績インデックス'!$T$4:$T$103,MATCH(G115,'16_評価実績インデックス'!$A$4:$A$103,0)))),D115&lt;&gt;IF(COUNTIF('16_評価実績インデックス'!$A$4:$A$103,G115)&lt;&gt;1,"参照ID不正",IF(INDEX('16_評価実績インデックス'!$B$4:$B$103,MATCH(G115,'16_評価実績インデックス'!$A$4:$A$103,0))="","",INDEX('16_評価実績インデックス'!$B$4:$B$103,MATCH(G115,'16_評価実績インデックス'!$A$4:$A$103,0)))),B115&lt;&gt;IF(COUNTIF('16_評価実績インデックス'!$A$4:$A$103,G115)&lt;&gt;1,"参照ID不正",IF(INDEX('16_評価実績インデックス'!$C$4:$C$103,MATCH(G115,'16_評価実績インデックス'!$A$4:$A$103,0))="","",INDEX('16_評価実績インデックス'!$C$4:$C$103,MATCH(G115,'16_評価実績インデックス'!$A$4:$A$103,0))))),"評価対象不一致",IF(IF(COUNTIF('16_評価実績インデックス'!$A$4:$A$103,G115)&lt;&gt;1,"参照ID不正",IF(INDEX('16_評価実績インデックス'!$S$4:$S$103,MATCH(G115,'16_評価実績インデックス'!$A$4:$A$103,0))="","",INDEX('16_評価実績インデックス'!$S$4:$S$103,MATCH(G115,'16_評価実績インデックス'!$A$4:$A$103,0))))&lt;&gt;"記録あり・内容審査別","評価記録未充足",IF(L115&lt;&gt;"合格","必要評価不合格・未確定","評価充足"))))))))))))</f>
        <v/>
      </c>
      <c r="N115" s="28">
        <f t="shared" si="3"/>
        <v>0</v>
      </c>
      <c r="O115" s="29"/>
      <c r="P115" s="29"/>
    </row>
    <row r="116" spans="1:16" ht="64" customHeight="1" x14ac:dyDescent="0.2">
      <c r="A116" s="29"/>
      <c r="B116" s="29"/>
      <c r="C116" s="29"/>
      <c r="D116" s="29"/>
      <c r="E116" s="28" t="str">
        <f>IF(A116="","",IF(COUNTIF('15_評価計画・品質ゲート'!$V$4:$V$103,D116)&lt;&gt;1,"参照ID不正",IF(INDEX('15_評価計画・品質ゲート'!$A$4:$A$103,MATCH(D116,'15_評価計画・品質ゲート'!$V$4:$V$103,0))="","",INDEX('15_評価計画・品質ゲート'!$A$4:$A$103,MATCH(D116,'15_評価計画・品質ゲート'!$V$4:$V$103,0)))))</f>
        <v/>
      </c>
      <c r="F116" s="29"/>
      <c r="G116" s="29"/>
      <c r="H116" s="29"/>
      <c r="I116" s="29"/>
      <c r="J116" s="29"/>
      <c r="K116" s="29"/>
      <c r="L116" s="28" t="str">
        <f>IF(OR(A116="",G116=""),"",IF(COUNTIF('16_評価実績インデックス'!$A$4:$A$103,G116)&lt;&gt;1,"参照ID不正",IF(INDEX('16_評価実績インデックス'!$O$4:$O$103,MATCH(G116,'16_評価実績インデックス'!$A$4:$A$103,0))="","",INDEX('16_評価実績インデックス'!$O$4:$O$103,MATCH(G116,'16_評価実績インデックス'!$A$4:$A$103,0)))))</f>
        <v/>
      </c>
      <c r="M116" s="28" t="str">
        <f>IF(A116="","",IF(OR(COUNTIF($A$4:$A$153,A116)&lt;&gt;1,COUNTIFS($B$4:$B$153,B116,$C$4:$C$153,C116,$D$4:$D$153,D116)&lt;&gt;1),"集合ID・計画重複",IF(OR(OR(B116="",C116="",D116="",I116="",J116="",O116=""),NOT(ISNUMBER(K116))),"集合承認不足",IF(OR(AND(K116&lt;&gt;"",OR(NOT(ISNUMBER(K116)),IFERROR(K116&lt;1,TRUE),IFERROR(INT(K116)&gt;INT(AsOfDate),TRUE)))),"集合承認日不正",IF(COUNTIF(EvalPlanKeys,D116)&lt;&gt;1,"PlanKey不正",IF(C116&lt;&gt;IF(COUNTIF('15_評価計画・品質ゲート'!$V$4:$V$103,D116)&lt;&gt;1,"参照ID不正",IF(INDEX('15_評価計画・品質ゲート'!$U$4:$U$103,MATCH(D116,'15_評価計画・品質ゲート'!$V$4:$V$103,0))="","",INDEX('15_評価計画・品質ゲート'!$U$4:$U$103,MATCH(D116,'15_評価計画・品質ゲート'!$V$4:$V$103,0)))),"計画Manifest不一致",IF(F116="対象外",IF(H116="","対象外理由不足","対象外承認"),IF(F116&lt;&gt;"必須","適用未判定",IF(OR(G116="",COUNTIF('16_評価実績インデックス'!$A$4:$A$103,G116)&lt;&gt;1),"評価Run不足・不正",IF(OR(C116&lt;&gt;IF(COUNTIF('16_評価実績インデックス'!$A$4:$A$103,G116)&lt;&gt;1,"参照ID不正",IF(INDEX('16_評価実績インデックス'!$T$4:$T$103,MATCH(G116,'16_評価実績インデックス'!$A$4:$A$103,0))="","",INDEX('16_評価実績インデックス'!$T$4:$T$103,MATCH(G116,'16_評価実績インデックス'!$A$4:$A$103,0)))),D116&lt;&gt;IF(COUNTIF('16_評価実績インデックス'!$A$4:$A$103,G116)&lt;&gt;1,"参照ID不正",IF(INDEX('16_評価実績インデックス'!$B$4:$B$103,MATCH(G116,'16_評価実績インデックス'!$A$4:$A$103,0))="","",INDEX('16_評価実績インデックス'!$B$4:$B$103,MATCH(G116,'16_評価実績インデックス'!$A$4:$A$103,0)))),B116&lt;&gt;IF(COUNTIF('16_評価実績インデックス'!$A$4:$A$103,G116)&lt;&gt;1,"参照ID不正",IF(INDEX('16_評価実績インデックス'!$C$4:$C$103,MATCH(G116,'16_評価実績インデックス'!$A$4:$A$103,0))="","",INDEX('16_評価実績インデックス'!$C$4:$C$103,MATCH(G116,'16_評価実績インデックス'!$A$4:$A$103,0))))),"評価対象不一致",IF(IF(COUNTIF('16_評価実績インデックス'!$A$4:$A$103,G116)&lt;&gt;1,"参照ID不正",IF(INDEX('16_評価実績インデックス'!$S$4:$S$103,MATCH(G116,'16_評価実績インデックス'!$A$4:$A$103,0))="","",INDEX('16_評価実績インデックス'!$S$4:$S$103,MATCH(G116,'16_評価実績インデックス'!$A$4:$A$103,0))))&lt;&gt;"記録あり・内容審査別","評価記録未充足",IF(L116&lt;&gt;"合格","必要評価不合格・未確定","評価充足"))))))))))))</f>
        <v/>
      </c>
      <c r="N116" s="28">
        <f t="shared" si="3"/>
        <v>0</v>
      </c>
      <c r="O116" s="29"/>
      <c r="P116" s="29"/>
    </row>
    <row r="117" spans="1:16" ht="64" customHeight="1" x14ac:dyDescent="0.2">
      <c r="A117" s="29"/>
      <c r="B117" s="29"/>
      <c r="C117" s="29"/>
      <c r="D117" s="29"/>
      <c r="E117" s="28" t="str">
        <f>IF(A117="","",IF(COUNTIF('15_評価計画・品質ゲート'!$V$4:$V$103,D117)&lt;&gt;1,"参照ID不正",IF(INDEX('15_評価計画・品質ゲート'!$A$4:$A$103,MATCH(D117,'15_評価計画・品質ゲート'!$V$4:$V$103,0))="","",INDEX('15_評価計画・品質ゲート'!$A$4:$A$103,MATCH(D117,'15_評価計画・品質ゲート'!$V$4:$V$103,0)))))</f>
        <v/>
      </c>
      <c r="F117" s="29"/>
      <c r="G117" s="29"/>
      <c r="H117" s="29"/>
      <c r="I117" s="29"/>
      <c r="J117" s="29"/>
      <c r="K117" s="29"/>
      <c r="L117" s="28" t="str">
        <f>IF(OR(A117="",G117=""),"",IF(COUNTIF('16_評価実績インデックス'!$A$4:$A$103,G117)&lt;&gt;1,"参照ID不正",IF(INDEX('16_評価実績インデックス'!$O$4:$O$103,MATCH(G117,'16_評価実績インデックス'!$A$4:$A$103,0))="","",INDEX('16_評価実績インデックス'!$O$4:$O$103,MATCH(G117,'16_評価実績インデックス'!$A$4:$A$103,0)))))</f>
        <v/>
      </c>
      <c r="M117" s="28" t="str">
        <f>IF(A117="","",IF(OR(COUNTIF($A$4:$A$153,A117)&lt;&gt;1,COUNTIFS($B$4:$B$153,B117,$C$4:$C$153,C117,$D$4:$D$153,D117)&lt;&gt;1),"集合ID・計画重複",IF(OR(OR(B117="",C117="",D117="",I117="",J117="",O117=""),NOT(ISNUMBER(K117))),"集合承認不足",IF(OR(AND(K117&lt;&gt;"",OR(NOT(ISNUMBER(K117)),IFERROR(K117&lt;1,TRUE),IFERROR(INT(K117)&gt;INT(AsOfDate),TRUE)))),"集合承認日不正",IF(COUNTIF(EvalPlanKeys,D117)&lt;&gt;1,"PlanKey不正",IF(C117&lt;&gt;IF(COUNTIF('15_評価計画・品質ゲート'!$V$4:$V$103,D117)&lt;&gt;1,"参照ID不正",IF(INDEX('15_評価計画・品質ゲート'!$U$4:$U$103,MATCH(D117,'15_評価計画・品質ゲート'!$V$4:$V$103,0))="","",INDEX('15_評価計画・品質ゲート'!$U$4:$U$103,MATCH(D117,'15_評価計画・品質ゲート'!$V$4:$V$103,0)))),"計画Manifest不一致",IF(F117="対象外",IF(H117="","対象外理由不足","対象外承認"),IF(F117&lt;&gt;"必須","適用未判定",IF(OR(G117="",COUNTIF('16_評価実績インデックス'!$A$4:$A$103,G117)&lt;&gt;1),"評価Run不足・不正",IF(OR(C117&lt;&gt;IF(COUNTIF('16_評価実績インデックス'!$A$4:$A$103,G117)&lt;&gt;1,"参照ID不正",IF(INDEX('16_評価実績インデックス'!$T$4:$T$103,MATCH(G117,'16_評価実績インデックス'!$A$4:$A$103,0))="","",INDEX('16_評価実績インデックス'!$T$4:$T$103,MATCH(G117,'16_評価実績インデックス'!$A$4:$A$103,0)))),D117&lt;&gt;IF(COUNTIF('16_評価実績インデックス'!$A$4:$A$103,G117)&lt;&gt;1,"参照ID不正",IF(INDEX('16_評価実績インデックス'!$B$4:$B$103,MATCH(G117,'16_評価実績インデックス'!$A$4:$A$103,0))="","",INDEX('16_評価実績インデックス'!$B$4:$B$103,MATCH(G117,'16_評価実績インデックス'!$A$4:$A$103,0)))),B117&lt;&gt;IF(COUNTIF('16_評価実績インデックス'!$A$4:$A$103,G117)&lt;&gt;1,"参照ID不正",IF(INDEX('16_評価実績インデックス'!$C$4:$C$103,MATCH(G117,'16_評価実績インデックス'!$A$4:$A$103,0))="","",INDEX('16_評価実績インデックス'!$C$4:$C$103,MATCH(G117,'16_評価実績インデックス'!$A$4:$A$103,0))))),"評価対象不一致",IF(IF(COUNTIF('16_評価実績インデックス'!$A$4:$A$103,G117)&lt;&gt;1,"参照ID不正",IF(INDEX('16_評価実績インデックス'!$S$4:$S$103,MATCH(G117,'16_評価実績インデックス'!$A$4:$A$103,0))="","",INDEX('16_評価実績インデックス'!$S$4:$S$103,MATCH(G117,'16_評価実績インデックス'!$A$4:$A$103,0))))&lt;&gt;"記録あり・内容審査別","評価記録未充足",IF(L117&lt;&gt;"合格","必要評価不合格・未確定","評価充足"))))))))))))</f>
        <v/>
      </c>
      <c r="N117" s="28">
        <f t="shared" si="3"/>
        <v>0</v>
      </c>
      <c r="O117" s="29"/>
      <c r="P117" s="29"/>
    </row>
    <row r="118" spans="1:16" ht="64" customHeight="1" x14ac:dyDescent="0.2">
      <c r="A118" s="29"/>
      <c r="B118" s="29"/>
      <c r="C118" s="29"/>
      <c r="D118" s="29"/>
      <c r="E118" s="28" t="str">
        <f>IF(A118="","",IF(COUNTIF('15_評価計画・品質ゲート'!$V$4:$V$103,D118)&lt;&gt;1,"参照ID不正",IF(INDEX('15_評価計画・品質ゲート'!$A$4:$A$103,MATCH(D118,'15_評価計画・品質ゲート'!$V$4:$V$103,0))="","",INDEX('15_評価計画・品質ゲート'!$A$4:$A$103,MATCH(D118,'15_評価計画・品質ゲート'!$V$4:$V$103,0)))))</f>
        <v/>
      </c>
      <c r="F118" s="29"/>
      <c r="G118" s="29"/>
      <c r="H118" s="29"/>
      <c r="I118" s="29"/>
      <c r="J118" s="29"/>
      <c r="K118" s="29"/>
      <c r="L118" s="28" t="str">
        <f>IF(OR(A118="",G118=""),"",IF(COUNTIF('16_評価実績インデックス'!$A$4:$A$103,G118)&lt;&gt;1,"参照ID不正",IF(INDEX('16_評価実績インデックス'!$O$4:$O$103,MATCH(G118,'16_評価実績インデックス'!$A$4:$A$103,0))="","",INDEX('16_評価実績インデックス'!$O$4:$O$103,MATCH(G118,'16_評価実績インデックス'!$A$4:$A$103,0)))))</f>
        <v/>
      </c>
      <c r="M118" s="28" t="str">
        <f>IF(A118="","",IF(OR(COUNTIF($A$4:$A$153,A118)&lt;&gt;1,COUNTIFS($B$4:$B$153,B118,$C$4:$C$153,C118,$D$4:$D$153,D118)&lt;&gt;1),"集合ID・計画重複",IF(OR(OR(B118="",C118="",D118="",I118="",J118="",O118=""),NOT(ISNUMBER(K118))),"集合承認不足",IF(OR(AND(K118&lt;&gt;"",OR(NOT(ISNUMBER(K118)),IFERROR(K118&lt;1,TRUE),IFERROR(INT(K118)&gt;INT(AsOfDate),TRUE)))),"集合承認日不正",IF(COUNTIF(EvalPlanKeys,D118)&lt;&gt;1,"PlanKey不正",IF(C118&lt;&gt;IF(COUNTIF('15_評価計画・品質ゲート'!$V$4:$V$103,D118)&lt;&gt;1,"参照ID不正",IF(INDEX('15_評価計画・品質ゲート'!$U$4:$U$103,MATCH(D118,'15_評価計画・品質ゲート'!$V$4:$V$103,0))="","",INDEX('15_評価計画・品質ゲート'!$U$4:$U$103,MATCH(D118,'15_評価計画・品質ゲート'!$V$4:$V$103,0)))),"計画Manifest不一致",IF(F118="対象外",IF(H118="","対象外理由不足","対象外承認"),IF(F118&lt;&gt;"必須","適用未判定",IF(OR(G118="",COUNTIF('16_評価実績インデックス'!$A$4:$A$103,G118)&lt;&gt;1),"評価Run不足・不正",IF(OR(C118&lt;&gt;IF(COUNTIF('16_評価実績インデックス'!$A$4:$A$103,G118)&lt;&gt;1,"参照ID不正",IF(INDEX('16_評価実績インデックス'!$T$4:$T$103,MATCH(G118,'16_評価実績インデックス'!$A$4:$A$103,0))="","",INDEX('16_評価実績インデックス'!$T$4:$T$103,MATCH(G118,'16_評価実績インデックス'!$A$4:$A$103,0)))),D118&lt;&gt;IF(COUNTIF('16_評価実績インデックス'!$A$4:$A$103,G118)&lt;&gt;1,"参照ID不正",IF(INDEX('16_評価実績インデックス'!$B$4:$B$103,MATCH(G118,'16_評価実績インデックス'!$A$4:$A$103,0))="","",INDEX('16_評価実績インデックス'!$B$4:$B$103,MATCH(G118,'16_評価実績インデックス'!$A$4:$A$103,0)))),B118&lt;&gt;IF(COUNTIF('16_評価実績インデックス'!$A$4:$A$103,G118)&lt;&gt;1,"参照ID不正",IF(INDEX('16_評価実績インデックス'!$C$4:$C$103,MATCH(G118,'16_評価実績インデックス'!$A$4:$A$103,0))="","",INDEX('16_評価実績インデックス'!$C$4:$C$103,MATCH(G118,'16_評価実績インデックス'!$A$4:$A$103,0))))),"評価対象不一致",IF(IF(COUNTIF('16_評価実績インデックス'!$A$4:$A$103,G118)&lt;&gt;1,"参照ID不正",IF(INDEX('16_評価実績インデックス'!$S$4:$S$103,MATCH(G118,'16_評価実績インデックス'!$A$4:$A$103,0))="","",INDEX('16_評価実績インデックス'!$S$4:$S$103,MATCH(G118,'16_評価実績インデックス'!$A$4:$A$103,0))))&lt;&gt;"記録あり・内容審査別","評価記録未充足",IF(L118&lt;&gt;"合格","必要評価不合格・未確定","評価充足"))))))))))))</f>
        <v/>
      </c>
      <c r="N118" s="28">
        <f t="shared" si="3"/>
        <v>0</v>
      </c>
      <c r="O118" s="29"/>
      <c r="P118" s="29"/>
    </row>
    <row r="119" spans="1:16" ht="64" customHeight="1" x14ac:dyDescent="0.2">
      <c r="A119" s="29"/>
      <c r="B119" s="29"/>
      <c r="C119" s="29"/>
      <c r="D119" s="29"/>
      <c r="E119" s="28" t="str">
        <f>IF(A119="","",IF(COUNTIF('15_評価計画・品質ゲート'!$V$4:$V$103,D119)&lt;&gt;1,"参照ID不正",IF(INDEX('15_評価計画・品質ゲート'!$A$4:$A$103,MATCH(D119,'15_評価計画・品質ゲート'!$V$4:$V$103,0))="","",INDEX('15_評価計画・品質ゲート'!$A$4:$A$103,MATCH(D119,'15_評価計画・品質ゲート'!$V$4:$V$103,0)))))</f>
        <v/>
      </c>
      <c r="F119" s="29"/>
      <c r="G119" s="29"/>
      <c r="H119" s="29"/>
      <c r="I119" s="29"/>
      <c r="J119" s="29"/>
      <c r="K119" s="29"/>
      <c r="L119" s="28" t="str">
        <f>IF(OR(A119="",G119=""),"",IF(COUNTIF('16_評価実績インデックス'!$A$4:$A$103,G119)&lt;&gt;1,"参照ID不正",IF(INDEX('16_評価実績インデックス'!$O$4:$O$103,MATCH(G119,'16_評価実績インデックス'!$A$4:$A$103,0))="","",INDEX('16_評価実績インデックス'!$O$4:$O$103,MATCH(G119,'16_評価実績インデックス'!$A$4:$A$103,0)))))</f>
        <v/>
      </c>
      <c r="M119" s="28" t="str">
        <f>IF(A119="","",IF(OR(COUNTIF($A$4:$A$153,A119)&lt;&gt;1,COUNTIFS($B$4:$B$153,B119,$C$4:$C$153,C119,$D$4:$D$153,D119)&lt;&gt;1),"集合ID・計画重複",IF(OR(OR(B119="",C119="",D119="",I119="",J119="",O119=""),NOT(ISNUMBER(K119))),"集合承認不足",IF(OR(AND(K119&lt;&gt;"",OR(NOT(ISNUMBER(K119)),IFERROR(K119&lt;1,TRUE),IFERROR(INT(K119)&gt;INT(AsOfDate),TRUE)))),"集合承認日不正",IF(COUNTIF(EvalPlanKeys,D119)&lt;&gt;1,"PlanKey不正",IF(C119&lt;&gt;IF(COUNTIF('15_評価計画・品質ゲート'!$V$4:$V$103,D119)&lt;&gt;1,"参照ID不正",IF(INDEX('15_評価計画・品質ゲート'!$U$4:$U$103,MATCH(D119,'15_評価計画・品質ゲート'!$V$4:$V$103,0))="","",INDEX('15_評価計画・品質ゲート'!$U$4:$U$103,MATCH(D119,'15_評価計画・品質ゲート'!$V$4:$V$103,0)))),"計画Manifest不一致",IF(F119="対象外",IF(H119="","対象外理由不足","対象外承認"),IF(F119&lt;&gt;"必須","適用未判定",IF(OR(G119="",COUNTIF('16_評価実績インデックス'!$A$4:$A$103,G119)&lt;&gt;1),"評価Run不足・不正",IF(OR(C119&lt;&gt;IF(COUNTIF('16_評価実績インデックス'!$A$4:$A$103,G119)&lt;&gt;1,"参照ID不正",IF(INDEX('16_評価実績インデックス'!$T$4:$T$103,MATCH(G119,'16_評価実績インデックス'!$A$4:$A$103,0))="","",INDEX('16_評価実績インデックス'!$T$4:$T$103,MATCH(G119,'16_評価実績インデックス'!$A$4:$A$103,0)))),D119&lt;&gt;IF(COUNTIF('16_評価実績インデックス'!$A$4:$A$103,G119)&lt;&gt;1,"参照ID不正",IF(INDEX('16_評価実績インデックス'!$B$4:$B$103,MATCH(G119,'16_評価実績インデックス'!$A$4:$A$103,0))="","",INDEX('16_評価実績インデックス'!$B$4:$B$103,MATCH(G119,'16_評価実績インデックス'!$A$4:$A$103,0)))),B119&lt;&gt;IF(COUNTIF('16_評価実績インデックス'!$A$4:$A$103,G119)&lt;&gt;1,"参照ID不正",IF(INDEX('16_評価実績インデックス'!$C$4:$C$103,MATCH(G119,'16_評価実績インデックス'!$A$4:$A$103,0))="","",INDEX('16_評価実績インデックス'!$C$4:$C$103,MATCH(G119,'16_評価実績インデックス'!$A$4:$A$103,0))))),"評価対象不一致",IF(IF(COUNTIF('16_評価実績インデックス'!$A$4:$A$103,G119)&lt;&gt;1,"参照ID不正",IF(INDEX('16_評価実績インデックス'!$S$4:$S$103,MATCH(G119,'16_評価実績インデックス'!$A$4:$A$103,0))="","",INDEX('16_評価実績インデックス'!$S$4:$S$103,MATCH(G119,'16_評価実績インデックス'!$A$4:$A$103,0))))&lt;&gt;"記録あり・内容審査別","評価記録未充足",IF(L119&lt;&gt;"合格","必要評価不合格・未確定","評価充足"))))))))))))</f>
        <v/>
      </c>
      <c r="N119" s="28">
        <f t="shared" si="3"/>
        <v>0</v>
      </c>
      <c r="O119" s="29"/>
      <c r="P119" s="29"/>
    </row>
    <row r="120" spans="1:16" ht="64" customHeight="1" x14ac:dyDescent="0.2">
      <c r="A120" s="29"/>
      <c r="B120" s="29"/>
      <c r="C120" s="29"/>
      <c r="D120" s="29"/>
      <c r="E120" s="28" t="str">
        <f>IF(A120="","",IF(COUNTIF('15_評価計画・品質ゲート'!$V$4:$V$103,D120)&lt;&gt;1,"参照ID不正",IF(INDEX('15_評価計画・品質ゲート'!$A$4:$A$103,MATCH(D120,'15_評価計画・品質ゲート'!$V$4:$V$103,0))="","",INDEX('15_評価計画・品質ゲート'!$A$4:$A$103,MATCH(D120,'15_評価計画・品質ゲート'!$V$4:$V$103,0)))))</f>
        <v/>
      </c>
      <c r="F120" s="29"/>
      <c r="G120" s="29"/>
      <c r="H120" s="29"/>
      <c r="I120" s="29"/>
      <c r="J120" s="29"/>
      <c r="K120" s="29"/>
      <c r="L120" s="28" t="str">
        <f>IF(OR(A120="",G120=""),"",IF(COUNTIF('16_評価実績インデックス'!$A$4:$A$103,G120)&lt;&gt;1,"参照ID不正",IF(INDEX('16_評価実績インデックス'!$O$4:$O$103,MATCH(G120,'16_評価実績インデックス'!$A$4:$A$103,0))="","",INDEX('16_評価実績インデックス'!$O$4:$O$103,MATCH(G120,'16_評価実績インデックス'!$A$4:$A$103,0)))))</f>
        <v/>
      </c>
      <c r="M120" s="28" t="str">
        <f>IF(A120="","",IF(OR(COUNTIF($A$4:$A$153,A120)&lt;&gt;1,COUNTIFS($B$4:$B$153,B120,$C$4:$C$153,C120,$D$4:$D$153,D120)&lt;&gt;1),"集合ID・計画重複",IF(OR(OR(B120="",C120="",D120="",I120="",J120="",O120=""),NOT(ISNUMBER(K120))),"集合承認不足",IF(OR(AND(K120&lt;&gt;"",OR(NOT(ISNUMBER(K120)),IFERROR(K120&lt;1,TRUE),IFERROR(INT(K120)&gt;INT(AsOfDate),TRUE)))),"集合承認日不正",IF(COUNTIF(EvalPlanKeys,D120)&lt;&gt;1,"PlanKey不正",IF(C120&lt;&gt;IF(COUNTIF('15_評価計画・品質ゲート'!$V$4:$V$103,D120)&lt;&gt;1,"参照ID不正",IF(INDEX('15_評価計画・品質ゲート'!$U$4:$U$103,MATCH(D120,'15_評価計画・品質ゲート'!$V$4:$V$103,0))="","",INDEX('15_評価計画・品質ゲート'!$U$4:$U$103,MATCH(D120,'15_評価計画・品質ゲート'!$V$4:$V$103,0)))),"計画Manifest不一致",IF(F120="対象外",IF(H120="","対象外理由不足","対象外承認"),IF(F120&lt;&gt;"必須","適用未判定",IF(OR(G120="",COUNTIF('16_評価実績インデックス'!$A$4:$A$103,G120)&lt;&gt;1),"評価Run不足・不正",IF(OR(C120&lt;&gt;IF(COUNTIF('16_評価実績インデックス'!$A$4:$A$103,G120)&lt;&gt;1,"参照ID不正",IF(INDEX('16_評価実績インデックス'!$T$4:$T$103,MATCH(G120,'16_評価実績インデックス'!$A$4:$A$103,0))="","",INDEX('16_評価実績インデックス'!$T$4:$T$103,MATCH(G120,'16_評価実績インデックス'!$A$4:$A$103,0)))),D120&lt;&gt;IF(COUNTIF('16_評価実績インデックス'!$A$4:$A$103,G120)&lt;&gt;1,"参照ID不正",IF(INDEX('16_評価実績インデックス'!$B$4:$B$103,MATCH(G120,'16_評価実績インデックス'!$A$4:$A$103,0))="","",INDEX('16_評価実績インデックス'!$B$4:$B$103,MATCH(G120,'16_評価実績インデックス'!$A$4:$A$103,0)))),B120&lt;&gt;IF(COUNTIF('16_評価実績インデックス'!$A$4:$A$103,G120)&lt;&gt;1,"参照ID不正",IF(INDEX('16_評価実績インデックス'!$C$4:$C$103,MATCH(G120,'16_評価実績インデックス'!$A$4:$A$103,0))="","",INDEX('16_評価実績インデックス'!$C$4:$C$103,MATCH(G120,'16_評価実績インデックス'!$A$4:$A$103,0))))),"評価対象不一致",IF(IF(COUNTIF('16_評価実績インデックス'!$A$4:$A$103,G120)&lt;&gt;1,"参照ID不正",IF(INDEX('16_評価実績インデックス'!$S$4:$S$103,MATCH(G120,'16_評価実績インデックス'!$A$4:$A$103,0))="","",INDEX('16_評価実績インデックス'!$S$4:$S$103,MATCH(G120,'16_評価実績インデックス'!$A$4:$A$103,0))))&lt;&gt;"記録あり・内容審査別","評価記録未充足",IF(L120&lt;&gt;"合格","必要評価不合格・未確定","評価充足"))))))))))))</f>
        <v/>
      </c>
      <c r="N120" s="28">
        <f t="shared" si="3"/>
        <v>0</v>
      </c>
      <c r="O120" s="29"/>
      <c r="P120" s="29"/>
    </row>
    <row r="121" spans="1:16" ht="64" customHeight="1" x14ac:dyDescent="0.2">
      <c r="A121" s="29"/>
      <c r="B121" s="29"/>
      <c r="C121" s="29"/>
      <c r="D121" s="29"/>
      <c r="E121" s="28" t="str">
        <f>IF(A121="","",IF(COUNTIF('15_評価計画・品質ゲート'!$V$4:$V$103,D121)&lt;&gt;1,"参照ID不正",IF(INDEX('15_評価計画・品質ゲート'!$A$4:$A$103,MATCH(D121,'15_評価計画・品質ゲート'!$V$4:$V$103,0))="","",INDEX('15_評価計画・品質ゲート'!$A$4:$A$103,MATCH(D121,'15_評価計画・品質ゲート'!$V$4:$V$103,0)))))</f>
        <v/>
      </c>
      <c r="F121" s="29"/>
      <c r="G121" s="29"/>
      <c r="H121" s="29"/>
      <c r="I121" s="29"/>
      <c r="J121" s="29"/>
      <c r="K121" s="29"/>
      <c r="L121" s="28" t="str">
        <f>IF(OR(A121="",G121=""),"",IF(COUNTIF('16_評価実績インデックス'!$A$4:$A$103,G121)&lt;&gt;1,"参照ID不正",IF(INDEX('16_評価実績インデックス'!$O$4:$O$103,MATCH(G121,'16_評価実績インデックス'!$A$4:$A$103,0))="","",INDEX('16_評価実績インデックス'!$O$4:$O$103,MATCH(G121,'16_評価実績インデックス'!$A$4:$A$103,0)))))</f>
        <v/>
      </c>
      <c r="M121" s="28" t="str">
        <f>IF(A121="","",IF(OR(COUNTIF($A$4:$A$153,A121)&lt;&gt;1,COUNTIFS($B$4:$B$153,B121,$C$4:$C$153,C121,$D$4:$D$153,D121)&lt;&gt;1),"集合ID・計画重複",IF(OR(OR(B121="",C121="",D121="",I121="",J121="",O121=""),NOT(ISNUMBER(K121))),"集合承認不足",IF(OR(AND(K121&lt;&gt;"",OR(NOT(ISNUMBER(K121)),IFERROR(K121&lt;1,TRUE),IFERROR(INT(K121)&gt;INT(AsOfDate),TRUE)))),"集合承認日不正",IF(COUNTIF(EvalPlanKeys,D121)&lt;&gt;1,"PlanKey不正",IF(C121&lt;&gt;IF(COUNTIF('15_評価計画・品質ゲート'!$V$4:$V$103,D121)&lt;&gt;1,"参照ID不正",IF(INDEX('15_評価計画・品質ゲート'!$U$4:$U$103,MATCH(D121,'15_評価計画・品質ゲート'!$V$4:$V$103,0))="","",INDEX('15_評価計画・品質ゲート'!$U$4:$U$103,MATCH(D121,'15_評価計画・品質ゲート'!$V$4:$V$103,0)))),"計画Manifest不一致",IF(F121="対象外",IF(H121="","対象外理由不足","対象外承認"),IF(F121&lt;&gt;"必須","適用未判定",IF(OR(G121="",COUNTIF('16_評価実績インデックス'!$A$4:$A$103,G121)&lt;&gt;1),"評価Run不足・不正",IF(OR(C121&lt;&gt;IF(COUNTIF('16_評価実績インデックス'!$A$4:$A$103,G121)&lt;&gt;1,"参照ID不正",IF(INDEX('16_評価実績インデックス'!$T$4:$T$103,MATCH(G121,'16_評価実績インデックス'!$A$4:$A$103,0))="","",INDEX('16_評価実績インデックス'!$T$4:$T$103,MATCH(G121,'16_評価実績インデックス'!$A$4:$A$103,0)))),D121&lt;&gt;IF(COUNTIF('16_評価実績インデックス'!$A$4:$A$103,G121)&lt;&gt;1,"参照ID不正",IF(INDEX('16_評価実績インデックス'!$B$4:$B$103,MATCH(G121,'16_評価実績インデックス'!$A$4:$A$103,0))="","",INDEX('16_評価実績インデックス'!$B$4:$B$103,MATCH(G121,'16_評価実績インデックス'!$A$4:$A$103,0)))),B121&lt;&gt;IF(COUNTIF('16_評価実績インデックス'!$A$4:$A$103,G121)&lt;&gt;1,"参照ID不正",IF(INDEX('16_評価実績インデックス'!$C$4:$C$103,MATCH(G121,'16_評価実績インデックス'!$A$4:$A$103,0))="","",INDEX('16_評価実績インデックス'!$C$4:$C$103,MATCH(G121,'16_評価実績インデックス'!$A$4:$A$103,0))))),"評価対象不一致",IF(IF(COUNTIF('16_評価実績インデックス'!$A$4:$A$103,G121)&lt;&gt;1,"参照ID不正",IF(INDEX('16_評価実績インデックス'!$S$4:$S$103,MATCH(G121,'16_評価実績インデックス'!$A$4:$A$103,0))="","",INDEX('16_評価実績インデックス'!$S$4:$S$103,MATCH(G121,'16_評価実績インデックス'!$A$4:$A$103,0))))&lt;&gt;"記録あり・内容審査別","評価記録未充足",IF(L121&lt;&gt;"合格","必要評価不合格・未確定","評価充足"))))))))))))</f>
        <v/>
      </c>
      <c r="N121" s="28">
        <f t="shared" si="3"/>
        <v>0</v>
      </c>
      <c r="O121" s="29"/>
      <c r="P121" s="29"/>
    </row>
    <row r="122" spans="1:16" ht="64" customHeight="1" x14ac:dyDescent="0.2">
      <c r="A122" s="29"/>
      <c r="B122" s="29"/>
      <c r="C122" s="29"/>
      <c r="D122" s="29"/>
      <c r="E122" s="28" t="str">
        <f>IF(A122="","",IF(COUNTIF('15_評価計画・品質ゲート'!$V$4:$V$103,D122)&lt;&gt;1,"参照ID不正",IF(INDEX('15_評価計画・品質ゲート'!$A$4:$A$103,MATCH(D122,'15_評価計画・品質ゲート'!$V$4:$V$103,0))="","",INDEX('15_評価計画・品質ゲート'!$A$4:$A$103,MATCH(D122,'15_評価計画・品質ゲート'!$V$4:$V$103,0)))))</f>
        <v/>
      </c>
      <c r="F122" s="29"/>
      <c r="G122" s="29"/>
      <c r="H122" s="29"/>
      <c r="I122" s="29"/>
      <c r="J122" s="29"/>
      <c r="K122" s="29"/>
      <c r="L122" s="28" t="str">
        <f>IF(OR(A122="",G122=""),"",IF(COUNTIF('16_評価実績インデックス'!$A$4:$A$103,G122)&lt;&gt;1,"参照ID不正",IF(INDEX('16_評価実績インデックス'!$O$4:$O$103,MATCH(G122,'16_評価実績インデックス'!$A$4:$A$103,0))="","",INDEX('16_評価実績インデックス'!$O$4:$O$103,MATCH(G122,'16_評価実績インデックス'!$A$4:$A$103,0)))))</f>
        <v/>
      </c>
      <c r="M122" s="28" t="str">
        <f>IF(A122="","",IF(OR(COUNTIF($A$4:$A$153,A122)&lt;&gt;1,COUNTIFS($B$4:$B$153,B122,$C$4:$C$153,C122,$D$4:$D$153,D122)&lt;&gt;1),"集合ID・計画重複",IF(OR(OR(B122="",C122="",D122="",I122="",J122="",O122=""),NOT(ISNUMBER(K122))),"集合承認不足",IF(OR(AND(K122&lt;&gt;"",OR(NOT(ISNUMBER(K122)),IFERROR(K122&lt;1,TRUE),IFERROR(INT(K122)&gt;INT(AsOfDate),TRUE)))),"集合承認日不正",IF(COUNTIF(EvalPlanKeys,D122)&lt;&gt;1,"PlanKey不正",IF(C122&lt;&gt;IF(COUNTIF('15_評価計画・品質ゲート'!$V$4:$V$103,D122)&lt;&gt;1,"参照ID不正",IF(INDEX('15_評価計画・品質ゲート'!$U$4:$U$103,MATCH(D122,'15_評価計画・品質ゲート'!$V$4:$V$103,0))="","",INDEX('15_評価計画・品質ゲート'!$U$4:$U$103,MATCH(D122,'15_評価計画・品質ゲート'!$V$4:$V$103,0)))),"計画Manifest不一致",IF(F122="対象外",IF(H122="","対象外理由不足","対象外承認"),IF(F122&lt;&gt;"必須","適用未判定",IF(OR(G122="",COUNTIF('16_評価実績インデックス'!$A$4:$A$103,G122)&lt;&gt;1),"評価Run不足・不正",IF(OR(C122&lt;&gt;IF(COUNTIF('16_評価実績インデックス'!$A$4:$A$103,G122)&lt;&gt;1,"参照ID不正",IF(INDEX('16_評価実績インデックス'!$T$4:$T$103,MATCH(G122,'16_評価実績インデックス'!$A$4:$A$103,0))="","",INDEX('16_評価実績インデックス'!$T$4:$T$103,MATCH(G122,'16_評価実績インデックス'!$A$4:$A$103,0)))),D122&lt;&gt;IF(COUNTIF('16_評価実績インデックス'!$A$4:$A$103,G122)&lt;&gt;1,"参照ID不正",IF(INDEX('16_評価実績インデックス'!$B$4:$B$103,MATCH(G122,'16_評価実績インデックス'!$A$4:$A$103,0))="","",INDEX('16_評価実績インデックス'!$B$4:$B$103,MATCH(G122,'16_評価実績インデックス'!$A$4:$A$103,0)))),B122&lt;&gt;IF(COUNTIF('16_評価実績インデックス'!$A$4:$A$103,G122)&lt;&gt;1,"参照ID不正",IF(INDEX('16_評価実績インデックス'!$C$4:$C$103,MATCH(G122,'16_評価実績インデックス'!$A$4:$A$103,0))="","",INDEX('16_評価実績インデックス'!$C$4:$C$103,MATCH(G122,'16_評価実績インデックス'!$A$4:$A$103,0))))),"評価対象不一致",IF(IF(COUNTIF('16_評価実績インデックス'!$A$4:$A$103,G122)&lt;&gt;1,"参照ID不正",IF(INDEX('16_評価実績インデックス'!$S$4:$S$103,MATCH(G122,'16_評価実績インデックス'!$A$4:$A$103,0))="","",INDEX('16_評価実績インデックス'!$S$4:$S$103,MATCH(G122,'16_評価実績インデックス'!$A$4:$A$103,0))))&lt;&gt;"記録あり・内容審査別","評価記録未充足",IF(L122&lt;&gt;"合格","必要評価不合格・未確定","評価充足"))))))))))))</f>
        <v/>
      </c>
      <c r="N122" s="28">
        <f t="shared" si="3"/>
        <v>0</v>
      </c>
      <c r="O122" s="29"/>
      <c r="P122" s="29"/>
    </row>
    <row r="123" spans="1:16" ht="64" customHeight="1" x14ac:dyDescent="0.2">
      <c r="A123" s="29"/>
      <c r="B123" s="29"/>
      <c r="C123" s="29"/>
      <c r="D123" s="29"/>
      <c r="E123" s="28" t="str">
        <f>IF(A123="","",IF(COUNTIF('15_評価計画・品質ゲート'!$V$4:$V$103,D123)&lt;&gt;1,"参照ID不正",IF(INDEX('15_評価計画・品質ゲート'!$A$4:$A$103,MATCH(D123,'15_評価計画・品質ゲート'!$V$4:$V$103,0))="","",INDEX('15_評価計画・品質ゲート'!$A$4:$A$103,MATCH(D123,'15_評価計画・品質ゲート'!$V$4:$V$103,0)))))</f>
        <v/>
      </c>
      <c r="F123" s="29"/>
      <c r="G123" s="29"/>
      <c r="H123" s="29"/>
      <c r="I123" s="29"/>
      <c r="J123" s="29"/>
      <c r="K123" s="29"/>
      <c r="L123" s="28" t="str">
        <f>IF(OR(A123="",G123=""),"",IF(COUNTIF('16_評価実績インデックス'!$A$4:$A$103,G123)&lt;&gt;1,"参照ID不正",IF(INDEX('16_評価実績インデックス'!$O$4:$O$103,MATCH(G123,'16_評価実績インデックス'!$A$4:$A$103,0))="","",INDEX('16_評価実績インデックス'!$O$4:$O$103,MATCH(G123,'16_評価実績インデックス'!$A$4:$A$103,0)))))</f>
        <v/>
      </c>
      <c r="M123" s="28" t="str">
        <f>IF(A123="","",IF(OR(COUNTIF($A$4:$A$153,A123)&lt;&gt;1,COUNTIFS($B$4:$B$153,B123,$C$4:$C$153,C123,$D$4:$D$153,D123)&lt;&gt;1),"集合ID・計画重複",IF(OR(OR(B123="",C123="",D123="",I123="",J123="",O123=""),NOT(ISNUMBER(K123))),"集合承認不足",IF(OR(AND(K123&lt;&gt;"",OR(NOT(ISNUMBER(K123)),IFERROR(K123&lt;1,TRUE),IFERROR(INT(K123)&gt;INT(AsOfDate),TRUE)))),"集合承認日不正",IF(COUNTIF(EvalPlanKeys,D123)&lt;&gt;1,"PlanKey不正",IF(C123&lt;&gt;IF(COUNTIF('15_評価計画・品質ゲート'!$V$4:$V$103,D123)&lt;&gt;1,"参照ID不正",IF(INDEX('15_評価計画・品質ゲート'!$U$4:$U$103,MATCH(D123,'15_評価計画・品質ゲート'!$V$4:$V$103,0))="","",INDEX('15_評価計画・品質ゲート'!$U$4:$U$103,MATCH(D123,'15_評価計画・品質ゲート'!$V$4:$V$103,0)))),"計画Manifest不一致",IF(F123="対象外",IF(H123="","対象外理由不足","対象外承認"),IF(F123&lt;&gt;"必須","適用未判定",IF(OR(G123="",COUNTIF('16_評価実績インデックス'!$A$4:$A$103,G123)&lt;&gt;1),"評価Run不足・不正",IF(OR(C123&lt;&gt;IF(COUNTIF('16_評価実績インデックス'!$A$4:$A$103,G123)&lt;&gt;1,"参照ID不正",IF(INDEX('16_評価実績インデックス'!$T$4:$T$103,MATCH(G123,'16_評価実績インデックス'!$A$4:$A$103,0))="","",INDEX('16_評価実績インデックス'!$T$4:$T$103,MATCH(G123,'16_評価実績インデックス'!$A$4:$A$103,0)))),D123&lt;&gt;IF(COUNTIF('16_評価実績インデックス'!$A$4:$A$103,G123)&lt;&gt;1,"参照ID不正",IF(INDEX('16_評価実績インデックス'!$B$4:$B$103,MATCH(G123,'16_評価実績インデックス'!$A$4:$A$103,0))="","",INDEX('16_評価実績インデックス'!$B$4:$B$103,MATCH(G123,'16_評価実績インデックス'!$A$4:$A$103,0)))),B123&lt;&gt;IF(COUNTIF('16_評価実績インデックス'!$A$4:$A$103,G123)&lt;&gt;1,"参照ID不正",IF(INDEX('16_評価実績インデックス'!$C$4:$C$103,MATCH(G123,'16_評価実績インデックス'!$A$4:$A$103,0))="","",INDEX('16_評価実績インデックス'!$C$4:$C$103,MATCH(G123,'16_評価実績インデックス'!$A$4:$A$103,0))))),"評価対象不一致",IF(IF(COUNTIF('16_評価実績インデックス'!$A$4:$A$103,G123)&lt;&gt;1,"参照ID不正",IF(INDEX('16_評価実績インデックス'!$S$4:$S$103,MATCH(G123,'16_評価実績インデックス'!$A$4:$A$103,0))="","",INDEX('16_評価実績インデックス'!$S$4:$S$103,MATCH(G123,'16_評価実績インデックス'!$A$4:$A$103,0))))&lt;&gt;"記録あり・内容審査別","評価記録未充足",IF(L123&lt;&gt;"合格","必要評価不合格・未確定","評価充足"))))))))))))</f>
        <v/>
      </c>
      <c r="N123" s="28">
        <f t="shared" si="3"/>
        <v>0</v>
      </c>
      <c r="O123" s="29"/>
      <c r="P123" s="29"/>
    </row>
    <row r="124" spans="1:16" ht="64" customHeight="1" x14ac:dyDescent="0.2">
      <c r="A124" s="29"/>
      <c r="B124" s="29"/>
      <c r="C124" s="29"/>
      <c r="D124" s="29"/>
      <c r="E124" s="28" t="str">
        <f>IF(A124="","",IF(COUNTIF('15_評価計画・品質ゲート'!$V$4:$V$103,D124)&lt;&gt;1,"参照ID不正",IF(INDEX('15_評価計画・品質ゲート'!$A$4:$A$103,MATCH(D124,'15_評価計画・品質ゲート'!$V$4:$V$103,0))="","",INDEX('15_評価計画・品質ゲート'!$A$4:$A$103,MATCH(D124,'15_評価計画・品質ゲート'!$V$4:$V$103,0)))))</f>
        <v/>
      </c>
      <c r="F124" s="29"/>
      <c r="G124" s="29"/>
      <c r="H124" s="29"/>
      <c r="I124" s="29"/>
      <c r="J124" s="29"/>
      <c r="K124" s="29"/>
      <c r="L124" s="28" t="str">
        <f>IF(OR(A124="",G124=""),"",IF(COUNTIF('16_評価実績インデックス'!$A$4:$A$103,G124)&lt;&gt;1,"参照ID不正",IF(INDEX('16_評価実績インデックス'!$O$4:$O$103,MATCH(G124,'16_評価実績インデックス'!$A$4:$A$103,0))="","",INDEX('16_評価実績インデックス'!$O$4:$O$103,MATCH(G124,'16_評価実績インデックス'!$A$4:$A$103,0)))))</f>
        <v/>
      </c>
      <c r="M124" s="28" t="str">
        <f>IF(A124="","",IF(OR(COUNTIF($A$4:$A$153,A124)&lt;&gt;1,COUNTIFS($B$4:$B$153,B124,$C$4:$C$153,C124,$D$4:$D$153,D124)&lt;&gt;1),"集合ID・計画重複",IF(OR(OR(B124="",C124="",D124="",I124="",J124="",O124=""),NOT(ISNUMBER(K124))),"集合承認不足",IF(OR(AND(K124&lt;&gt;"",OR(NOT(ISNUMBER(K124)),IFERROR(K124&lt;1,TRUE),IFERROR(INT(K124)&gt;INT(AsOfDate),TRUE)))),"集合承認日不正",IF(COUNTIF(EvalPlanKeys,D124)&lt;&gt;1,"PlanKey不正",IF(C124&lt;&gt;IF(COUNTIF('15_評価計画・品質ゲート'!$V$4:$V$103,D124)&lt;&gt;1,"参照ID不正",IF(INDEX('15_評価計画・品質ゲート'!$U$4:$U$103,MATCH(D124,'15_評価計画・品質ゲート'!$V$4:$V$103,0))="","",INDEX('15_評価計画・品質ゲート'!$U$4:$U$103,MATCH(D124,'15_評価計画・品質ゲート'!$V$4:$V$103,0)))),"計画Manifest不一致",IF(F124="対象外",IF(H124="","対象外理由不足","対象外承認"),IF(F124&lt;&gt;"必須","適用未判定",IF(OR(G124="",COUNTIF('16_評価実績インデックス'!$A$4:$A$103,G124)&lt;&gt;1),"評価Run不足・不正",IF(OR(C124&lt;&gt;IF(COUNTIF('16_評価実績インデックス'!$A$4:$A$103,G124)&lt;&gt;1,"参照ID不正",IF(INDEX('16_評価実績インデックス'!$T$4:$T$103,MATCH(G124,'16_評価実績インデックス'!$A$4:$A$103,0))="","",INDEX('16_評価実績インデックス'!$T$4:$T$103,MATCH(G124,'16_評価実績インデックス'!$A$4:$A$103,0)))),D124&lt;&gt;IF(COUNTIF('16_評価実績インデックス'!$A$4:$A$103,G124)&lt;&gt;1,"参照ID不正",IF(INDEX('16_評価実績インデックス'!$B$4:$B$103,MATCH(G124,'16_評価実績インデックス'!$A$4:$A$103,0))="","",INDEX('16_評価実績インデックス'!$B$4:$B$103,MATCH(G124,'16_評価実績インデックス'!$A$4:$A$103,0)))),B124&lt;&gt;IF(COUNTIF('16_評価実績インデックス'!$A$4:$A$103,G124)&lt;&gt;1,"参照ID不正",IF(INDEX('16_評価実績インデックス'!$C$4:$C$103,MATCH(G124,'16_評価実績インデックス'!$A$4:$A$103,0))="","",INDEX('16_評価実績インデックス'!$C$4:$C$103,MATCH(G124,'16_評価実績インデックス'!$A$4:$A$103,0))))),"評価対象不一致",IF(IF(COUNTIF('16_評価実績インデックス'!$A$4:$A$103,G124)&lt;&gt;1,"参照ID不正",IF(INDEX('16_評価実績インデックス'!$S$4:$S$103,MATCH(G124,'16_評価実績インデックス'!$A$4:$A$103,0))="","",INDEX('16_評価実績インデックス'!$S$4:$S$103,MATCH(G124,'16_評価実績インデックス'!$A$4:$A$103,0))))&lt;&gt;"記録あり・内容審査別","評価記録未充足",IF(L124&lt;&gt;"合格","必要評価不合格・未確定","評価充足"))))))))))))</f>
        <v/>
      </c>
      <c r="N124" s="28">
        <f t="shared" si="3"/>
        <v>0</v>
      </c>
      <c r="O124" s="29"/>
      <c r="P124" s="29"/>
    </row>
    <row r="125" spans="1:16" ht="64" customHeight="1" x14ac:dyDescent="0.2">
      <c r="A125" s="29"/>
      <c r="B125" s="29"/>
      <c r="C125" s="29"/>
      <c r="D125" s="29"/>
      <c r="E125" s="28" t="str">
        <f>IF(A125="","",IF(COUNTIF('15_評価計画・品質ゲート'!$V$4:$V$103,D125)&lt;&gt;1,"参照ID不正",IF(INDEX('15_評価計画・品質ゲート'!$A$4:$A$103,MATCH(D125,'15_評価計画・品質ゲート'!$V$4:$V$103,0))="","",INDEX('15_評価計画・品質ゲート'!$A$4:$A$103,MATCH(D125,'15_評価計画・品質ゲート'!$V$4:$V$103,0)))))</f>
        <v/>
      </c>
      <c r="F125" s="29"/>
      <c r="G125" s="29"/>
      <c r="H125" s="29"/>
      <c r="I125" s="29"/>
      <c r="J125" s="29"/>
      <c r="K125" s="29"/>
      <c r="L125" s="28" t="str">
        <f>IF(OR(A125="",G125=""),"",IF(COUNTIF('16_評価実績インデックス'!$A$4:$A$103,G125)&lt;&gt;1,"参照ID不正",IF(INDEX('16_評価実績インデックス'!$O$4:$O$103,MATCH(G125,'16_評価実績インデックス'!$A$4:$A$103,0))="","",INDEX('16_評価実績インデックス'!$O$4:$O$103,MATCH(G125,'16_評価実績インデックス'!$A$4:$A$103,0)))))</f>
        <v/>
      </c>
      <c r="M125" s="28" t="str">
        <f>IF(A125="","",IF(OR(COUNTIF($A$4:$A$153,A125)&lt;&gt;1,COUNTIFS($B$4:$B$153,B125,$C$4:$C$153,C125,$D$4:$D$153,D125)&lt;&gt;1),"集合ID・計画重複",IF(OR(OR(B125="",C125="",D125="",I125="",J125="",O125=""),NOT(ISNUMBER(K125))),"集合承認不足",IF(OR(AND(K125&lt;&gt;"",OR(NOT(ISNUMBER(K125)),IFERROR(K125&lt;1,TRUE),IFERROR(INT(K125)&gt;INT(AsOfDate),TRUE)))),"集合承認日不正",IF(COUNTIF(EvalPlanKeys,D125)&lt;&gt;1,"PlanKey不正",IF(C125&lt;&gt;IF(COUNTIF('15_評価計画・品質ゲート'!$V$4:$V$103,D125)&lt;&gt;1,"参照ID不正",IF(INDEX('15_評価計画・品質ゲート'!$U$4:$U$103,MATCH(D125,'15_評価計画・品質ゲート'!$V$4:$V$103,0))="","",INDEX('15_評価計画・品質ゲート'!$U$4:$U$103,MATCH(D125,'15_評価計画・品質ゲート'!$V$4:$V$103,0)))),"計画Manifest不一致",IF(F125="対象外",IF(H125="","対象外理由不足","対象外承認"),IF(F125&lt;&gt;"必須","適用未判定",IF(OR(G125="",COUNTIF('16_評価実績インデックス'!$A$4:$A$103,G125)&lt;&gt;1),"評価Run不足・不正",IF(OR(C125&lt;&gt;IF(COUNTIF('16_評価実績インデックス'!$A$4:$A$103,G125)&lt;&gt;1,"参照ID不正",IF(INDEX('16_評価実績インデックス'!$T$4:$T$103,MATCH(G125,'16_評価実績インデックス'!$A$4:$A$103,0))="","",INDEX('16_評価実績インデックス'!$T$4:$T$103,MATCH(G125,'16_評価実績インデックス'!$A$4:$A$103,0)))),D125&lt;&gt;IF(COUNTIF('16_評価実績インデックス'!$A$4:$A$103,G125)&lt;&gt;1,"参照ID不正",IF(INDEX('16_評価実績インデックス'!$B$4:$B$103,MATCH(G125,'16_評価実績インデックス'!$A$4:$A$103,0))="","",INDEX('16_評価実績インデックス'!$B$4:$B$103,MATCH(G125,'16_評価実績インデックス'!$A$4:$A$103,0)))),B125&lt;&gt;IF(COUNTIF('16_評価実績インデックス'!$A$4:$A$103,G125)&lt;&gt;1,"参照ID不正",IF(INDEX('16_評価実績インデックス'!$C$4:$C$103,MATCH(G125,'16_評価実績インデックス'!$A$4:$A$103,0))="","",INDEX('16_評価実績インデックス'!$C$4:$C$103,MATCH(G125,'16_評価実績インデックス'!$A$4:$A$103,0))))),"評価対象不一致",IF(IF(COUNTIF('16_評価実績インデックス'!$A$4:$A$103,G125)&lt;&gt;1,"参照ID不正",IF(INDEX('16_評価実績インデックス'!$S$4:$S$103,MATCH(G125,'16_評価実績インデックス'!$A$4:$A$103,0))="","",INDEX('16_評価実績インデックス'!$S$4:$S$103,MATCH(G125,'16_評価実績インデックス'!$A$4:$A$103,0))))&lt;&gt;"記録あり・内容審査別","評価記録未充足",IF(L125&lt;&gt;"合格","必要評価不合格・未確定","評価充足"))))))))))))</f>
        <v/>
      </c>
      <c r="N125" s="28">
        <f t="shared" si="3"/>
        <v>0</v>
      </c>
      <c r="O125" s="29"/>
      <c r="P125" s="29"/>
    </row>
    <row r="126" spans="1:16" ht="64" customHeight="1" x14ac:dyDescent="0.2">
      <c r="A126" s="29"/>
      <c r="B126" s="29"/>
      <c r="C126" s="29"/>
      <c r="D126" s="29"/>
      <c r="E126" s="28" t="str">
        <f>IF(A126="","",IF(COUNTIF('15_評価計画・品質ゲート'!$V$4:$V$103,D126)&lt;&gt;1,"参照ID不正",IF(INDEX('15_評価計画・品質ゲート'!$A$4:$A$103,MATCH(D126,'15_評価計画・品質ゲート'!$V$4:$V$103,0))="","",INDEX('15_評価計画・品質ゲート'!$A$4:$A$103,MATCH(D126,'15_評価計画・品質ゲート'!$V$4:$V$103,0)))))</f>
        <v/>
      </c>
      <c r="F126" s="29"/>
      <c r="G126" s="29"/>
      <c r="H126" s="29"/>
      <c r="I126" s="29"/>
      <c r="J126" s="29"/>
      <c r="K126" s="29"/>
      <c r="L126" s="28" t="str">
        <f>IF(OR(A126="",G126=""),"",IF(COUNTIF('16_評価実績インデックス'!$A$4:$A$103,G126)&lt;&gt;1,"参照ID不正",IF(INDEX('16_評価実績インデックス'!$O$4:$O$103,MATCH(G126,'16_評価実績インデックス'!$A$4:$A$103,0))="","",INDEX('16_評価実績インデックス'!$O$4:$O$103,MATCH(G126,'16_評価実績インデックス'!$A$4:$A$103,0)))))</f>
        <v/>
      </c>
      <c r="M126" s="28" t="str">
        <f>IF(A126="","",IF(OR(COUNTIF($A$4:$A$153,A126)&lt;&gt;1,COUNTIFS($B$4:$B$153,B126,$C$4:$C$153,C126,$D$4:$D$153,D126)&lt;&gt;1),"集合ID・計画重複",IF(OR(OR(B126="",C126="",D126="",I126="",J126="",O126=""),NOT(ISNUMBER(K126))),"集合承認不足",IF(OR(AND(K126&lt;&gt;"",OR(NOT(ISNUMBER(K126)),IFERROR(K126&lt;1,TRUE),IFERROR(INT(K126)&gt;INT(AsOfDate),TRUE)))),"集合承認日不正",IF(COUNTIF(EvalPlanKeys,D126)&lt;&gt;1,"PlanKey不正",IF(C126&lt;&gt;IF(COUNTIF('15_評価計画・品質ゲート'!$V$4:$V$103,D126)&lt;&gt;1,"参照ID不正",IF(INDEX('15_評価計画・品質ゲート'!$U$4:$U$103,MATCH(D126,'15_評価計画・品質ゲート'!$V$4:$V$103,0))="","",INDEX('15_評価計画・品質ゲート'!$U$4:$U$103,MATCH(D126,'15_評価計画・品質ゲート'!$V$4:$V$103,0)))),"計画Manifest不一致",IF(F126="対象外",IF(H126="","対象外理由不足","対象外承認"),IF(F126&lt;&gt;"必須","適用未判定",IF(OR(G126="",COUNTIF('16_評価実績インデックス'!$A$4:$A$103,G126)&lt;&gt;1),"評価Run不足・不正",IF(OR(C126&lt;&gt;IF(COUNTIF('16_評価実績インデックス'!$A$4:$A$103,G126)&lt;&gt;1,"参照ID不正",IF(INDEX('16_評価実績インデックス'!$T$4:$T$103,MATCH(G126,'16_評価実績インデックス'!$A$4:$A$103,0))="","",INDEX('16_評価実績インデックス'!$T$4:$T$103,MATCH(G126,'16_評価実績インデックス'!$A$4:$A$103,0)))),D126&lt;&gt;IF(COUNTIF('16_評価実績インデックス'!$A$4:$A$103,G126)&lt;&gt;1,"参照ID不正",IF(INDEX('16_評価実績インデックス'!$B$4:$B$103,MATCH(G126,'16_評価実績インデックス'!$A$4:$A$103,0))="","",INDEX('16_評価実績インデックス'!$B$4:$B$103,MATCH(G126,'16_評価実績インデックス'!$A$4:$A$103,0)))),B126&lt;&gt;IF(COUNTIF('16_評価実績インデックス'!$A$4:$A$103,G126)&lt;&gt;1,"参照ID不正",IF(INDEX('16_評価実績インデックス'!$C$4:$C$103,MATCH(G126,'16_評価実績インデックス'!$A$4:$A$103,0))="","",INDEX('16_評価実績インデックス'!$C$4:$C$103,MATCH(G126,'16_評価実績インデックス'!$A$4:$A$103,0))))),"評価対象不一致",IF(IF(COUNTIF('16_評価実績インデックス'!$A$4:$A$103,G126)&lt;&gt;1,"参照ID不正",IF(INDEX('16_評価実績インデックス'!$S$4:$S$103,MATCH(G126,'16_評価実績インデックス'!$A$4:$A$103,0))="","",INDEX('16_評価実績インデックス'!$S$4:$S$103,MATCH(G126,'16_評価実績インデックス'!$A$4:$A$103,0))))&lt;&gt;"記録あり・内容審査別","評価記録未充足",IF(L126&lt;&gt;"合格","必要評価不合格・未確定","評価充足"))))))))))))</f>
        <v/>
      </c>
      <c r="N126" s="28">
        <f t="shared" si="3"/>
        <v>0</v>
      </c>
      <c r="O126" s="29"/>
      <c r="P126" s="29"/>
    </row>
    <row r="127" spans="1:16" ht="64" customHeight="1" x14ac:dyDescent="0.2">
      <c r="A127" s="29"/>
      <c r="B127" s="29"/>
      <c r="C127" s="29"/>
      <c r="D127" s="29"/>
      <c r="E127" s="28" t="str">
        <f>IF(A127="","",IF(COUNTIF('15_評価計画・品質ゲート'!$V$4:$V$103,D127)&lt;&gt;1,"参照ID不正",IF(INDEX('15_評価計画・品質ゲート'!$A$4:$A$103,MATCH(D127,'15_評価計画・品質ゲート'!$V$4:$V$103,0))="","",INDEX('15_評価計画・品質ゲート'!$A$4:$A$103,MATCH(D127,'15_評価計画・品質ゲート'!$V$4:$V$103,0)))))</f>
        <v/>
      </c>
      <c r="F127" s="29"/>
      <c r="G127" s="29"/>
      <c r="H127" s="29"/>
      <c r="I127" s="29"/>
      <c r="J127" s="29"/>
      <c r="K127" s="29"/>
      <c r="L127" s="28" t="str">
        <f>IF(OR(A127="",G127=""),"",IF(COUNTIF('16_評価実績インデックス'!$A$4:$A$103,G127)&lt;&gt;1,"参照ID不正",IF(INDEX('16_評価実績インデックス'!$O$4:$O$103,MATCH(G127,'16_評価実績インデックス'!$A$4:$A$103,0))="","",INDEX('16_評価実績インデックス'!$O$4:$O$103,MATCH(G127,'16_評価実績インデックス'!$A$4:$A$103,0)))))</f>
        <v/>
      </c>
      <c r="M127" s="28" t="str">
        <f>IF(A127="","",IF(OR(COUNTIF($A$4:$A$153,A127)&lt;&gt;1,COUNTIFS($B$4:$B$153,B127,$C$4:$C$153,C127,$D$4:$D$153,D127)&lt;&gt;1),"集合ID・計画重複",IF(OR(OR(B127="",C127="",D127="",I127="",J127="",O127=""),NOT(ISNUMBER(K127))),"集合承認不足",IF(OR(AND(K127&lt;&gt;"",OR(NOT(ISNUMBER(K127)),IFERROR(K127&lt;1,TRUE),IFERROR(INT(K127)&gt;INT(AsOfDate),TRUE)))),"集合承認日不正",IF(COUNTIF(EvalPlanKeys,D127)&lt;&gt;1,"PlanKey不正",IF(C127&lt;&gt;IF(COUNTIF('15_評価計画・品質ゲート'!$V$4:$V$103,D127)&lt;&gt;1,"参照ID不正",IF(INDEX('15_評価計画・品質ゲート'!$U$4:$U$103,MATCH(D127,'15_評価計画・品質ゲート'!$V$4:$V$103,0))="","",INDEX('15_評価計画・品質ゲート'!$U$4:$U$103,MATCH(D127,'15_評価計画・品質ゲート'!$V$4:$V$103,0)))),"計画Manifest不一致",IF(F127="対象外",IF(H127="","対象外理由不足","対象外承認"),IF(F127&lt;&gt;"必須","適用未判定",IF(OR(G127="",COUNTIF('16_評価実績インデックス'!$A$4:$A$103,G127)&lt;&gt;1),"評価Run不足・不正",IF(OR(C127&lt;&gt;IF(COUNTIF('16_評価実績インデックス'!$A$4:$A$103,G127)&lt;&gt;1,"参照ID不正",IF(INDEX('16_評価実績インデックス'!$T$4:$T$103,MATCH(G127,'16_評価実績インデックス'!$A$4:$A$103,0))="","",INDEX('16_評価実績インデックス'!$T$4:$T$103,MATCH(G127,'16_評価実績インデックス'!$A$4:$A$103,0)))),D127&lt;&gt;IF(COUNTIF('16_評価実績インデックス'!$A$4:$A$103,G127)&lt;&gt;1,"参照ID不正",IF(INDEX('16_評価実績インデックス'!$B$4:$B$103,MATCH(G127,'16_評価実績インデックス'!$A$4:$A$103,0))="","",INDEX('16_評価実績インデックス'!$B$4:$B$103,MATCH(G127,'16_評価実績インデックス'!$A$4:$A$103,0)))),B127&lt;&gt;IF(COUNTIF('16_評価実績インデックス'!$A$4:$A$103,G127)&lt;&gt;1,"参照ID不正",IF(INDEX('16_評価実績インデックス'!$C$4:$C$103,MATCH(G127,'16_評価実績インデックス'!$A$4:$A$103,0))="","",INDEX('16_評価実績インデックス'!$C$4:$C$103,MATCH(G127,'16_評価実績インデックス'!$A$4:$A$103,0))))),"評価対象不一致",IF(IF(COUNTIF('16_評価実績インデックス'!$A$4:$A$103,G127)&lt;&gt;1,"参照ID不正",IF(INDEX('16_評価実績インデックス'!$S$4:$S$103,MATCH(G127,'16_評価実績インデックス'!$A$4:$A$103,0))="","",INDEX('16_評価実績インデックス'!$S$4:$S$103,MATCH(G127,'16_評価実績インデックス'!$A$4:$A$103,0))))&lt;&gt;"記録あり・内容審査別","評価記録未充足",IF(L127&lt;&gt;"合格","必要評価不合格・未確定","評価充足"))))))))))))</f>
        <v/>
      </c>
      <c r="N127" s="28">
        <f t="shared" si="3"/>
        <v>0</v>
      </c>
      <c r="O127" s="29"/>
      <c r="P127" s="29"/>
    </row>
    <row r="128" spans="1:16" ht="64" customHeight="1" x14ac:dyDescent="0.2">
      <c r="A128" s="29"/>
      <c r="B128" s="29"/>
      <c r="C128" s="29"/>
      <c r="D128" s="29"/>
      <c r="E128" s="28" t="str">
        <f>IF(A128="","",IF(COUNTIF('15_評価計画・品質ゲート'!$V$4:$V$103,D128)&lt;&gt;1,"参照ID不正",IF(INDEX('15_評価計画・品質ゲート'!$A$4:$A$103,MATCH(D128,'15_評価計画・品質ゲート'!$V$4:$V$103,0))="","",INDEX('15_評価計画・品質ゲート'!$A$4:$A$103,MATCH(D128,'15_評価計画・品質ゲート'!$V$4:$V$103,0)))))</f>
        <v/>
      </c>
      <c r="F128" s="29"/>
      <c r="G128" s="29"/>
      <c r="H128" s="29"/>
      <c r="I128" s="29"/>
      <c r="J128" s="29"/>
      <c r="K128" s="29"/>
      <c r="L128" s="28" t="str">
        <f>IF(OR(A128="",G128=""),"",IF(COUNTIF('16_評価実績インデックス'!$A$4:$A$103,G128)&lt;&gt;1,"参照ID不正",IF(INDEX('16_評価実績インデックス'!$O$4:$O$103,MATCH(G128,'16_評価実績インデックス'!$A$4:$A$103,0))="","",INDEX('16_評価実績インデックス'!$O$4:$O$103,MATCH(G128,'16_評価実績インデックス'!$A$4:$A$103,0)))))</f>
        <v/>
      </c>
      <c r="M128" s="28" t="str">
        <f>IF(A128="","",IF(OR(COUNTIF($A$4:$A$153,A128)&lt;&gt;1,COUNTIFS($B$4:$B$153,B128,$C$4:$C$153,C128,$D$4:$D$153,D128)&lt;&gt;1),"集合ID・計画重複",IF(OR(OR(B128="",C128="",D128="",I128="",J128="",O128=""),NOT(ISNUMBER(K128))),"集合承認不足",IF(OR(AND(K128&lt;&gt;"",OR(NOT(ISNUMBER(K128)),IFERROR(K128&lt;1,TRUE),IFERROR(INT(K128)&gt;INT(AsOfDate),TRUE)))),"集合承認日不正",IF(COUNTIF(EvalPlanKeys,D128)&lt;&gt;1,"PlanKey不正",IF(C128&lt;&gt;IF(COUNTIF('15_評価計画・品質ゲート'!$V$4:$V$103,D128)&lt;&gt;1,"参照ID不正",IF(INDEX('15_評価計画・品質ゲート'!$U$4:$U$103,MATCH(D128,'15_評価計画・品質ゲート'!$V$4:$V$103,0))="","",INDEX('15_評価計画・品質ゲート'!$U$4:$U$103,MATCH(D128,'15_評価計画・品質ゲート'!$V$4:$V$103,0)))),"計画Manifest不一致",IF(F128="対象外",IF(H128="","対象外理由不足","対象外承認"),IF(F128&lt;&gt;"必須","適用未判定",IF(OR(G128="",COUNTIF('16_評価実績インデックス'!$A$4:$A$103,G128)&lt;&gt;1),"評価Run不足・不正",IF(OR(C128&lt;&gt;IF(COUNTIF('16_評価実績インデックス'!$A$4:$A$103,G128)&lt;&gt;1,"参照ID不正",IF(INDEX('16_評価実績インデックス'!$T$4:$T$103,MATCH(G128,'16_評価実績インデックス'!$A$4:$A$103,0))="","",INDEX('16_評価実績インデックス'!$T$4:$T$103,MATCH(G128,'16_評価実績インデックス'!$A$4:$A$103,0)))),D128&lt;&gt;IF(COUNTIF('16_評価実績インデックス'!$A$4:$A$103,G128)&lt;&gt;1,"参照ID不正",IF(INDEX('16_評価実績インデックス'!$B$4:$B$103,MATCH(G128,'16_評価実績インデックス'!$A$4:$A$103,0))="","",INDEX('16_評価実績インデックス'!$B$4:$B$103,MATCH(G128,'16_評価実績インデックス'!$A$4:$A$103,0)))),B128&lt;&gt;IF(COUNTIF('16_評価実績インデックス'!$A$4:$A$103,G128)&lt;&gt;1,"参照ID不正",IF(INDEX('16_評価実績インデックス'!$C$4:$C$103,MATCH(G128,'16_評価実績インデックス'!$A$4:$A$103,0))="","",INDEX('16_評価実績インデックス'!$C$4:$C$103,MATCH(G128,'16_評価実績インデックス'!$A$4:$A$103,0))))),"評価対象不一致",IF(IF(COUNTIF('16_評価実績インデックス'!$A$4:$A$103,G128)&lt;&gt;1,"参照ID不正",IF(INDEX('16_評価実績インデックス'!$S$4:$S$103,MATCH(G128,'16_評価実績インデックス'!$A$4:$A$103,0))="","",INDEX('16_評価実績インデックス'!$S$4:$S$103,MATCH(G128,'16_評価実績インデックス'!$A$4:$A$103,0))))&lt;&gt;"記録あり・内容審査別","評価記録未充足",IF(L128&lt;&gt;"合格","必要評価不合格・未確定","評価充足"))))))))))))</f>
        <v/>
      </c>
      <c r="N128" s="28">
        <f t="shared" si="3"/>
        <v>0</v>
      </c>
      <c r="O128" s="29"/>
      <c r="P128" s="29"/>
    </row>
    <row r="129" spans="1:16" ht="64" customHeight="1" x14ac:dyDescent="0.2">
      <c r="A129" s="29"/>
      <c r="B129" s="29"/>
      <c r="C129" s="29"/>
      <c r="D129" s="29"/>
      <c r="E129" s="28" t="str">
        <f>IF(A129="","",IF(COUNTIF('15_評価計画・品質ゲート'!$V$4:$V$103,D129)&lt;&gt;1,"参照ID不正",IF(INDEX('15_評価計画・品質ゲート'!$A$4:$A$103,MATCH(D129,'15_評価計画・品質ゲート'!$V$4:$V$103,0))="","",INDEX('15_評価計画・品質ゲート'!$A$4:$A$103,MATCH(D129,'15_評価計画・品質ゲート'!$V$4:$V$103,0)))))</f>
        <v/>
      </c>
      <c r="F129" s="29"/>
      <c r="G129" s="29"/>
      <c r="H129" s="29"/>
      <c r="I129" s="29"/>
      <c r="J129" s="29"/>
      <c r="K129" s="29"/>
      <c r="L129" s="28" t="str">
        <f>IF(OR(A129="",G129=""),"",IF(COUNTIF('16_評価実績インデックス'!$A$4:$A$103,G129)&lt;&gt;1,"参照ID不正",IF(INDEX('16_評価実績インデックス'!$O$4:$O$103,MATCH(G129,'16_評価実績インデックス'!$A$4:$A$103,0))="","",INDEX('16_評価実績インデックス'!$O$4:$O$103,MATCH(G129,'16_評価実績インデックス'!$A$4:$A$103,0)))))</f>
        <v/>
      </c>
      <c r="M129" s="28" t="str">
        <f>IF(A129="","",IF(OR(COUNTIF($A$4:$A$153,A129)&lt;&gt;1,COUNTIFS($B$4:$B$153,B129,$C$4:$C$153,C129,$D$4:$D$153,D129)&lt;&gt;1),"集合ID・計画重複",IF(OR(OR(B129="",C129="",D129="",I129="",J129="",O129=""),NOT(ISNUMBER(K129))),"集合承認不足",IF(OR(AND(K129&lt;&gt;"",OR(NOT(ISNUMBER(K129)),IFERROR(K129&lt;1,TRUE),IFERROR(INT(K129)&gt;INT(AsOfDate),TRUE)))),"集合承認日不正",IF(COUNTIF(EvalPlanKeys,D129)&lt;&gt;1,"PlanKey不正",IF(C129&lt;&gt;IF(COUNTIF('15_評価計画・品質ゲート'!$V$4:$V$103,D129)&lt;&gt;1,"参照ID不正",IF(INDEX('15_評価計画・品質ゲート'!$U$4:$U$103,MATCH(D129,'15_評価計画・品質ゲート'!$V$4:$V$103,0))="","",INDEX('15_評価計画・品質ゲート'!$U$4:$U$103,MATCH(D129,'15_評価計画・品質ゲート'!$V$4:$V$103,0)))),"計画Manifest不一致",IF(F129="対象外",IF(H129="","対象外理由不足","対象外承認"),IF(F129&lt;&gt;"必須","適用未判定",IF(OR(G129="",COUNTIF('16_評価実績インデックス'!$A$4:$A$103,G129)&lt;&gt;1),"評価Run不足・不正",IF(OR(C129&lt;&gt;IF(COUNTIF('16_評価実績インデックス'!$A$4:$A$103,G129)&lt;&gt;1,"参照ID不正",IF(INDEX('16_評価実績インデックス'!$T$4:$T$103,MATCH(G129,'16_評価実績インデックス'!$A$4:$A$103,0))="","",INDEX('16_評価実績インデックス'!$T$4:$T$103,MATCH(G129,'16_評価実績インデックス'!$A$4:$A$103,0)))),D129&lt;&gt;IF(COUNTIF('16_評価実績インデックス'!$A$4:$A$103,G129)&lt;&gt;1,"参照ID不正",IF(INDEX('16_評価実績インデックス'!$B$4:$B$103,MATCH(G129,'16_評価実績インデックス'!$A$4:$A$103,0))="","",INDEX('16_評価実績インデックス'!$B$4:$B$103,MATCH(G129,'16_評価実績インデックス'!$A$4:$A$103,0)))),B129&lt;&gt;IF(COUNTIF('16_評価実績インデックス'!$A$4:$A$103,G129)&lt;&gt;1,"参照ID不正",IF(INDEX('16_評価実績インデックス'!$C$4:$C$103,MATCH(G129,'16_評価実績インデックス'!$A$4:$A$103,0))="","",INDEX('16_評価実績インデックス'!$C$4:$C$103,MATCH(G129,'16_評価実績インデックス'!$A$4:$A$103,0))))),"評価対象不一致",IF(IF(COUNTIF('16_評価実績インデックス'!$A$4:$A$103,G129)&lt;&gt;1,"参照ID不正",IF(INDEX('16_評価実績インデックス'!$S$4:$S$103,MATCH(G129,'16_評価実績インデックス'!$A$4:$A$103,0))="","",INDEX('16_評価実績インデックス'!$S$4:$S$103,MATCH(G129,'16_評価実績インデックス'!$A$4:$A$103,0))))&lt;&gt;"記録あり・内容審査別","評価記録未充足",IF(L129&lt;&gt;"合格","必要評価不合格・未確定","評価充足"))))))))))))</f>
        <v/>
      </c>
      <c r="N129" s="28">
        <f t="shared" si="3"/>
        <v>0</v>
      </c>
      <c r="O129" s="29"/>
      <c r="P129" s="29"/>
    </row>
    <row r="130" spans="1:16" ht="64" customHeight="1" x14ac:dyDescent="0.2">
      <c r="A130" s="29"/>
      <c r="B130" s="29"/>
      <c r="C130" s="29"/>
      <c r="D130" s="29"/>
      <c r="E130" s="28" t="str">
        <f>IF(A130="","",IF(COUNTIF('15_評価計画・品質ゲート'!$V$4:$V$103,D130)&lt;&gt;1,"参照ID不正",IF(INDEX('15_評価計画・品質ゲート'!$A$4:$A$103,MATCH(D130,'15_評価計画・品質ゲート'!$V$4:$V$103,0))="","",INDEX('15_評価計画・品質ゲート'!$A$4:$A$103,MATCH(D130,'15_評価計画・品質ゲート'!$V$4:$V$103,0)))))</f>
        <v/>
      </c>
      <c r="F130" s="29"/>
      <c r="G130" s="29"/>
      <c r="H130" s="29"/>
      <c r="I130" s="29"/>
      <c r="J130" s="29"/>
      <c r="K130" s="29"/>
      <c r="L130" s="28" t="str">
        <f>IF(OR(A130="",G130=""),"",IF(COUNTIF('16_評価実績インデックス'!$A$4:$A$103,G130)&lt;&gt;1,"参照ID不正",IF(INDEX('16_評価実績インデックス'!$O$4:$O$103,MATCH(G130,'16_評価実績インデックス'!$A$4:$A$103,0))="","",INDEX('16_評価実績インデックス'!$O$4:$O$103,MATCH(G130,'16_評価実績インデックス'!$A$4:$A$103,0)))))</f>
        <v/>
      </c>
      <c r="M130" s="28" t="str">
        <f>IF(A130="","",IF(OR(COUNTIF($A$4:$A$153,A130)&lt;&gt;1,COUNTIFS($B$4:$B$153,B130,$C$4:$C$153,C130,$D$4:$D$153,D130)&lt;&gt;1),"集合ID・計画重複",IF(OR(OR(B130="",C130="",D130="",I130="",J130="",O130=""),NOT(ISNUMBER(K130))),"集合承認不足",IF(OR(AND(K130&lt;&gt;"",OR(NOT(ISNUMBER(K130)),IFERROR(K130&lt;1,TRUE),IFERROR(INT(K130)&gt;INT(AsOfDate),TRUE)))),"集合承認日不正",IF(COUNTIF(EvalPlanKeys,D130)&lt;&gt;1,"PlanKey不正",IF(C130&lt;&gt;IF(COUNTIF('15_評価計画・品質ゲート'!$V$4:$V$103,D130)&lt;&gt;1,"参照ID不正",IF(INDEX('15_評価計画・品質ゲート'!$U$4:$U$103,MATCH(D130,'15_評価計画・品質ゲート'!$V$4:$V$103,0))="","",INDEX('15_評価計画・品質ゲート'!$U$4:$U$103,MATCH(D130,'15_評価計画・品質ゲート'!$V$4:$V$103,0)))),"計画Manifest不一致",IF(F130="対象外",IF(H130="","対象外理由不足","対象外承認"),IF(F130&lt;&gt;"必須","適用未判定",IF(OR(G130="",COUNTIF('16_評価実績インデックス'!$A$4:$A$103,G130)&lt;&gt;1),"評価Run不足・不正",IF(OR(C130&lt;&gt;IF(COUNTIF('16_評価実績インデックス'!$A$4:$A$103,G130)&lt;&gt;1,"参照ID不正",IF(INDEX('16_評価実績インデックス'!$T$4:$T$103,MATCH(G130,'16_評価実績インデックス'!$A$4:$A$103,0))="","",INDEX('16_評価実績インデックス'!$T$4:$T$103,MATCH(G130,'16_評価実績インデックス'!$A$4:$A$103,0)))),D130&lt;&gt;IF(COUNTIF('16_評価実績インデックス'!$A$4:$A$103,G130)&lt;&gt;1,"参照ID不正",IF(INDEX('16_評価実績インデックス'!$B$4:$B$103,MATCH(G130,'16_評価実績インデックス'!$A$4:$A$103,0))="","",INDEX('16_評価実績インデックス'!$B$4:$B$103,MATCH(G130,'16_評価実績インデックス'!$A$4:$A$103,0)))),B130&lt;&gt;IF(COUNTIF('16_評価実績インデックス'!$A$4:$A$103,G130)&lt;&gt;1,"参照ID不正",IF(INDEX('16_評価実績インデックス'!$C$4:$C$103,MATCH(G130,'16_評価実績インデックス'!$A$4:$A$103,0))="","",INDEX('16_評価実績インデックス'!$C$4:$C$103,MATCH(G130,'16_評価実績インデックス'!$A$4:$A$103,0))))),"評価対象不一致",IF(IF(COUNTIF('16_評価実績インデックス'!$A$4:$A$103,G130)&lt;&gt;1,"参照ID不正",IF(INDEX('16_評価実績インデックス'!$S$4:$S$103,MATCH(G130,'16_評価実績インデックス'!$A$4:$A$103,0))="","",INDEX('16_評価実績インデックス'!$S$4:$S$103,MATCH(G130,'16_評価実績インデックス'!$A$4:$A$103,0))))&lt;&gt;"記録あり・内容審査別","評価記録未充足",IF(L130&lt;&gt;"合格","必要評価不合格・未確定","評価充足"))))))))))))</f>
        <v/>
      </c>
      <c r="N130" s="28">
        <f t="shared" si="3"/>
        <v>0</v>
      </c>
      <c r="O130" s="29"/>
      <c r="P130" s="29"/>
    </row>
    <row r="131" spans="1:16" ht="64" customHeight="1" x14ac:dyDescent="0.2">
      <c r="A131" s="29"/>
      <c r="B131" s="29"/>
      <c r="C131" s="29"/>
      <c r="D131" s="29"/>
      <c r="E131" s="28" t="str">
        <f>IF(A131="","",IF(COUNTIF('15_評価計画・品質ゲート'!$V$4:$V$103,D131)&lt;&gt;1,"参照ID不正",IF(INDEX('15_評価計画・品質ゲート'!$A$4:$A$103,MATCH(D131,'15_評価計画・品質ゲート'!$V$4:$V$103,0))="","",INDEX('15_評価計画・品質ゲート'!$A$4:$A$103,MATCH(D131,'15_評価計画・品質ゲート'!$V$4:$V$103,0)))))</f>
        <v/>
      </c>
      <c r="F131" s="29"/>
      <c r="G131" s="29"/>
      <c r="H131" s="29"/>
      <c r="I131" s="29"/>
      <c r="J131" s="29"/>
      <c r="K131" s="29"/>
      <c r="L131" s="28" t="str">
        <f>IF(OR(A131="",G131=""),"",IF(COUNTIF('16_評価実績インデックス'!$A$4:$A$103,G131)&lt;&gt;1,"参照ID不正",IF(INDEX('16_評価実績インデックス'!$O$4:$O$103,MATCH(G131,'16_評価実績インデックス'!$A$4:$A$103,0))="","",INDEX('16_評価実績インデックス'!$O$4:$O$103,MATCH(G131,'16_評価実績インデックス'!$A$4:$A$103,0)))))</f>
        <v/>
      </c>
      <c r="M131" s="28" t="str">
        <f>IF(A131="","",IF(OR(COUNTIF($A$4:$A$153,A131)&lt;&gt;1,COUNTIFS($B$4:$B$153,B131,$C$4:$C$153,C131,$D$4:$D$153,D131)&lt;&gt;1),"集合ID・計画重複",IF(OR(OR(B131="",C131="",D131="",I131="",J131="",O131=""),NOT(ISNUMBER(K131))),"集合承認不足",IF(OR(AND(K131&lt;&gt;"",OR(NOT(ISNUMBER(K131)),IFERROR(K131&lt;1,TRUE),IFERROR(INT(K131)&gt;INT(AsOfDate),TRUE)))),"集合承認日不正",IF(COUNTIF(EvalPlanKeys,D131)&lt;&gt;1,"PlanKey不正",IF(C131&lt;&gt;IF(COUNTIF('15_評価計画・品質ゲート'!$V$4:$V$103,D131)&lt;&gt;1,"参照ID不正",IF(INDEX('15_評価計画・品質ゲート'!$U$4:$U$103,MATCH(D131,'15_評価計画・品質ゲート'!$V$4:$V$103,0))="","",INDEX('15_評価計画・品質ゲート'!$U$4:$U$103,MATCH(D131,'15_評価計画・品質ゲート'!$V$4:$V$103,0)))),"計画Manifest不一致",IF(F131="対象外",IF(H131="","対象外理由不足","対象外承認"),IF(F131&lt;&gt;"必須","適用未判定",IF(OR(G131="",COUNTIF('16_評価実績インデックス'!$A$4:$A$103,G131)&lt;&gt;1),"評価Run不足・不正",IF(OR(C131&lt;&gt;IF(COUNTIF('16_評価実績インデックス'!$A$4:$A$103,G131)&lt;&gt;1,"参照ID不正",IF(INDEX('16_評価実績インデックス'!$T$4:$T$103,MATCH(G131,'16_評価実績インデックス'!$A$4:$A$103,0))="","",INDEX('16_評価実績インデックス'!$T$4:$T$103,MATCH(G131,'16_評価実績インデックス'!$A$4:$A$103,0)))),D131&lt;&gt;IF(COUNTIF('16_評価実績インデックス'!$A$4:$A$103,G131)&lt;&gt;1,"参照ID不正",IF(INDEX('16_評価実績インデックス'!$B$4:$B$103,MATCH(G131,'16_評価実績インデックス'!$A$4:$A$103,0))="","",INDEX('16_評価実績インデックス'!$B$4:$B$103,MATCH(G131,'16_評価実績インデックス'!$A$4:$A$103,0)))),B131&lt;&gt;IF(COUNTIF('16_評価実績インデックス'!$A$4:$A$103,G131)&lt;&gt;1,"参照ID不正",IF(INDEX('16_評価実績インデックス'!$C$4:$C$103,MATCH(G131,'16_評価実績インデックス'!$A$4:$A$103,0))="","",INDEX('16_評価実績インデックス'!$C$4:$C$103,MATCH(G131,'16_評価実績インデックス'!$A$4:$A$103,0))))),"評価対象不一致",IF(IF(COUNTIF('16_評価実績インデックス'!$A$4:$A$103,G131)&lt;&gt;1,"参照ID不正",IF(INDEX('16_評価実績インデックス'!$S$4:$S$103,MATCH(G131,'16_評価実績インデックス'!$A$4:$A$103,0))="","",INDEX('16_評価実績インデックス'!$S$4:$S$103,MATCH(G131,'16_評価実績インデックス'!$A$4:$A$103,0))))&lt;&gt;"記録あり・内容審査別","評価記録未充足",IF(L131&lt;&gt;"合格","必要評価不合格・未確定","評価充足"))))))))))))</f>
        <v/>
      </c>
      <c r="N131" s="28">
        <f t="shared" si="3"/>
        <v>0</v>
      </c>
      <c r="O131" s="29"/>
      <c r="P131" s="29"/>
    </row>
    <row r="132" spans="1:16" ht="64" customHeight="1" x14ac:dyDescent="0.2">
      <c r="A132" s="29"/>
      <c r="B132" s="29"/>
      <c r="C132" s="29"/>
      <c r="D132" s="29"/>
      <c r="E132" s="28" t="str">
        <f>IF(A132="","",IF(COUNTIF('15_評価計画・品質ゲート'!$V$4:$V$103,D132)&lt;&gt;1,"参照ID不正",IF(INDEX('15_評価計画・品質ゲート'!$A$4:$A$103,MATCH(D132,'15_評価計画・品質ゲート'!$V$4:$V$103,0))="","",INDEX('15_評価計画・品質ゲート'!$A$4:$A$103,MATCH(D132,'15_評価計画・品質ゲート'!$V$4:$V$103,0)))))</f>
        <v/>
      </c>
      <c r="F132" s="29"/>
      <c r="G132" s="29"/>
      <c r="H132" s="29"/>
      <c r="I132" s="29"/>
      <c r="J132" s="29"/>
      <c r="K132" s="29"/>
      <c r="L132" s="28" t="str">
        <f>IF(OR(A132="",G132=""),"",IF(COUNTIF('16_評価実績インデックス'!$A$4:$A$103,G132)&lt;&gt;1,"参照ID不正",IF(INDEX('16_評価実績インデックス'!$O$4:$O$103,MATCH(G132,'16_評価実績インデックス'!$A$4:$A$103,0))="","",INDEX('16_評価実績インデックス'!$O$4:$O$103,MATCH(G132,'16_評価実績インデックス'!$A$4:$A$103,0)))))</f>
        <v/>
      </c>
      <c r="M132" s="28" t="str">
        <f>IF(A132="","",IF(OR(COUNTIF($A$4:$A$153,A132)&lt;&gt;1,COUNTIFS($B$4:$B$153,B132,$C$4:$C$153,C132,$D$4:$D$153,D132)&lt;&gt;1),"集合ID・計画重複",IF(OR(OR(B132="",C132="",D132="",I132="",J132="",O132=""),NOT(ISNUMBER(K132))),"集合承認不足",IF(OR(AND(K132&lt;&gt;"",OR(NOT(ISNUMBER(K132)),IFERROR(K132&lt;1,TRUE),IFERROR(INT(K132)&gt;INT(AsOfDate),TRUE)))),"集合承認日不正",IF(COUNTIF(EvalPlanKeys,D132)&lt;&gt;1,"PlanKey不正",IF(C132&lt;&gt;IF(COUNTIF('15_評価計画・品質ゲート'!$V$4:$V$103,D132)&lt;&gt;1,"参照ID不正",IF(INDEX('15_評価計画・品質ゲート'!$U$4:$U$103,MATCH(D132,'15_評価計画・品質ゲート'!$V$4:$V$103,0))="","",INDEX('15_評価計画・品質ゲート'!$U$4:$U$103,MATCH(D132,'15_評価計画・品質ゲート'!$V$4:$V$103,0)))),"計画Manifest不一致",IF(F132="対象外",IF(H132="","対象外理由不足","対象外承認"),IF(F132&lt;&gt;"必須","適用未判定",IF(OR(G132="",COUNTIF('16_評価実績インデックス'!$A$4:$A$103,G132)&lt;&gt;1),"評価Run不足・不正",IF(OR(C132&lt;&gt;IF(COUNTIF('16_評価実績インデックス'!$A$4:$A$103,G132)&lt;&gt;1,"参照ID不正",IF(INDEX('16_評価実績インデックス'!$T$4:$T$103,MATCH(G132,'16_評価実績インデックス'!$A$4:$A$103,0))="","",INDEX('16_評価実績インデックス'!$T$4:$T$103,MATCH(G132,'16_評価実績インデックス'!$A$4:$A$103,0)))),D132&lt;&gt;IF(COUNTIF('16_評価実績インデックス'!$A$4:$A$103,G132)&lt;&gt;1,"参照ID不正",IF(INDEX('16_評価実績インデックス'!$B$4:$B$103,MATCH(G132,'16_評価実績インデックス'!$A$4:$A$103,0))="","",INDEX('16_評価実績インデックス'!$B$4:$B$103,MATCH(G132,'16_評価実績インデックス'!$A$4:$A$103,0)))),B132&lt;&gt;IF(COUNTIF('16_評価実績インデックス'!$A$4:$A$103,G132)&lt;&gt;1,"参照ID不正",IF(INDEX('16_評価実績インデックス'!$C$4:$C$103,MATCH(G132,'16_評価実績インデックス'!$A$4:$A$103,0))="","",INDEX('16_評価実績インデックス'!$C$4:$C$103,MATCH(G132,'16_評価実績インデックス'!$A$4:$A$103,0))))),"評価対象不一致",IF(IF(COUNTIF('16_評価実績インデックス'!$A$4:$A$103,G132)&lt;&gt;1,"参照ID不正",IF(INDEX('16_評価実績インデックス'!$S$4:$S$103,MATCH(G132,'16_評価実績インデックス'!$A$4:$A$103,0))="","",INDEX('16_評価実績インデックス'!$S$4:$S$103,MATCH(G132,'16_評価実績インデックス'!$A$4:$A$103,0))))&lt;&gt;"記録あり・内容審査別","評価記録未充足",IF(L132&lt;&gt;"合格","必要評価不合格・未確定","評価充足"))))))))))))</f>
        <v/>
      </c>
      <c r="N132" s="28">
        <f t="shared" ref="N132:N163" si="4">IF(OR(M132="評価充足",M132="対象外承認"),1,0)</f>
        <v>0</v>
      </c>
      <c r="O132" s="29"/>
      <c r="P132" s="29"/>
    </row>
    <row r="133" spans="1:16" ht="64" customHeight="1" x14ac:dyDescent="0.2">
      <c r="A133" s="29"/>
      <c r="B133" s="29"/>
      <c r="C133" s="29"/>
      <c r="D133" s="29"/>
      <c r="E133" s="28" t="str">
        <f>IF(A133="","",IF(COUNTIF('15_評価計画・品質ゲート'!$V$4:$V$103,D133)&lt;&gt;1,"参照ID不正",IF(INDEX('15_評価計画・品質ゲート'!$A$4:$A$103,MATCH(D133,'15_評価計画・品質ゲート'!$V$4:$V$103,0))="","",INDEX('15_評価計画・品質ゲート'!$A$4:$A$103,MATCH(D133,'15_評価計画・品質ゲート'!$V$4:$V$103,0)))))</f>
        <v/>
      </c>
      <c r="F133" s="29"/>
      <c r="G133" s="29"/>
      <c r="H133" s="29"/>
      <c r="I133" s="29"/>
      <c r="J133" s="29"/>
      <c r="K133" s="29"/>
      <c r="L133" s="28" t="str">
        <f>IF(OR(A133="",G133=""),"",IF(COUNTIF('16_評価実績インデックス'!$A$4:$A$103,G133)&lt;&gt;1,"参照ID不正",IF(INDEX('16_評価実績インデックス'!$O$4:$O$103,MATCH(G133,'16_評価実績インデックス'!$A$4:$A$103,0))="","",INDEX('16_評価実績インデックス'!$O$4:$O$103,MATCH(G133,'16_評価実績インデックス'!$A$4:$A$103,0)))))</f>
        <v/>
      </c>
      <c r="M133" s="28" t="str">
        <f>IF(A133="","",IF(OR(COUNTIF($A$4:$A$153,A133)&lt;&gt;1,COUNTIFS($B$4:$B$153,B133,$C$4:$C$153,C133,$D$4:$D$153,D133)&lt;&gt;1),"集合ID・計画重複",IF(OR(OR(B133="",C133="",D133="",I133="",J133="",O133=""),NOT(ISNUMBER(K133))),"集合承認不足",IF(OR(AND(K133&lt;&gt;"",OR(NOT(ISNUMBER(K133)),IFERROR(K133&lt;1,TRUE),IFERROR(INT(K133)&gt;INT(AsOfDate),TRUE)))),"集合承認日不正",IF(COUNTIF(EvalPlanKeys,D133)&lt;&gt;1,"PlanKey不正",IF(C133&lt;&gt;IF(COUNTIF('15_評価計画・品質ゲート'!$V$4:$V$103,D133)&lt;&gt;1,"参照ID不正",IF(INDEX('15_評価計画・品質ゲート'!$U$4:$U$103,MATCH(D133,'15_評価計画・品質ゲート'!$V$4:$V$103,0))="","",INDEX('15_評価計画・品質ゲート'!$U$4:$U$103,MATCH(D133,'15_評価計画・品質ゲート'!$V$4:$V$103,0)))),"計画Manifest不一致",IF(F133="対象外",IF(H133="","対象外理由不足","対象外承認"),IF(F133&lt;&gt;"必須","適用未判定",IF(OR(G133="",COUNTIF('16_評価実績インデックス'!$A$4:$A$103,G133)&lt;&gt;1),"評価Run不足・不正",IF(OR(C133&lt;&gt;IF(COUNTIF('16_評価実績インデックス'!$A$4:$A$103,G133)&lt;&gt;1,"参照ID不正",IF(INDEX('16_評価実績インデックス'!$T$4:$T$103,MATCH(G133,'16_評価実績インデックス'!$A$4:$A$103,0))="","",INDEX('16_評価実績インデックス'!$T$4:$T$103,MATCH(G133,'16_評価実績インデックス'!$A$4:$A$103,0)))),D133&lt;&gt;IF(COUNTIF('16_評価実績インデックス'!$A$4:$A$103,G133)&lt;&gt;1,"参照ID不正",IF(INDEX('16_評価実績インデックス'!$B$4:$B$103,MATCH(G133,'16_評価実績インデックス'!$A$4:$A$103,0))="","",INDEX('16_評価実績インデックス'!$B$4:$B$103,MATCH(G133,'16_評価実績インデックス'!$A$4:$A$103,0)))),B133&lt;&gt;IF(COUNTIF('16_評価実績インデックス'!$A$4:$A$103,G133)&lt;&gt;1,"参照ID不正",IF(INDEX('16_評価実績インデックス'!$C$4:$C$103,MATCH(G133,'16_評価実績インデックス'!$A$4:$A$103,0))="","",INDEX('16_評価実績インデックス'!$C$4:$C$103,MATCH(G133,'16_評価実績インデックス'!$A$4:$A$103,0))))),"評価対象不一致",IF(IF(COUNTIF('16_評価実績インデックス'!$A$4:$A$103,G133)&lt;&gt;1,"参照ID不正",IF(INDEX('16_評価実績インデックス'!$S$4:$S$103,MATCH(G133,'16_評価実績インデックス'!$A$4:$A$103,0))="","",INDEX('16_評価実績インデックス'!$S$4:$S$103,MATCH(G133,'16_評価実績インデックス'!$A$4:$A$103,0))))&lt;&gt;"記録あり・内容審査別","評価記録未充足",IF(L133&lt;&gt;"合格","必要評価不合格・未確定","評価充足"))))))))))))</f>
        <v/>
      </c>
      <c r="N133" s="28">
        <f t="shared" si="4"/>
        <v>0</v>
      </c>
      <c r="O133" s="29"/>
      <c r="P133" s="29"/>
    </row>
    <row r="134" spans="1:16" ht="64" customHeight="1" x14ac:dyDescent="0.2">
      <c r="A134" s="29"/>
      <c r="B134" s="29"/>
      <c r="C134" s="29"/>
      <c r="D134" s="29"/>
      <c r="E134" s="28" t="str">
        <f>IF(A134="","",IF(COUNTIF('15_評価計画・品質ゲート'!$V$4:$V$103,D134)&lt;&gt;1,"参照ID不正",IF(INDEX('15_評価計画・品質ゲート'!$A$4:$A$103,MATCH(D134,'15_評価計画・品質ゲート'!$V$4:$V$103,0))="","",INDEX('15_評価計画・品質ゲート'!$A$4:$A$103,MATCH(D134,'15_評価計画・品質ゲート'!$V$4:$V$103,0)))))</f>
        <v/>
      </c>
      <c r="F134" s="29"/>
      <c r="G134" s="29"/>
      <c r="H134" s="29"/>
      <c r="I134" s="29"/>
      <c r="J134" s="29"/>
      <c r="K134" s="29"/>
      <c r="L134" s="28" t="str">
        <f>IF(OR(A134="",G134=""),"",IF(COUNTIF('16_評価実績インデックス'!$A$4:$A$103,G134)&lt;&gt;1,"参照ID不正",IF(INDEX('16_評価実績インデックス'!$O$4:$O$103,MATCH(G134,'16_評価実績インデックス'!$A$4:$A$103,0))="","",INDEX('16_評価実績インデックス'!$O$4:$O$103,MATCH(G134,'16_評価実績インデックス'!$A$4:$A$103,0)))))</f>
        <v/>
      </c>
      <c r="M134" s="28" t="str">
        <f>IF(A134="","",IF(OR(COUNTIF($A$4:$A$153,A134)&lt;&gt;1,COUNTIFS($B$4:$B$153,B134,$C$4:$C$153,C134,$D$4:$D$153,D134)&lt;&gt;1),"集合ID・計画重複",IF(OR(OR(B134="",C134="",D134="",I134="",J134="",O134=""),NOT(ISNUMBER(K134))),"集合承認不足",IF(OR(AND(K134&lt;&gt;"",OR(NOT(ISNUMBER(K134)),IFERROR(K134&lt;1,TRUE),IFERROR(INT(K134)&gt;INT(AsOfDate),TRUE)))),"集合承認日不正",IF(COUNTIF(EvalPlanKeys,D134)&lt;&gt;1,"PlanKey不正",IF(C134&lt;&gt;IF(COUNTIF('15_評価計画・品質ゲート'!$V$4:$V$103,D134)&lt;&gt;1,"参照ID不正",IF(INDEX('15_評価計画・品質ゲート'!$U$4:$U$103,MATCH(D134,'15_評価計画・品質ゲート'!$V$4:$V$103,0))="","",INDEX('15_評価計画・品質ゲート'!$U$4:$U$103,MATCH(D134,'15_評価計画・品質ゲート'!$V$4:$V$103,0)))),"計画Manifest不一致",IF(F134="対象外",IF(H134="","対象外理由不足","対象外承認"),IF(F134&lt;&gt;"必須","適用未判定",IF(OR(G134="",COUNTIF('16_評価実績インデックス'!$A$4:$A$103,G134)&lt;&gt;1),"評価Run不足・不正",IF(OR(C134&lt;&gt;IF(COUNTIF('16_評価実績インデックス'!$A$4:$A$103,G134)&lt;&gt;1,"参照ID不正",IF(INDEX('16_評価実績インデックス'!$T$4:$T$103,MATCH(G134,'16_評価実績インデックス'!$A$4:$A$103,0))="","",INDEX('16_評価実績インデックス'!$T$4:$T$103,MATCH(G134,'16_評価実績インデックス'!$A$4:$A$103,0)))),D134&lt;&gt;IF(COUNTIF('16_評価実績インデックス'!$A$4:$A$103,G134)&lt;&gt;1,"参照ID不正",IF(INDEX('16_評価実績インデックス'!$B$4:$B$103,MATCH(G134,'16_評価実績インデックス'!$A$4:$A$103,0))="","",INDEX('16_評価実績インデックス'!$B$4:$B$103,MATCH(G134,'16_評価実績インデックス'!$A$4:$A$103,0)))),B134&lt;&gt;IF(COUNTIF('16_評価実績インデックス'!$A$4:$A$103,G134)&lt;&gt;1,"参照ID不正",IF(INDEX('16_評価実績インデックス'!$C$4:$C$103,MATCH(G134,'16_評価実績インデックス'!$A$4:$A$103,0))="","",INDEX('16_評価実績インデックス'!$C$4:$C$103,MATCH(G134,'16_評価実績インデックス'!$A$4:$A$103,0))))),"評価対象不一致",IF(IF(COUNTIF('16_評価実績インデックス'!$A$4:$A$103,G134)&lt;&gt;1,"参照ID不正",IF(INDEX('16_評価実績インデックス'!$S$4:$S$103,MATCH(G134,'16_評価実績インデックス'!$A$4:$A$103,0))="","",INDEX('16_評価実績インデックス'!$S$4:$S$103,MATCH(G134,'16_評価実績インデックス'!$A$4:$A$103,0))))&lt;&gt;"記録あり・内容審査別","評価記録未充足",IF(L134&lt;&gt;"合格","必要評価不合格・未確定","評価充足"))))))))))))</f>
        <v/>
      </c>
      <c r="N134" s="28">
        <f t="shared" si="4"/>
        <v>0</v>
      </c>
      <c r="O134" s="29"/>
      <c r="P134" s="29"/>
    </row>
    <row r="135" spans="1:16" ht="64" customHeight="1" x14ac:dyDescent="0.2">
      <c r="A135" s="29"/>
      <c r="B135" s="29"/>
      <c r="C135" s="29"/>
      <c r="D135" s="29"/>
      <c r="E135" s="28" t="str">
        <f>IF(A135="","",IF(COUNTIF('15_評価計画・品質ゲート'!$V$4:$V$103,D135)&lt;&gt;1,"参照ID不正",IF(INDEX('15_評価計画・品質ゲート'!$A$4:$A$103,MATCH(D135,'15_評価計画・品質ゲート'!$V$4:$V$103,0))="","",INDEX('15_評価計画・品質ゲート'!$A$4:$A$103,MATCH(D135,'15_評価計画・品質ゲート'!$V$4:$V$103,0)))))</f>
        <v/>
      </c>
      <c r="F135" s="29"/>
      <c r="G135" s="29"/>
      <c r="H135" s="29"/>
      <c r="I135" s="29"/>
      <c r="J135" s="29"/>
      <c r="K135" s="29"/>
      <c r="L135" s="28" t="str">
        <f>IF(OR(A135="",G135=""),"",IF(COUNTIF('16_評価実績インデックス'!$A$4:$A$103,G135)&lt;&gt;1,"参照ID不正",IF(INDEX('16_評価実績インデックス'!$O$4:$O$103,MATCH(G135,'16_評価実績インデックス'!$A$4:$A$103,0))="","",INDEX('16_評価実績インデックス'!$O$4:$O$103,MATCH(G135,'16_評価実績インデックス'!$A$4:$A$103,0)))))</f>
        <v/>
      </c>
      <c r="M135" s="28" t="str">
        <f>IF(A135="","",IF(OR(COUNTIF($A$4:$A$153,A135)&lt;&gt;1,COUNTIFS($B$4:$B$153,B135,$C$4:$C$153,C135,$D$4:$D$153,D135)&lt;&gt;1),"集合ID・計画重複",IF(OR(OR(B135="",C135="",D135="",I135="",J135="",O135=""),NOT(ISNUMBER(K135))),"集合承認不足",IF(OR(AND(K135&lt;&gt;"",OR(NOT(ISNUMBER(K135)),IFERROR(K135&lt;1,TRUE),IFERROR(INT(K135)&gt;INT(AsOfDate),TRUE)))),"集合承認日不正",IF(COUNTIF(EvalPlanKeys,D135)&lt;&gt;1,"PlanKey不正",IF(C135&lt;&gt;IF(COUNTIF('15_評価計画・品質ゲート'!$V$4:$V$103,D135)&lt;&gt;1,"参照ID不正",IF(INDEX('15_評価計画・品質ゲート'!$U$4:$U$103,MATCH(D135,'15_評価計画・品質ゲート'!$V$4:$V$103,0))="","",INDEX('15_評価計画・品質ゲート'!$U$4:$U$103,MATCH(D135,'15_評価計画・品質ゲート'!$V$4:$V$103,0)))),"計画Manifest不一致",IF(F135="対象外",IF(H135="","対象外理由不足","対象外承認"),IF(F135&lt;&gt;"必須","適用未判定",IF(OR(G135="",COUNTIF('16_評価実績インデックス'!$A$4:$A$103,G135)&lt;&gt;1),"評価Run不足・不正",IF(OR(C135&lt;&gt;IF(COUNTIF('16_評価実績インデックス'!$A$4:$A$103,G135)&lt;&gt;1,"参照ID不正",IF(INDEX('16_評価実績インデックス'!$T$4:$T$103,MATCH(G135,'16_評価実績インデックス'!$A$4:$A$103,0))="","",INDEX('16_評価実績インデックス'!$T$4:$T$103,MATCH(G135,'16_評価実績インデックス'!$A$4:$A$103,0)))),D135&lt;&gt;IF(COUNTIF('16_評価実績インデックス'!$A$4:$A$103,G135)&lt;&gt;1,"参照ID不正",IF(INDEX('16_評価実績インデックス'!$B$4:$B$103,MATCH(G135,'16_評価実績インデックス'!$A$4:$A$103,0))="","",INDEX('16_評価実績インデックス'!$B$4:$B$103,MATCH(G135,'16_評価実績インデックス'!$A$4:$A$103,0)))),B135&lt;&gt;IF(COUNTIF('16_評価実績インデックス'!$A$4:$A$103,G135)&lt;&gt;1,"参照ID不正",IF(INDEX('16_評価実績インデックス'!$C$4:$C$103,MATCH(G135,'16_評価実績インデックス'!$A$4:$A$103,0))="","",INDEX('16_評価実績インデックス'!$C$4:$C$103,MATCH(G135,'16_評価実績インデックス'!$A$4:$A$103,0))))),"評価対象不一致",IF(IF(COUNTIF('16_評価実績インデックス'!$A$4:$A$103,G135)&lt;&gt;1,"参照ID不正",IF(INDEX('16_評価実績インデックス'!$S$4:$S$103,MATCH(G135,'16_評価実績インデックス'!$A$4:$A$103,0))="","",INDEX('16_評価実績インデックス'!$S$4:$S$103,MATCH(G135,'16_評価実績インデックス'!$A$4:$A$103,0))))&lt;&gt;"記録あり・内容審査別","評価記録未充足",IF(L135&lt;&gt;"合格","必要評価不合格・未確定","評価充足"))))))))))))</f>
        <v/>
      </c>
      <c r="N135" s="28">
        <f t="shared" si="4"/>
        <v>0</v>
      </c>
      <c r="O135" s="29"/>
      <c r="P135" s="29"/>
    </row>
    <row r="136" spans="1:16" ht="64" customHeight="1" x14ac:dyDescent="0.2">
      <c r="A136" s="29"/>
      <c r="B136" s="29"/>
      <c r="C136" s="29"/>
      <c r="D136" s="29"/>
      <c r="E136" s="28" t="str">
        <f>IF(A136="","",IF(COUNTIF('15_評価計画・品質ゲート'!$V$4:$V$103,D136)&lt;&gt;1,"参照ID不正",IF(INDEX('15_評価計画・品質ゲート'!$A$4:$A$103,MATCH(D136,'15_評価計画・品質ゲート'!$V$4:$V$103,0))="","",INDEX('15_評価計画・品質ゲート'!$A$4:$A$103,MATCH(D136,'15_評価計画・品質ゲート'!$V$4:$V$103,0)))))</f>
        <v/>
      </c>
      <c r="F136" s="29"/>
      <c r="G136" s="29"/>
      <c r="H136" s="29"/>
      <c r="I136" s="29"/>
      <c r="J136" s="29"/>
      <c r="K136" s="29"/>
      <c r="L136" s="28" t="str">
        <f>IF(OR(A136="",G136=""),"",IF(COUNTIF('16_評価実績インデックス'!$A$4:$A$103,G136)&lt;&gt;1,"参照ID不正",IF(INDEX('16_評価実績インデックス'!$O$4:$O$103,MATCH(G136,'16_評価実績インデックス'!$A$4:$A$103,0))="","",INDEX('16_評価実績インデックス'!$O$4:$O$103,MATCH(G136,'16_評価実績インデックス'!$A$4:$A$103,0)))))</f>
        <v/>
      </c>
      <c r="M136" s="28" t="str">
        <f>IF(A136="","",IF(OR(COUNTIF($A$4:$A$153,A136)&lt;&gt;1,COUNTIFS($B$4:$B$153,B136,$C$4:$C$153,C136,$D$4:$D$153,D136)&lt;&gt;1),"集合ID・計画重複",IF(OR(OR(B136="",C136="",D136="",I136="",J136="",O136=""),NOT(ISNUMBER(K136))),"集合承認不足",IF(OR(AND(K136&lt;&gt;"",OR(NOT(ISNUMBER(K136)),IFERROR(K136&lt;1,TRUE),IFERROR(INT(K136)&gt;INT(AsOfDate),TRUE)))),"集合承認日不正",IF(COUNTIF(EvalPlanKeys,D136)&lt;&gt;1,"PlanKey不正",IF(C136&lt;&gt;IF(COUNTIF('15_評価計画・品質ゲート'!$V$4:$V$103,D136)&lt;&gt;1,"参照ID不正",IF(INDEX('15_評価計画・品質ゲート'!$U$4:$U$103,MATCH(D136,'15_評価計画・品質ゲート'!$V$4:$V$103,0))="","",INDEX('15_評価計画・品質ゲート'!$U$4:$U$103,MATCH(D136,'15_評価計画・品質ゲート'!$V$4:$V$103,0)))),"計画Manifest不一致",IF(F136="対象外",IF(H136="","対象外理由不足","対象外承認"),IF(F136&lt;&gt;"必須","適用未判定",IF(OR(G136="",COUNTIF('16_評価実績インデックス'!$A$4:$A$103,G136)&lt;&gt;1),"評価Run不足・不正",IF(OR(C136&lt;&gt;IF(COUNTIF('16_評価実績インデックス'!$A$4:$A$103,G136)&lt;&gt;1,"参照ID不正",IF(INDEX('16_評価実績インデックス'!$T$4:$T$103,MATCH(G136,'16_評価実績インデックス'!$A$4:$A$103,0))="","",INDEX('16_評価実績インデックス'!$T$4:$T$103,MATCH(G136,'16_評価実績インデックス'!$A$4:$A$103,0)))),D136&lt;&gt;IF(COUNTIF('16_評価実績インデックス'!$A$4:$A$103,G136)&lt;&gt;1,"参照ID不正",IF(INDEX('16_評価実績インデックス'!$B$4:$B$103,MATCH(G136,'16_評価実績インデックス'!$A$4:$A$103,0))="","",INDEX('16_評価実績インデックス'!$B$4:$B$103,MATCH(G136,'16_評価実績インデックス'!$A$4:$A$103,0)))),B136&lt;&gt;IF(COUNTIF('16_評価実績インデックス'!$A$4:$A$103,G136)&lt;&gt;1,"参照ID不正",IF(INDEX('16_評価実績インデックス'!$C$4:$C$103,MATCH(G136,'16_評価実績インデックス'!$A$4:$A$103,0))="","",INDEX('16_評価実績インデックス'!$C$4:$C$103,MATCH(G136,'16_評価実績インデックス'!$A$4:$A$103,0))))),"評価対象不一致",IF(IF(COUNTIF('16_評価実績インデックス'!$A$4:$A$103,G136)&lt;&gt;1,"参照ID不正",IF(INDEX('16_評価実績インデックス'!$S$4:$S$103,MATCH(G136,'16_評価実績インデックス'!$A$4:$A$103,0))="","",INDEX('16_評価実績インデックス'!$S$4:$S$103,MATCH(G136,'16_評価実績インデックス'!$A$4:$A$103,0))))&lt;&gt;"記録あり・内容審査別","評価記録未充足",IF(L136&lt;&gt;"合格","必要評価不合格・未確定","評価充足"))))))))))))</f>
        <v/>
      </c>
      <c r="N136" s="28">
        <f t="shared" si="4"/>
        <v>0</v>
      </c>
      <c r="O136" s="29"/>
      <c r="P136" s="29"/>
    </row>
    <row r="137" spans="1:16" ht="64" customHeight="1" x14ac:dyDescent="0.2">
      <c r="A137" s="29"/>
      <c r="B137" s="29"/>
      <c r="C137" s="29"/>
      <c r="D137" s="29"/>
      <c r="E137" s="28" t="str">
        <f>IF(A137="","",IF(COUNTIF('15_評価計画・品質ゲート'!$V$4:$V$103,D137)&lt;&gt;1,"参照ID不正",IF(INDEX('15_評価計画・品質ゲート'!$A$4:$A$103,MATCH(D137,'15_評価計画・品質ゲート'!$V$4:$V$103,0))="","",INDEX('15_評価計画・品質ゲート'!$A$4:$A$103,MATCH(D137,'15_評価計画・品質ゲート'!$V$4:$V$103,0)))))</f>
        <v/>
      </c>
      <c r="F137" s="29"/>
      <c r="G137" s="29"/>
      <c r="H137" s="29"/>
      <c r="I137" s="29"/>
      <c r="J137" s="29"/>
      <c r="K137" s="29"/>
      <c r="L137" s="28" t="str">
        <f>IF(OR(A137="",G137=""),"",IF(COUNTIF('16_評価実績インデックス'!$A$4:$A$103,G137)&lt;&gt;1,"参照ID不正",IF(INDEX('16_評価実績インデックス'!$O$4:$O$103,MATCH(G137,'16_評価実績インデックス'!$A$4:$A$103,0))="","",INDEX('16_評価実績インデックス'!$O$4:$O$103,MATCH(G137,'16_評価実績インデックス'!$A$4:$A$103,0)))))</f>
        <v/>
      </c>
      <c r="M137" s="28" t="str">
        <f>IF(A137="","",IF(OR(COUNTIF($A$4:$A$153,A137)&lt;&gt;1,COUNTIFS($B$4:$B$153,B137,$C$4:$C$153,C137,$D$4:$D$153,D137)&lt;&gt;1),"集合ID・計画重複",IF(OR(OR(B137="",C137="",D137="",I137="",J137="",O137=""),NOT(ISNUMBER(K137))),"集合承認不足",IF(OR(AND(K137&lt;&gt;"",OR(NOT(ISNUMBER(K137)),IFERROR(K137&lt;1,TRUE),IFERROR(INT(K137)&gt;INT(AsOfDate),TRUE)))),"集合承認日不正",IF(COUNTIF(EvalPlanKeys,D137)&lt;&gt;1,"PlanKey不正",IF(C137&lt;&gt;IF(COUNTIF('15_評価計画・品質ゲート'!$V$4:$V$103,D137)&lt;&gt;1,"参照ID不正",IF(INDEX('15_評価計画・品質ゲート'!$U$4:$U$103,MATCH(D137,'15_評価計画・品質ゲート'!$V$4:$V$103,0))="","",INDEX('15_評価計画・品質ゲート'!$U$4:$U$103,MATCH(D137,'15_評価計画・品質ゲート'!$V$4:$V$103,0)))),"計画Manifest不一致",IF(F137="対象外",IF(H137="","対象外理由不足","対象外承認"),IF(F137&lt;&gt;"必須","適用未判定",IF(OR(G137="",COUNTIF('16_評価実績インデックス'!$A$4:$A$103,G137)&lt;&gt;1),"評価Run不足・不正",IF(OR(C137&lt;&gt;IF(COUNTIF('16_評価実績インデックス'!$A$4:$A$103,G137)&lt;&gt;1,"参照ID不正",IF(INDEX('16_評価実績インデックス'!$T$4:$T$103,MATCH(G137,'16_評価実績インデックス'!$A$4:$A$103,0))="","",INDEX('16_評価実績インデックス'!$T$4:$T$103,MATCH(G137,'16_評価実績インデックス'!$A$4:$A$103,0)))),D137&lt;&gt;IF(COUNTIF('16_評価実績インデックス'!$A$4:$A$103,G137)&lt;&gt;1,"参照ID不正",IF(INDEX('16_評価実績インデックス'!$B$4:$B$103,MATCH(G137,'16_評価実績インデックス'!$A$4:$A$103,0))="","",INDEX('16_評価実績インデックス'!$B$4:$B$103,MATCH(G137,'16_評価実績インデックス'!$A$4:$A$103,0)))),B137&lt;&gt;IF(COUNTIF('16_評価実績インデックス'!$A$4:$A$103,G137)&lt;&gt;1,"参照ID不正",IF(INDEX('16_評価実績インデックス'!$C$4:$C$103,MATCH(G137,'16_評価実績インデックス'!$A$4:$A$103,0))="","",INDEX('16_評価実績インデックス'!$C$4:$C$103,MATCH(G137,'16_評価実績インデックス'!$A$4:$A$103,0))))),"評価対象不一致",IF(IF(COUNTIF('16_評価実績インデックス'!$A$4:$A$103,G137)&lt;&gt;1,"参照ID不正",IF(INDEX('16_評価実績インデックス'!$S$4:$S$103,MATCH(G137,'16_評価実績インデックス'!$A$4:$A$103,0))="","",INDEX('16_評価実績インデックス'!$S$4:$S$103,MATCH(G137,'16_評価実績インデックス'!$A$4:$A$103,0))))&lt;&gt;"記録あり・内容審査別","評価記録未充足",IF(L137&lt;&gt;"合格","必要評価不合格・未確定","評価充足"))))))))))))</f>
        <v/>
      </c>
      <c r="N137" s="28">
        <f t="shared" si="4"/>
        <v>0</v>
      </c>
      <c r="O137" s="29"/>
      <c r="P137" s="29"/>
    </row>
    <row r="138" spans="1:16" ht="64" customHeight="1" x14ac:dyDescent="0.2">
      <c r="A138" s="29"/>
      <c r="B138" s="29"/>
      <c r="C138" s="29"/>
      <c r="D138" s="29"/>
      <c r="E138" s="28" t="str">
        <f>IF(A138="","",IF(COUNTIF('15_評価計画・品質ゲート'!$V$4:$V$103,D138)&lt;&gt;1,"参照ID不正",IF(INDEX('15_評価計画・品質ゲート'!$A$4:$A$103,MATCH(D138,'15_評価計画・品質ゲート'!$V$4:$V$103,0))="","",INDEX('15_評価計画・品質ゲート'!$A$4:$A$103,MATCH(D138,'15_評価計画・品質ゲート'!$V$4:$V$103,0)))))</f>
        <v/>
      </c>
      <c r="F138" s="29"/>
      <c r="G138" s="29"/>
      <c r="H138" s="29"/>
      <c r="I138" s="29"/>
      <c r="J138" s="29"/>
      <c r="K138" s="29"/>
      <c r="L138" s="28" t="str">
        <f>IF(OR(A138="",G138=""),"",IF(COUNTIF('16_評価実績インデックス'!$A$4:$A$103,G138)&lt;&gt;1,"参照ID不正",IF(INDEX('16_評価実績インデックス'!$O$4:$O$103,MATCH(G138,'16_評価実績インデックス'!$A$4:$A$103,0))="","",INDEX('16_評価実績インデックス'!$O$4:$O$103,MATCH(G138,'16_評価実績インデックス'!$A$4:$A$103,0)))))</f>
        <v/>
      </c>
      <c r="M138" s="28" t="str">
        <f>IF(A138="","",IF(OR(COUNTIF($A$4:$A$153,A138)&lt;&gt;1,COUNTIFS($B$4:$B$153,B138,$C$4:$C$153,C138,$D$4:$D$153,D138)&lt;&gt;1),"集合ID・計画重複",IF(OR(OR(B138="",C138="",D138="",I138="",J138="",O138=""),NOT(ISNUMBER(K138))),"集合承認不足",IF(OR(AND(K138&lt;&gt;"",OR(NOT(ISNUMBER(K138)),IFERROR(K138&lt;1,TRUE),IFERROR(INT(K138)&gt;INT(AsOfDate),TRUE)))),"集合承認日不正",IF(COUNTIF(EvalPlanKeys,D138)&lt;&gt;1,"PlanKey不正",IF(C138&lt;&gt;IF(COUNTIF('15_評価計画・品質ゲート'!$V$4:$V$103,D138)&lt;&gt;1,"参照ID不正",IF(INDEX('15_評価計画・品質ゲート'!$U$4:$U$103,MATCH(D138,'15_評価計画・品質ゲート'!$V$4:$V$103,0))="","",INDEX('15_評価計画・品質ゲート'!$U$4:$U$103,MATCH(D138,'15_評価計画・品質ゲート'!$V$4:$V$103,0)))),"計画Manifest不一致",IF(F138="対象外",IF(H138="","対象外理由不足","対象外承認"),IF(F138&lt;&gt;"必須","適用未判定",IF(OR(G138="",COUNTIF('16_評価実績インデックス'!$A$4:$A$103,G138)&lt;&gt;1),"評価Run不足・不正",IF(OR(C138&lt;&gt;IF(COUNTIF('16_評価実績インデックス'!$A$4:$A$103,G138)&lt;&gt;1,"参照ID不正",IF(INDEX('16_評価実績インデックス'!$T$4:$T$103,MATCH(G138,'16_評価実績インデックス'!$A$4:$A$103,0))="","",INDEX('16_評価実績インデックス'!$T$4:$T$103,MATCH(G138,'16_評価実績インデックス'!$A$4:$A$103,0)))),D138&lt;&gt;IF(COUNTIF('16_評価実績インデックス'!$A$4:$A$103,G138)&lt;&gt;1,"参照ID不正",IF(INDEX('16_評価実績インデックス'!$B$4:$B$103,MATCH(G138,'16_評価実績インデックス'!$A$4:$A$103,0))="","",INDEX('16_評価実績インデックス'!$B$4:$B$103,MATCH(G138,'16_評価実績インデックス'!$A$4:$A$103,0)))),B138&lt;&gt;IF(COUNTIF('16_評価実績インデックス'!$A$4:$A$103,G138)&lt;&gt;1,"参照ID不正",IF(INDEX('16_評価実績インデックス'!$C$4:$C$103,MATCH(G138,'16_評価実績インデックス'!$A$4:$A$103,0))="","",INDEX('16_評価実績インデックス'!$C$4:$C$103,MATCH(G138,'16_評価実績インデックス'!$A$4:$A$103,0))))),"評価対象不一致",IF(IF(COUNTIF('16_評価実績インデックス'!$A$4:$A$103,G138)&lt;&gt;1,"参照ID不正",IF(INDEX('16_評価実績インデックス'!$S$4:$S$103,MATCH(G138,'16_評価実績インデックス'!$A$4:$A$103,0))="","",INDEX('16_評価実績インデックス'!$S$4:$S$103,MATCH(G138,'16_評価実績インデックス'!$A$4:$A$103,0))))&lt;&gt;"記録あり・内容審査別","評価記録未充足",IF(L138&lt;&gt;"合格","必要評価不合格・未確定","評価充足"))))))))))))</f>
        <v/>
      </c>
      <c r="N138" s="28">
        <f t="shared" si="4"/>
        <v>0</v>
      </c>
      <c r="O138" s="29"/>
      <c r="P138" s="29"/>
    </row>
    <row r="139" spans="1:16" ht="64" customHeight="1" x14ac:dyDescent="0.2">
      <c r="A139" s="29"/>
      <c r="B139" s="29"/>
      <c r="C139" s="29"/>
      <c r="D139" s="29"/>
      <c r="E139" s="28" t="str">
        <f>IF(A139="","",IF(COUNTIF('15_評価計画・品質ゲート'!$V$4:$V$103,D139)&lt;&gt;1,"参照ID不正",IF(INDEX('15_評価計画・品質ゲート'!$A$4:$A$103,MATCH(D139,'15_評価計画・品質ゲート'!$V$4:$V$103,0))="","",INDEX('15_評価計画・品質ゲート'!$A$4:$A$103,MATCH(D139,'15_評価計画・品質ゲート'!$V$4:$V$103,0)))))</f>
        <v/>
      </c>
      <c r="F139" s="29"/>
      <c r="G139" s="29"/>
      <c r="H139" s="29"/>
      <c r="I139" s="29"/>
      <c r="J139" s="29"/>
      <c r="K139" s="29"/>
      <c r="L139" s="28" t="str">
        <f>IF(OR(A139="",G139=""),"",IF(COUNTIF('16_評価実績インデックス'!$A$4:$A$103,G139)&lt;&gt;1,"参照ID不正",IF(INDEX('16_評価実績インデックス'!$O$4:$O$103,MATCH(G139,'16_評価実績インデックス'!$A$4:$A$103,0))="","",INDEX('16_評価実績インデックス'!$O$4:$O$103,MATCH(G139,'16_評価実績インデックス'!$A$4:$A$103,0)))))</f>
        <v/>
      </c>
      <c r="M139" s="28" t="str">
        <f>IF(A139="","",IF(OR(COUNTIF($A$4:$A$153,A139)&lt;&gt;1,COUNTIFS($B$4:$B$153,B139,$C$4:$C$153,C139,$D$4:$D$153,D139)&lt;&gt;1),"集合ID・計画重複",IF(OR(OR(B139="",C139="",D139="",I139="",J139="",O139=""),NOT(ISNUMBER(K139))),"集合承認不足",IF(OR(AND(K139&lt;&gt;"",OR(NOT(ISNUMBER(K139)),IFERROR(K139&lt;1,TRUE),IFERROR(INT(K139)&gt;INT(AsOfDate),TRUE)))),"集合承認日不正",IF(COUNTIF(EvalPlanKeys,D139)&lt;&gt;1,"PlanKey不正",IF(C139&lt;&gt;IF(COUNTIF('15_評価計画・品質ゲート'!$V$4:$V$103,D139)&lt;&gt;1,"参照ID不正",IF(INDEX('15_評価計画・品質ゲート'!$U$4:$U$103,MATCH(D139,'15_評価計画・品質ゲート'!$V$4:$V$103,0))="","",INDEX('15_評価計画・品質ゲート'!$U$4:$U$103,MATCH(D139,'15_評価計画・品質ゲート'!$V$4:$V$103,0)))),"計画Manifest不一致",IF(F139="対象外",IF(H139="","対象外理由不足","対象外承認"),IF(F139&lt;&gt;"必須","適用未判定",IF(OR(G139="",COUNTIF('16_評価実績インデックス'!$A$4:$A$103,G139)&lt;&gt;1),"評価Run不足・不正",IF(OR(C139&lt;&gt;IF(COUNTIF('16_評価実績インデックス'!$A$4:$A$103,G139)&lt;&gt;1,"参照ID不正",IF(INDEX('16_評価実績インデックス'!$T$4:$T$103,MATCH(G139,'16_評価実績インデックス'!$A$4:$A$103,0))="","",INDEX('16_評価実績インデックス'!$T$4:$T$103,MATCH(G139,'16_評価実績インデックス'!$A$4:$A$103,0)))),D139&lt;&gt;IF(COUNTIF('16_評価実績インデックス'!$A$4:$A$103,G139)&lt;&gt;1,"参照ID不正",IF(INDEX('16_評価実績インデックス'!$B$4:$B$103,MATCH(G139,'16_評価実績インデックス'!$A$4:$A$103,0))="","",INDEX('16_評価実績インデックス'!$B$4:$B$103,MATCH(G139,'16_評価実績インデックス'!$A$4:$A$103,0)))),B139&lt;&gt;IF(COUNTIF('16_評価実績インデックス'!$A$4:$A$103,G139)&lt;&gt;1,"参照ID不正",IF(INDEX('16_評価実績インデックス'!$C$4:$C$103,MATCH(G139,'16_評価実績インデックス'!$A$4:$A$103,0))="","",INDEX('16_評価実績インデックス'!$C$4:$C$103,MATCH(G139,'16_評価実績インデックス'!$A$4:$A$103,0))))),"評価対象不一致",IF(IF(COUNTIF('16_評価実績インデックス'!$A$4:$A$103,G139)&lt;&gt;1,"参照ID不正",IF(INDEX('16_評価実績インデックス'!$S$4:$S$103,MATCH(G139,'16_評価実績インデックス'!$A$4:$A$103,0))="","",INDEX('16_評価実績インデックス'!$S$4:$S$103,MATCH(G139,'16_評価実績インデックス'!$A$4:$A$103,0))))&lt;&gt;"記録あり・内容審査別","評価記録未充足",IF(L139&lt;&gt;"合格","必要評価不合格・未確定","評価充足"))))))))))))</f>
        <v/>
      </c>
      <c r="N139" s="28">
        <f t="shared" si="4"/>
        <v>0</v>
      </c>
      <c r="O139" s="29"/>
      <c r="P139" s="29"/>
    </row>
    <row r="140" spans="1:16" ht="64" customHeight="1" x14ac:dyDescent="0.2">
      <c r="A140" s="29"/>
      <c r="B140" s="29"/>
      <c r="C140" s="29"/>
      <c r="D140" s="29"/>
      <c r="E140" s="28" t="str">
        <f>IF(A140="","",IF(COUNTIF('15_評価計画・品質ゲート'!$V$4:$V$103,D140)&lt;&gt;1,"参照ID不正",IF(INDEX('15_評価計画・品質ゲート'!$A$4:$A$103,MATCH(D140,'15_評価計画・品質ゲート'!$V$4:$V$103,0))="","",INDEX('15_評価計画・品質ゲート'!$A$4:$A$103,MATCH(D140,'15_評価計画・品質ゲート'!$V$4:$V$103,0)))))</f>
        <v/>
      </c>
      <c r="F140" s="29"/>
      <c r="G140" s="29"/>
      <c r="H140" s="29"/>
      <c r="I140" s="29"/>
      <c r="J140" s="29"/>
      <c r="K140" s="29"/>
      <c r="L140" s="28" t="str">
        <f>IF(OR(A140="",G140=""),"",IF(COUNTIF('16_評価実績インデックス'!$A$4:$A$103,G140)&lt;&gt;1,"参照ID不正",IF(INDEX('16_評価実績インデックス'!$O$4:$O$103,MATCH(G140,'16_評価実績インデックス'!$A$4:$A$103,0))="","",INDEX('16_評価実績インデックス'!$O$4:$O$103,MATCH(G140,'16_評価実績インデックス'!$A$4:$A$103,0)))))</f>
        <v/>
      </c>
      <c r="M140" s="28" t="str">
        <f>IF(A140="","",IF(OR(COUNTIF($A$4:$A$153,A140)&lt;&gt;1,COUNTIFS($B$4:$B$153,B140,$C$4:$C$153,C140,$D$4:$D$153,D140)&lt;&gt;1),"集合ID・計画重複",IF(OR(OR(B140="",C140="",D140="",I140="",J140="",O140=""),NOT(ISNUMBER(K140))),"集合承認不足",IF(OR(AND(K140&lt;&gt;"",OR(NOT(ISNUMBER(K140)),IFERROR(K140&lt;1,TRUE),IFERROR(INT(K140)&gt;INT(AsOfDate),TRUE)))),"集合承認日不正",IF(COUNTIF(EvalPlanKeys,D140)&lt;&gt;1,"PlanKey不正",IF(C140&lt;&gt;IF(COUNTIF('15_評価計画・品質ゲート'!$V$4:$V$103,D140)&lt;&gt;1,"参照ID不正",IF(INDEX('15_評価計画・品質ゲート'!$U$4:$U$103,MATCH(D140,'15_評価計画・品質ゲート'!$V$4:$V$103,0))="","",INDEX('15_評価計画・品質ゲート'!$U$4:$U$103,MATCH(D140,'15_評価計画・品質ゲート'!$V$4:$V$103,0)))),"計画Manifest不一致",IF(F140="対象外",IF(H140="","対象外理由不足","対象外承認"),IF(F140&lt;&gt;"必須","適用未判定",IF(OR(G140="",COUNTIF('16_評価実績インデックス'!$A$4:$A$103,G140)&lt;&gt;1),"評価Run不足・不正",IF(OR(C140&lt;&gt;IF(COUNTIF('16_評価実績インデックス'!$A$4:$A$103,G140)&lt;&gt;1,"参照ID不正",IF(INDEX('16_評価実績インデックス'!$T$4:$T$103,MATCH(G140,'16_評価実績インデックス'!$A$4:$A$103,0))="","",INDEX('16_評価実績インデックス'!$T$4:$T$103,MATCH(G140,'16_評価実績インデックス'!$A$4:$A$103,0)))),D140&lt;&gt;IF(COUNTIF('16_評価実績インデックス'!$A$4:$A$103,G140)&lt;&gt;1,"参照ID不正",IF(INDEX('16_評価実績インデックス'!$B$4:$B$103,MATCH(G140,'16_評価実績インデックス'!$A$4:$A$103,0))="","",INDEX('16_評価実績インデックス'!$B$4:$B$103,MATCH(G140,'16_評価実績インデックス'!$A$4:$A$103,0)))),B140&lt;&gt;IF(COUNTIF('16_評価実績インデックス'!$A$4:$A$103,G140)&lt;&gt;1,"参照ID不正",IF(INDEX('16_評価実績インデックス'!$C$4:$C$103,MATCH(G140,'16_評価実績インデックス'!$A$4:$A$103,0))="","",INDEX('16_評価実績インデックス'!$C$4:$C$103,MATCH(G140,'16_評価実績インデックス'!$A$4:$A$103,0))))),"評価対象不一致",IF(IF(COUNTIF('16_評価実績インデックス'!$A$4:$A$103,G140)&lt;&gt;1,"参照ID不正",IF(INDEX('16_評価実績インデックス'!$S$4:$S$103,MATCH(G140,'16_評価実績インデックス'!$A$4:$A$103,0))="","",INDEX('16_評価実績インデックス'!$S$4:$S$103,MATCH(G140,'16_評価実績インデックス'!$A$4:$A$103,0))))&lt;&gt;"記録あり・内容審査別","評価記録未充足",IF(L140&lt;&gt;"合格","必要評価不合格・未確定","評価充足"))))))))))))</f>
        <v/>
      </c>
      <c r="N140" s="28">
        <f t="shared" si="4"/>
        <v>0</v>
      </c>
      <c r="O140" s="29"/>
      <c r="P140" s="29"/>
    </row>
    <row r="141" spans="1:16" ht="64" customHeight="1" x14ac:dyDescent="0.2">
      <c r="A141" s="29"/>
      <c r="B141" s="29"/>
      <c r="C141" s="29"/>
      <c r="D141" s="29"/>
      <c r="E141" s="28" t="str">
        <f>IF(A141="","",IF(COUNTIF('15_評価計画・品質ゲート'!$V$4:$V$103,D141)&lt;&gt;1,"参照ID不正",IF(INDEX('15_評価計画・品質ゲート'!$A$4:$A$103,MATCH(D141,'15_評価計画・品質ゲート'!$V$4:$V$103,0))="","",INDEX('15_評価計画・品質ゲート'!$A$4:$A$103,MATCH(D141,'15_評価計画・品質ゲート'!$V$4:$V$103,0)))))</f>
        <v/>
      </c>
      <c r="F141" s="29"/>
      <c r="G141" s="29"/>
      <c r="H141" s="29"/>
      <c r="I141" s="29"/>
      <c r="J141" s="29"/>
      <c r="K141" s="29"/>
      <c r="L141" s="28" t="str">
        <f>IF(OR(A141="",G141=""),"",IF(COUNTIF('16_評価実績インデックス'!$A$4:$A$103,G141)&lt;&gt;1,"参照ID不正",IF(INDEX('16_評価実績インデックス'!$O$4:$O$103,MATCH(G141,'16_評価実績インデックス'!$A$4:$A$103,0))="","",INDEX('16_評価実績インデックス'!$O$4:$O$103,MATCH(G141,'16_評価実績インデックス'!$A$4:$A$103,0)))))</f>
        <v/>
      </c>
      <c r="M141" s="28" t="str">
        <f>IF(A141="","",IF(OR(COUNTIF($A$4:$A$153,A141)&lt;&gt;1,COUNTIFS($B$4:$B$153,B141,$C$4:$C$153,C141,$D$4:$D$153,D141)&lt;&gt;1),"集合ID・計画重複",IF(OR(OR(B141="",C141="",D141="",I141="",J141="",O141=""),NOT(ISNUMBER(K141))),"集合承認不足",IF(OR(AND(K141&lt;&gt;"",OR(NOT(ISNUMBER(K141)),IFERROR(K141&lt;1,TRUE),IFERROR(INT(K141)&gt;INT(AsOfDate),TRUE)))),"集合承認日不正",IF(COUNTIF(EvalPlanKeys,D141)&lt;&gt;1,"PlanKey不正",IF(C141&lt;&gt;IF(COUNTIF('15_評価計画・品質ゲート'!$V$4:$V$103,D141)&lt;&gt;1,"参照ID不正",IF(INDEX('15_評価計画・品質ゲート'!$U$4:$U$103,MATCH(D141,'15_評価計画・品質ゲート'!$V$4:$V$103,0))="","",INDEX('15_評価計画・品質ゲート'!$U$4:$U$103,MATCH(D141,'15_評価計画・品質ゲート'!$V$4:$V$103,0)))),"計画Manifest不一致",IF(F141="対象外",IF(H141="","対象外理由不足","対象外承認"),IF(F141&lt;&gt;"必須","適用未判定",IF(OR(G141="",COUNTIF('16_評価実績インデックス'!$A$4:$A$103,G141)&lt;&gt;1),"評価Run不足・不正",IF(OR(C141&lt;&gt;IF(COUNTIF('16_評価実績インデックス'!$A$4:$A$103,G141)&lt;&gt;1,"参照ID不正",IF(INDEX('16_評価実績インデックス'!$T$4:$T$103,MATCH(G141,'16_評価実績インデックス'!$A$4:$A$103,0))="","",INDEX('16_評価実績インデックス'!$T$4:$T$103,MATCH(G141,'16_評価実績インデックス'!$A$4:$A$103,0)))),D141&lt;&gt;IF(COUNTIF('16_評価実績インデックス'!$A$4:$A$103,G141)&lt;&gt;1,"参照ID不正",IF(INDEX('16_評価実績インデックス'!$B$4:$B$103,MATCH(G141,'16_評価実績インデックス'!$A$4:$A$103,0))="","",INDEX('16_評価実績インデックス'!$B$4:$B$103,MATCH(G141,'16_評価実績インデックス'!$A$4:$A$103,0)))),B141&lt;&gt;IF(COUNTIF('16_評価実績インデックス'!$A$4:$A$103,G141)&lt;&gt;1,"参照ID不正",IF(INDEX('16_評価実績インデックス'!$C$4:$C$103,MATCH(G141,'16_評価実績インデックス'!$A$4:$A$103,0))="","",INDEX('16_評価実績インデックス'!$C$4:$C$103,MATCH(G141,'16_評価実績インデックス'!$A$4:$A$103,0))))),"評価対象不一致",IF(IF(COUNTIF('16_評価実績インデックス'!$A$4:$A$103,G141)&lt;&gt;1,"参照ID不正",IF(INDEX('16_評価実績インデックス'!$S$4:$S$103,MATCH(G141,'16_評価実績インデックス'!$A$4:$A$103,0))="","",INDEX('16_評価実績インデックス'!$S$4:$S$103,MATCH(G141,'16_評価実績インデックス'!$A$4:$A$103,0))))&lt;&gt;"記録あり・内容審査別","評価記録未充足",IF(L141&lt;&gt;"合格","必要評価不合格・未確定","評価充足"))))))))))))</f>
        <v/>
      </c>
      <c r="N141" s="28">
        <f t="shared" si="4"/>
        <v>0</v>
      </c>
      <c r="O141" s="29"/>
      <c r="P141" s="29"/>
    </row>
    <row r="142" spans="1:16" ht="64" customHeight="1" x14ac:dyDescent="0.2">
      <c r="A142" s="29"/>
      <c r="B142" s="29"/>
      <c r="C142" s="29"/>
      <c r="D142" s="29"/>
      <c r="E142" s="28" t="str">
        <f>IF(A142="","",IF(COUNTIF('15_評価計画・品質ゲート'!$V$4:$V$103,D142)&lt;&gt;1,"参照ID不正",IF(INDEX('15_評価計画・品質ゲート'!$A$4:$A$103,MATCH(D142,'15_評価計画・品質ゲート'!$V$4:$V$103,0))="","",INDEX('15_評価計画・品質ゲート'!$A$4:$A$103,MATCH(D142,'15_評価計画・品質ゲート'!$V$4:$V$103,0)))))</f>
        <v/>
      </c>
      <c r="F142" s="29"/>
      <c r="G142" s="29"/>
      <c r="H142" s="29"/>
      <c r="I142" s="29"/>
      <c r="J142" s="29"/>
      <c r="K142" s="29"/>
      <c r="L142" s="28" t="str">
        <f>IF(OR(A142="",G142=""),"",IF(COUNTIF('16_評価実績インデックス'!$A$4:$A$103,G142)&lt;&gt;1,"参照ID不正",IF(INDEX('16_評価実績インデックス'!$O$4:$O$103,MATCH(G142,'16_評価実績インデックス'!$A$4:$A$103,0))="","",INDEX('16_評価実績インデックス'!$O$4:$O$103,MATCH(G142,'16_評価実績インデックス'!$A$4:$A$103,0)))))</f>
        <v/>
      </c>
      <c r="M142" s="28" t="str">
        <f>IF(A142="","",IF(OR(COUNTIF($A$4:$A$153,A142)&lt;&gt;1,COUNTIFS($B$4:$B$153,B142,$C$4:$C$153,C142,$D$4:$D$153,D142)&lt;&gt;1),"集合ID・計画重複",IF(OR(OR(B142="",C142="",D142="",I142="",J142="",O142=""),NOT(ISNUMBER(K142))),"集合承認不足",IF(OR(AND(K142&lt;&gt;"",OR(NOT(ISNUMBER(K142)),IFERROR(K142&lt;1,TRUE),IFERROR(INT(K142)&gt;INT(AsOfDate),TRUE)))),"集合承認日不正",IF(COUNTIF(EvalPlanKeys,D142)&lt;&gt;1,"PlanKey不正",IF(C142&lt;&gt;IF(COUNTIF('15_評価計画・品質ゲート'!$V$4:$V$103,D142)&lt;&gt;1,"参照ID不正",IF(INDEX('15_評価計画・品質ゲート'!$U$4:$U$103,MATCH(D142,'15_評価計画・品質ゲート'!$V$4:$V$103,0))="","",INDEX('15_評価計画・品質ゲート'!$U$4:$U$103,MATCH(D142,'15_評価計画・品質ゲート'!$V$4:$V$103,0)))),"計画Manifest不一致",IF(F142="対象外",IF(H142="","対象外理由不足","対象外承認"),IF(F142&lt;&gt;"必須","適用未判定",IF(OR(G142="",COUNTIF('16_評価実績インデックス'!$A$4:$A$103,G142)&lt;&gt;1),"評価Run不足・不正",IF(OR(C142&lt;&gt;IF(COUNTIF('16_評価実績インデックス'!$A$4:$A$103,G142)&lt;&gt;1,"参照ID不正",IF(INDEX('16_評価実績インデックス'!$T$4:$T$103,MATCH(G142,'16_評価実績インデックス'!$A$4:$A$103,0))="","",INDEX('16_評価実績インデックス'!$T$4:$T$103,MATCH(G142,'16_評価実績インデックス'!$A$4:$A$103,0)))),D142&lt;&gt;IF(COUNTIF('16_評価実績インデックス'!$A$4:$A$103,G142)&lt;&gt;1,"参照ID不正",IF(INDEX('16_評価実績インデックス'!$B$4:$B$103,MATCH(G142,'16_評価実績インデックス'!$A$4:$A$103,0))="","",INDEX('16_評価実績インデックス'!$B$4:$B$103,MATCH(G142,'16_評価実績インデックス'!$A$4:$A$103,0)))),B142&lt;&gt;IF(COUNTIF('16_評価実績インデックス'!$A$4:$A$103,G142)&lt;&gt;1,"参照ID不正",IF(INDEX('16_評価実績インデックス'!$C$4:$C$103,MATCH(G142,'16_評価実績インデックス'!$A$4:$A$103,0))="","",INDEX('16_評価実績インデックス'!$C$4:$C$103,MATCH(G142,'16_評価実績インデックス'!$A$4:$A$103,0))))),"評価対象不一致",IF(IF(COUNTIF('16_評価実績インデックス'!$A$4:$A$103,G142)&lt;&gt;1,"参照ID不正",IF(INDEX('16_評価実績インデックス'!$S$4:$S$103,MATCH(G142,'16_評価実績インデックス'!$A$4:$A$103,0))="","",INDEX('16_評価実績インデックス'!$S$4:$S$103,MATCH(G142,'16_評価実績インデックス'!$A$4:$A$103,0))))&lt;&gt;"記録あり・内容審査別","評価記録未充足",IF(L142&lt;&gt;"合格","必要評価不合格・未確定","評価充足"))))))))))))</f>
        <v/>
      </c>
      <c r="N142" s="28">
        <f t="shared" si="4"/>
        <v>0</v>
      </c>
      <c r="O142" s="29"/>
      <c r="P142" s="29"/>
    </row>
    <row r="143" spans="1:16" ht="64" customHeight="1" x14ac:dyDescent="0.2">
      <c r="A143" s="29"/>
      <c r="B143" s="29"/>
      <c r="C143" s="29"/>
      <c r="D143" s="29"/>
      <c r="E143" s="28" t="str">
        <f>IF(A143="","",IF(COUNTIF('15_評価計画・品質ゲート'!$V$4:$V$103,D143)&lt;&gt;1,"参照ID不正",IF(INDEX('15_評価計画・品質ゲート'!$A$4:$A$103,MATCH(D143,'15_評価計画・品質ゲート'!$V$4:$V$103,0))="","",INDEX('15_評価計画・品質ゲート'!$A$4:$A$103,MATCH(D143,'15_評価計画・品質ゲート'!$V$4:$V$103,0)))))</f>
        <v/>
      </c>
      <c r="F143" s="29"/>
      <c r="G143" s="29"/>
      <c r="H143" s="29"/>
      <c r="I143" s="29"/>
      <c r="J143" s="29"/>
      <c r="K143" s="29"/>
      <c r="L143" s="28" t="str">
        <f>IF(OR(A143="",G143=""),"",IF(COUNTIF('16_評価実績インデックス'!$A$4:$A$103,G143)&lt;&gt;1,"参照ID不正",IF(INDEX('16_評価実績インデックス'!$O$4:$O$103,MATCH(G143,'16_評価実績インデックス'!$A$4:$A$103,0))="","",INDEX('16_評価実績インデックス'!$O$4:$O$103,MATCH(G143,'16_評価実績インデックス'!$A$4:$A$103,0)))))</f>
        <v/>
      </c>
      <c r="M143" s="28" t="str">
        <f>IF(A143="","",IF(OR(COUNTIF($A$4:$A$153,A143)&lt;&gt;1,COUNTIFS($B$4:$B$153,B143,$C$4:$C$153,C143,$D$4:$D$153,D143)&lt;&gt;1),"集合ID・計画重複",IF(OR(OR(B143="",C143="",D143="",I143="",J143="",O143=""),NOT(ISNUMBER(K143))),"集合承認不足",IF(OR(AND(K143&lt;&gt;"",OR(NOT(ISNUMBER(K143)),IFERROR(K143&lt;1,TRUE),IFERROR(INT(K143)&gt;INT(AsOfDate),TRUE)))),"集合承認日不正",IF(COUNTIF(EvalPlanKeys,D143)&lt;&gt;1,"PlanKey不正",IF(C143&lt;&gt;IF(COUNTIF('15_評価計画・品質ゲート'!$V$4:$V$103,D143)&lt;&gt;1,"参照ID不正",IF(INDEX('15_評価計画・品質ゲート'!$U$4:$U$103,MATCH(D143,'15_評価計画・品質ゲート'!$V$4:$V$103,0))="","",INDEX('15_評価計画・品質ゲート'!$U$4:$U$103,MATCH(D143,'15_評価計画・品質ゲート'!$V$4:$V$103,0)))),"計画Manifest不一致",IF(F143="対象外",IF(H143="","対象外理由不足","対象外承認"),IF(F143&lt;&gt;"必須","適用未判定",IF(OR(G143="",COUNTIF('16_評価実績インデックス'!$A$4:$A$103,G143)&lt;&gt;1),"評価Run不足・不正",IF(OR(C143&lt;&gt;IF(COUNTIF('16_評価実績インデックス'!$A$4:$A$103,G143)&lt;&gt;1,"参照ID不正",IF(INDEX('16_評価実績インデックス'!$T$4:$T$103,MATCH(G143,'16_評価実績インデックス'!$A$4:$A$103,0))="","",INDEX('16_評価実績インデックス'!$T$4:$T$103,MATCH(G143,'16_評価実績インデックス'!$A$4:$A$103,0)))),D143&lt;&gt;IF(COUNTIF('16_評価実績インデックス'!$A$4:$A$103,G143)&lt;&gt;1,"参照ID不正",IF(INDEX('16_評価実績インデックス'!$B$4:$B$103,MATCH(G143,'16_評価実績インデックス'!$A$4:$A$103,0))="","",INDEX('16_評価実績インデックス'!$B$4:$B$103,MATCH(G143,'16_評価実績インデックス'!$A$4:$A$103,0)))),B143&lt;&gt;IF(COUNTIF('16_評価実績インデックス'!$A$4:$A$103,G143)&lt;&gt;1,"参照ID不正",IF(INDEX('16_評価実績インデックス'!$C$4:$C$103,MATCH(G143,'16_評価実績インデックス'!$A$4:$A$103,0))="","",INDEX('16_評価実績インデックス'!$C$4:$C$103,MATCH(G143,'16_評価実績インデックス'!$A$4:$A$103,0))))),"評価対象不一致",IF(IF(COUNTIF('16_評価実績インデックス'!$A$4:$A$103,G143)&lt;&gt;1,"参照ID不正",IF(INDEX('16_評価実績インデックス'!$S$4:$S$103,MATCH(G143,'16_評価実績インデックス'!$A$4:$A$103,0))="","",INDEX('16_評価実績インデックス'!$S$4:$S$103,MATCH(G143,'16_評価実績インデックス'!$A$4:$A$103,0))))&lt;&gt;"記録あり・内容審査別","評価記録未充足",IF(L143&lt;&gt;"合格","必要評価不合格・未確定","評価充足"))))))))))))</f>
        <v/>
      </c>
      <c r="N143" s="28">
        <f t="shared" si="4"/>
        <v>0</v>
      </c>
      <c r="O143" s="29"/>
      <c r="P143" s="29"/>
    </row>
    <row r="144" spans="1:16" ht="64" customHeight="1" x14ac:dyDescent="0.2">
      <c r="A144" s="29"/>
      <c r="B144" s="29"/>
      <c r="C144" s="29"/>
      <c r="D144" s="29"/>
      <c r="E144" s="28" t="str">
        <f>IF(A144="","",IF(COUNTIF('15_評価計画・品質ゲート'!$V$4:$V$103,D144)&lt;&gt;1,"参照ID不正",IF(INDEX('15_評価計画・品質ゲート'!$A$4:$A$103,MATCH(D144,'15_評価計画・品質ゲート'!$V$4:$V$103,0))="","",INDEX('15_評価計画・品質ゲート'!$A$4:$A$103,MATCH(D144,'15_評価計画・品質ゲート'!$V$4:$V$103,0)))))</f>
        <v/>
      </c>
      <c r="F144" s="29"/>
      <c r="G144" s="29"/>
      <c r="H144" s="29"/>
      <c r="I144" s="29"/>
      <c r="J144" s="29"/>
      <c r="K144" s="29"/>
      <c r="L144" s="28" t="str">
        <f>IF(OR(A144="",G144=""),"",IF(COUNTIF('16_評価実績インデックス'!$A$4:$A$103,G144)&lt;&gt;1,"参照ID不正",IF(INDEX('16_評価実績インデックス'!$O$4:$O$103,MATCH(G144,'16_評価実績インデックス'!$A$4:$A$103,0))="","",INDEX('16_評価実績インデックス'!$O$4:$O$103,MATCH(G144,'16_評価実績インデックス'!$A$4:$A$103,0)))))</f>
        <v/>
      </c>
      <c r="M144" s="28" t="str">
        <f>IF(A144="","",IF(OR(COUNTIF($A$4:$A$153,A144)&lt;&gt;1,COUNTIFS($B$4:$B$153,B144,$C$4:$C$153,C144,$D$4:$D$153,D144)&lt;&gt;1),"集合ID・計画重複",IF(OR(OR(B144="",C144="",D144="",I144="",J144="",O144=""),NOT(ISNUMBER(K144))),"集合承認不足",IF(OR(AND(K144&lt;&gt;"",OR(NOT(ISNUMBER(K144)),IFERROR(K144&lt;1,TRUE),IFERROR(INT(K144)&gt;INT(AsOfDate),TRUE)))),"集合承認日不正",IF(COUNTIF(EvalPlanKeys,D144)&lt;&gt;1,"PlanKey不正",IF(C144&lt;&gt;IF(COUNTIF('15_評価計画・品質ゲート'!$V$4:$V$103,D144)&lt;&gt;1,"参照ID不正",IF(INDEX('15_評価計画・品質ゲート'!$U$4:$U$103,MATCH(D144,'15_評価計画・品質ゲート'!$V$4:$V$103,0))="","",INDEX('15_評価計画・品質ゲート'!$U$4:$U$103,MATCH(D144,'15_評価計画・品質ゲート'!$V$4:$V$103,0)))),"計画Manifest不一致",IF(F144="対象外",IF(H144="","対象外理由不足","対象外承認"),IF(F144&lt;&gt;"必須","適用未判定",IF(OR(G144="",COUNTIF('16_評価実績インデックス'!$A$4:$A$103,G144)&lt;&gt;1),"評価Run不足・不正",IF(OR(C144&lt;&gt;IF(COUNTIF('16_評価実績インデックス'!$A$4:$A$103,G144)&lt;&gt;1,"参照ID不正",IF(INDEX('16_評価実績インデックス'!$T$4:$T$103,MATCH(G144,'16_評価実績インデックス'!$A$4:$A$103,0))="","",INDEX('16_評価実績インデックス'!$T$4:$T$103,MATCH(G144,'16_評価実績インデックス'!$A$4:$A$103,0)))),D144&lt;&gt;IF(COUNTIF('16_評価実績インデックス'!$A$4:$A$103,G144)&lt;&gt;1,"参照ID不正",IF(INDEX('16_評価実績インデックス'!$B$4:$B$103,MATCH(G144,'16_評価実績インデックス'!$A$4:$A$103,0))="","",INDEX('16_評価実績インデックス'!$B$4:$B$103,MATCH(G144,'16_評価実績インデックス'!$A$4:$A$103,0)))),B144&lt;&gt;IF(COUNTIF('16_評価実績インデックス'!$A$4:$A$103,G144)&lt;&gt;1,"参照ID不正",IF(INDEX('16_評価実績インデックス'!$C$4:$C$103,MATCH(G144,'16_評価実績インデックス'!$A$4:$A$103,0))="","",INDEX('16_評価実績インデックス'!$C$4:$C$103,MATCH(G144,'16_評価実績インデックス'!$A$4:$A$103,0))))),"評価対象不一致",IF(IF(COUNTIF('16_評価実績インデックス'!$A$4:$A$103,G144)&lt;&gt;1,"参照ID不正",IF(INDEX('16_評価実績インデックス'!$S$4:$S$103,MATCH(G144,'16_評価実績インデックス'!$A$4:$A$103,0))="","",INDEX('16_評価実績インデックス'!$S$4:$S$103,MATCH(G144,'16_評価実績インデックス'!$A$4:$A$103,0))))&lt;&gt;"記録あり・内容審査別","評価記録未充足",IF(L144&lt;&gt;"合格","必要評価不合格・未確定","評価充足"))))))))))))</f>
        <v/>
      </c>
      <c r="N144" s="28">
        <f t="shared" si="4"/>
        <v>0</v>
      </c>
      <c r="O144" s="29"/>
      <c r="P144" s="29"/>
    </row>
    <row r="145" spans="1:16" ht="64" customHeight="1" x14ac:dyDescent="0.2">
      <c r="A145" s="29"/>
      <c r="B145" s="29"/>
      <c r="C145" s="29"/>
      <c r="D145" s="29"/>
      <c r="E145" s="28" t="str">
        <f>IF(A145="","",IF(COUNTIF('15_評価計画・品質ゲート'!$V$4:$V$103,D145)&lt;&gt;1,"参照ID不正",IF(INDEX('15_評価計画・品質ゲート'!$A$4:$A$103,MATCH(D145,'15_評価計画・品質ゲート'!$V$4:$V$103,0))="","",INDEX('15_評価計画・品質ゲート'!$A$4:$A$103,MATCH(D145,'15_評価計画・品質ゲート'!$V$4:$V$103,0)))))</f>
        <v/>
      </c>
      <c r="F145" s="29"/>
      <c r="G145" s="29"/>
      <c r="H145" s="29"/>
      <c r="I145" s="29"/>
      <c r="J145" s="29"/>
      <c r="K145" s="29"/>
      <c r="L145" s="28" t="str">
        <f>IF(OR(A145="",G145=""),"",IF(COUNTIF('16_評価実績インデックス'!$A$4:$A$103,G145)&lt;&gt;1,"参照ID不正",IF(INDEX('16_評価実績インデックス'!$O$4:$O$103,MATCH(G145,'16_評価実績インデックス'!$A$4:$A$103,0))="","",INDEX('16_評価実績インデックス'!$O$4:$O$103,MATCH(G145,'16_評価実績インデックス'!$A$4:$A$103,0)))))</f>
        <v/>
      </c>
      <c r="M145" s="28" t="str">
        <f>IF(A145="","",IF(OR(COUNTIF($A$4:$A$153,A145)&lt;&gt;1,COUNTIFS($B$4:$B$153,B145,$C$4:$C$153,C145,$D$4:$D$153,D145)&lt;&gt;1),"集合ID・計画重複",IF(OR(OR(B145="",C145="",D145="",I145="",J145="",O145=""),NOT(ISNUMBER(K145))),"集合承認不足",IF(OR(AND(K145&lt;&gt;"",OR(NOT(ISNUMBER(K145)),IFERROR(K145&lt;1,TRUE),IFERROR(INT(K145)&gt;INT(AsOfDate),TRUE)))),"集合承認日不正",IF(COUNTIF(EvalPlanKeys,D145)&lt;&gt;1,"PlanKey不正",IF(C145&lt;&gt;IF(COUNTIF('15_評価計画・品質ゲート'!$V$4:$V$103,D145)&lt;&gt;1,"参照ID不正",IF(INDEX('15_評価計画・品質ゲート'!$U$4:$U$103,MATCH(D145,'15_評価計画・品質ゲート'!$V$4:$V$103,0))="","",INDEX('15_評価計画・品質ゲート'!$U$4:$U$103,MATCH(D145,'15_評価計画・品質ゲート'!$V$4:$V$103,0)))),"計画Manifest不一致",IF(F145="対象外",IF(H145="","対象外理由不足","対象外承認"),IF(F145&lt;&gt;"必須","適用未判定",IF(OR(G145="",COUNTIF('16_評価実績インデックス'!$A$4:$A$103,G145)&lt;&gt;1),"評価Run不足・不正",IF(OR(C145&lt;&gt;IF(COUNTIF('16_評価実績インデックス'!$A$4:$A$103,G145)&lt;&gt;1,"参照ID不正",IF(INDEX('16_評価実績インデックス'!$T$4:$T$103,MATCH(G145,'16_評価実績インデックス'!$A$4:$A$103,0))="","",INDEX('16_評価実績インデックス'!$T$4:$T$103,MATCH(G145,'16_評価実績インデックス'!$A$4:$A$103,0)))),D145&lt;&gt;IF(COUNTIF('16_評価実績インデックス'!$A$4:$A$103,G145)&lt;&gt;1,"参照ID不正",IF(INDEX('16_評価実績インデックス'!$B$4:$B$103,MATCH(G145,'16_評価実績インデックス'!$A$4:$A$103,0))="","",INDEX('16_評価実績インデックス'!$B$4:$B$103,MATCH(G145,'16_評価実績インデックス'!$A$4:$A$103,0)))),B145&lt;&gt;IF(COUNTIF('16_評価実績インデックス'!$A$4:$A$103,G145)&lt;&gt;1,"参照ID不正",IF(INDEX('16_評価実績インデックス'!$C$4:$C$103,MATCH(G145,'16_評価実績インデックス'!$A$4:$A$103,0))="","",INDEX('16_評価実績インデックス'!$C$4:$C$103,MATCH(G145,'16_評価実績インデックス'!$A$4:$A$103,0))))),"評価対象不一致",IF(IF(COUNTIF('16_評価実績インデックス'!$A$4:$A$103,G145)&lt;&gt;1,"参照ID不正",IF(INDEX('16_評価実績インデックス'!$S$4:$S$103,MATCH(G145,'16_評価実績インデックス'!$A$4:$A$103,0))="","",INDEX('16_評価実績インデックス'!$S$4:$S$103,MATCH(G145,'16_評価実績インデックス'!$A$4:$A$103,0))))&lt;&gt;"記録あり・内容審査別","評価記録未充足",IF(L145&lt;&gt;"合格","必要評価不合格・未確定","評価充足"))))))))))))</f>
        <v/>
      </c>
      <c r="N145" s="28">
        <f t="shared" si="4"/>
        <v>0</v>
      </c>
      <c r="O145" s="29"/>
      <c r="P145" s="29"/>
    </row>
    <row r="146" spans="1:16" ht="64" customHeight="1" x14ac:dyDescent="0.2">
      <c r="A146" s="29"/>
      <c r="B146" s="29"/>
      <c r="C146" s="29"/>
      <c r="D146" s="29"/>
      <c r="E146" s="28" t="str">
        <f>IF(A146="","",IF(COUNTIF('15_評価計画・品質ゲート'!$V$4:$V$103,D146)&lt;&gt;1,"参照ID不正",IF(INDEX('15_評価計画・品質ゲート'!$A$4:$A$103,MATCH(D146,'15_評価計画・品質ゲート'!$V$4:$V$103,0))="","",INDEX('15_評価計画・品質ゲート'!$A$4:$A$103,MATCH(D146,'15_評価計画・品質ゲート'!$V$4:$V$103,0)))))</f>
        <v/>
      </c>
      <c r="F146" s="29"/>
      <c r="G146" s="29"/>
      <c r="H146" s="29"/>
      <c r="I146" s="29"/>
      <c r="J146" s="29"/>
      <c r="K146" s="29"/>
      <c r="L146" s="28" t="str">
        <f>IF(OR(A146="",G146=""),"",IF(COUNTIF('16_評価実績インデックス'!$A$4:$A$103,G146)&lt;&gt;1,"参照ID不正",IF(INDEX('16_評価実績インデックス'!$O$4:$O$103,MATCH(G146,'16_評価実績インデックス'!$A$4:$A$103,0))="","",INDEX('16_評価実績インデックス'!$O$4:$O$103,MATCH(G146,'16_評価実績インデックス'!$A$4:$A$103,0)))))</f>
        <v/>
      </c>
      <c r="M146" s="28" t="str">
        <f>IF(A146="","",IF(OR(COUNTIF($A$4:$A$153,A146)&lt;&gt;1,COUNTIFS($B$4:$B$153,B146,$C$4:$C$153,C146,$D$4:$D$153,D146)&lt;&gt;1),"集合ID・計画重複",IF(OR(OR(B146="",C146="",D146="",I146="",J146="",O146=""),NOT(ISNUMBER(K146))),"集合承認不足",IF(OR(AND(K146&lt;&gt;"",OR(NOT(ISNUMBER(K146)),IFERROR(K146&lt;1,TRUE),IFERROR(INT(K146)&gt;INT(AsOfDate),TRUE)))),"集合承認日不正",IF(COUNTIF(EvalPlanKeys,D146)&lt;&gt;1,"PlanKey不正",IF(C146&lt;&gt;IF(COUNTIF('15_評価計画・品質ゲート'!$V$4:$V$103,D146)&lt;&gt;1,"参照ID不正",IF(INDEX('15_評価計画・品質ゲート'!$U$4:$U$103,MATCH(D146,'15_評価計画・品質ゲート'!$V$4:$V$103,0))="","",INDEX('15_評価計画・品質ゲート'!$U$4:$U$103,MATCH(D146,'15_評価計画・品質ゲート'!$V$4:$V$103,0)))),"計画Manifest不一致",IF(F146="対象外",IF(H146="","対象外理由不足","対象外承認"),IF(F146&lt;&gt;"必須","適用未判定",IF(OR(G146="",COUNTIF('16_評価実績インデックス'!$A$4:$A$103,G146)&lt;&gt;1),"評価Run不足・不正",IF(OR(C146&lt;&gt;IF(COUNTIF('16_評価実績インデックス'!$A$4:$A$103,G146)&lt;&gt;1,"参照ID不正",IF(INDEX('16_評価実績インデックス'!$T$4:$T$103,MATCH(G146,'16_評価実績インデックス'!$A$4:$A$103,0))="","",INDEX('16_評価実績インデックス'!$T$4:$T$103,MATCH(G146,'16_評価実績インデックス'!$A$4:$A$103,0)))),D146&lt;&gt;IF(COUNTIF('16_評価実績インデックス'!$A$4:$A$103,G146)&lt;&gt;1,"参照ID不正",IF(INDEX('16_評価実績インデックス'!$B$4:$B$103,MATCH(G146,'16_評価実績インデックス'!$A$4:$A$103,0))="","",INDEX('16_評価実績インデックス'!$B$4:$B$103,MATCH(G146,'16_評価実績インデックス'!$A$4:$A$103,0)))),B146&lt;&gt;IF(COUNTIF('16_評価実績インデックス'!$A$4:$A$103,G146)&lt;&gt;1,"参照ID不正",IF(INDEX('16_評価実績インデックス'!$C$4:$C$103,MATCH(G146,'16_評価実績インデックス'!$A$4:$A$103,0))="","",INDEX('16_評価実績インデックス'!$C$4:$C$103,MATCH(G146,'16_評価実績インデックス'!$A$4:$A$103,0))))),"評価対象不一致",IF(IF(COUNTIF('16_評価実績インデックス'!$A$4:$A$103,G146)&lt;&gt;1,"参照ID不正",IF(INDEX('16_評価実績インデックス'!$S$4:$S$103,MATCH(G146,'16_評価実績インデックス'!$A$4:$A$103,0))="","",INDEX('16_評価実績インデックス'!$S$4:$S$103,MATCH(G146,'16_評価実績インデックス'!$A$4:$A$103,0))))&lt;&gt;"記録あり・内容審査別","評価記録未充足",IF(L146&lt;&gt;"合格","必要評価不合格・未確定","評価充足"))))))))))))</f>
        <v/>
      </c>
      <c r="N146" s="28">
        <f t="shared" si="4"/>
        <v>0</v>
      </c>
      <c r="O146" s="29"/>
      <c r="P146" s="29"/>
    </row>
    <row r="147" spans="1:16" ht="64" customHeight="1" x14ac:dyDescent="0.2">
      <c r="A147" s="29"/>
      <c r="B147" s="29"/>
      <c r="C147" s="29"/>
      <c r="D147" s="29"/>
      <c r="E147" s="28" t="str">
        <f>IF(A147="","",IF(COUNTIF('15_評価計画・品質ゲート'!$V$4:$V$103,D147)&lt;&gt;1,"参照ID不正",IF(INDEX('15_評価計画・品質ゲート'!$A$4:$A$103,MATCH(D147,'15_評価計画・品質ゲート'!$V$4:$V$103,0))="","",INDEX('15_評価計画・品質ゲート'!$A$4:$A$103,MATCH(D147,'15_評価計画・品質ゲート'!$V$4:$V$103,0)))))</f>
        <v/>
      </c>
      <c r="F147" s="29"/>
      <c r="G147" s="29"/>
      <c r="H147" s="29"/>
      <c r="I147" s="29"/>
      <c r="J147" s="29"/>
      <c r="K147" s="29"/>
      <c r="L147" s="28" t="str">
        <f>IF(OR(A147="",G147=""),"",IF(COUNTIF('16_評価実績インデックス'!$A$4:$A$103,G147)&lt;&gt;1,"参照ID不正",IF(INDEX('16_評価実績インデックス'!$O$4:$O$103,MATCH(G147,'16_評価実績インデックス'!$A$4:$A$103,0))="","",INDEX('16_評価実績インデックス'!$O$4:$O$103,MATCH(G147,'16_評価実績インデックス'!$A$4:$A$103,0)))))</f>
        <v/>
      </c>
      <c r="M147" s="28" t="str">
        <f>IF(A147="","",IF(OR(COUNTIF($A$4:$A$153,A147)&lt;&gt;1,COUNTIFS($B$4:$B$153,B147,$C$4:$C$153,C147,$D$4:$D$153,D147)&lt;&gt;1),"集合ID・計画重複",IF(OR(OR(B147="",C147="",D147="",I147="",J147="",O147=""),NOT(ISNUMBER(K147))),"集合承認不足",IF(OR(AND(K147&lt;&gt;"",OR(NOT(ISNUMBER(K147)),IFERROR(K147&lt;1,TRUE),IFERROR(INT(K147)&gt;INT(AsOfDate),TRUE)))),"集合承認日不正",IF(COUNTIF(EvalPlanKeys,D147)&lt;&gt;1,"PlanKey不正",IF(C147&lt;&gt;IF(COUNTIF('15_評価計画・品質ゲート'!$V$4:$V$103,D147)&lt;&gt;1,"参照ID不正",IF(INDEX('15_評価計画・品質ゲート'!$U$4:$U$103,MATCH(D147,'15_評価計画・品質ゲート'!$V$4:$V$103,0))="","",INDEX('15_評価計画・品質ゲート'!$U$4:$U$103,MATCH(D147,'15_評価計画・品質ゲート'!$V$4:$V$103,0)))),"計画Manifest不一致",IF(F147="対象外",IF(H147="","対象外理由不足","対象外承認"),IF(F147&lt;&gt;"必須","適用未判定",IF(OR(G147="",COUNTIF('16_評価実績インデックス'!$A$4:$A$103,G147)&lt;&gt;1),"評価Run不足・不正",IF(OR(C147&lt;&gt;IF(COUNTIF('16_評価実績インデックス'!$A$4:$A$103,G147)&lt;&gt;1,"参照ID不正",IF(INDEX('16_評価実績インデックス'!$T$4:$T$103,MATCH(G147,'16_評価実績インデックス'!$A$4:$A$103,0))="","",INDEX('16_評価実績インデックス'!$T$4:$T$103,MATCH(G147,'16_評価実績インデックス'!$A$4:$A$103,0)))),D147&lt;&gt;IF(COUNTIF('16_評価実績インデックス'!$A$4:$A$103,G147)&lt;&gt;1,"参照ID不正",IF(INDEX('16_評価実績インデックス'!$B$4:$B$103,MATCH(G147,'16_評価実績インデックス'!$A$4:$A$103,0))="","",INDEX('16_評価実績インデックス'!$B$4:$B$103,MATCH(G147,'16_評価実績インデックス'!$A$4:$A$103,0)))),B147&lt;&gt;IF(COUNTIF('16_評価実績インデックス'!$A$4:$A$103,G147)&lt;&gt;1,"参照ID不正",IF(INDEX('16_評価実績インデックス'!$C$4:$C$103,MATCH(G147,'16_評価実績インデックス'!$A$4:$A$103,0))="","",INDEX('16_評価実績インデックス'!$C$4:$C$103,MATCH(G147,'16_評価実績インデックス'!$A$4:$A$103,0))))),"評価対象不一致",IF(IF(COUNTIF('16_評価実績インデックス'!$A$4:$A$103,G147)&lt;&gt;1,"参照ID不正",IF(INDEX('16_評価実績インデックス'!$S$4:$S$103,MATCH(G147,'16_評価実績インデックス'!$A$4:$A$103,0))="","",INDEX('16_評価実績インデックス'!$S$4:$S$103,MATCH(G147,'16_評価実績インデックス'!$A$4:$A$103,0))))&lt;&gt;"記録あり・内容審査別","評価記録未充足",IF(L147&lt;&gt;"合格","必要評価不合格・未確定","評価充足"))))))))))))</f>
        <v/>
      </c>
      <c r="N147" s="28">
        <f t="shared" si="4"/>
        <v>0</v>
      </c>
      <c r="O147" s="29"/>
      <c r="P147" s="29"/>
    </row>
    <row r="148" spans="1:16" ht="64" customHeight="1" x14ac:dyDescent="0.2">
      <c r="A148" s="29"/>
      <c r="B148" s="29"/>
      <c r="C148" s="29"/>
      <c r="D148" s="29"/>
      <c r="E148" s="28" t="str">
        <f>IF(A148="","",IF(COUNTIF('15_評価計画・品質ゲート'!$V$4:$V$103,D148)&lt;&gt;1,"参照ID不正",IF(INDEX('15_評価計画・品質ゲート'!$A$4:$A$103,MATCH(D148,'15_評価計画・品質ゲート'!$V$4:$V$103,0))="","",INDEX('15_評価計画・品質ゲート'!$A$4:$A$103,MATCH(D148,'15_評価計画・品質ゲート'!$V$4:$V$103,0)))))</f>
        <v/>
      </c>
      <c r="F148" s="29"/>
      <c r="G148" s="29"/>
      <c r="H148" s="29"/>
      <c r="I148" s="29"/>
      <c r="J148" s="29"/>
      <c r="K148" s="29"/>
      <c r="L148" s="28" t="str">
        <f>IF(OR(A148="",G148=""),"",IF(COUNTIF('16_評価実績インデックス'!$A$4:$A$103,G148)&lt;&gt;1,"参照ID不正",IF(INDEX('16_評価実績インデックス'!$O$4:$O$103,MATCH(G148,'16_評価実績インデックス'!$A$4:$A$103,0))="","",INDEX('16_評価実績インデックス'!$O$4:$O$103,MATCH(G148,'16_評価実績インデックス'!$A$4:$A$103,0)))))</f>
        <v/>
      </c>
      <c r="M148" s="28" t="str">
        <f>IF(A148="","",IF(OR(COUNTIF($A$4:$A$153,A148)&lt;&gt;1,COUNTIFS($B$4:$B$153,B148,$C$4:$C$153,C148,$D$4:$D$153,D148)&lt;&gt;1),"集合ID・計画重複",IF(OR(OR(B148="",C148="",D148="",I148="",J148="",O148=""),NOT(ISNUMBER(K148))),"集合承認不足",IF(OR(AND(K148&lt;&gt;"",OR(NOT(ISNUMBER(K148)),IFERROR(K148&lt;1,TRUE),IFERROR(INT(K148)&gt;INT(AsOfDate),TRUE)))),"集合承認日不正",IF(COUNTIF(EvalPlanKeys,D148)&lt;&gt;1,"PlanKey不正",IF(C148&lt;&gt;IF(COUNTIF('15_評価計画・品質ゲート'!$V$4:$V$103,D148)&lt;&gt;1,"参照ID不正",IF(INDEX('15_評価計画・品質ゲート'!$U$4:$U$103,MATCH(D148,'15_評価計画・品質ゲート'!$V$4:$V$103,0))="","",INDEX('15_評価計画・品質ゲート'!$U$4:$U$103,MATCH(D148,'15_評価計画・品質ゲート'!$V$4:$V$103,0)))),"計画Manifest不一致",IF(F148="対象外",IF(H148="","対象外理由不足","対象外承認"),IF(F148&lt;&gt;"必須","適用未判定",IF(OR(G148="",COUNTIF('16_評価実績インデックス'!$A$4:$A$103,G148)&lt;&gt;1),"評価Run不足・不正",IF(OR(C148&lt;&gt;IF(COUNTIF('16_評価実績インデックス'!$A$4:$A$103,G148)&lt;&gt;1,"参照ID不正",IF(INDEX('16_評価実績インデックス'!$T$4:$T$103,MATCH(G148,'16_評価実績インデックス'!$A$4:$A$103,0))="","",INDEX('16_評価実績インデックス'!$T$4:$T$103,MATCH(G148,'16_評価実績インデックス'!$A$4:$A$103,0)))),D148&lt;&gt;IF(COUNTIF('16_評価実績インデックス'!$A$4:$A$103,G148)&lt;&gt;1,"参照ID不正",IF(INDEX('16_評価実績インデックス'!$B$4:$B$103,MATCH(G148,'16_評価実績インデックス'!$A$4:$A$103,0))="","",INDEX('16_評価実績インデックス'!$B$4:$B$103,MATCH(G148,'16_評価実績インデックス'!$A$4:$A$103,0)))),B148&lt;&gt;IF(COUNTIF('16_評価実績インデックス'!$A$4:$A$103,G148)&lt;&gt;1,"参照ID不正",IF(INDEX('16_評価実績インデックス'!$C$4:$C$103,MATCH(G148,'16_評価実績インデックス'!$A$4:$A$103,0))="","",INDEX('16_評価実績インデックス'!$C$4:$C$103,MATCH(G148,'16_評価実績インデックス'!$A$4:$A$103,0))))),"評価対象不一致",IF(IF(COUNTIF('16_評価実績インデックス'!$A$4:$A$103,G148)&lt;&gt;1,"参照ID不正",IF(INDEX('16_評価実績インデックス'!$S$4:$S$103,MATCH(G148,'16_評価実績インデックス'!$A$4:$A$103,0))="","",INDEX('16_評価実績インデックス'!$S$4:$S$103,MATCH(G148,'16_評価実績インデックス'!$A$4:$A$103,0))))&lt;&gt;"記録あり・内容審査別","評価記録未充足",IF(L148&lt;&gt;"合格","必要評価不合格・未確定","評価充足"))))))))))))</f>
        <v/>
      </c>
      <c r="N148" s="28">
        <f t="shared" si="4"/>
        <v>0</v>
      </c>
      <c r="O148" s="29"/>
      <c r="P148" s="29"/>
    </row>
    <row r="149" spans="1:16" ht="64" customHeight="1" x14ac:dyDescent="0.2">
      <c r="A149" s="29"/>
      <c r="B149" s="29"/>
      <c r="C149" s="29"/>
      <c r="D149" s="29"/>
      <c r="E149" s="28" t="str">
        <f>IF(A149="","",IF(COUNTIF('15_評価計画・品質ゲート'!$V$4:$V$103,D149)&lt;&gt;1,"参照ID不正",IF(INDEX('15_評価計画・品質ゲート'!$A$4:$A$103,MATCH(D149,'15_評価計画・品質ゲート'!$V$4:$V$103,0))="","",INDEX('15_評価計画・品質ゲート'!$A$4:$A$103,MATCH(D149,'15_評価計画・品質ゲート'!$V$4:$V$103,0)))))</f>
        <v/>
      </c>
      <c r="F149" s="29"/>
      <c r="G149" s="29"/>
      <c r="H149" s="29"/>
      <c r="I149" s="29"/>
      <c r="J149" s="29"/>
      <c r="K149" s="29"/>
      <c r="L149" s="28" t="str">
        <f>IF(OR(A149="",G149=""),"",IF(COUNTIF('16_評価実績インデックス'!$A$4:$A$103,G149)&lt;&gt;1,"参照ID不正",IF(INDEX('16_評価実績インデックス'!$O$4:$O$103,MATCH(G149,'16_評価実績インデックス'!$A$4:$A$103,0))="","",INDEX('16_評価実績インデックス'!$O$4:$O$103,MATCH(G149,'16_評価実績インデックス'!$A$4:$A$103,0)))))</f>
        <v/>
      </c>
      <c r="M149" s="28" t="str">
        <f>IF(A149="","",IF(OR(COUNTIF($A$4:$A$153,A149)&lt;&gt;1,COUNTIFS($B$4:$B$153,B149,$C$4:$C$153,C149,$D$4:$D$153,D149)&lt;&gt;1),"集合ID・計画重複",IF(OR(OR(B149="",C149="",D149="",I149="",J149="",O149=""),NOT(ISNUMBER(K149))),"集合承認不足",IF(OR(AND(K149&lt;&gt;"",OR(NOT(ISNUMBER(K149)),IFERROR(K149&lt;1,TRUE),IFERROR(INT(K149)&gt;INT(AsOfDate),TRUE)))),"集合承認日不正",IF(COUNTIF(EvalPlanKeys,D149)&lt;&gt;1,"PlanKey不正",IF(C149&lt;&gt;IF(COUNTIF('15_評価計画・品質ゲート'!$V$4:$V$103,D149)&lt;&gt;1,"参照ID不正",IF(INDEX('15_評価計画・品質ゲート'!$U$4:$U$103,MATCH(D149,'15_評価計画・品質ゲート'!$V$4:$V$103,0))="","",INDEX('15_評価計画・品質ゲート'!$U$4:$U$103,MATCH(D149,'15_評価計画・品質ゲート'!$V$4:$V$103,0)))),"計画Manifest不一致",IF(F149="対象外",IF(H149="","対象外理由不足","対象外承認"),IF(F149&lt;&gt;"必須","適用未判定",IF(OR(G149="",COUNTIF('16_評価実績インデックス'!$A$4:$A$103,G149)&lt;&gt;1),"評価Run不足・不正",IF(OR(C149&lt;&gt;IF(COUNTIF('16_評価実績インデックス'!$A$4:$A$103,G149)&lt;&gt;1,"参照ID不正",IF(INDEX('16_評価実績インデックス'!$T$4:$T$103,MATCH(G149,'16_評価実績インデックス'!$A$4:$A$103,0))="","",INDEX('16_評価実績インデックス'!$T$4:$T$103,MATCH(G149,'16_評価実績インデックス'!$A$4:$A$103,0)))),D149&lt;&gt;IF(COUNTIF('16_評価実績インデックス'!$A$4:$A$103,G149)&lt;&gt;1,"参照ID不正",IF(INDEX('16_評価実績インデックス'!$B$4:$B$103,MATCH(G149,'16_評価実績インデックス'!$A$4:$A$103,0))="","",INDEX('16_評価実績インデックス'!$B$4:$B$103,MATCH(G149,'16_評価実績インデックス'!$A$4:$A$103,0)))),B149&lt;&gt;IF(COUNTIF('16_評価実績インデックス'!$A$4:$A$103,G149)&lt;&gt;1,"参照ID不正",IF(INDEX('16_評価実績インデックス'!$C$4:$C$103,MATCH(G149,'16_評価実績インデックス'!$A$4:$A$103,0))="","",INDEX('16_評価実績インデックス'!$C$4:$C$103,MATCH(G149,'16_評価実績インデックス'!$A$4:$A$103,0))))),"評価対象不一致",IF(IF(COUNTIF('16_評価実績インデックス'!$A$4:$A$103,G149)&lt;&gt;1,"参照ID不正",IF(INDEX('16_評価実績インデックス'!$S$4:$S$103,MATCH(G149,'16_評価実績インデックス'!$A$4:$A$103,0))="","",INDEX('16_評価実績インデックス'!$S$4:$S$103,MATCH(G149,'16_評価実績インデックス'!$A$4:$A$103,0))))&lt;&gt;"記録あり・内容審査別","評価記録未充足",IF(L149&lt;&gt;"合格","必要評価不合格・未確定","評価充足"))))))))))))</f>
        <v/>
      </c>
      <c r="N149" s="28">
        <f t="shared" si="4"/>
        <v>0</v>
      </c>
      <c r="O149" s="29"/>
      <c r="P149" s="29"/>
    </row>
    <row r="150" spans="1:16" ht="64" customHeight="1" x14ac:dyDescent="0.2">
      <c r="A150" s="29"/>
      <c r="B150" s="29"/>
      <c r="C150" s="29"/>
      <c r="D150" s="29"/>
      <c r="E150" s="28" t="str">
        <f>IF(A150="","",IF(COUNTIF('15_評価計画・品質ゲート'!$V$4:$V$103,D150)&lt;&gt;1,"参照ID不正",IF(INDEX('15_評価計画・品質ゲート'!$A$4:$A$103,MATCH(D150,'15_評価計画・品質ゲート'!$V$4:$V$103,0))="","",INDEX('15_評価計画・品質ゲート'!$A$4:$A$103,MATCH(D150,'15_評価計画・品質ゲート'!$V$4:$V$103,0)))))</f>
        <v/>
      </c>
      <c r="F150" s="29"/>
      <c r="G150" s="29"/>
      <c r="H150" s="29"/>
      <c r="I150" s="29"/>
      <c r="J150" s="29"/>
      <c r="K150" s="29"/>
      <c r="L150" s="28" t="str">
        <f>IF(OR(A150="",G150=""),"",IF(COUNTIF('16_評価実績インデックス'!$A$4:$A$103,G150)&lt;&gt;1,"参照ID不正",IF(INDEX('16_評価実績インデックス'!$O$4:$O$103,MATCH(G150,'16_評価実績インデックス'!$A$4:$A$103,0))="","",INDEX('16_評価実績インデックス'!$O$4:$O$103,MATCH(G150,'16_評価実績インデックス'!$A$4:$A$103,0)))))</f>
        <v/>
      </c>
      <c r="M150" s="28" t="str">
        <f>IF(A150="","",IF(OR(COUNTIF($A$4:$A$153,A150)&lt;&gt;1,COUNTIFS($B$4:$B$153,B150,$C$4:$C$153,C150,$D$4:$D$153,D150)&lt;&gt;1),"集合ID・計画重複",IF(OR(OR(B150="",C150="",D150="",I150="",J150="",O150=""),NOT(ISNUMBER(K150))),"集合承認不足",IF(OR(AND(K150&lt;&gt;"",OR(NOT(ISNUMBER(K150)),IFERROR(K150&lt;1,TRUE),IFERROR(INT(K150)&gt;INT(AsOfDate),TRUE)))),"集合承認日不正",IF(COUNTIF(EvalPlanKeys,D150)&lt;&gt;1,"PlanKey不正",IF(C150&lt;&gt;IF(COUNTIF('15_評価計画・品質ゲート'!$V$4:$V$103,D150)&lt;&gt;1,"参照ID不正",IF(INDEX('15_評価計画・品質ゲート'!$U$4:$U$103,MATCH(D150,'15_評価計画・品質ゲート'!$V$4:$V$103,0))="","",INDEX('15_評価計画・品質ゲート'!$U$4:$U$103,MATCH(D150,'15_評価計画・品質ゲート'!$V$4:$V$103,0)))),"計画Manifest不一致",IF(F150="対象外",IF(H150="","対象外理由不足","対象外承認"),IF(F150&lt;&gt;"必須","適用未判定",IF(OR(G150="",COUNTIF('16_評価実績インデックス'!$A$4:$A$103,G150)&lt;&gt;1),"評価Run不足・不正",IF(OR(C150&lt;&gt;IF(COUNTIF('16_評価実績インデックス'!$A$4:$A$103,G150)&lt;&gt;1,"参照ID不正",IF(INDEX('16_評価実績インデックス'!$T$4:$T$103,MATCH(G150,'16_評価実績インデックス'!$A$4:$A$103,0))="","",INDEX('16_評価実績インデックス'!$T$4:$T$103,MATCH(G150,'16_評価実績インデックス'!$A$4:$A$103,0)))),D150&lt;&gt;IF(COUNTIF('16_評価実績インデックス'!$A$4:$A$103,G150)&lt;&gt;1,"参照ID不正",IF(INDEX('16_評価実績インデックス'!$B$4:$B$103,MATCH(G150,'16_評価実績インデックス'!$A$4:$A$103,0))="","",INDEX('16_評価実績インデックス'!$B$4:$B$103,MATCH(G150,'16_評価実績インデックス'!$A$4:$A$103,0)))),B150&lt;&gt;IF(COUNTIF('16_評価実績インデックス'!$A$4:$A$103,G150)&lt;&gt;1,"参照ID不正",IF(INDEX('16_評価実績インデックス'!$C$4:$C$103,MATCH(G150,'16_評価実績インデックス'!$A$4:$A$103,0))="","",INDEX('16_評価実績インデックス'!$C$4:$C$103,MATCH(G150,'16_評価実績インデックス'!$A$4:$A$103,0))))),"評価対象不一致",IF(IF(COUNTIF('16_評価実績インデックス'!$A$4:$A$103,G150)&lt;&gt;1,"参照ID不正",IF(INDEX('16_評価実績インデックス'!$S$4:$S$103,MATCH(G150,'16_評価実績インデックス'!$A$4:$A$103,0))="","",INDEX('16_評価実績インデックス'!$S$4:$S$103,MATCH(G150,'16_評価実績インデックス'!$A$4:$A$103,0))))&lt;&gt;"記録あり・内容審査別","評価記録未充足",IF(L150&lt;&gt;"合格","必要評価不合格・未確定","評価充足"))))))))))))</f>
        <v/>
      </c>
      <c r="N150" s="28">
        <f t="shared" si="4"/>
        <v>0</v>
      </c>
      <c r="O150" s="29"/>
      <c r="P150" s="29"/>
    </row>
    <row r="151" spans="1:16" ht="64" customHeight="1" x14ac:dyDescent="0.2">
      <c r="A151" s="29"/>
      <c r="B151" s="29"/>
      <c r="C151" s="29"/>
      <c r="D151" s="29"/>
      <c r="E151" s="28" t="str">
        <f>IF(A151="","",IF(COUNTIF('15_評価計画・品質ゲート'!$V$4:$V$103,D151)&lt;&gt;1,"参照ID不正",IF(INDEX('15_評価計画・品質ゲート'!$A$4:$A$103,MATCH(D151,'15_評価計画・品質ゲート'!$V$4:$V$103,0))="","",INDEX('15_評価計画・品質ゲート'!$A$4:$A$103,MATCH(D151,'15_評価計画・品質ゲート'!$V$4:$V$103,0)))))</f>
        <v/>
      </c>
      <c r="F151" s="29"/>
      <c r="G151" s="29"/>
      <c r="H151" s="29"/>
      <c r="I151" s="29"/>
      <c r="J151" s="29"/>
      <c r="K151" s="29"/>
      <c r="L151" s="28" t="str">
        <f>IF(OR(A151="",G151=""),"",IF(COUNTIF('16_評価実績インデックス'!$A$4:$A$103,G151)&lt;&gt;1,"参照ID不正",IF(INDEX('16_評価実績インデックス'!$O$4:$O$103,MATCH(G151,'16_評価実績インデックス'!$A$4:$A$103,0))="","",INDEX('16_評価実績インデックス'!$O$4:$O$103,MATCH(G151,'16_評価実績インデックス'!$A$4:$A$103,0)))))</f>
        <v/>
      </c>
      <c r="M151" s="28" t="str">
        <f>IF(A151="","",IF(OR(COUNTIF($A$4:$A$153,A151)&lt;&gt;1,COUNTIFS($B$4:$B$153,B151,$C$4:$C$153,C151,$D$4:$D$153,D151)&lt;&gt;1),"集合ID・計画重複",IF(OR(OR(B151="",C151="",D151="",I151="",J151="",O151=""),NOT(ISNUMBER(K151))),"集合承認不足",IF(OR(AND(K151&lt;&gt;"",OR(NOT(ISNUMBER(K151)),IFERROR(K151&lt;1,TRUE),IFERROR(INT(K151)&gt;INT(AsOfDate),TRUE)))),"集合承認日不正",IF(COUNTIF(EvalPlanKeys,D151)&lt;&gt;1,"PlanKey不正",IF(C151&lt;&gt;IF(COUNTIF('15_評価計画・品質ゲート'!$V$4:$V$103,D151)&lt;&gt;1,"参照ID不正",IF(INDEX('15_評価計画・品質ゲート'!$U$4:$U$103,MATCH(D151,'15_評価計画・品質ゲート'!$V$4:$V$103,0))="","",INDEX('15_評価計画・品質ゲート'!$U$4:$U$103,MATCH(D151,'15_評価計画・品質ゲート'!$V$4:$V$103,0)))),"計画Manifest不一致",IF(F151="対象外",IF(H151="","対象外理由不足","対象外承認"),IF(F151&lt;&gt;"必須","適用未判定",IF(OR(G151="",COUNTIF('16_評価実績インデックス'!$A$4:$A$103,G151)&lt;&gt;1),"評価Run不足・不正",IF(OR(C151&lt;&gt;IF(COUNTIF('16_評価実績インデックス'!$A$4:$A$103,G151)&lt;&gt;1,"参照ID不正",IF(INDEX('16_評価実績インデックス'!$T$4:$T$103,MATCH(G151,'16_評価実績インデックス'!$A$4:$A$103,0))="","",INDEX('16_評価実績インデックス'!$T$4:$T$103,MATCH(G151,'16_評価実績インデックス'!$A$4:$A$103,0)))),D151&lt;&gt;IF(COUNTIF('16_評価実績インデックス'!$A$4:$A$103,G151)&lt;&gt;1,"参照ID不正",IF(INDEX('16_評価実績インデックス'!$B$4:$B$103,MATCH(G151,'16_評価実績インデックス'!$A$4:$A$103,0))="","",INDEX('16_評価実績インデックス'!$B$4:$B$103,MATCH(G151,'16_評価実績インデックス'!$A$4:$A$103,0)))),B151&lt;&gt;IF(COUNTIF('16_評価実績インデックス'!$A$4:$A$103,G151)&lt;&gt;1,"参照ID不正",IF(INDEX('16_評価実績インデックス'!$C$4:$C$103,MATCH(G151,'16_評価実績インデックス'!$A$4:$A$103,0))="","",INDEX('16_評価実績インデックス'!$C$4:$C$103,MATCH(G151,'16_評価実績インデックス'!$A$4:$A$103,0))))),"評価対象不一致",IF(IF(COUNTIF('16_評価実績インデックス'!$A$4:$A$103,G151)&lt;&gt;1,"参照ID不正",IF(INDEX('16_評価実績インデックス'!$S$4:$S$103,MATCH(G151,'16_評価実績インデックス'!$A$4:$A$103,0))="","",INDEX('16_評価実績インデックス'!$S$4:$S$103,MATCH(G151,'16_評価実績インデックス'!$A$4:$A$103,0))))&lt;&gt;"記録あり・内容審査別","評価記録未充足",IF(L151&lt;&gt;"合格","必要評価不合格・未確定","評価充足"))))))))))))</f>
        <v/>
      </c>
      <c r="N151" s="28">
        <f t="shared" si="4"/>
        <v>0</v>
      </c>
      <c r="O151" s="29"/>
      <c r="P151" s="29"/>
    </row>
    <row r="152" spans="1:16" ht="64" customHeight="1" x14ac:dyDescent="0.2">
      <c r="A152" s="29"/>
      <c r="B152" s="29"/>
      <c r="C152" s="29"/>
      <c r="D152" s="29"/>
      <c r="E152" s="28" t="str">
        <f>IF(A152="","",IF(COUNTIF('15_評価計画・品質ゲート'!$V$4:$V$103,D152)&lt;&gt;1,"参照ID不正",IF(INDEX('15_評価計画・品質ゲート'!$A$4:$A$103,MATCH(D152,'15_評価計画・品質ゲート'!$V$4:$V$103,0))="","",INDEX('15_評価計画・品質ゲート'!$A$4:$A$103,MATCH(D152,'15_評価計画・品質ゲート'!$V$4:$V$103,0)))))</f>
        <v/>
      </c>
      <c r="F152" s="29"/>
      <c r="G152" s="29"/>
      <c r="H152" s="29"/>
      <c r="I152" s="29"/>
      <c r="J152" s="29"/>
      <c r="K152" s="29"/>
      <c r="L152" s="28" t="str">
        <f>IF(OR(A152="",G152=""),"",IF(COUNTIF('16_評価実績インデックス'!$A$4:$A$103,G152)&lt;&gt;1,"参照ID不正",IF(INDEX('16_評価実績インデックス'!$O$4:$O$103,MATCH(G152,'16_評価実績インデックス'!$A$4:$A$103,0))="","",INDEX('16_評価実績インデックス'!$O$4:$O$103,MATCH(G152,'16_評価実績インデックス'!$A$4:$A$103,0)))))</f>
        <v/>
      </c>
      <c r="M152" s="28" t="str">
        <f>IF(A152="","",IF(OR(COUNTIF($A$4:$A$153,A152)&lt;&gt;1,COUNTIFS($B$4:$B$153,B152,$C$4:$C$153,C152,$D$4:$D$153,D152)&lt;&gt;1),"集合ID・計画重複",IF(OR(OR(B152="",C152="",D152="",I152="",J152="",O152=""),NOT(ISNUMBER(K152))),"集合承認不足",IF(OR(AND(K152&lt;&gt;"",OR(NOT(ISNUMBER(K152)),IFERROR(K152&lt;1,TRUE),IFERROR(INT(K152)&gt;INT(AsOfDate),TRUE)))),"集合承認日不正",IF(COUNTIF(EvalPlanKeys,D152)&lt;&gt;1,"PlanKey不正",IF(C152&lt;&gt;IF(COUNTIF('15_評価計画・品質ゲート'!$V$4:$V$103,D152)&lt;&gt;1,"参照ID不正",IF(INDEX('15_評価計画・品質ゲート'!$U$4:$U$103,MATCH(D152,'15_評価計画・品質ゲート'!$V$4:$V$103,0))="","",INDEX('15_評価計画・品質ゲート'!$U$4:$U$103,MATCH(D152,'15_評価計画・品質ゲート'!$V$4:$V$103,0)))),"計画Manifest不一致",IF(F152="対象外",IF(H152="","対象外理由不足","対象外承認"),IF(F152&lt;&gt;"必須","適用未判定",IF(OR(G152="",COUNTIF('16_評価実績インデックス'!$A$4:$A$103,G152)&lt;&gt;1),"評価Run不足・不正",IF(OR(C152&lt;&gt;IF(COUNTIF('16_評価実績インデックス'!$A$4:$A$103,G152)&lt;&gt;1,"参照ID不正",IF(INDEX('16_評価実績インデックス'!$T$4:$T$103,MATCH(G152,'16_評価実績インデックス'!$A$4:$A$103,0))="","",INDEX('16_評価実績インデックス'!$T$4:$T$103,MATCH(G152,'16_評価実績インデックス'!$A$4:$A$103,0)))),D152&lt;&gt;IF(COUNTIF('16_評価実績インデックス'!$A$4:$A$103,G152)&lt;&gt;1,"参照ID不正",IF(INDEX('16_評価実績インデックス'!$B$4:$B$103,MATCH(G152,'16_評価実績インデックス'!$A$4:$A$103,0))="","",INDEX('16_評価実績インデックス'!$B$4:$B$103,MATCH(G152,'16_評価実績インデックス'!$A$4:$A$103,0)))),B152&lt;&gt;IF(COUNTIF('16_評価実績インデックス'!$A$4:$A$103,G152)&lt;&gt;1,"参照ID不正",IF(INDEX('16_評価実績インデックス'!$C$4:$C$103,MATCH(G152,'16_評価実績インデックス'!$A$4:$A$103,0))="","",INDEX('16_評価実績インデックス'!$C$4:$C$103,MATCH(G152,'16_評価実績インデックス'!$A$4:$A$103,0))))),"評価対象不一致",IF(IF(COUNTIF('16_評価実績インデックス'!$A$4:$A$103,G152)&lt;&gt;1,"参照ID不正",IF(INDEX('16_評価実績インデックス'!$S$4:$S$103,MATCH(G152,'16_評価実績インデックス'!$A$4:$A$103,0))="","",INDEX('16_評価実績インデックス'!$S$4:$S$103,MATCH(G152,'16_評価実績インデックス'!$A$4:$A$103,0))))&lt;&gt;"記録あり・内容審査別","評価記録未充足",IF(L152&lt;&gt;"合格","必要評価不合格・未確定","評価充足"))))))))))))</f>
        <v/>
      </c>
      <c r="N152" s="28">
        <f t="shared" si="4"/>
        <v>0</v>
      </c>
      <c r="O152" s="29"/>
      <c r="P152" s="29"/>
    </row>
    <row r="153" spans="1:16" ht="64" customHeight="1" x14ac:dyDescent="0.2">
      <c r="A153" s="29"/>
      <c r="B153" s="29"/>
      <c r="C153" s="29"/>
      <c r="D153" s="29"/>
      <c r="E153" s="28" t="str">
        <f>IF(A153="","",IF(COUNTIF('15_評価計画・品質ゲート'!$V$4:$V$103,D153)&lt;&gt;1,"参照ID不正",IF(INDEX('15_評価計画・品質ゲート'!$A$4:$A$103,MATCH(D153,'15_評価計画・品質ゲート'!$V$4:$V$103,0))="","",INDEX('15_評価計画・品質ゲート'!$A$4:$A$103,MATCH(D153,'15_評価計画・品質ゲート'!$V$4:$V$103,0)))))</f>
        <v/>
      </c>
      <c r="F153" s="29"/>
      <c r="G153" s="29"/>
      <c r="H153" s="29"/>
      <c r="I153" s="29"/>
      <c r="J153" s="29"/>
      <c r="K153" s="29"/>
      <c r="L153" s="28" t="str">
        <f>IF(OR(A153="",G153=""),"",IF(COUNTIF('16_評価実績インデックス'!$A$4:$A$103,G153)&lt;&gt;1,"参照ID不正",IF(INDEX('16_評価実績インデックス'!$O$4:$O$103,MATCH(G153,'16_評価実績インデックス'!$A$4:$A$103,0))="","",INDEX('16_評価実績インデックス'!$O$4:$O$103,MATCH(G153,'16_評価実績インデックス'!$A$4:$A$103,0)))))</f>
        <v/>
      </c>
      <c r="M153" s="28" t="str">
        <f>IF(A153="","",IF(OR(COUNTIF($A$4:$A$153,A153)&lt;&gt;1,COUNTIFS($B$4:$B$153,B153,$C$4:$C$153,C153,$D$4:$D$153,D153)&lt;&gt;1),"集合ID・計画重複",IF(OR(OR(B153="",C153="",D153="",I153="",J153="",O153=""),NOT(ISNUMBER(K153))),"集合承認不足",IF(OR(AND(K153&lt;&gt;"",OR(NOT(ISNUMBER(K153)),IFERROR(K153&lt;1,TRUE),IFERROR(INT(K153)&gt;INT(AsOfDate),TRUE)))),"集合承認日不正",IF(COUNTIF(EvalPlanKeys,D153)&lt;&gt;1,"PlanKey不正",IF(C153&lt;&gt;IF(COUNTIF('15_評価計画・品質ゲート'!$V$4:$V$103,D153)&lt;&gt;1,"参照ID不正",IF(INDEX('15_評価計画・品質ゲート'!$U$4:$U$103,MATCH(D153,'15_評価計画・品質ゲート'!$V$4:$V$103,0))="","",INDEX('15_評価計画・品質ゲート'!$U$4:$U$103,MATCH(D153,'15_評価計画・品質ゲート'!$V$4:$V$103,0)))),"計画Manifest不一致",IF(F153="対象外",IF(H153="","対象外理由不足","対象外承認"),IF(F153&lt;&gt;"必須","適用未判定",IF(OR(G153="",COUNTIF('16_評価実績インデックス'!$A$4:$A$103,G153)&lt;&gt;1),"評価Run不足・不正",IF(OR(C153&lt;&gt;IF(COUNTIF('16_評価実績インデックス'!$A$4:$A$103,G153)&lt;&gt;1,"参照ID不正",IF(INDEX('16_評価実績インデックス'!$T$4:$T$103,MATCH(G153,'16_評価実績インデックス'!$A$4:$A$103,0))="","",INDEX('16_評価実績インデックス'!$T$4:$T$103,MATCH(G153,'16_評価実績インデックス'!$A$4:$A$103,0)))),D153&lt;&gt;IF(COUNTIF('16_評価実績インデックス'!$A$4:$A$103,G153)&lt;&gt;1,"参照ID不正",IF(INDEX('16_評価実績インデックス'!$B$4:$B$103,MATCH(G153,'16_評価実績インデックス'!$A$4:$A$103,0))="","",INDEX('16_評価実績インデックス'!$B$4:$B$103,MATCH(G153,'16_評価実績インデックス'!$A$4:$A$103,0)))),B153&lt;&gt;IF(COUNTIF('16_評価実績インデックス'!$A$4:$A$103,G153)&lt;&gt;1,"参照ID不正",IF(INDEX('16_評価実績インデックス'!$C$4:$C$103,MATCH(G153,'16_評価実績インデックス'!$A$4:$A$103,0))="","",INDEX('16_評価実績インデックス'!$C$4:$C$103,MATCH(G153,'16_評価実績インデックス'!$A$4:$A$103,0))))),"評価対象不一致",IF(IF(COUNTIF('16_評価実績インデックス'!$A$4:$A$103,G153)&lt;&gt;1,"参照ID不正",IF(INDEX('16_評価実績インデックス'!$S$4:$S$103,MATCH(G153,'16_評価実績インデックス'!$A$4:$A$103,0))="","",INDEX('16_評価実績インデックス'!$S$4:$S$103,MATCH(G153,'16_評価実績インデックス'!$A$4:$A$103,0))))&lt;&gt;"記録あり・内容審査別","評価記録未充足",IF(L153&lt;&gt;"合格","必要評価不合格・未確定","評価充足"))))))))))))</f>
        <v/>
      </c>
      <c r="N153" s="28">
        <f t="shared" si="4"/>
        <v>0</v>
      </c>
      <c r="O153" s="29"/>
      <c r="P153" s="29"/>
    </row>
  </sheetData>
  <autoFilter ref="A3:P153" xr:uid="{00000000-0009-0000-0000-00001E000000}"/>
  <mergeCells count="2">
    <mergeCell ref="A2:I2"/>
    <mergeCell ref="A1:G1"/>
  </mergeCells>
  <phoneticPr fontId="12"/>
  <conditionalFormatting sqref="M4:M153">
    <cfRule type="expression" dxfId="3" priority="1">
      <formula>OR(ISNUMBER(SEARCH("不正",M4)),ISNUMBER(SEARCH("不足",M4)),ISNUMBER(SEARCH("超過",M4)),ISNUMBER(SEARCH("不一致",M4)),ISNUMBER(SEARCH("失効",M4)),ISNUMBER(SEARCH("矛盾",M4)))</formula>
    </cfRule>
  </conditionalFormatting>
  <dataValidations count="2">
    <dataValidation type="list" allowBlank="1" showErrorMessage="1" errorTitle="入力値を確認" error="候補・値域を確認してください。貼付や外部取込後も点検が必要です。" sqref="F4:F153" xr:uid="{00000000-0002-0000-1E00-000000000000}">
      <formula1>"未判定,必須,対象外"</formula1>
    </dataValidation>
    <dataValidation type="list" allowBlank="1" showErrorMessage="1" errorTitle="入力値を確認" error="候補・値域を確認してください。貼付や外部取込後も点検が必要です。" sqref="D4:D153" xr:uid="{00000000-0002-0000-1E00-000001000000}">
      <formula1>EvalPlanKeys</formula1>
    </dataValidation>
  </dataValidations>
  <pageMargins left="0.75" right="0.75" top="1" bottom="1" header="0.5" footer="0.5"/>
  <pageSetup paperSize="8" fitToHeight="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4B5E"/>
    <outlinePr summaryRight="0"/>
    <pageSetUpPr fitToPage="1"/>
  </sheetPr>
  <dimension ref="A1:R83"/>
  <sheetViews>
    <sheetView showGridLines="0" zoomScale="80" workbookViewId="0">
      <pane xSplit="3" ySplit="3" topLeftCell="D4" activePane="bottomRight" state="frozen"/>
      <selection pane="topRight"/>
      <selection pane="bottomLeft"/>
      <selection pane="bottomRight"/>
    </sheetView>
  </sheetViews>
  <sheetFormatPr defaultRowHeight="13" x14ac:dyDescent="0.2"/>
  <cols>
    <col min="1" max="4" width="23" customWidth="1"/>
    <col min="5" max="5" width="42" customWidth="1"/>
    <col min="6" max="13" width="23" customWidth="1"/>
    <col min="14" max="14" width="35" customWidth="1"/>
    <col min="15" max="15" width="36" customWidth="1"/>
    <col min="16" max="16" width="23" customWidth="1"/>
    <col min="17" max="17" width="34" customWidth="1"/>
    <col min="18" max="18" width="23" customWidth="1"/>
  </cols>
  <sheetData>
    <row r="1" spans="1:18" ht="36" customHeight="1" x14ac:dyDescent="0.55000000000000004">
      <c r="A1" s="44" t="s">
        <v>4906</v>
      </c>
      <c r="B1" s="45"/>
      <c r="C1" s="45"/>
      <c r="D1" s="45"/>
      <c r="E1" s="45"/>
      <c r="F1" s="45"/>
      <c r="G1" s="45"/>
    </row>
    <row r="2" spans="1:18" ht="42" customHeight="1" x14ac:dyDescent="0.2">
      <c r="A2" s="47" t="s">
        <v>4907</v>
      </c>
      <c r="B2" s="45"/>
      <c r="C2" s="45"/>
      <c r="D2" s="45"/>
      <c r="E2" s="45"/>
      <c r="F2" s="45"/>
      <c r="G2" s="45"/>
      <c r="H2" s="45"/>
      <c r="I2" s="45"/>
    </row>
    <row r="3" spans="1:18" ht="42" customHeight="1" x14ac:dyDescent="0.2">
      <c r="A3" s="1" t="s">
        <v>4908</v>
      </c>
      <c r="B3" s="1" t="s">
        <v>3797</v>
      </c>
      <c r="C3" s="1" t="s">
        <v>4881</v>
      </c>
      <c r="D3" s="1" t="s">
        <v>3695</v>
      </c>
      <c r="E3" s="1" t="s">
        <v>4876</v>
      </c>
      <c r="F3" s="1" t="s">
        <v>4909</v>
      </c>
      <c r="G3" s="1" t="s">
        <v>4177</v>
      </c>
      <c r="H3" s="1" t="s">
        <v>4910</v>
      </c>
      <c r="I3" s="1" t="s">
        <v>3111</v>
      </c>
      <c r="J3" s="1" t="s">
        <v>4911</v>
      </c>
      <c r="K3" s="1" t="s">
        <v>4912</v>
      </c>
      <c r="L3" s="1" t="s">
        <v>4913</v>
      </c>
      <c r="M3" s="1" t="s">
        <v>3422</v>
      </c>
      <c r="N3" s="1" t="s">
        <v>4914</v>
      </c>
      <c r="O3" s="1" t="s">
        <v>4915</v>
      </c>
      <c r="P3" s="1" t="s">
        <v>3508</v>
      </c>
      <c r="Q3" s="1" t="s">
        <v>4889</v>
      </c>
      <c r="R3" s="1" t="s">
        <v>4916</v>
      </c>
    </row>
    <row r="4" spans="1:18" ht="64" customHeight="1" x14ac:dyDescent="0.2">
      <c r="A4" s="29"/>
      <c r="B4" s="29"/>
      <c r="C4" s="29"/>
      <c r="D4" s="29"/>
      <c r="E4" s="29"/>
      <c r="F4" s="29"/>
      <c r="G4" s="32"/>
      <c r="H4" s="29"/>
      <c r="I4" s="29"/>
      <c r="J4" s="29"/>
      <c r="K4" s="32"/>
      <c r="L4" s="29"/>
      <c r="M4" s="32"/>
      <c r="N4" s="29"/>
      <c r="O4" s="29"/>
      <c r="P4" s="29"/>
      <c r="Q4" s="28" t="str">
        <f>IF(A4="","",IF(COUNTIF($A$4:$A$83,A4)&lt;&gt;1,"Condition ID重複",IF(OR(OR(B4="",E4="",F4="",H4="",I4="",N4=""),NOT(ISNUMBER(G4))),"条件定義不足",IF(COUNTIF('29_ゲート承認記録'!$F$4:$F$83,B4)&lt;&gt;1,"GateRun不正",IF(OR(C4&lt;&gt;IF(COUNTIF('29_ゲート承認記録'!$F$4:$F$83,B4)&lt;&gt;1,"参照ID不正",IF(INDEX('29_ゲート承認記録'!$T$4:$T$83,MATCH(B4,'29_ゲート承認記録'!$F$4:$F$83,0))="","",INDEX('29_ゲート承認記録'!$T$4:$T$83,MATCH(B4,'29_ゲート承認記録'!$F$4:$F$83,0)))),P4&lt;&gt;IF(COUNTIF('29_ゲート承認記録'!$F$4:$F$83,B4)&lt;&gt;1,"参照ID不正",IF(INDEX('29_ゲート承認記録'!$U$4:$U$83,MATCH(B4,'29_ゲート承認記録'!$F$4:$F$83,0))="","",INDEX('29_ゲート承認記録'!$U$4:$U$83,MATCH(B4,'29_ゲート承認記録'!$F$4:$F$83,0))))),"条件対象不一致",IF(OR(H4="法的禁止",H4="重大未対策"),"条件化不可・停止",IF(I4="解消",IF(OR(J4="",L4="",L4=F4,COUNT(K4,M4)&lt;2),"解消確認不足",IF(OR(OR(AND(K4&lt;&gt;"",OR(NOT(ISNUMBER(K4)),IFERROR(K4&lt;1,TRUE),IFERROR(INT(K4)&gt;INT(AsOfDate),TRUE))),AND(M4&lt;&gt;"",OR(NOT(ISNUMBER(M4)),IFERROR(M4&lt;1,TRUE),IFERROR(INT(M4)&gt;INT(AsOfDate),TRUE)))),M4&lt;K4),"解消日時不正",IF(K4&gt;G4,"期限後解消・再承認要","解消確認済"))),IF(OR(I4="失効",I4="取消",G4&lt;AsOfDate),"失効・停止再審査",IF(AND(I4&lt;&gt;"未解消",I4&lt;&gt;"対応中"),"条件状態不正","期限内・制約継続")))))))))</f>
        <v/>
      </c>
      <c r="R4" s="32"/>
    </row>
    <row r="5" spans="1:18" ht="64" customHeight="1" x14ac:dyDescent="0.2">
      <c r="A5" s="29"/>
      <c r="B5" s="29"/>
      <c r="C5" s="29"/>
      <c r="D5" s="29"/>
      <c r="E5" s="29"/>
      <c r="F5" s="29"/>
      <c r="G5" s="32"/>
      <c r="H5" s="29"/>
      <c r="I5" s="29"/>
      <c r="J5" s="29"/>
      <c r="K5" s="32"/>
      <c r="L5" s="29"/>
      <c r="M5" s="32"/>
      <c r="N5" s="29"/>
      <c r="O5" s="29"/>
      <c r="P5" s="29"/>
      <c r="Q5" s="28" t="str">
        <f>IF(A5="","",IF(COUNTIF($A$4:$A$83,A5)&lt;&gt;1,"Condition ID重複",IF(OR(OR(B5="",E5="",F5="",H5="",I5="",N5=""),NOT(ISNUMBER(G5))),"条件定義不足",IF(COUNTIF('29_ゲート承認記録'!$F$4:$F$83,B5)&lt;&gt;1,"GateRun不正",IF(OR(C5&lt;&gt;IF(COUNTIF('29_ゲート承認記録'!$F$4:$F$83,B5)&lt;&gt;1,"参照ID不正",IF(INDEX('29_ゲート承認記録'!$T$4:$T$83,MATCH(B5,'29_ゲート承認記録'!$F$4:$F$83,0))="","",INDEX('29_ゲート承認記録'!$T$4:$T$83,MATCH(B5,'29_ゲート承認記録'!$F$4:$F$83,0)))),P5&lt;&gt;IF(COUNTIF('29_ゲート承認記録'!$F$4:$F$83,B5)&lt;&gt;1,"参照ID不正",IF(INDEX('29_ゲート承認記録'!$U$4:$U$83,MATCH(B5,'29_ゲート承認記録'!$F$4:$F$83,0))="","",INDEX('29_ゲート承認記録'!$U$4:$U$83,MATCH(B5,'29_ゲート承認記録'!$F$4:$F$83,0))))),"条件対象不一致",IF(OR(H5="法的禁止",H5="重大未対策"),"条件化不可・停止",IF(I5="解消",IF(OR(J5="",L5="",L5=F5,COUNT(K5,M5)&lt;2),"解消確認不足",IF(OR(OR(AND(K5&lt;&gt;"",OR(NOT(ISNUMBER(K5)),IFERROR(K5&lt;1,TRUE),IFERROR(INT(K5)&gt;INT(AsOfDate),TRUE))),AND(M5&lt;&gt;"",OR(NOT(ISNUMBER(M5)),IFERROR(M5&lt;1,TRUE),IFERROR(INT(M5)&gt;INT(AsOfDate),TRUE)))),M5&lt;K5),"解消日時不正",IF(K5&gt;G5,"期限後解消・再承認要","解消確認済"))),IF(OR(I5="失効",I5="取消",G5&lt;AsOfDate),"失効・停止再審査",IF(AND(I5&lt;&gt;"未解消",I5&lt;&gt;"対応中"),"条件状態不正","期限内・制約継続")))))))))</f>
        <v/>
      </c>
      <c r="R5" s="32"/>
    </row>
    <row r="6" spans="1:18" ht="64" customHeight="1" x14ac:dyDescent="0.2">
      <c r="A6" s="29"/>
      <c r="B6" s="29"/>
      <c r="C6" s="29"/>
      <c r="D6" s="29"/>
      <c r="E6" s="29"/>
      <c r="F6" s="29"/>
      <c r="G6" s="32"/>
      <c r="H6" s="29"/>
      <c r="I6" s="29"/>
      <c r="J6" s="29"/>
      <c r="K6" s="32"/>
      <c r="L6" s="29"/>
      <c r="M6" s="32"/>
      <c r="N6" s="29"/>
      <c r="O6" s="29"/>
      <c r="P6" s="29"/>
      <c r="Q6" s="28" t="str">
        <f>IF(A6="","",IF(COUNTIF($A$4:$A$83,A6)&lt;&gt;1,"Condition ID重複",IF(OR(OR(B6="",E6="",F6="",H6="",I6="",N6=""),NOT(ISNUMBER(G6))),"条件定義不足",IF(COUNTIF('29_ゲート承認記録'!$F$4:$F$83,B6)&lt;&gt;1,"GateRun不正",IF(OR(C6&lt;&gt;IF(COUNTIF('29_ゲート承認記録'!$F$4:$F$83,B6)&lt;&gt;1,"参照ID不正",IF(INDEX('29_ゲート承認記録'!$T$4:$T$83,MATCH(B6,'29_ゲート承認記録'!$F$4:$F$83,0))="","",INDEX('29_ゲート承認記録'!$T$4:$T$83,MATCH(B6,'29_ゲート承認記録'!$F$4:$F$83,0)))),P6&lt;&gt;IF(COUNTIF('29_ゲート承認記録'!$F$4:$F$83,B6)&lt;&gt;1,"参照ID不正",IF(INDEX('29_ゲート承認記録'!$U$4:$U$83,MATCH(B6,'29_ゲート承認記録'!$F$4:$F$83,0))="","",INDEX('29_ゲート承認記録'!$U$4:$U$83,MATCH(B6,'29_ゲート承認記録'!$F$4:$F$83,0))))),"条件対象不一致",IF(OR(H6="法的禁止",H6="重大未対策"),"条件化不可・停止",IF(I6="解消",IF(OR(J6="",L6="",L6=F6,COUNT(K6,M6)&lt;2),"解消確認不足",IF(OR(OR(AND(K6&lt;&gt;"",OR(NOT(ISNUMBER(K6)),IFERROR(K6&lt;1,TRUE),IFERROR(INT(K6)&gt;INT(AsOfDate),TRUE))),AND(M6&lt;&gt;"",OR(NOT(ISNUMBER(M6)),IFERROR(M6&lt;1,TRUE),IFERROR(INT(M6)&gt;INT(AsOfDate),TRUE)))),M6&lt;K6),"解消日時不正",IF(K6&gt;G6,"期限後解消・再承認要","解消確認済"))),IF(OR(I6="失効",I6="取消",G6&lt;AsOfDate),"失効・停止再審査",IF(AND(I6&lt;&gt;"未解消",I6&lt;&gt;"対応中"),"条件状態不正","期限内・制約継続")))))))))</f>
        <v/>
      </c>
      <c r="R6" s="32"/>
    </row>
    <row r="7" spans="1:18" ht="64" customHeight="1" x14ac:dyDescent="0.2">
      <c r="A7" s="29"/>
      <c r="B7" s="29"/>
      <c r="C7" s="29"/>
      <c r="D7" s="29"/>
      <c r="E7" s="29"/>
      <c r="F7" s="29"/>
      <c r="G7" s="32"/>
      <c r="H7" s="29"/>
      <c r="I7" s="29"/>
      <c r="J7" s="29"/>
      <c r="K7" s="32"/>
      <c r="L7" s="29"/>
      <c r="M7" s="32"/>
      <c r="N7" s="29"/>
      <c r="O7" s="29"/>
      <c r="P7" s="29"/>
      <c r="Q7" s="28" t="str">
        <f>IF(A7="","",IF(COUNTIF($A$4:$A$83,A7)&lt;&gt;1,"Condition ID重複",IF(OR(OR(B7="",E7="",F7="",H7="",I7="",N7=""),NOT(ISNUMBER(G7))),"条件定義不足",IF(COUNTIF('29_ゲート承認記録'!$F$4:$F$83,B7)&lt;&gt;1,"GateRun不正",IF(OR(C7&lt;&gt;IF(COUNTIF('29_ゲート承認記録'!$F$4:$F$83,B7)&lt;&gt;1,"参照ID不正",IF(INDEX('29_ゲート承認記録'!$T$4:$T$83,MATCH(B7,'29_ゲート承認記録'!$F$4:$F$83,0))="","",INDEX('29_ゲート承認記録'!$T$4:$T$83,MATCH(B7,'29_ゲート承認記録'!$F$4:$F$83,0)))),P7&lt;&gt;IF(COUNTIF('29_ゲート承認記録'!$F$4:$F$83,B7)&lt;&gt;1,"参照ID不正",IF(INDEX('29_ゲート承認記録'!$U$4:$U$83,MATCH(B7,'29_ゲート承認記録'!$F$4:$F$83,0))="","",INDEX('29_ゲート承認記録'!$U$4:$U$83,MATCH(B7,'29_ゲート承認記録'!$F$4:$F$83,0))))),"条件対象不一致",IF(OR(H7="法的禁止",H7="重大未対策"),"条件化不可・停止",IF(I7="解消",IF(OR(J7="",L7="",L7=F7,COUNT(K7,M7)&lt;2),"解消確認不足",IF(OR(OR(AND(K7&lt;&gt;"",OR(NOT(ISNUMBER(K7)),IFERROR(K7&lt;1,TRUE),IFERROR(INT(K7)&gt;INT(AsOfDate),TRUE))),AND(M7&lt;&gt;"",OR(NOT(ISNUMBER(M7)),IFERROR(M7&lt;1,TRUE),IFERROR(INT(M7)&gt;INT(AsOfDate),TRUE)))),M7&lt;K7),"解消日時不正",IF(K7&gt;G7,"期限後解消・再承認要","解消確認済"))),IF(OR(I7="失効",I7="取消",G7&lt;AsOfDate),"失効・停止再審査",IF(AND(I7&lt;&gt;"未解消",I7&lt;&gt;"対応中"),"条件状態不正","期限内・制約継続")))))))))</f>
        <v/>
      </c>
      <c r="R7" s="32"/>
    </row>
    <row r="8" spans="1:18" ht="64" customHeight="1" x14ac:dyDescent="0.2">
      <c r="A8" s="29"/>
      <c r="B8" s="29"/>
      <c r="C8" s="29"/>
      <c r="D8" s="29"/>
      <c r="E8" s="29"/>
      <c r="F8" s="29"/>
      <c r="G8" s="32"/>
      <c r="H8" s="29"/>
      <c r="I8" s="29"/>
      <c r="J8" s="29"/>
      <c r="K8" s="32"/>
      <c r="L8" s="29"/>
      <c r="M8" s="32"/>
      <c r="N8" s="29"/>
      <c r="O8" s="29"/>
      <c r="P8" s="29"/>
      <c r="Q8" s="28" t="str">
        <f>IF(A8="","",IF(COUNTIF($A$4:$A$83,A8)&lt;&gt;1,"Condition ID重複",IF(OR(OR(B8="",E8="",F8="",H8="",I8="",N8=""),NOT(ISNUMBER(G8))),"条件定義不足",IF(COUNTIF('29_ゲート承認記録'!$F$4:$F$83,B8)&lt;&gt;1,"GateRun不正",IF(OR(C8&lt;&gt;IF(COUNTIF('29_ゲート承認記録'!$F$4:$F$83,B8)&lt;&gt;1,"参照ID不正",IF(INDEX('29_ゲート承認記録'!$T$4:$T$83,MATCH(B8,'29_ゲート承認記録'!$F$4:$F$83,0))="","",INDEX('29_ゲート承認記録'!$T$4:$T$83,MATCH(B8,'29_ゲート承認記録'!$F$4:$F$83,0)))),P8&lt;&gt;IF(COUNTIF('29_ゲート承認記録'!$F$4:$F$83,B8)&lt;&gt;1,"参照ID不正",IF(INDEX('29_ゲート承認記録'!$U$4:$U$83,MATCH(B8,'29_ゲート承認記録'!$F$4:$F$83,0))="","",INDEX('29_ゲート承認記録'!$U$4:$U$83,MATCH(B8,'29_ゲート承認記録'!$F$4:$F$83,0))))),"条件対象不一致",IF(OR(H8="法的禁止",H8="重大未対策"),"条件化不可・停止",IF(I8="解消",IF(OR(J8="",L8="",L8=F8,COUNT(K8,M8)&lt;2),"解消確認不足",IF(OR(OR(AND(K8&lt;&gt;"",OR(NOT(ISNUMBER(K8)),IFERROR(K8&lt;1,TRUE),IFERROR(INT(K8)&gt;INT(AsOfDate),TRUE))),AND(M8&lt;&gt;"",OR(NOT(ISNUMBER(M8)),IFERROR(M8&lt;1,TRUE),IFERROR(INT(M8)&gt;INT(AsOfDate),TRUE)))),M8&lt;K8),"解消日時不正",IF(K8&gt;G8,"期限後解消・再承認要","解消確認済"))),IF(OR(I8="失効",I8="取消",G8&lt;AsOfDate),"失効・停止再審査",IF(AND(I8&lt;&gt;"未解消",I8&lt;&gt;"対応中"),"条件状態不正","期限内・制約継続")))))))))</f>
        <v/>
      </c>
      <c r="R8" s="32"/>
    </row>
    <row r="9" spans="1:18" ht="64" customHeight="1" x14ac:dyDescent="0.2">
      <c r="A9" s="29"/>
      <c r="B9" s="29"/>
      <c r="C9" s="29"/>
      <c r="D9" s="29"/>
      <c r="E9" s="29"/>
      <c r="F9" s="29"/>
      <c r="G9" s="32"/>
      <c r="H9" s="29"/>
      <c r="I9" s="29"/>
      <c r="J9" s="29"/>
      <c r="K9" s="32"/>
      <c r="L9" s="29"/>
      <c r="M9" s="32"/>
      <c r="N9" s="29"/>
      <c r="O9" s="29"/>
      <c r="P9" s="29"/>
      <c r="Q9" s="28" t="str">
        <f>IF(A9="","",IF(COUNTIF($A$4:$A$83,A9)&lt;&gt;1,"Condition ID重複",IF(OR(OR(B9="",E9="",F9="",H9="",I9="",N9=""),NOT(ISNUMBER(G9))),"条件定義不足",IF(COUNTIF('29_ゲート承認記録'!$F$4:$F$83,B9)&lt;&gt;1,"GateRun不正",IF(OR(C9&lt;&gt;IF(COUNTIF('29_ゲート承認記録'!$F$4:$F$83,B9)&lt;&gt;1,"参照ID不正",IF(INDEX('29_ゲート承認記録'!$T$4:$T$83,MATCH(B9,'29_ゲート承認記録'!$F$4:$F$83,0))="","",INDEX('29_ゲート承認記録'!$T$4:$T$83,MATCH(B9,'29_ゲート承認記録'!$F$4:$F$83,0)))),P9&lt;&gt;IF(COUNTIF('29_ゲート承認記録'!$F$4:$F$83,B9)&lt;&gt;1,"参照ID不正",IF(INDEX('29_ゲート承認記録'!$U$4:$U$83,MATCH(B9,'29_ゲート承認記録'!$F$4:$F$83,0))="","",INDEX('29_ゲート承認記録'!$U$4:$U$83,MATCH(B9,'29_ゲート承認記録'!$F$4:$F$83,0))))),"条件対象不一致",IF(OR(H9="法的禁止",H9="重大未対策"),"条件化不可・停止",IF(I9="解消",IF(OR(J9="",L9="",L9=F9,COUNT(K9,M9)&lt;2),"解消確認不足",IF(OR(OR(AND(K9&lt;&gt;"",OR(NOT(ISNUMBER(K9)),IFERROR(K9&lt;1,TRUE),IFERROR(INT(K9)&gt;INT(AsOfDate),TRUE))),AND(M9&lt;&gt;"",OR(NOT(ISNUMBER(M9)),IFERROR(M9&lt;1,TRUE),IFERROR(INT(M9)&gt;INT(AsOfDate),TRUE)))),M9&lt;K9),"解消日時不正",IF(K9&gt;G9,"期限後解消・再承認要","解消確認済"))),IF(OR(I9="失効",I9="取消",G9&lt;AsOfDate),"失効・停止再審査",IF(AND(I9&lt;&gt;"未解消",I9&lt;&gt;"対応中"),"条件状態不正","期限内・制約継続")))))))))</f>
        <v/>
      </c>
      <c r="R9" s="32"/>
    </row>
    <row r="10" spans="1:18" ht="64" customHeight="1" x14ac:dyDescent="0.2">
      <c r="A10" s="29"/>
      <c r="B10" s="29"/>
      <c r="C10" s="29"/>
      <c r="D10" s="29"/>
      <c r="E10" s="29"/>
      <c r="F10" s="29"/>
      <c r="G10" s="32"/>
      <c r="H10" s="29"/>
      <c r="I10" s="29"/>
      <c r="J10" s="29"/>
      <c r="K10" s="32"/>
      <c r="L10" s="29"/>
      <c r="M10" s="32"/>
      <c r="N10" s="29"/>
      <c r="O10" s="29"/>
      <c r="P10" s="29"/>
      <c r="Q10" s="28" t="str">
        <f>IF(A10="","",IF(COUNTIF($A$4:$A$83,A10)&lt;&gt;1,"Condition ID重複",IF(OR(OR(B10="",E10="",F10="",H10="",I10="",N10=""),NOT(ISNUMBER(G10))),"条件定義不足",IF(COUNTIF('29_ゲート承認記録'!$F$4:$F$83,B10)&lt;&gt;1,"GateRun不正",IF(OR(C10&lt;&gt;IF(COUNTIF('29_ゲート承認記録'!$F$4:$F$83,B10)&lt;&gt;1,"参照ID不正",IF(INDEX('29_ゲート承認記録'!$T$4:$T$83,MATCH(B10,'29_ゲート承認記録'!$F$4:$F$83,0))="","",INDEX('29_ゲート承認記録'!$T$4:$T$83,MATCH(B10,'29_ゲート承認記録'!$F$4:$F$83,0)))),P10&lt;&gt;IF(COUNTIF('29_ゲート承認記録'!$F$4:$F$83,B10)&lt;&gt;1,"参照ID不正",IF(INDEX('29_ゲート承認記録'!$U$4:$U$83,MATCH(B10,'29_ゲート承認記録'!$F$4:$F$83,0))="","",INDEX('29_ゲート承認記録'!$U$4:$U$83,MATCH(B10,'29_ゲート承認記録'!$F$4:$F$83,0))))),"条件対象不一致",IF(OR(H10="法的禁止",H10="重大未対策"),"条件化不可・停止",IF(I10="解消",IF(OR(J10="",L10="",L10=F10,COUNT(K10,M10)&lt;2),"解消確認不足",IF(OR(OR(AND(K10&lt;&gt;"",OR(NOT(ISNUMBER(K10)),IFERROR(K10&lt;1,TRUE),IFERROR(INT(K10)&gt;INT(AsOfDate),TRUE))),AND(M10&lt;&gt;"",OR(NOT(ISNUMBER(M10)),IFERROR(M10&lt;1,TRUE),IFERROR(INT(M10)&gt;INT(AsOfDate),TRUE)))),M10&lt;K10),"解消日時不正",IF(K10&gt;G10,"期限後解消・再承認要","解消確認済"))),IF(OR(I10="失効",I10="取消",G10&lt;AsOfDate),"失効・停止再審査",IF(AND(I10&lt;&gt;"未解消",I10&lt;&gt;"対応中"),"条件状態不正","期限内・制約継続")))))))))</f>
        <v/>
      </c>
      <c r="R10" s="32"/>
    </row>
    <row r="11" spans="1:18" ht="64" customHeight="1" x14ac:dyDescent="0.2">
      <c r="A11" s="29"/>
      <c r="B11" s="29"/>
      <c r="C11" s="29"/>
      <c r="D11" s="29"/>
      <c r="E11" s="29"/>
      <c r="F11" s="29"/>
      <c r="G11" s="32"/>
      <c r="H11" s="29"/>
      <c r="I11" s="29"/>
      <c r="J11" s="29"/>
      <c r="K11" s="32"/>
      <c r="L11" s="29"/>
      <c r="M11" s="32"/>
      <c r="N11" s="29"/>
      <c r="O11" s="29"/>
      <c r="P11" s="29"/>
      <c r="Q11" s="28" t="str">
        <f>IF(A11="","",IF(COUNTIF($A$4:$A$83,A11)&lt;&gt;1,"Condition ID重複",IF(OR(OR(B11="",E11="",F11="",H11="",I11="",N11=""),NOT(ISNUMBER(G11))),"条件定義不足",IF(COUNTIF('29_ゲート承認記録'!$F$4:$F$83,B11)&lt;&gt;1,"GateRun不正",IF(OR(C11&lt;&gt;IF(COUNTIF('29_ゲート承認記録'!$F$4:$F$83,B11)&lt;&gt;1,"参照ID不正",IF(INDEX('29_ゲート承認記録'!$T$4:$T$83,MATCH(B11,'29_ゲート承認記録'!$F$4:$F$83,0))="","",INDEX('29_ゲート承認記録'!$T$4:$T$83,MATCH(B11,'29_ゲート承認記録'!$F$4:$F$83,0)))),P11&lt;&gt;IF(COUNTIF('29_ゲート承認記録'!$F$4:$F$83,B11)&lt;&gt;1,"参照ID不正",IF(INDEX('29_ゲート承認記録'!$U$4:$U$83,MATCH(B11,'29_ゲート承認記録'!$F$4:$F$83,0))="","",INDEX('29_ゲート承認記録'!$U$4:$U$83,MATCH(B11,'29_ゲート承認記録'!$F$4:$F$83,0))))),"条件対象不一致",IF(OR(H11="法的禁止",H11="重大未対策"),"条件化不可・停止",IF(I11="解消",IF(OR(J11="",L11="",L11=F11,COUNT(K11,M11)&lt;2),"解消確認不足",IF(OR(OR(AND(K11&lt;&gt;"",OR(NOT(ISNUMBER(K11)),IFERROR(K11&lt;1,TRUE),IFERROR(INT(K11)&gt;INT(AsOfDate),TRUE))),AND(M11&lt;&gt;"",OR(NOT(ISNUMBER(M11)),IFERROR(M11&lt;1,TRUE),IFERROR(INT(M11)&gt;INT(AsOfDate),TRUE)))),M11&lt;K11),"解消日時不正",IF(K11&gt;G11,"期限後解消・再承認要","解消確認済"))),IF(OR(I11="失効",I11="取消",G11&lt;AsOfDate),"失効・停止再審査",IF(AND(I11&lt;&gt;"未解消",I11&lt;&gt;"対応中"),"条件状態不正","期限内・制約継続")))))))))</f>
        <v/>
      </c>
      <c r="R11" s="32"/>
    </row>
    <row r="12" spans="1:18" ht="64" customHeight="1" x14ac:dyDescent="0.2">
      <c r="A12" s="29"/>
      <c r="B12" s="29"/>
      <c r="C12" s="29"/>
      <c r="D12" s="29"/>
      <c r="E12" s="29"/>
      <c r="F12" s="29"/>
      <c r="G12" s="32"/>
      <c r="H12" s="29"/>
      <c r="I12" s="29"/>
      <c r="J12" s="29"/>
      <c r="K12" s="32"/>
      <c r="L12" s="29"/>
      <c r="M12" s="32"/>
      <c r="N12" s="29"/>
      <c r="O12" s="29"/>
      <c r="P12" s="29"/>
      <c r="Q12" s="28" t="str">
        <f>IF(A12="","",IF(COUNTIF($A$4:$A$83,A12)&lt;&gt;1,"Condition ID重複",IF(OR(OR(B12="",E12="",F12="",H12="",I12="",N12=""),NOT(ISNUMBER(G12))),"条件定義不足",IF(COUNTIF('29_ゲート承認記録'!$F$4:$F$83,B12)&lt;&gt;1,"GateRun不正",IF(OR(C12&lt;&gt;IF(COUNTIF('29_ゲート承認記録'!$F$4:$F$83,B12)&lt;&gt;1,"参照ID不正",IF(INDEX('29_ゲート承認記録'!$T$4:$T$83,MATCH(B12,'29_ゲート承認記録'!$F$4:$F$83,0))="","",INDEX('29_ゲート承認記録'!$T$4:$T$83,MATCH(B12,'29_ゲート承認記録'!$F$4:$F$83,0)))),P12&lt;&gt;IF(COUNTIF('29_ゲート承認記録'!$F$4:$F$83,B12)&lt;&gt;1,"参照ID不正",IF(INDEX('29_ゲート承認記録'!$U$4:$U$83,MATCH(B12,'29_ゲート承認記録'!$F$4:$F$83,0))="","",INDEX('29_ゲート承認記録'!$U$4:$U$83,MATCH(B12,'29_ゲート承認記録'!$F$4:$F$83,0))))),"条件対象不一致",IF(OR(H12="法的禁止",H12="重大未対策"),"条件化不可・停止",IF(I12="解消",IF(OR(J12="",L12="",L12=F12,COUNT(K12,M12)&lt;2),"解消確認不足",IF(OR(OR(AND(K12&lt;&gt;"",OR(NOT(ISNUMBER(K12)),IFERROR(K12&lt;1,TRUE),IFERROR(INT(K12)&gt;INT(AsOfDate),TRUE))),AND(M12&lt;&gt;"",OR(NOT(ISNUMBER(M12)),IFERROR(M12&lt;1,TRUE),IFERROR(INT(M12)&gt;INT(AsOfDate),TRUE)))),M12&lt;K12),"解消日時不正",IF(K12&gt;G12,"期限後解消・再承認要","解消確認済"))),IF(OR(I12="失効",I12="取消",G12&lt;AsOfDate),"失効・停止再審査",IF(AND(I12&lt;&gt;"未解消",I12&lt;&gt;"対応中"),"条件状態不正","期限内・制約継続")))))))))</f>
        <v/>
      </c>
      <c r="R12" s="32"/>
    </row>
    <row r="13" spans="1:18" ht="64" customHeight="1" x14ac:dyDescent="0.2">
      <c r="A13" s="29"/>
      <c r="B13" s="29"/>
      <c r="C13" s="29"/>
      <c r="D13" s="29"/>
      <c r="E13" s="29"/>
      <c r="F13" s="29"/>
      <c r="G13" s="32"/>
      <c r="H13" s="29"/>
      <c r="I13" s="29"/>
      <c r="J13" s="29"/>
      <c r="K13" s="32"/>
      <c r="L13" s="29"/>
      <c r="M13" s="32"/>
      <c r="N13" s="29"/>
      <c r="O13" s="29"/>
      <c r="P13" s="29"/>
      <c r="Q13" s="28" t="str">
        <f>IF(A13="","",IF(COUNTIF($A$4:$A$83,A13)&lt;&gt;1,"Condition ID重複",IF(OR(OR(B13="",E13="",F13="",H13="",I13="",N13=""),NOT(ISNUMBER(G13))),"条件定義不足",IF(COUNTIF('29_ゲート承認記録'!$F$4:$F$83,B13)&lt;&gt;1,"GateRun不正",IF(OR(C13&lt;&gt;IF(COUNTIF('29_ゲート承認記録'!$F$4:$F$83,B13)&lt;&gt;1,"参照ID不正",IF(INDEX('29_ゲート承認記録'!$T$4:$T$83,MATCH(B13,'29_ゲート承認記録'!$F$4:$F$83,0))="","",INDEX('29_ゲート承認記録'!$T$4:$T$83,MATCH(B13,'29_ゲート承認記録'!$F$4:$F$83,0)))),P13&lt;&gt;IF(COUNTIF('29_ゲート承認記録'!$F$4:$F$83,B13)&lt;&gt;1,"参照ID不正",IF(INDEX('29_ゲート承認記録'!$U$4:$U$83,MATCH(B13,'29_ゲート承認記録'!$F$4:$F$83,0))="","",INDEX('29_ゲート承認記録'!$U$4:$U$83,MATCH(B13,'29_ゲート承認記録'!$F$4:$F$83,0))))),"条件対象不一致",IF(OR(H13="法的禁止",H13="重大未対策"),"条件化不可・停止",IF(I13="解消",IF(OR(J13="",L13="",L13=F13,COUNT(K13,M13)&lt;2),"解消確認不足",IF(OR(OR(AND(K13&lt;&gt;"",OR(NOT(ISNUMBER(K13)),IFERROR(K13&lt;1,TRUE),IFERROR(INT(K13)&gt;INT(AsOfDate),TRUE))),AND(M13&lt;&gt;"",OR(NOT(ISNUMBER(M13)),IFERROR(M13&lt;1,TRUE),IFERROR(INT(M13)&gt;INT(AsOfDate),TRUE)))),M13&lt;K13),"解消日時不正",IF(K13&gt;G13,"期限後解消・再承認要","解消確認済"))),IF(OR(I13="失効",I13="取消",G13&lt;AsOfDate),"失効・停止再審査",IF(AND(I13&lt;&gt;"未解消",I13&lt;&gt;"対応中"),"条件状態不正","期限内・制約継続")))))))))</f>
        <v/>
      </c>
      <c r="R13" s="32"/>
    </row>
    <row r="14" spans="1:18" ht="64" customHeight="1" x14ac:dyDescent="0.2">
      <c r="A14" s="29"/>
      <c r="B14" s="29"/>
      <c r="C14" s="29"/>
      <c r="D14" s="29"/>
      <c r="E14" s="29"/>
      <c r="F14" s="29"/>
      <c r="G14" s="32"/>
      <c r="H14" s="29"/>
      <c r="I14" s="29"/>
      <c r="J14" s="29"/>
      <c r="K14" s="32"/>
      <c r="L14" s="29"/>
      <c r="M14" s="32"/>
      <c r="N14" s="29"/>
      <c r="O14" s="29"/>
      <c r="P14" s="29"/>
      <c r="Q14" s="28" t="str">
        <f>IF(A14="","",IF(COUNTIF($A$4:$A$83,A14)&lt;&gt;1,"Condition ID重複",IF(OR(OR(B14="",E14="",F14="",H14="",I14="",N14=""),NOT(ISNUMBER(G14))),"条件定義不足",IF(COUNTIF('29_ゲート承認記録'!$F$4:$F$83,B14)&lt;&gt;1,"GateRun不正",IF(OR(C14&lt;&gt;IF(COUNTIF('29_ゲート承認記録'!$F$4:$F$83,B14)&lt;&gt;1,"参照ID不正",IF(INDEX('29_ゲート承認記録'!$T$4:$T$83,MATCH(B14,'29_ゲート承認記録'!$F$4:$F$83,0))="","",INDEX('29_ゲート承認記録'!$T$4:$T$83,MATCH(B14,'29_ゲート承認記録'!$F$4:$F$83,0)))),P14&lt;&gt;IF(COUNTIF('29_ゲート承認記録'!$F$4:$F$83,B14)&lt;&gt;1,"参照ID不正",IF(INDEX('29_ゲート承認記録'!$U$4:$U$83,MATCH(B14,'29_ゲート承認記録'!$F$4:$F$83,0))="","",INDEX('29_ゲート承認記録'!$U$4:$U$83,MATCH(B14,'29_ゲート承認記録'!$F$4:$F$83,0))))),"条件対象不一致",IF(OR(H14="法的禁止",H14="重大未対策"),"条件化不可・停止",IF(I14="解消",IF(OR(J14="",L14="",L14=F14,COUNT(K14,M14)&lt;2),"解消確認不足",IF(OR(OR(AND(K14&lt;&gt;"",OR(NOT(ISNUMBER(K14)),IFERROR(K14&lt;1,TRUE),IFERROR(INT(K14)&gt;INT(AsOfDate),TRUE))),AND(M14&lt;&gt;"",OR(NOT(ISNUMBER(M14)),IFERROR(M14&lt;1,TRUE),IFERROR(INT(M14)&gt;INT(AsOfDate),TRUE)))),M14&lt;K14),"解消日時不正",IF(K14&gt;G14,"期限後解消・再承認要","解消確認済"))),IF(OR(I14="失効",I14="取消",G14&lt;AsOfDate),"失効・停止再審査",IF(AND(I14&lt;&gt;"未解消",I14&lt;&gt;"対応中"),"条件状態不正","期限内・制約継続")))))))))</f>
        <v/>
      </c>
      <c r="R14" s="32"/>
    </row>
    <row r="15" spans="1:18" ht="64" customHeight="1" x14ac:dyDescent="0.2">
      <c r="A15" s="29"/>
      <c r="B15" s="29"/>
      <c r="C15" s="29"/>
      <c r="D15" s="29"/>
      <c r="E15" s="29"/>
      <c r="F15" s="29"/>
      <c r="G15" s="32"/>
      <c r="H15" s="29"/>
      <c r="I15" s="29"/>
      <c r="J15" s="29"/>
      <c r="K15" s="32"/>
      <c r="L15" s="29"/>
      <c r="M15" s="32"/>
      <c r="N15" s="29"/>
      <c r="O15" s="29"/>
      <c r="P15" s="29"/>
      <c r="Q15" s="28" t="str">
        <f>IF(A15="","",IF(COUNTIF($A$4:$A$83,A15)&lt;&gt;1,"Condition ID重複",IF(OR(OR(B15="",E15="",F15="",H15="",I15="",N15=""),NOT(ISNUMBER(G15))),"条件定義不足",IF(COUNTIF('29_ゲート承認記録'!$F$4:$F$83,B15)&lt;&gt;1,"GateRun不正",IF(OR(C15&lt;&gt;IF(COUNTIF('29_ゲート承認記録'!$F$4:$F$83,B15)&lt;&gt;1,"参照ID不正",IF(INDEX('29_ゲート承認記録'!$T$4:$T$83,MATCH(B15,'29_ゲート承認記録'!$F$4:$F$83,0))="","",INDEX('29_ゲート承認記録'!$T$4:$T$83,MATCH(B15,'29_ゲート承認記録'!$F$4:$F$83,0)))),P15&lt;&gt;IF(COUNTIF('29_ゲート承認記録'!$F$4:$F$83,B15)&lt;&gt;1,"参照ID不正",IF(INDEX('29_ゲート承認記録'!$U$4:$U$83,MATCH(B15,'29_ゲート承認記録'!$F$4:$F$83,0))="","",INDEX('29_ゲート承認記録'!$U$4:$U$83,MATCH(B15,'29_ゲート承認記録'!$F$4:$F$83,0))))),"条件対象不一致",IF(OR(H15="法的禁止",H15="重大未対策"),"条件化不可・停止",IF(I15="解消",IF(OR(J15="",L15="",L15=F15,COUNT(K15,M15)&lt;2),"解消確認不足",IF(OR(OR(AND(K15&lt;&gt;"",OR(NOT(ISNUMBER(K15)),IFERROR(K15&lt;1,TRUE),IFERROR(INT(K15)&gt;INT(AsOfDate),TRUE))),AND(M15&lt;&gt;"",OR(NOT(ISNUMBER(M15)),IFERROR(M15&lt;1,TRUE),IFERROR(INT(M15)&gt;INT(AsOfDate),TRUE)))),M15&lt;K15),"解消日時不正",IF(K15&gt;G15,"期限後解消・再承認要","解消確認済"))),IF(OR(I15="失効",I15="取消",G15&lt;AsOfDate),"失効・停止再審査",IF(AND(I15&lt;&gt;"未解消",I15&lt;&gt;"対応中"),"条件状態不正","期限内・制約継続")))))))))</f>
        <v/>
      </c>
      <c r="R15" s="32"/>
    </row>
    <row r="16" spans="1:18" ht="64" customHeight="1" x14ac:dyDescent="0.2">
      <c r="A16" s="29"/>
      <c r="B16" s="29"/>
      <c r="C16" s="29"/>
      <c r="D16" s="29"/>
      <c r="E16" s="29"/>
      <c r="F16" s="29"/>
      <c r="G16" s="32"/>
      <c r="H16" s="29"/>
      <c r="I16" s="29"/>
      <c r="J16" s="29"/>
      <c r="K16" s="32"/>
      <c r="L16" s="29"/>
      <c r="M16" s="32"/>
      <c r="N16" s="29"/>
      <c r="O16" s="29"/>
      <c r="P16" s="29"/>
      <c r="Q16" s="28" t="str">
        <f>IF(A16="","",IF(COUNTIF($A$4:$A$83,A16)&lt;&gt;1,"Condition ID重複",IF(OR(OR(B16="",E16="",F16="",H16="",I16="",N16=""),NOT(ISNUMBER(G16))),"条件定義不足",IF(COUNTIF('29_ゲート承認記録'!$F$4:$F$83,B16)&lt;&gt;1,"GateRun不正",IF(OR(C16&lt;&gt;IF(COUNTIF('29_ゲート承認記録'!$F$4:$F$83,B16)&lt;&gt;1,"参照ID不正",IF(INDEX('29_ゲート承認記録'!$T$4:$T$83,MATCH(B16,'29_ゲート承認記録'!$F$4:$F$83,0))="","",INDEX('29_ゲート承認記録'!$T$4:$T$83,MATCH(B16,'29_ゲート承認記録'!$F$4:$F$83,0)))),P16&lt;&gt;IF(COUNTIF('29_ゲート承認記録'!$F$4:$F$83,B16)&lt;&gt;1,"参照ID不正",IF(INDEX('29_ゲート承認記録'!$U$4:$U$83,MATCH(B16,'29_ゲート承認記録'!$F$4:$F$83,0))="","",INDEX('29_ゲート承認記録'!$U$4:$U$83,MATCH(B16,'29_ゲート承認記録'!$F$4:$F$83,0))))),"条件対象不一致",IF(OR(H16="法的禁止",H16="重大未対策"),"条件化不可・停止",IF(I16="解消",IF(OR(J16="",L16="",L16=F16,COUNT(K16,M16)&lt;2),"解消確認不足",IF(OR(OR(AND(K16&lt;&gt;"",OR(NOT(ISNUMBER(K16)),IFERROR(K16&lt;1,TRUE),IFERROR(INT(K16)&gt;INT(AsOfDate),TRUE))),AND(M16&lt;&gt;"",OR(NOT(ISNUMBER(M16)),IFERROR(M16&lt;1,TRUE),IFERROR(INT(M16)&gt;INT(AsOfDate),TRUE)))),M16&lt;K16),"解消日時不正",IF(K16&gt;G16,"期限後解消・再承認要","解消確認済"))),IF(OR(I16="失効",I16="取消",G16&lt;AsOfDate),"失効・停止再審査",IF(AND(I16&lt;&gt;"未解消",I16&lt;&gt;"対応中"),"条件状態不正","期限内・制約継続")))))))))</f>
        <v/>
      </c>
      <c r="R16" s="32"/>
    </row>
    <row r="17" spans="1:18" ht="64" customHeight="1" x14ac:dyDescent="0.2">
      <c r="A17" s="29"/>
      <c r="B17" s="29"/>
      <c r="C17" s="29"/>
      <c r="D17" s="29"/>
      <c r="E17" s="29"/>
      <c r="F17" s="29"/>
      <c r="G17" s="32"/>
      <c r="H17" s="29"/>
      <c r="I17" s="29"/>
      <c r="J17" s="29"/>
      <c r="K17" s="32"/>
      <c r="L17" s="29"/>
      <c r="M17" s="32"/>
      <c r="N17" s="29"/>
      <c r="O17" s="29"/>
      <c r="P17" s="29"/>
      <c r="Q17" s="28" t="str">
        <f>IF(A17="","",IF(COUNTIF($A$4:$A$83,A17)&lt;&gt;1,"Condition ID重複",IF(OR(OR(B17="",E17="",F17="",H17="",I17="",N17=""),NOT(ISNUMBER(G17))),"条件定義不足",IF(COUNTIF('29_ゲート承認記録'!$F$4:$F$83,B17)&lt;&gt;1,"GateRun不正",IF(OR(C17&lt;&gt;IF(COUNTIF('29_ゲート承認記録'!$F$4:$F$83,B17)&lt;&gt;1,"参照ID不正",IF(INDEX('29_ゲート承認記録'!$T$4:$T$83,MATCH(B17,'29_ゲート承認記録'!$F$4:$F$83,0))="","",INDEX('29_ゲート承認記録'!$T$4:$T$83,MATCH(B17,'29_ゲート承認記録'!$F$4:$F$83,0)))),P17&lt;&gt;IF(COUNTIF('29_ゲート承認記録'!$F$4:$F$83,B17)&lt;&gt;1,"参照ID不正",IF(INDEX('29_ゲート承認記録'!$U$4:$U$83,MATCH(B17,'29_ゲート承認記録'!$F$4:$F$83,0))="","",INDEX('29_ゲート承認記録'!$U$4:$U$83,MATCH(B17,'29_ゲート承認記録'!$F$4:$F$83,0))))),"条件対象不一致",IF(OR(H17="法的禁止",H17="重大未対策"),"条件化不可・停止",IF(I17="解消",IF(OR(J17="",L17="",L17=F17,COUNT(K17,M17)&lt;2),"解消確認不足",IF(OR(OR(AND(K17&lt;&gt;"",OR(NOT(ISNUMBER(K17)),IFERROR(K17&lt;1,TRUE),IFERROR(INT(K17)&gt;INT(AsOfDate),TRUE))),AND(M17&lt;&gt;"",OR(NOT(ISNUMBER(M17)),IFERROR(M17&lt;1,TRUE),IFERROR(INT(M17)&gt;INT(AsOfDate),TRUE)))),M17&lt;K17),"解消日時不正",IF(K17&gt;G17,"期限後解消・再承認要","解消確認済"))),IF(OR(I17="失効",I17="取消",G17&lt;AsOfDate),"失効・停止再審査",IF(AND(I17&lt;&gt;"未解消",I17&lt;&gt;"対応中"),"条件状態不正","期限内・制約継続")))))))))</f>
        <v/>
      </c>
      <c r="R17" s="32"/>
    </row>
    <row r="18" spans="1:18" ht="64" customHeight="1" x14ac:dyDescent="0.2">
      <c r="A18" s="29"/>
      <c r="B18" s="29"/>
      <c r="C18" s="29"/>
      <c r="D18" s="29"/>
      <c r="E18" s="29"/>
      <c r="F18" s="29"/>
      <c r="G18" s="32"/>
      <c r="H18" s="29"/>
      <c r="I18" s="29"/>
      <c r="J18" s="29"/>
      <c r="K18" s="32"/>
      <c r="L18" s="29"/>
      <c r="M18" s="32"/>
      <c r="N18" s="29"/>
      <c r="O18" s="29"/>
      <c r="P18" s="29"/>
      <c r="Q18" s="28" t="str">
        <f>IF(A18="","",IF(COUNTIF($A$4:$A$83,A18)&lt;&gt;1,"Condition ID重複",IF(OR(OR(B18="",E18="",F18="",H18="",I18="",N18=""),NOT(ISNUMBER(G18))),"条件定義不足",IF(COUNTIF('29_ゲート承認記録'!$F$4:$F$83,B18)&lt;&gt;1,"GateRun不正",IF(OR(C18&lt;&gt;IF(COUNTIF('29_ゲート承認記録'!$F$4:$F$83,B18)&lt;&gt;1,"参照ID不正",IF(INDEX('29_ゲート承認記録'!$T$4:$T$83,MATCH(B18,'29_ゲート承認記録'!$F$4:$F$83,0))="","",INDEX('29_ゲート承認記録'!$T$4:$T$83,MATCH(B18,'29_ゲート承認記録'!$F$4:$F$83,0)))),P18&lt;&gt;IF(COUNTIF('29_ゲート承認記録'!$F$4:$F$83,B18)&lt;&gt;1,"参照ID不正",IF(INDEX('29_ゲート承認記録'!$U$4:$U$83,MATCH(B18,'29_ゲート承認記録'!$F$4:$F$83,0))="","",INDEX('29_ゲート承認記録'!$U$4:$U$83,MATCH(B18,'29_ゲート承認記録'!$F$4:$F$83,0))))),"条件対象不一致",IF(OR(H18="法的禁止",H18="重大未対策"),"条件化不可・停止",IF(I18="解消",IF(OR(J18="",L18="",L18=F18,COUNT(K18,M18)&lt;2),"解消確認不足",IF(OR(OR(AND(K18&lt;&gt;"",OR(NOT(ISNUMBER(K18)),IFERROR(K18&lt;1,TRUE),IFERROR(INT(K18)&gt;INT(AsOfDate),TRUE))),AND(M18&lt;&gt;"",OR(NOT(ISNUMBER(M18)),IFERROR(M18&lt;1,TRUE),IFERROR(INT(M18)&gt;INT(AsOfDate),TRUE)))),M18&lt;K18),"解消日時不正",IF(K18&gt;G18,"期限後解消・再承認要","解消確認済"))),IF(OR(I18="失効",I18="取消",G18&lt;AsOfDate),"失効・停止再審査",IF(AND(I18&lt;&gt;"未解消",I18&lt;&gt;"対応中"),"条件状態不正","期限内・制約継続")))))))))</f>
        <v/>
      </c>
      <c r="R18" s="32"/>
    </row>
    <row r="19" spans="1:18" ht="64" customHeight="1" x14ac:dyDescent="0.2">
      <c r="A19" s="29"/>
      <c r="B19" s="29"/>
      <c r="C19" s="29"/>
      <c r="D19" s="29"/>
      <c r="E19" s="29"/>
      <c r="F19" s="29"/>
      <c r="G19" s="32"/>
      <c r="H19" s="29"/>
      <c r="I19" s="29"/>
      <c r="J19" s="29"/>
      <c r="K19" s="32"/>
      <c r="L19" s="29"/>
      <c r="M19" s="32"/>
      <c r="N19" s="29"/>
      <c r="O19" s="29"/>
      <c r="P19" s="29"/>
      <c r="Q19" s="28" t="str">
        <f>IF(A19="","",IF(COUNTIF($A$4:$A$83,A19)&lt;&gt;1,"Condition ID重複",IF(OR(OR(B19="",E19="",F19="",H19="",I19="",N19=""),NOT(ISNUMBER(G19))),"条件定義不足",IF(COUNTIF('29_ゲート承認記録'!$F$4:$F$83,B19)&lt;&gt;1,"GateRun不正",IF(OR(C19&lt;&gt;IF(COUNTIF('29_ゲート承認記録'!$F$4:$F$83,B19)&lt;&gt;1,"参照ID不正",IF(INDEX('29_ゲート承認記録'!$T$4:$T$83,MATCH(B19,'29_ゲート承認記録'!$F$4:$F$83,0))="","",INDEX('29_ゲート承認記録'!$T$4:$T$83,MATCH(B19,'29_ゲート承認記録'!$F$4:$F$83,0)))),P19&lt;&gt;IF(COUNTIF('29_ゲート承認記録'!$F$4:$F$83,B19)&lt;&gt;1,"参照ID不正",IF(INDEX('29_ゲート承認記録'!$U$4:$U$83,MATCH(B19,'29_ゲート承認記録'!$F$4:$F$83,0))="","",INDEX('29_ゲート承認記録'!$U$4:$U$83,MATCH(B19,'29_ゲート承認記録'!$F$4:$F$83,0))))),"条件対象不一致",IF(OR(H19="法的禁止",H19="重大未対策"),"条件化不可・停止",IF(I19="解消",IF(OR(J19="",L19="",L19=F19,COUNT(K19,M19)&lt;2),"解消確認不足",IF(OR(OR(AND(K19&lt;&gt;"",OR(NOT(ISNUMBER(K19)),IFERROR(K19&lt;1,TRUE),IFERROR(INT(K19)&gt;INT(AsOfDate),TRUE))),AND(M19&lt;&gt;"",OR(NOT(ISNUMBER(M19)),IFERROR(M19&lt;1,TRUE),IFERROR(INT(M19)&gt;INT(AsOfDate),TRUE)))),M19&lt;K19),"解消日時不正",IF(K19&gt;G19,"期限後解消・再承認要","解消確認済"))),IF(OR(I19="失効",I19="取消",G19&lt;AsOfDate),"失効・停止再審査",IF(AND(I19&lt;&gt;"未解消",I19&lt;&gt;"対応中"),"条件状態不正","期限内・制約継続")))))))))</f>
        <v/>
      </c>
      <c r="R19" s="32"/>
    </row>
    <row r="20" spans="1:18" ht="64" customHeight="1" x14ac:dyDescent="0.2">
      <c r="A20" s="29"/>
      <c r="B20" s="29"/>
      <c r="C20" s="29"/>
      <c r="D20" s="29"/>
      <c r="E20" s="29"/>
      <c r="F20" s="29"/>
      <c r="G20" s="32"/>
      <c r="H20" s="29"/>
      <c r="I20" s="29"/>
      <c r="J20" s="29"/>
      <c r="K20" s="32"/>
      <c r="L20" s="29"/>
      <c r="M20" s="32"/>
      <c r="N20" s="29"/>
      <c r="O20" s="29"/>
      <c r="P20" s="29"/>
      <c r="Q20" s="28" t="str">
        <f>IF(A20="","",IF(COUNTIF($A$4:$A$83,A20)&lt;&gt;1,"Condition ID重複",IF(OR(OR(B20="",E20="",F20="",H20="",I20="",N20=""),NOT(ISNUMBER(G20))),"条件定義不足",IF(COUNTIF('29_ゲート承認記録'!$F$4:$F$83,B20)&lt;&gt;1,"GateRun不正",IF(OR(C20&lt;&gt;IF(COUNTIF('29_ゲート承認記録'!$F$4:$F$83,B20)&lt;&gt;1,"参照ID不正",IF(INDEX('29_ゲート承認記録'!$T$4:$T$83,MATCH(B20,'29_ゲート承認記録'!$F$4:$F$83,0))="","",INDEX('29_ゲート承認記録'!$T$4:$T$83,MATCH(B20,'29_ゲート承認記録'!$F$4:$F$83,0)))),P20&lt;&gt;IF(COUNTIF('29_ゲート承認記録'!$F$4:$F$83,B20)&lt;&gt;1,"参照ID不正",IF(INDEX('29_ゲート承認記録'!$U$4:$U$83,MATCH(B20,'29_ゲート承認記録'!$F$4:$F$83,0))="","",INDEX('29_ゲート承認記録'!$U$4:$U$83,MATCH(B20,'29_ゲート承認記録'!$F$4:$F$83,0))))),"条件対象不一致",IF(OR(H20="法的禁止",H20="重大未対策"),"条件化不可・停止",IF(I20="解消",IF(OR(J20="",L20="",L20=F20,COUNT(K20,M20)&lt;2),"解消確認不足",IF(OR(OR(AND(K20&lt;&gt;"",OR(NOT(ISNUMBER(K20)),IFERROR(K20&lt;1,TRUE),IFERROR(INT(K20)&gt;INT(AsOfDate),TRUE))),AND(M20&lt;&gt;"",OR(NOT(ISNUMBER(M20)),IFERROR(M20&lt;1,TRUE),IFERROR(INT(M20)&gt;INT(AsOfDate),TRUE)))),M20&lt;K20),"解消日時不正",IF(K20&gt;G20,"期限後解消・再承認要","解消確認済"))),IF(OR(I20="失効",I20="取消",G20&lt;AsOfDate),"失効・停止再審査",IF(AND(I20&lt;&gt;"未解消",I20&lt;&gt;"対応中"),"条件状態不正","期限内・制約継続")))))))))</f>
        <v/>
      </c>
      <c r="R20" s="32"/>
    </row>
    <row r="21" spans="1:18" ht="64" customHeight="1" x14ac:dyDescent="0.2">
      <c r="A21" s="29"/>
      <c r="B21" s="29"/>
      <c r="C21" s="29"/>
      <c r="D21" s="29"/>
      <c r="E21" s="29"/>
      <c r="F21" s="29"/>
      <c r="G21" s="32"/>
      <c r="H21" s="29"/>
      <c r="I21" s="29"/>
      <c r="J21" s="29"/>
      <c r="K21" s="32"/>
      <c r="L21" s="29"/>
      <c r="M21" s="32"/>
      <c r="N21" s="29"/>
      <c r="O21" s="29"/>
      <c r="P21" s="29"/>
      <c r="Q21" s="28" t="str">
        <f>IF(A21="","",IF(COUNTIF($A$4:$A$83,A21)&lt;&gt;1,"Condition ID重複",IF(OR(OR(B21="",E21="",F21="",H21="",I21="",N21=""),NOT(ISNUMBER(G21))),"条件定義不足",IF(COUNTIF('29_ゲート承認記録'!$F$4:$F$83,B21)&lt;&gt;1,"GateRun不正",IF(OR(C21&lt;&gt;IF(COUNTIF('29_ゲート承認記録'!$F$4:$F$83,B21)&lt;&gt;1,"参照ID不正",IF(INDEX('29_ゲート承認記録'!$T$4:$T$83,MATCH(B21,'29_ゲート承認記録'!$F$4:$F$83,0))="","",INDEX('29_ゲート承認記録'!$T$4:$T$83,MATCH(B21,'29_ゲート承認記録'!$F$4:$F$83,0)))),P21&lt;&gt;IF(COUNTIF('29_ゲート承認記録'!$F$4:$F$83,B21)&lt;&gt;1,"参照ID不正",IF(INDEX('29_ゲート承認記録'!$U$4:$U$83,MATCH(B21,'29_ゲート承認記録'!$F$4:$F$83,0))="","",INDEX('29_ゲート承認記録'!$U$4:$U$83,MATCH(B21,'29_ゲート承認記録'!$F$4:$F$83,0))))),"条件対象不一致",IF(OR(H21="法的禁止",H21="重大未対策"),"条件化不可・停止",IF(I21="解消",IF(OR(J21="",L21="",L21=F21,COUNT(K21,M21)&lt;2),"解消確認不足",IF(OR(OR(AND(K21&lt;&gt;"",OR(NOT(ISNUMBER(K21)),IFERROR(K21&lt;1,TRUE),IFERROR(INT(K21)&gt;INT(AsOfDate),TRUE))),AND(M21&lt;&gt;"",OR(NOT(ISNUMBER(M21)),IFERROR(M21&lt;1,TRUE),IFERROR(INT(M21)&gt;INT(AsOfDate),TRUE)))),M21&lt;K21),"解消日時不正",IF(K21&gt;G21,"期限後解消・再承認要","解消確認済"))),IF(OR(I21="失効",I21="取消",G21&lt;AsOfDate),"失効・停止再審査",IF(AND(I21&lt;&gt;"未解消",I21&lt;&gt;"対応中"),"条件状態不正","期限内・制約継続")))))))))</f>
        <v/>
      </c>
      <c r="R21" s="32"/>
    </row>
    <row r="22" spans="1:18" ht="64" customHeight="1" x14ac:dyDescent="0.2">
      <c r="A22" s="29"/>
      <c r="B22" s="29"/>
      <c r="C22" s="29"/>
      <c r="D22" s="29"/>
      <c r="E22" s="29"/>
      <c r="F22" s="29"/>
      <c r="G22" s="32"/>
      <c r="H22" s="29"/>
      <c r="I22" s="29"/>
      <c r="J22" s="29"/>
      <c r="K22" s="32"/>
      <c r="L22" s="29"/>
      <c r="M22" s="32"/>
      <c r="N22" s="29"/>
      <c r="O22" s="29"/>
      <c r="P22" s="29"/>
      <c r="Q22" s="28" t="str">
        <f>IF(A22="","",IF(COUNTIF($A$4:$A$83,A22)&lt;&gt;1,"Condition ID重複",IF(OR(OR(B22="",E22="",F22="",H22="",I22="",N22=""),NOT(ISNUMBER(G22))),"条件定義不足",IF(COUNTIF('29_ゲート承認記録'!$F$4:$F$83,B22)&lt;&gt;1,"GateRun不正",IF(OR(C22&lt;&gt;IF(COUNTIF('29_ゲート承認記録'!$F$4:$F$83,B22)&lt;&gt;1,"参照ID不正",IF(INDEX('29_ゲート承認記録'!$T$4:$T$83,MATCH(B22,'29_ゲート承認記録'!$F$4:$F$83,0))="","",INDEX('29_ゲート承認記録'!$T$4:$T$83,MATCH(B22,'29_ゲート承認記録'!$F$4:$F$83,0)))),P22&lt;&gt;IF(COUNTIF('29_ゲート承認記録'!$F$4:$F$83,B22)&lt;&gt;1,"参照ID不正",IF(INDEX('29_ゲート承認記録'!$U$4:$U$83,MATCH(B22,'29_ゲート承認記録'!$F$4:$F$83,0))="","",INDEX('29_ゲート承認記録'!$U$4:$U$83,MATCH(B22,'29_ゲート承認記録'!$F$4:$F$83,0))))),"条件対象不一致",IF(OR(H22="法的禁止",H22="重大未対策"),"条件化不可・停止",IF(I22="解消",IF(OR(J22="",L22="",L22=F22,COUNT(K22,M22)&lt;2),"解消確認不足",IF(OR(OR(AND(K22&lt;&gt;"",OR(NOT(ISNUMBER(K22)),IFERROR(K22&lt;1,TRUE),IFERROR(INT(K22)&gt;INT(AsOfDate),TRUE))),AND(M22&lt;&gt;"",OR(NOT(ISNUMBER(M22)),IFERROR(M22&lt;1,TRUE),IFERROR(INT(M22)&gt;INT(AsOfDate),TRUE)))),M22&lt;K22),"解消日時不正",IF(K22&gt;G22,"期限後解消・再承認要","解消確認済"))),IF(OR(I22="失効",I22="取消",G22&lt;AsOfDate),"失効・停止再審査",IF(AND(I22&lt;&gt;"未解消",I22&lt;&gt;"対応中"),"条件状態不正","期限内・制約継続")))))))))</f>
        <v/>
      </c>
      <c r="R22" s="32"/>
    </row>
    <row r="23" spans="1:18" ht="64" customHeight="1" x14ac:dyDescent="0.2">
      <c r="A23" s="29"/>
      <c r="B23" s="29"/>
      <c r="C23" s="29"/>
      <c r="D23" s="29"/>
      <c r="E23" s="29"/>
      <c r="F23" s="29"/>
      <c r="G23" s="32"/>
      <c r="H23" s="29"/>
      <c r="I23" s="29"/>
      <c r="J23" s="29"/>
      <c r="K23" s="32"/>
      <c r="L23" s="29"/>
      <c r="M23" s="32"/>
      <c r="N23" s="29"/>
      <c r="O23" s="29"/>
      <c r="P23" s="29"/>
      <c r="Q23" s="28" t="str">
        <f>IF(A23="","",IF(COUNTIF($A$4:$A$83,A23)&lt;&gt;1,"Condition ID重複",IF(OR(OR(B23="",E23="",F23="",H23="",I23="",N23=""),NOT(ISNUMBER(G23))),"条件定義不足",IF(COUNTIF('29_ゲート承認記録'!$F$4:$F$83,B23)&lt;&gt;1,"GateRun不正",IF(OR(C23&lt;&gt;IF(COUNTIF('29_ゲート承認記録'!$F$4:$F$83,B23)&lt;&gt;1,"参照ID不正",IF(INDEX('29_ゲート承認記録'!$T$4:$T$83,MATCH(B23,'29_ゲート承認記録'!$F$4:$F$83,0))="","",INDEX('29_ゲート承認記録'!$T$4:$T$83,MATCH(B23,'29_ゲート承認記録'!$F$4:$F$83,0)))),P23&lt;&gt;IF(COUNTIF('29_ゲート承認記録'!$F$4:$F$83,B23)&lt;&gt;1,"参照ID不正",IF(INDEX('29_ゲート承認記録'!$U$4:$U$83,MATCH(B23,'29_ゲート承認記録'!$F$4:$F$83,0))="","",INDEX('29_ゲート承認記録'!$U$4:$U$83,MATCH(B23,'29_ゲート承認記録'!$F$4:$F$83,0))))),"条件対象不一致",IF(OR(H23="法的禁止",H23="重大未対策"),"条件化不可・停止",IF(I23="解消",IF(OR(J23="",L23="",L23=F23,COUNT(K23,M23)&lt;2),"解消確認不足",IF(OR(OR(AND(K23&lt;&gt;"",OR(NOT(ISNUMBER(K23)),IFERROR(K23&lt;1,TRUE),IFERROR(INT(K23)&gt;INT(AsOfDate),TRUE))),AND(M23&lt;&gt;"",OR(NOT(ISNUMBER(M23)),IFERROR(M23&lt;1,TRUE),IFERROR(INT(M23)&gt;INT(AsOfDate),TRUE)))),M23&lt;K23),"解消日時不正",IF(K23&gt;G23,"期限後解消・再承認要","解消確認済"))),IF(OR(I23="失効",I23="取消",G23&lt;AsOfDate),"失効・停止再審査",IF(AND(I23&lt;&gt;"未解消",I23&lt;&gt;"対応中"),"条件状態不正","期限内・制約継続")))))))))</f>
        <v/>
      </c>
      <c r="R23" s="32"/>
    </row>
    <row r="24" spans="1:18" ht="64" customHeight="1" x14ac:dyDescent="0.2">
      <c r="A24" s="29"/>
      <c r="B24" s="29"/>
      <c r="C24" s="29"/>
      <c r="D24" s="29"/>
      <c r="E24" s="29"/>
      <c r="F24" s="29"/>
      <c r="G24" s="32"/>
      <c r="H24" s="29"/>
      <c r="I24" s="29"/>
      <c r="J24" s="29"/>
      <c r="K24" s="32"/>
      <c r="L24" s="29"/>
      <c r="M24" s="32"/>
      <c r="N24" s="29"/>
      <c r="O24" s="29"/>
      <c r="P24" s="29"/>
      <c r="Q24" s="28" t="str">
        <f>IF(A24="","",IF(COUNTIF($A$4:$A$83,A24)&lt;&gt;1,"Condition ID重複",IF(OR(OR(B24="",E24="",F24="",H24="",I24="",N24=""),NOT(ISNUMBER(G24))),"条件定義不足",IF(COUNTIF('29_ゲート承認記録'!$F$4:$F$83,B24)&lt;&gt;1,"GateRun不正",IF(OR(C24&lt;&gt;IF(COUNTIF('29_ゲート承認記録'!$F$4:$F$83,B24)&lt;&gt;1,"参照ID不正",IF(INDEX('29_ゲート承認記録'!$T$4:$T$83,MATCH(B24,'29_ゲート承認記録'!$F$4:$F$83,0))="","",INDEX('29_ゲート承認記録'!$T$4:$T$83,MATCH(B24,'29_ゲート承認記録'!$F$4:$F$83,0)))),P24&lt;&gt;IF(COUNTIF('29_ゲート承認記録'!$F$4:$F$83,B24)&lt;&gt;1,"参照ID不正",IF(INDEX('29_ゲート承認記録'!$U$4:$U$83,MATCH(B24,'29_ゲート承認記録'!$F$4:$F$83,0))="","",INDEX('29_ゲート承認記録'!$U$4:$U$83,MATCH(B24,'29_ゲート承認記録'!$F$4:$F$83,0))))),"条件対象不一致",IF(OR(H24="法的禁止",H24="重大未対策"),"条件化不可・停止",IF(I24="解消",IF(OR(J24="",L24="",L24=F24,COUNT(K24,M24)&lt;2),"解消確認不足",IF(OR(OR(AND(K24&lt;&gt;"",OR(NOT(ISNUMBER(K24)),IFERROR(K24&lt;1,TRUE),IFERROR(INT(K24)&gt;INT(AsOfDate),TRUE))),AND(M24&lt;&gt;"",OR(NOT(ISNUMBER(M24)),IFERROR(M24&lt;1,TRUE),IFERROR(INT(M24)&gt;INT(AsOfDate),TRUE)))),M24&lt;K24),"解消日時不正",IF(K24&gt;G24,"期限後解消・再承認要","解消確認済"))),IF(OR(I24="失効",I24="取消",G24&lt;AsOfDate),"失効・停止再審査",IF(AND(I24&lt;&gt;"未解消",I24&lt;&gt;"対応中"),"条件状態不正","期限内・制約継続")))))))))</f>
        <v/>
      </c>
      <c r="R24" s="32"/>
    </row>
    <row r="25" spans="1:18" ht="64" customHeight="1" x14ac:dyDescent="0.2">
      <c r="A25" s="29"/>
      <c r="B25" s="29"/>
      <c r="C25" s="29"/>
      <c r="D25" s="29"/>
      <c r="E25" s="29"/>
      <c r="F25" s="29"/>
      <c r="G25" s="32"/>
      <c r="H25" s="29"/>
      <c r="I25" s="29"/>
      <c r="J25" s="29"/>
      <c r="K25" s="32"/>
      <c r="L25" s="29"/>
      <c r="M25" s="32"/>
      <c r="N25" s="29"/>
      <c r="O25" s="29"/>
      <c r="P25" s="29"/>
      <c r="Q25" s="28" t="str">
        <f>IF(A25="","",IF(COUNTIF($A$4:$A$83,A25)&lt;&gt;1,"Condition ID重複",IF(OR(OR(B25="",E25="",F25="",H25="",I25="",N25=""),NOT(ISNUMBER(G25))),"条件定義不足",IF(COUNTIF('29_ゲート承認記録'!$F$4:$F$83,B25)&lt;&gt;1,"GateRun不正",IF(OR(C25&lt;&gt;IF(COUNTIF('29_ゲート承認記録'!$F$4:$F$83,B25)&lt;&gt;1,"参照ID不正",IF(INDEX('29_ゲート承認記録'!$T$4:$T$83,MATCH(B25,'29_ゲート承認記録'!$F$4:$F$83,0))="","",INDEX('29_ゲート承認記録'!$T$4:$T$83,MATCH(B25,'29_ゲート承認記録'!$F$4:$F$83,0)))),P25&lt;&gt;IF(COUNTIF('29_ゲート承認記録'!$F$4:$F$83,B25)&lt;&gt;1,"参照ID不正",IF(INDEX('29_ゲート承認記録'!$U$4:$U$83,MATCH(B25,'29_ゲート承認記録'!$F$4:$F$83,0))="","",INDEX('29_ゲート承認記録'!$U$4:$U$83,MATCH(B25,'29_ゲート承認記録'!$F$4:$F$83,0))))),"条件対象不一致",IF(OR(H25="法的禁止",H25="重大未対策"),"条件化不可・停止",IF(I25="解消",IF(OR(J25="",L25="",L25=F25,COUNT(K25,M25)&lt;2),"解消確認不足",IF(OR(OR(AND(K25&lt;&gt;"",OR(NOT(ISNUMBER(K25)),IFERROR(K25&lt;1,TRUE),IFERROR(INT(K25)&gt;INT(AsOfDate),TRUE))),AND(M25&lt;&gt;"",OR(NOT(ISNUMBER(M25)),IFERROR(M25&lt;1,TRUE),IFERROR(INT(M25)&gt;INT(AsOfDate),TRUE)))),M25&lt;K25),"解消日時不正",IF(K25&gt;G25,"期限後解消・再承認要","解消確認済"))),IF(OR(I25="失効",I25="取消",G25&lt;AsOfDate),"失効・停止再審査",IF(AND(I25&lt;&gt;"未解消",I25&lt;&gt;"対応中"),"条件状態不正","期限内・制約継続")))))))))</f>
        <v/>
      </c>
      <c r="R25" s="32"/>
    </row>
    <row r="26" spans="1:18" ht="64" customHeight="1" x14ac:dyDescent="0.2">
      <c r="A26" s="29"/>
      <c r="B26" s="29"/>
      <c r="C26" s="29"/>
      <c r="D26" s="29"/>
      <c r="E26" s="29"/>
      <c r="F26" s="29"/>
      <c r="G26" s="32"/>
      <c r="H26" s="29"/>
      <c r="I26" s="29"/>
      <c r="J26" s="29"/>
      <c r="K26" s="32"/>
      <c r="L26" s="29"/>
      <c r="M26" s="32"/>
      <c r="N26" s="29"/>
      <c r="O26" s="29"/>
      <c r="P26" s="29"/>
      <c r="Q26" s="28" t="str">
        <f>IF(A26="","",IF(COUNTIF($A$4:$A$83,A26)&lt;&gt;1,"Condition ID重複",IF(OR(OR(B26="",E26="",F26="",H26="",I26="",N26=""),NOT(ISNUMBER(G26))),"条件定義不足",IF(COUNTIF('29_ゲート承認記録'!$F$4:$F$83,B26)&lt;&gt;1,"GateRun不正",IF(OR(C26&lt;&gt;IF(COUNTIF('29_ゲート承認記録'!$F$4:$F$83,B26)&lt;&gt;1,"参照ID不正",IF(INDEX('29_ゲート承認記録'!$T$4:$T$83,MATCH(B26,'29_ゲート承認記録'!$F$4:$F$83,0))="","",INDEX('29_ゲート承認記録'!$T$4:$T$83,MATCH(B26,'29_ゲート承認記録'!$F$4:$F$83,0)))),P26&lt;&gt;IF(COUNTIF('29_ゲート承認記録'!$F$4:$F$83,B26)&lt;&gt;1,"参照ID不正",IF(INDEX('29_ゲート承認記録'!$U$4:$U$83,MATCH(B26,'29_ゲート承認記録'!$F$4:$F$83,0))="","",INDEX('29_ゲート承認記録'!$U$4:$U$83,MATCH(B26,'29_ゲート承認記録'!$F$4:$F$83,0))))),"条件対象不一致",IF(OR(H26="法的禁止",H26="重大未対策"),"条件化不可・停止",IF(I26="解消",IF(OR(J26="",L26="",L26=F26,COUNT(K26,M26)&lt;2),"解消確認不足",IF(OR(OR(AND(K26&lt;&gt;"",OR(NOT(ISNUMBER(K26)),IFERROR(K26&lt;1,TRUE),IFERROR(INT(K26)&gt;INT(AsOfDate),TRUE))),AND(M26&lt;&gt;"",OR(NOT(ISNUMBER(M26)),IFERROR(M26&lt;1,TRUE),IFERROR(INT(M26)&gt;INT(AsOfDate),TRUE)))),M26&lt;K26),"解消日時不正",IF(K26&gt;G26,"期限後解消・再承認要","解消確認済"))),IF(OR(I26="失効",I26="取消",G26&lt;AsOfDate),"失効・停止再審査",IF(AND(I26&lt;&gt;"未解消",I26&lt;&gt;"対応中"),"条件状態不正","期限内・制約継続")))))))))</f>
        <v/>
      </c>
      <c r="R26" s="32"/>
    </row>
    <row r="27" spans="1:18" ht="64" customHeight="1" x14ac:dyDescent="0.2">
      <c r="A27" s="29"/>
      <c r="B27" s="29"/>
      <c r="C27" s="29"/>
      <c r="D27" s="29"/>
      <c r="E27" s="29"/>
      <c r="F27" s="29"/>
      <c r="G27" s="32"/>
      <c r="H27" s="29"/>
      <c r="I27" s="29"/>
      <c r="J27" s="29"/>
      <c r="K27" s="32"/>
      <c r="L27" s="29"/>
      <c r="M27" s="32"/>
      <c r="N27" s="29"/>
      <c r="O27" s="29"/>
      <c r="P27" s="29"/>
      <c r="Q27" s="28" t="str">
        <f>IF(A27="","",IF(COUNTIF($A$4:$A$83,A27)&lt;&gt;1,"Condition ID重複",IF(OR(OR(B27="",E27="",F27="",H27="",I27="",N27=""),NOT(ISNUMBER(G27))),"条件定義不足",IF(COUNTIF('29_ゲート承認記録'!$F$4:$F$83,B27)&lt;&gt;1,"GateRun不正",IF(OR(C27&lt;&gt;IF(COUNTIF('29_ゲート承認記録'!$F$4:$F$83,B27)&lt;&gt;1,"参照ID不正",IF(INDEX('29_ゲート承認記録'!$T$4:$T$83,MATCH(B27,'29_ゲート承認記録'!$F$4:$F$83,0))="","",INDEX('29_ゲート承認記録'!$T$4:$T$83,MATCH(B27,'29_ゲート承認記録'!$F$4:$F$83,0)))),P27&lt;&gt;IF(COUNTIF('29_ゲート承認記録'!$F$4:$F$83,B27)&lt;&gt;1,"参照ID不正",IF(INDEX('29_ゲート承認記録'!$U$4:$U$83,MATCH(B27,'29_ゲート承認記録'!$F$4:$F$83,0))="","",INDEX('29_ゲート承認記録'!$U$4:$U$83,MATCH(B27,'29_ゲート承認記録'!$F$4:$F$83,0))))),"条件対象不一致",IF(OR(H27="法的禁止",H27="重大未対策"),"条件化不可・停止",IF(I27="解消",IF(OR(J27="",L27="",L27=F27,COUNT(K27,M27)&lt;2),"解消確認不足",IF(OR(OR(AND(K27&lt;&gt;"",OR(NOT(ISNUMBER(K27)),IFERROR(K27&lt;1,TRUE),IFERROR(INT(K27)&gt;INT(AsOfDate),TRUE))),AND(M27&lt;&gt;"",OR(NOT(ISNUMBER(M27)),IFERROR(M27&lt;1,TRUE),IFERROR(INT(M27)&gt;INT(AsOfDate),TRUE)))),M27&lt;K27),"解消日時不正",IF(K27&gt;G27,"期限後解消・再承認要","解消確認済"))),IF(OR(I27="失効",I27="取消",G27&lt;AsOfDate),"失効・停止再審査",IF(AND(I27&lt;&gt;"未解消",I27&lt;&gt;"対応中"),"条件状態不正","期限内・制約継続")))))))))</f>
        <v/>
      </c>
      <c r="R27" s="32"/>
    </row>
    <row r="28" spans="1:18" ht="64" customHeight="1" x14ac:dyDescent="0.2">
      <c r="A28" s="29"/>
      <c r="B28" s="29"/>
      <c r="C28" s="29"/>
      <c r="D28" s="29"/>
      <c r="E28" s="29"/>
      <c r="F28" s="29"/>
      <c r="G28" s="32"/>
      <c r="H28" s="29"/>
      <c r="I28" s="29"/>
      <c r="J28" s="29"/>
      <c r="K28" s="32"/>
      <c r="L28" s="29"/>
      <c r="M28" s="32"/>
      <c r="N28" s="29"/>
      <c r="O28" s="29"/>
      <c r="P28" s="29"/>
      <c r="Q28" s="28" t="str">
        <f>IF(A28="","",IF(COUNTIF($A$4:$A$83,A28)&lt;&gt;1,"Condition ID重複",IF(OR(OR(B28="",E28="",F28="",H28="",I28="",N28=""),NOT(ISNUMBER(G28))),"条件定義不足",IF(COUNTIF('29_ゲート承認記録'!$F$4:$F$83,B28)&lt;&gt;1,"GateRun不正",IF(OR(C28&lt;&gt;IF(COUNTIF('29_ゲート承認記録'!$F$4:$F$83,B28)&lt;&gt;1,"参照ID不正",IF(INDEX('29_ゲート承認記録'!$T$4:$T$83,MATCH(B28,'29_ゲート承認記録'!$F$4:$F$83,0))="","",INDEX('29_ゲート承認記録'!$T$4:$T$83,MATCH(B28,'29_ゲート承認記録'!$F$4:$F$83,0)))),P28&lt;&gt;IF(COUNTIF('29_ゲート承認記録'!$F$4:$F$83,B28)&lt;&gt;1,"参照ID不正",IF(INDEX('29_ゲート承認記録'!$U$4:$U$83,MATCH(B28,'29_ゲート承認記録'!$F$4:$F$83,0))="","",INDEX('29_ゲート承認記録'!$U$4:$U$83,MATCH(B28,'29_ゲート承認記録'!$F$4:$F$83,0))))),"条件対象不一致",IF(OR(H28="法的禁止",H28="重大未対策"),"条件化不可・停止",IF(I28="解消",IF(OR(J28="",L28="",L28=F28,COUNT(K28,M28)&lt;2),"解消確認不足",IF(OR(OR(AND(K28&lt;&gt;"",OR(NOT(ISNUMBER(K28)),IFERROR(K28&lt;1,TRUE),IFERROR(INT(K28)&gt;INT(AsOfDate),TRUE))),AND(M28&lt;&gt;"",OR(NOT(ISNUMBER(M28)),IFERROR(M28&lt;1,TRUE),IFERROR(INT(M28)&gt;INT(AsOfDate),TRUE)))),M28&lt;K28),"解消日時不正",IF(K28&gt;G28,"期限後解消・再承認要","解消確認済"))),IF(OR(I28="失効",I28="取消",G28&lt;AsOfDate),"失効・停止再審査",IF(AND(I28&lt;&gt;"未解消",I28&lt;&gt;"対応中"),"条件状態不正","期限内・制約継続")))))))))</f>
        <v/>
      </c>
      <c r="R28" s="32"/>
    </row>
    <row r="29" spans="1:18" ht="64" customHeight="1" x14ac:dyDescent="0.2">
      <c r="A29" s="29"/>
      <c r="B29" s="29"/>
      <c r="C29" s="29"/>
      <c r="D29" s="29"/>
      <c r="E29" s="29"/>
      <c r="F29" s="29"/>
      <c r="G29" s="32"/>
      <c r="H29" s="29"/>
      <c r="I29" s="29"/>
      <c r="J29" s="29"/>
      <c r="K29" s="32"/>
      <c r="L29" s="29"/>
      <c r="M29" s="32"/>
      <c r="N29" s="29"/>
      <c r="O29" s="29"/>
      <c r="P29" s="29"/>
      <c r="Q29" s="28" t="str">
        <f>IF(A29="","",IF(COUNTIF($A$4:$A$83,A29)&lt;&gt;1,"Condition ID重複",IF(OR(OR(B29="",E29="",F29="",H29="",I29="",N29=""),NOT(ISNUMBER(G29))),"条件定義不足",IF(COUNTIF('29_ゲート承認記録'!$F$4:$F$83,B29)&lt;&gt;1,"GateRun不正",IF(OR(C29&lt;&gt;IF(COUNTIF('29_ゲート承認記録'!$F$4:$F$83,B29)&lt;&gt;1,"参照ID不正",IF(INDEX('29_ゲート承認記録'!$T$4:$T$83,MATCH(B29,'29_ゲート承認記録'!$F$4:$F$83,0))="","",INDEX('29_ゲート承認記録'!$T$4:$T$83,MATCH(B29,'29_ゲート承認記録'!$F$4:$F$83,0)))),P29&lt;&gt;IF(COUNTIF('29_ゲート承認記録'!$F$4:$F$83,B29)&lt;&gt;1,"参照ID不正",IF(INDEX('29_ゲート承認記録'!$U$4:$U$83,MATCH(B29,'29_ゲート承認記録'!$F$4:$F$83,0))="","",INDEX('29_ゲート承認記録'!$U$4:$U$83,MATCH(B29,'29_ゲート承認記録'!$F$4:$F$83,0))))),"条件対象不一致",IF(OR(H29="法的禁止",H29="重大未対策"),"条件化不可・停止",IF(I29="解消",IF(OR(J29="",L29="",L29=F29,COUNT(K29,M29)&lt;2),"解消確認不足",IF(OR(OR(AND(K29&lt;&gt;"",OR(NOT(ISNUMBER(K29)),IFERROR(K29&lt;1,TRUE),IFERROR(INT(K29)&gt;INT(AsOfDate),TRUE))),AND(M29&lt;&gt;"",OR(NOT(ISNUMBER(M29)),IFERROR(M29&lt;1,TRUE),IFERROR(INT(M29)&gt;INT(AsOfDate),TRUE)))),M29&lt;K29),"解消日時不正",IF(K29&gt;G29,"期限後解消・再承認要","解消確認済"))),IF(OR(I29="失効",I29="取消",G29&lt;AsOfDate),"失効・停止再審査",IF(AND(I29&lt;&gt;"未解消",I29&lt;&gt;"対応中"),"条件状態不正","期限内・制約継続")))))))))</f>
        <v/>
      </c>
      <c r="R29" s="32"/>
    </row>
    <row r="30" spans="1:18" ht="64" customHeight="1" x14ac:dyDescent="0.2">
      <c r="A30" s="29"/>
      <c r="B30" s="29"/>
      <c r="C30" s="29"/>
      <c r="D30" s="29"/>
      <c r="E30" s="29"/>
      <c r="F30" s="29"/>
      <c r="G30" s="32"/>
      <c r="H30" s="29"/>
      <c r="I30" s="29"/>
      <c r="J30" s="29"/>
      <c r="K30" s="32"/>
      <c r="L30" s="29"/>
      <c r="M30" s="32"/>
      <c r="N30" s="29"/>
      <c r="O30" s="29"/>
      <c r="P30" s="29"/>
      <c r="Q30" s="28" t="str">
        <f>IF(A30="","",IF(COUNTIF($A$4:$A$83,A30)&lt;&gt;1,"Condition ID重複",IF(OR(OR(B30="",E30="",F30="",H30="",I30="",N30=""),NOT(ISNUMBER(G30))),"条件定義不足",IF(COUNTIF('29_ゲート承認記録'!$F$4:$F$83,B30)&lt;&gt;1,"GateRun不正",IF(OR(C30&lt;&gt;IF(COUNTIF('29_ゲート承認記録'!$F$4:$F$83,B30)&lt;&gt;1,"参照ID不正",IF(INDEX('29_ゲート承認記録'!$T$4:$T$83,MATCH(B30,'29_ゲート承認記録'!$F$4:$F$83,0))="","",INDEX('29_ゲート承認記録'!$T$4:$T$83,MATCH(B30,'29_ゲート承認記録'!$F$4:$F$83,0)))),P30&lt;&gt;IF(COUNTIF('29_ゲート承認記録'!$F$4:$F$83,B30)&lt;&gt;1,"参照ID不正",IF(INDEX('29_ゲート承認記録'!$U$4:$U$83,MATCH(B30,'29_ゲート承認記録'!$F$4:$F$83,0))="","",INDEX('29_ゲート承認記録'!$U$4:$U$83,MATCH(B30,'29_ゲート承認記録'!$F$4:$F$83,0))))),"条件対象不一致",IF(OR(H30="法的禁止",H30="重大未対策"),"条件化不可・停止",IF(I30="解消",IF(OR(J30="",L30="",L30=F30,COUNT(K30,M30)&lt;2),"解消確認不足",IF(OR(OR(AND(K30&lt;&gt;"",OR(NOT(ISNUMBER(K30)),IFERROR(K30&lt;1,TRUE),IFERROR(INT(K30)&gt;INT(AsOfDate),TRUE))),AND(M30&lt;&gt;"",OR(NOT(ISNUMBER(M30)),IFERROR(M30&lt;1,TRUE),IFERROR(INT(M30)&gt;INT(AsOfDate),TRUE)))),M30&lt;K30),"解消日時不正",IF(K30&gt;G30,"期限後解消・再承認要","解消確認済"))),IF(OR(I30="失効",I30="取消",G30&lt;AsOfDate),"失効・停止再審査",IF(AND(I30&lt;&gt;"未解消",I30&lt;&gt;"対応中"),"条件状態不正","期限内・制約継続")))))))))</f>
        <v/>
      </c>
      <c r="R30" s="32"/>
    </row>
    <row r="31" spans="1:18" ht="64" customHeight="1" x14ac:dyDescent="0.2">
      <c r="A31" s="29"/>
      <c r="B31" s="29"/>
      <c r="C31" s="29"/>
      <c r="D31" s="29"/>
      <c r="E31" s="29"/>
      <c r="F31" s="29"/>
      <c r="G31" s="32"/>
      <c r="H31" s="29"/>
      <c r="I31" s="29"/>
      <c r="J31" s="29"/>
      <c r="K31" s="32"/>
      <c r="L31" s="29"/>
      <c r="M31" s="32"/>
      <c r="N31" s="29"/>
      <c r="O31" s="29"/>
      <c r="P31" s="29"/>
      <c r="Q31" s="28" t="str">
        <f>IF(A31="","",IF(COUNTIF($A$4:$A$83,A31)&lt;&gt;1,"Condition ID重複",IF(OR(OR(B31="",E31="",F31="",H31="",I31="",N31=""),NOT(ISNUMBER(G31))),"条件定義不足",IF(COUNTIF('29_ゲート承認記録'!$F$4:$F$83,B31)&lt;&gt;1,"GateRun不正",IF(OR(C31&lt;&gt;IF(COUNTIF('29_ゲート承認記録'!$F$4:$F$83,B31)&lt;&gt;1,"参照ID不正",IF(INDEX('29_ゲート承認記録'!$T$4:$T$83,MATCH(B31,'29_ゲート承認記録'!$F$4:$F$83,0))="","",INDEX('29_ゲート承認記録'!$T$4:$T$83,MATCH(B31,'29_ゲート承認記録'!$F$4:$F$83,0)))),P31&lt;&gt;IF(COUNTIF('29_ゲート承認記録'!$F$4:$F$83,B31)&lt;&gt;1,"参照ID不正",IF(INDEX('29_ゲート承認記録'!$U$4:$U$83,MATCH(B31,'29_ゲート承認記録'!$F$4:$F$83,0))="","",INDEX('29_ゲート承認記録'!$U$4:$U$83,MATCH(B31,'29_ゲート承認記録'!$F$4:$F$83,0))))),"条件対象不一致",IF(OR(H31="法的禁止",H31="重大未対策"),"条件化不可・停止",IF(I31="解消",IF(OR(J31="",L31="",L31=F31,COUNT(K31,M31)&lt;2),"解消確認不足",IF(OR(OR(AND(K31&lt;&gt;"",OR(NOT(ISNUMBER(K31)),IFERROR(K31&lt;1,TRUE),IFERROR(INT(K31)&gt;INT(AsOfDate),TRUE))),AND(M31&lt;&gt;"",OR(NOT(ISNUMBER(M31)),IFERROR(M31&lt;1,TRUE),IFERROR(INT(M31)&gt;INT(AsOfDate),TRUE)))),M31&lt;K31),"解消日時不正",IF(K31&gt;G31,"期限後解消・再承認要","解消確認済"))),IF(OR(I31="失効",I31="取消",G31&lt;AsOfDate),"失効・停止再審査",IF(AND(I31&lt;&gt;"未解消",I31&lt;&gt;"対応中"),"条件状態不正","期限内・制約継続")))))))))</f>
        <v/>
      </c>
      <c r="R31" s="32"/>
    </row>
    <row r="32" spans="1:18" ht="64" customHeight="1" x14ac:dyDescent="0.2">
      <c r="A32" s="29"/>
      <c r="B32" s="29"/>
      <c r="C32" s="29"/>
      <c r="D32" s="29"/>
      <c r="E32" s="29"/>
      <c r="F32" s="29"/>
      <c r="G32" s="32"/>
      <c r="H32" s="29"/>
      <c r="I32" s="29"/>
      <c r="J32" s="29"/>
      <c r="K32" s="32"/>
      <c r="L32" s="29"/>
      <c r="M32" s="32"/>
      <c r="N32" s="29"/>
      <c r="O32" s="29"/>
      <c r="P32" s="29"/>
      <c r="Q32" s="28" t="str">
        <f>IF(A32="","",IF(COUNTIF($A$4:$A$83,A32)&lt;&gt;1,"Condition ID重複",IF(OR(OR(B32="",E32="",F32="",H32="",I32="",N32=""),NOT(ISNUMBER(G32))),"条件定義不足",IF(COUNTIF('29_ゲート承認記録'!$F$4:$F$83,B32)&lt;&gt;1,"GateRun不正",IF(OR(C32&lt;&gt;IF(COUNTIF('29_ゲート承認記録'!$F$4:$F$83,B32)&lt;&gt;1,"参照ID不正",IF(INDEX('29_ゲート承認記録'!$T$4:$T$83,MATCH(B32,'29_ゲート承認記録'!$F$4:$F$83,0))="","",INDEX('29_ゲート承認記録'!$T$4:$T$83,MATCH(B32,'29_ゲート承認記録'!$F$4:$F$83,0)))),P32&lt;&gt;IF(COUNTIF('29_ゲート承認記録'!$F$4:$F$83,B32)&lt;&gt;1,"参照ID不正",IF(INDEX('29_ゲート承認記録'!$U$4:$U$83,MATCH(B32,'29_ゲート承認記録'!$F$4:$F$83,0))="","",INDEX('29_ゲート承認記録'!$U$4:$U$83,MATCH(B32,'29_ゲート承認記録'!$F$4:$F$83,0))))),"条件対象不一致",IF(OR(H32="法的禁止",H32="重大未対策"),"条件化不可・停止",IF(I32="解消",IF(OR(J32="",L32="",L32=F32,COUNT(K32,M32)&lt;2),"解消確認不足",IF(OR(OR(AND(K32&lt;&gt;"",OR(NOT(ISNUMBER(K32)),IFERROR(K32&lt;1,TRUE),IFERROR(INT(K32)&gt;INT(AsOfDate),TRUE))),AND(M32&lt;&gt;"",OR(NOT(ISNUMBER(M32)),IFERROR(M32&lt;1,TRUE),IFERROR(INT(M32)&gt;INT(AsOfDate),TRUE)))),M32&lt;K32),"解消日時不正",IF(K32&gt;G32,"期限後解消・再承認要","解消確認済"))),IF(OR(I32="失効",I32="取消",G32&lt;AsOfDate),"失効・停止再審査",IF(AND(I32&lt;&gt;"未解消",I32&lt;&gt;"対応中"),"条件状態不正","期限内・制約継続")))))))))</f>
        <v/>
      </c>
      <c r="R32" s="32"/>
    </row>
    <row r="33" spans="1:18" ht="64" customHeight="1" x14ac:dyDescent="0.2">
      <c r="A33" s="29"/>
      <c r="B33" s="29"/>
      <c r="C33" s="29"/>
      <c r="D33" s="29"/>
      <c r="E33" s="29"/>
      <c r="F33" s="29"/>
      <c r="G33" s="32"/>
      <c r="H33" s="29"/>
      <c r="I33" s="29"/>
      <c r="J33" s="29"/>
      <c r="K33" s="32"/>
      <c r="L33" s="29"/>
      <c r="M33" s="32"/>
      <c r="N33" s="29"/>
      <c r="O33" s="29"/>
      <c r="P33" s="29"/>
      <c r="Q33" s="28" t="str">
        <f>IF(A33="","",IF(COUNTIF($A$4:$A$83,A33)&lt;&gt;1,"Condition ID重複",IF(OR(OR(B33="",E33="",F33="",H33="",I33="",N33=""),NOT(ISNUMBER(G33))),"条件定義不足",IF(COUNTIF('29_ゲート承認記録'!$F$4:$F$83,B33)&lt;&gt;1,"GateRun不正",IF(OR(C33&lt;&gt;IF(COUNTIF('29_ゲート承認記録'!$F$4:$F$83,B33)&lt;&gt;1,"参照ID不正",IF(INDEX('29_ゲート承認記録'!$T$4:$T$83,MATCH(B33,'29_ゲート承認記録'!$F$4:$F$83,0))="","",INDEX('29_ゲート承認記録'!$T$4:$T$83,MATCH(B33,'29_ゲート承認記録'!$F$4:$F$83,0)))),P33&lt;&gt;IF(COUNTIF('29_ゲート承認記録'!$F$4:$F$83,B33)&lt;&gt;1,"参照ID不正",IF(INDEX('29_ゲート承認記録'!$U$4:$U$83,MATCH(B33,'29_ゲート承認記録'!$F$4:$F$83,0))="","",INDEX('29_ゲート承認記録'!$U$4:$U$83,MATCH(B33,'29_ゲート承認記録'!$F$4:$F$83,0))))),"条件対象不一致",IF(OR(H33="法的禁止",H33="重大未対策"),"条件化不可・停止",IF(I33="解消",IF(OR(J33="",L33="",L33=F33,COUNT(K33,M33)&lt;2),"解消確認不足",IF(OR(OR(AND(K33&lt;&gt;"",OR(NOT(ISNUMBER(K33)),IFERROR(K33&lt;1,TRUE),IFERROR(INT(K33)&gt;INT(AsOfDate),TRUE))),AND(M33&lt;&gt;"",OR(NOT(ISNUMBER(M33)),IFERROR(M33&lt;1,TRUE),IFERROR(INT(M33)&gt;INT(AsOfDate),TRUE)))),M33&lt;K33),"解消日時不正",IF(K33&gt;G33,"期限後解消・再承認要","解消確認済"))),IF(OR(I33="失効",I33="取消",G33&lt;AsOfDate),"失効・停止再審査",IF(AND(I33&lt;&gt;"未解消",I33&lt;&gt;"対応中"),"条件状態不正","期限内・制約継続")))))))))</f>
        <v/>
      </c>
      <c r="R33" s="32"/>
    </row>
    <row r="34" spans="1:18" ht="64" customHeight="1" x14ac:dyDescent="0.2">
      <c r="A34" s="29"/>
      <c r="B34" s="29"/>
      <c r="C34" s="29"/>
      <c r="D34" s="29"/>
      <c r="E34" s="29"/>
      <c r="F34" s="29"/>
      <c r="G34" s="32"/>
      <c r="H34" s="29"/>
      <c r="I34" s="29"/>
      <c r="J34" s="29"/>
      <c r="K34" s="32"/>
      <c r="L34" s="29"/>
      <c r="M34" s="32"/>
      <c r="N34" s="29"/>
      <c r="O34" s="29"/>
      <c r="P34" s="29"/>
      <c r="Q34" s="28" t="str">
        <f>IF(A34="","",IF(COUNTIF($A$4:$A$83,A34)&lt;&gt;1,"Condition ID重複",IF(OR(OR(B34="",E34="",F34="",H34="",I34="",N34=""),NOT(ISNUMBER(G34))),"条件定義不足",IF(COUNTIF('29_ゲート承認記録'!$F$4:$F$83,B34)&lt;&gt;1,"GateRun不正",IF(OR(C34&lt;&gt;IF(COUNTIF('29_ゲート承認記録'!$F$4:$F$83,B34)&lt;&gt;1,"参照ID不正",IF(INDEX('29_ゲート承認記録'!$T$4:$T$83,MATCH(B34,'29_ゲート承認記録'!$F$4:$F$83,0))="","",INDEX('29_ゲート承認記録'!$T$4:$T$83,MATCH(B34,'29_ゲート承認記録'!$F$4:$F$83,0)))),P34&lt;&gt;IF(COUNTIF('29_ゲート承認記録'!$F$4:$F$83,B34)&lt;&gt;1,"参照ID不正",IF(INDEX('29_ゲート承認記録'!$U$4:$U$83,MATCH(B34,'29_ゲート承認記録'!$F$4:$F$83,0))="","",INDEX('29_ゲート承認記録'!$U$4:$U$83,MATCH(B34,'29_ゲート承認記録'!$F$4:$F$83,0))))),"条件対象不一致",IF(OR(H34="法的禁止",H34="重大未対策"),"条件化不可・停止",IF(I34="解消",IF(OR(J34="",L34="",L34=F34,COUNT(K34,M34)&lt;2),"解消確認不足",IF(OR(OR(AND(K34&lt;&gt;"",OR(NOT(ISNUMBER(K34)),IFERROR(K34&lt;1,TRUE),IFERROR(INT(K34)&gt;INT(AsOfDate),TRUE))),AND(M34&lt;&gt;"",OR(NOT(ISNUMBER(M34)),IFERROR(M34&lt;1,TRUE),IFERROR(INT(M34)&gt;INT(AsOfDate),TRUE)))),M34&lt;K34),"解消日時不正",IF(K34&gt;G34,"期限後解消・再承認要","解消確認済"))),IF(OR(I34="失効",I34="取消",G34&lt;AsOfDate),"失効・停止再審査",IF(AND(I34&lt;&gt;"未解消",I34&lt;&gt;"対応中"),"条件状態不正","期限内・制約継続")))))))))</f>
        <v/>
      </c>
      <c r="R34" s="32"/>
    </row>
    <row r="35" spans="1:18" ht="64" customHeight="1" x14ac:dyDescent="0.2">
      <c r="A35" s="29"/>
      <c r="B35" s="29"/>
      <c r="C35" s="29"/>
      <c r="D35" s="29"/>
      <c r="E35" s="29"/>
      <c r="F35" s="29"/>
      <c r="G35" s="32"/>
      <c r="H35" s="29"/>
      <c r="I35" s="29"/>
      <c r="J35" s="29"/>
      <c r="K35" s="32"/>
      <c r="L35" s="29"/>
      <c r="M35" s="32"/>
      <c r="N35" s="29"/>
      <c r="O35" s="29"/>
      <c r="P35" s="29"/>
      <c r="Q35" s="28" t="str">
        <f>IF(A35="","",IF(COUNTIF($A$4:$A$83,A35)&lt;&gt;1,"Condition ID重複",IF(OR(OR(B35="",E35="",F35="",H35="",I35="",N35=""),NOT(ISNUMBER(G35))),"条件定義不足",IF(COUNTIF('29_ゲート承認記録'!$F$4:$F$83,B35)&lt;&gt;1,"GateRun不正",IF(OR(C35&lt;&gt;IF(COUNTIF('29_ゲート承認記録'!$F$4:$F$83,B35)&lt;&gt;1,"参照ID不正",IF(INDEX('29_ゲート承認記録'!$T$4:$T$83,MATCH(B35,'29_ゲート承認記録'!$F$4:$F$83,0))="","",INDEX('29_ゲート承認記録'!$T$4:$T$83,MATCH(B35,'29_ゲート承認記録'!$F$4:$F$83,0)))),P35&lt;&gt;IF(COUNTIF('29_ゲート承認記録'!$F$4:$F$83,B35)&lt;&gt;1,"参照ID不正",IF(INDEX('29_ゲート承認記録'!$U$4:$U$83,MATCH(B35,'29_ゲート承認記録'!$F$4:$F$83,0))="","",INDEX('29_ゲート承認記録'!$U$4:$U$83,MATCH(B35,'29_ゲート承認記録'!$F$4:$F$83,0))))),"条件対象不一致",IF(OR(H35="法的禁止",H35="重大未対策"),"条件化不可・停止",IF(I35="解消",IF(OR(J35="",L35="",L35=F35,COUNT(K35,M35)&lt;2),"解消確認不足",IF(OR(OR(AND(K35&lt;&gt;"",OR(NOT(ISNUMBER(K35)),IFERROR(K35&lt;1,TRUE),IFERROR(INT(K35)&gt;INT(AsOfDate),TRUE))),AND(M35&lt;&gt;"",OR(NOT(ISNUMBER(M35)),IFERROR(M35&lt;1,TRUE),IFERROR(INT(M35)&gt;INT(AsOfDate),TRUE)))),M35&lt;K35),"解消日時不正",IF(K35&gt;G35,"期限後解消・再承認要","解消確認済"))),IF(OR(I35="失効",I35="取消",G35&lt;AsOfDate),"失効・停止再審査",IF(AND(I35&lt;&gt;"未解消",I35&lt;&gt;"対応中"),"条件状態不正","期限内・制約継続")))))))))</f>
        <v/>
      </c>
      <c r="R35" s="32"/>
    </row>
    <row r="36" spans="1:18" ht="64" customHeight="1" x14ac:dyDescent="0.2">
      <c r="A36" s="29"/>
      <c r="B36" s="29"/>
      <c r="C36" s="29"/>
      <c r="D36" s="29"/>
      <c r="E36" s="29"/>
      <c r="F36" s="29"/>
      <c r="G36" s="32"/>
      <c r="H36" s="29"/>
      <c r="I36" s="29"/>
      <c r="J36" s="29"/>
      <c r="K36" s="32"/>
      <c r="L36" s="29"/>
      <c r="M36" s="32"/>
      <c r="N36" s="29"/>
      <c r="O36" s="29"/>
      <c r="P36" s="29"/>
      <c r="Q36" s="28" t="str">
        <f>IF(A36="","",IF(COUNTIF($A$4:$A$83,A36)&lt;&gt;1,"Condition ID重複",IF(OR(OR(B36="",E36="",F36="",H36="",I36="",N36=""),NOT(ISNUMBER(G36))),"条件定義不足",IF(COUNTIF('29_ゲート承認記録'!$F$4:$F$83,B36)&lt;&gt;1,"GateRun不正",IF(OR(C36&lt;&gt;IF(COUNTIF('29_ゲート承認記録'!$F$4:$F$83,B36)&lt;&gt;1,"参照ID不正",IF(INDEX('29_ゲート承認記録'!$T$4:$T$83,MATCH(B36,'29_ゲート承認記録'!$F$4:$F$83,0))="","",INDEX('29_ゲート承認記録'!$T$4:$T$83,MATCH(B36,'29_ゲート承認記録'!$F$4:$F$83,0)))),P36&lt;&gt;IF(COUNTIF('29_ゲート承認記録'!$F$4:$F$83,B36)&lt;&gt;1,"参照ID不正",IF(INDEX('29_ゲート承認記録'!$U$4:$U$83,MATCH(B36,'29_ゲート承認記録'!$F$4:$F$83,0))="","",INDEX('29_ゲート承認記録'!$U$4:$U$83,MATCH(B36,'29_ゲート承認記録'!$F$4:$F$83,0))))),"条件対象不一致",IF(OR(H36="法的禁止",H36="重大未対策"),"条件化不可・停止",IF(I36="解消",IF(OR(J36="",L36="",L36=F36,COUNT(K36,M36)&lt;2),"解消確認不足",IF(OR(OR(AND(K36&lt;&gt;"",OR(NOT(ISNUMBER(K36)),IFERROR(K36&lt;1,TRUE),IFERROR(INT(K36)&gt;INT(AsOfDate),TRUE))),AND(M36&lt;&gt;"",OR(NOT(ISNUMBER(M36)),IFERROR(M36&lt;1,TRUE),IFERROR(INT(M36)&gt;INT(AsOfDate),TRUE)))),M36&lt;K36),"解消日時不正",IF(K36&gt;G36,"期限後解消・再承認要","解消確認済"))),IF(OR(I36="失効",I36="取消",G36&lt;AsOfDate),"失効・停止再審査",IF(AND(I36&lt;&gt;"未解消",I36&lt;&gt;"対応中"),"条件状態不正","期限内・制約継続")))))))))</f>
        <v/>
      </c>
      <c r="R36" s="32"/>
    </row>
    <row r="37" spans="1:18" ht="64" customHeight="1" x14ac:dyDescent="0.2">
      <c r="A37" s="29"/>
      <c r="B37" s="29"/>
      <c r="C37" s="29"/>
      <c r="D37" s="29"/>
      <c r="E37" s="29"/>
      <c r="F37" s="29"/>
      <c r="G37" s="32"/>
      <c r="H37" s="29"/>
      <c r="I37" s="29"/>
      <c r="J37" s="29"/>
      <c r="K37" s="32"/>
      <c r="L37" s="29"/>
      <c r="M37" s="32"/>
      <c r="N37" s="29"/>
      <c r="O37" s="29"/>
      <c r="P37" s="29"/>
      <c r="Q37" s="28" t="str">
        <f>IF(A37="","",IF(COUNTIF($A$4:$A$83,A37)&lt;&gt;1,"Condition ID重複",IF(OR(OR(B37="",E37="",F37="",H37="",I37="",N37=""),NOT(ISNUMBER(G37))),"条件定義不足",IF(COUNTIF('29_ゲート承認記録'!$F$4:$F$83,B37)&lt;&gt;1,"GateRun不正",IF(OR(C37&lt;&gt;IF(COUNTIF('29_ゲート承認記録'!$F$4:$F$83,B37)&lt;&gt;1,"参照ID不正",IF(INDEX('29_ゲート承認記録'!$T$4:$T$83,MATCH(B37,'29_ゲート承認記録'!$F$4:$F$83,0))="","",INDEX('29_ゲート承認記録'!$T$4:$T$83,MATCH(B37,'29_ゲート承認記録'!$F$4:$F$83,0)))),P37&lt;&gt;IF(COUNTIF('29_ゲート承認記録'!$F$4:$F$83,B37)&lt;&gt;1,"参照ID不正",IF(INDEX('29_ゲート承認記録'!$U$4:$U$83,MATCH(B37,'29_ゲート承認記録'!$F$4:$F$83,0))="","",INDEX('29_ゲート承認記録'!$U$4:$U$83,MATCH(B37,'29_ゲート承認記録'!$F$4:$F$83,0))))),"条件対象不一致",IF(OR(H37="法的禁止",H37="重大未対策"),"条件化不可・停止",IF(I37="解消",IF(OR(J37="",L37="",L37=F37,COUNT(K37,M37)&lt;2),"解消確認不足",IF(OR(OR(AND(K37&lt;&gt;"",OR(NOT(ISNUMBER(K37)),IFERROR(K37&lt;1,TRUE),IFERROR(INT(K37)&gt;INT(AsOfDate),TRUE))),AND(M37&lt;&gt;"",OR(NOT(ISNUMBER(M37)),IFERROR(M37&lt;1,TRUE),IFERROR(INT(M37)&gt;INT(AsOfDate),TRUE)))),M37&lt;K37),"解消日時不正",IF(K37&gt;G37,"期限後解消・再承認要","解消確認済"))),IF(OR(I37="失効",I37="取消",G37&lt;AsOfDate),"失効・停止再審査",IF(AND(I37&lt;&gt;"未解消",I37&lt;&gt;"対応中"),"条件状態不正","期限内・制約継続")))))))))</f>
        <v/>
      </c>
      <c r="R37" s="32"/>
    </row>
    <row r="38" spans="1:18" ht="64" customHeight="1" x14ac:dyDescent="0.2">
      <c r="A38" s="29"/>
      <c r="B38" s="29"/>
      <c r="C38" s="29"/>
      <c r="D38" s="29"/>
      <c r="E38" s="29"/>
      <c r="F38" s="29"/>
      <c r="G38" s="32"/>
      <c r="H38" s="29"/>
      <c r="I38" s="29"/>
      <c r="J38" s="29"/>
      <c r="K38" s="32"/>
      <c r="L38" s="29"/>
      <c r="M38" s="32"/>
      <c r="N38" s="29"/>
      <c r="O38" s="29"/>
      <c r="P38" s="29"/>
      <c r="Q38" s="28" t="str">
        <f>IF(A38="","",IF(COUNTIF($A$4:$A$83,A38)&lt;&gt;1,"Condition ID重複",IF(OR(OR(B38="",E38="",F38="",H38="",I38="",N38=""),NOT(ISNUMBER(G38))),"条件定義不足",IF(COUNTIF('29_ゲート承認記録'!$F$4:$F$83,B38)&lt;&gt;1,"GateRun不正",IF(OR(C38&lt;&gt;IF(COUNTIF('29_ゲート承認記録'!$F$4:$F$83,B38)&lt;&gt;1,"参照ID不正",IF(INDEX('29_ゲート承認記録'!$T$4:$T$83,MATCH(B38,'29_ゲート承認記録'!$F$4:$F$83,0))="","",INDEX('29_ゲート承認記録'!$T$4:$T$83,MATCH(B38,'29_ゲート承認記録'!$F$4:$F$83,0)))),P38&lt;&gt;IF(COUNTIF('29_ゲート承認記録'!$F$4:$F$83,B38)&lt;&gt;1,"参照ID不正",IF(INDEX('29_ゲート承認記録'!$U$4:$U$83,MATCH(B38,'29_ゲート承認記録'!$F$4:$F$83,0))="","",INDEX('29_ゲート承認記録'!$U$4:$U$83,MATCH(B38,'29_ゲート承認記録'!$F$4:$F$83,0))))),"条件対象不一致",IF(OR(H38="法的禁止",H38="重大未対策"),"条件化不可・停止",IF(I38="解消",IF(OR(J38="",L38="",L38=F38,COUNT(K38,M38)&lt;2),"解消確認不足",IF(OR(OR(AND(K38&lt;&gt;"",OR(NOT(ISNUMBER(K38)),IFERROR(K38&lt;1,TRUE),IFERROR(INT(K38)&gt;INT(AsOfDate),TRUE))),AND(M38&lt;&gt;"",OR(NOT(ISNUMBER(M38)),IFERROR(M38&lt;1,TRUE),IFERROR(INT(M38)&gt;INT(AsOfDate),TRUE)))),M38&lt;K38),"解消日時不正",IF(K38&gt;G38,"期限後解消・再承認要","解消確認済"))),IF(OR(I38="失効",I38="取消",G38&lt;AsOfDate),"失効・停止再審査",IF(AND(I38&lt;&gt;"未解消",I38&lt;&gt;"対応中"),"条件状態不正","期限内・制約継続")))))))))</f>
        <v/>
      </c>
      <c r="R38" s="32"/>
    </row>
    <row r="39" spans="1:18" ht="64" customHeight="1" x14ac:dyDescent="0.2">
      <c r="A39" s="29"/>
      <c r="B39" s="29"/>
      <c r="C39" s="29"/>
      <c r="D39" s="29"/>
      <c r="E39" s="29"/>
      <c r="F39" s="29"/>
      <c r="G39" s="32"/>
      <c r="H39" s="29"/>
      <c r="I39" s="29"/>
      <c r="J39" s="29"/>
      <c r="K39" s="32"/>
      <c r="L39" s="29"/>
      <c r="M39" s="32"/>
      <c r="N39" s="29"/>
      <c r="O39" s="29"/>
      <c r="P39" s="29"/>
      <c r="Q39" s="28" t="str">
        <f>IF(A39="","",IF(COUNTIF($A$4:$A$83,A39)&lt;&gt;1,"Condition ID重複",IF(OR(OR(B39="",E39="",F39="",H39="",I39="",N39=""),NOT(ISNUMBER(G39))),"条件定義不足",IF(COUNTIF('29_ゲート承認記録'!$F$4:$F$83,B39)&lt;&gt;1,"GateRun不正",IF(OR(C39&lt;&gt;IF(COUNTIF('29_ゲート承認記録'!$F$4:$F$83,B39)&lt;&gt;1,"参照ID不正",IF(INDEX('29_ゲート承認記録'!$T$4:$T$83,MATCH(B39,'29_ゲート承認記録'!$F$4:$F$83,0))="","",INDEX('29_ゲート承認記録'!$T$4:$T$83,MATCH(B39,'29_ゲート承認記録'!$F$4:$F$83,0)))),P39&lt;&gt;IF(COUNTIF('29_ゲート承認記録'!$F$4:$F$83,B39)&lt;&gt;1,"参照ID不正",IF(INDEX('29_ゲート承認記録'!$U$4:$U$83,MATCH(B39,'29_ゲート承認記録'!$F$4:$F$83,0))="","",INDEX('29_ゲート承認記録'!$U$4:$U$83,MATCH(B39,'29_ゲート承認記録'!$F$4:$F$83,0))))),"条件対象不一致",IF(OR(H39="法的禁止",H39="重大未対策"),"条件化不可・停止",IF(I39="解消",IF(OR(J39="",L39="",L39=F39,COUNT(K39,M39)&lt;2),"解消確認不足",IF(OR(OR(AND(K39&lt;&gt;"",OR(NOT(ISNUMBER(K39)),IFERROR(K39&lt;1,TRUE),IFERROR(INT(K39)&gt;INT(AsOfDate),TRUE))),AND(M39&lt;&gt;"",OR(NOT(ISNUMBER(M39)),IFERROR(M39&lt;1,TRUE),IFERROR(INT(M39)&gt;INT(AsOfDate),TRUE)))),M39&lt;K39),"解消日時不正",IF(K39&gt;G39,"期限後解消・再承認要","解消確認済"))),IF(OR(I39="失効",I39="取消",G39&lt;AsOfDate),"失効・停止再審査",IF(AND(I39&lt;&gt;"未解消",I39&lt;&gt;"対応中"),"条件状態不正","期限内・制約継続")))))))))</f>
        <v/>
      </c>
      <c r="R39" s="32"/>
    </row>
    <row r="40" spans="1:18" ht="64" customHeight="1" x14ac:dyDescent="0.2">
      <c r="A40" s="29"/>
      <c r="B40" s="29"/>
      <c r="C40" s="29"/>
      <c r="D40" s="29"/>
      <c r="E40" s="29"/>
      <c r="F40" s="29"/>
      <c r="G40" s="32"/>
      <c r="H40" s="29"/>
      <c r="I40" s="29"/>
      <c r="J40" s="29"/>
      <c r="K40" s="32"/>
      <c r="L40" s="29"/>
      <c r="M40" s="32"/>
      <c r="N40" s="29"/>
      <c r="O40" s="29"/>
      <c r="P40" s="29"/>
      <c r="Q40" s="28" t="str">
        <f>IF(A40="","",IF(COUNTIF($A$4:$A$83,A40)&lt;&gt;1,"Condition ID重複",IF(OR(OR(B40="",E40="",F40="",H40="",I40="",N40=""),NOT(ISNUMBER(G40))),"条件定義不足",IF(COUNTIF('29_ゲート承認記録'!$F$4:$F$83,B40)&lt;&gt;1,"GateRun不正",IF(OR(C40&lt;&gt;IF(COUNTIF('29_ゲート承認記録'!$F$4:$F$83,B40)&lt;&gt;1,"参照ID不正",IF(INDEX('29_ゲート承認記録'!$T$4:$T$83,MATCH(B40,'29_ゲート承認記録'!$F$4:$F$83,0))="","",INDEX('29_ゲート承認記録'!$T$4:$T$83,MATCH(B40,'29_ゲート承認記録'!$F$4:$F$83,0)))),P40&lt;&gt;IF(COUNTIF('29_ゲート承認記録'!$F$4:$F$83,B40)&lt;&gt;1,"参照ID不正",IF(INDEX('29_ゲート承認記録'!$U$4:$U$83,MATCH(B40,'29_ゲート承認記録'!$F$4:$F$83,0))="","",INDEX('29_ゲート承認記録'!$U$4:$U$83,MATCH(B40,'29_ゲート承認記録'!$F$4:$F$83,0))))),"条件対象不一致",IF(OR(H40="法的禁止",H40="重大未対策"),"条件化不可・停止",IF(I40="解消",IF(OR(J40="",L40="",L40=F40,COUNT(K40,M40)&lt;2),"解消確認不足",IF(OR(OR(AND(K40&lt;&gt;"",OR(NOT(ISNUMBER(K40)),IFERROR(K40&lt;1,TRUE),IFERROR(INT(K40)&gt;INT(AsOfDate),TRUE))),AND(M40&lt;&gt;"",OR(NOT(ISNUMBER(M40)),IFERROR(M40&lt;1,TRUE),IFERROR(INT(M40)&gt;INT(AsOfDate),TRUE)))),M40&lt;K40),"解消日時不正",IF(K40&gt;G40,"期限後解消・再承認要","解消確認済"))),IF(OR(I40="失効",I40="取消",G40&lt;AsOfDate),"失効・停止再審査",IF(AND(I40&lt;&gt;"未解消",I40&lt;&gt;"対応中"),"条件状態不正","期限内・制約継続")))))))))</f>
        <v/>
      </c>
      <c r="R40" s="32"/>
    </row>
    <row r="41" spans="1:18" ht="64" customHeight="1" x14ac:dyDescent="0.2">
      <c r="A41" s="29"/>
      <c r="B41" s="29"/>
      <c r="C41" s="29"/>
      <c r="D41" s="29"/>
      <c r="E41" s="29"/>
      <c r="F41" s="29"/>
      <c r="G41" s="32"/>
      <c r="H41" s="29"/>
      <c r="I41" s="29"/>
      <c r="J41" s="29"/>
      <c r="K41" s="32"/>
      <c r="L41" s="29"/>
      <c r="M41" s="32"/>
      <c r="N41" s="29"/>
      <c r="O41" s="29"/>
      <c r="P41" s="29"/>
      <c r="Q41" s="28" t="str">
        <f>IF(A41="","",IF(COUNTIF($A$4:$A$83,A41)&lt;&gt;1,"Condition ID重複",IF(OR(OR(B41="",E41="",F41="",H41="",I41="",N41=""),NOT(ISNUMBER(G41))),"条件定義不足",IF(COUNTIF('29_ゲート承認記録'!$F$4:$F$83,B41)&lt;&gt;1,"GateRun不正",IF(OR(C41&lt;&gt;IF(COUNTIF('29_ゲート承認記録'!$F$4:$F$83,B41)&lt;&gt;1,"参照ID不正",IF(INDEX('29_ゲート承認記録'!$T$4:$T$83,MATCH(B41,'29_ゲート承認記録'!$F$4:$F$83,0))="","",INDEX('29_ゲート承認記録'!$T$4:$T$83,MATCH(B41,'29_ゲート承認記録'!$F$4:$F$83,0)))),P41&lt;&gt;IF(COUNTIF('29_ゲート承認記録'!$F$4:$F$83,B41)&lt;&gt;1,"参照ID不正",IF(INDEX('29_ゲート承認記録'!$U$4:$U$83,MATCH(B41,'29_ゲート承認記録'!$F$4:$F$83,0))="","",INDEX('29_ゲート承認記録'!$U$4:$U$83,MATCH(B41,'29_ゲート承認記録'!$F$4:$F$83,0))))),"条件対象不一致",IF(OR(H41="法的禁止",H41="重大未対策"),"条件化不可・停止",IF(I41="解消",IF(OR(J41="",L41="",L41=F41,COUNT(K41,M41)&lt;2),"解消確認不足",IF(OR(OR(AND(K41&lt;&gt;"",OR(NOT(ISNUMBER(K41)),IFERROR(K41&lt;1,TRUE),IFERROR(INT(K41)&gt;INT(AsOfDate),TRUE))),AND(M41&lt;&gt;"",OR(NOT(ISNUMBER(M41)),IFERROR(M41&lt;1,TRUE),IFERROR(INT(M41)&gt;INT(AsOfDate),TRUE)))),M41&lt;K41),"解消日時不正",IF(K41&gt;G41,"期限後解消・再承認要","解消確認済"))),IF(OR(I41="失効",I41="取消",G41&lt;AsOfDate),"失効・停止再審査",IF(AND(I41&lt;&gt;"未解消",I41&lt;&gt;"対応中"),"条件状態不正","期限内・制約継続")))))))))</f>
        <v/>
      </c>
      <c r="R41" s="32"/>
    </row>
    <row r="42" spans="1:18" ht="64" customHeight="1" x14ac:dyDescent="0.2">
      <c r="A42" s="29"/>
      <c r="B42" s="29"/>
      <c r="C42" s="29"/>
      <c r="D42" s="29"/>
      <c r="E42" s="29"/>
      <c r="F42" s="29"/>
      <c r="G42" s="32"/>
      <c r="H42" s="29"/>
      <c r="I42" s="29"/>
      <c r="J42" s="29"/>
      <c r="K42" s="32"/>
      <c r="L42" s="29"/>
      <c r="M42" s="32"/>
      <c r="N42" s="29"/>
      <c r="O42" s="29"/>
      <c r="P42" s="29"/>
      <c r="Q42" s="28" t="str">
        <f>IF(A42="","",IF(COUNTIF($A$4:$A$83,A42)&lt;&gt;1,"Condition ID重複",IF(OR(OR(B42="",E42="",F42="",H42="",I42="",N42=""),NOT(ISNUMBER(G42))),"条件定義不足",IF(COUNTIF('29_ゲート承認記録'!$F$4:$F$83,B42)&lt;&gt;1,"GateRun不正",IF(OR(C42&lt;&gt;IF(COUNTIF('29_ゲート承認記録'!$F$4:$F$83,B42)&lt;&gt;1,"参照ID不正",IF(INDEX('29_ゲート承認記録'!$T$4:$T$83,MATCH(B42,'29_ゲート承認記録'!$F$4:$F$83,0))="","",INDEX('29_ゲート承認記録'!$T$4:$T$83,MATCH(B42,'29_ゲート承認記録'!$F$4:$F$83,0)))),P42&lt;&gt;IF(COUNTIF('29_ゲート承認記録'!$F$4:$F$83,B42)&lt;&gt;1,"参照ID不正",IF(INDEX('29_ゲート承認記録'!$U$4:$U$83,MATCH(B42,'29_ゲート承認記録'!$F$4:$F$83,0))="","",INDEX('29_ゲート承認記録'!$U$4:$U$83,MATCH(B42,'29_ゲート承認記録'!$F$4:$F$83,0))))),"条件対象不一致",IF(OR(H42="法的禁止",H42="重大未対策"),"条件化不可・停止",IF(I42="解消",IF(OR(J42="",L42="",L42=F42,COUNT(K42,M42)&lt;2),"解消確認不足",IF(OR(OR(AND(K42&lt;&gt;"",OR(NOT(ISNUMBER(K42)),IFERROR(K42&lt;1,TRUE),IFERROR(INT(K42)&gt;INT(AsOfDate),TRUE))),AND(M42&lt;&gt;"",OR(NOT(ISNUMBER(M42)),IFERROR(M42&lt;1,TRUE),IFERROR(INT(M42)&gt;INT(AsOfDate),TRUE)))),M42&lt;K42),"解消日時不正",IF(K42&gt;G42,"期限後解消・再承認要","解消確認済"))),IF(OR(I42="失効",I42="取消",G42&lt;AsOfDate),"失効・停止再審査",IF(AND(I42&lt;&gt;"未解消",I42&lt;&gt;"対応中"),"条件状態不正","期限内・制約継続")))))))))</f>
        <v/>
      </c>
      <c r="R42" s="32"/>
    </row>
    <row r="43" spans="1:18" ht="64" customHeight="1" x14ac:dyDescent="0.2">
      <c r="A43" s="29"/>
      <c r="B43" s="29"/>
      <c r="C43" s="29"/>
      <c r="D43" s="29"/>
      <c r="E43" s="29"/>
      <c r="F43" s="29"/>
      <c r="G43" s="32"/>
      <c r="H43" s="29"/>
      <c r="I43" s="29"/>
      <c r="J43" s="29"/>
      <c r="K43" s="32"/>
      <c r="L43" s="29"/>
      <c r="M43" s="32"/>
      <c r="N43" s="29"/>
      <c r="O43" s="29"/>
      <c r="P43" s="29"/>
      <c r="Q43" s="28" t="str">
        <f>IF(A43="","",IF(COUNTIF($A$4:$A$83,A43)&lt;&gt;1,"Condition ID重複",IF(OR(OR(B43="",E43="",F43="",H43="",I43="",N43=""),NOT(ISNUMBER(G43))),"条件定義不足",IF(COUNTIF('29_ゲート承認記録'!$F$4:$F$83,B43)&lt;&gt;1,"GateRun不正",IF(OR(C43&lt;&gt;IF(COUNTIF('29_ゲート承認記録'!$F$4:$F$83,B43)&lt;&gt;1,"参照ID不正",IF(INDEX('29_ゲート承認記録'!$T$4:$T$83,MATCH(B43,'29_ゲート承認記録'!$F$4:$F$83,0))="","",INDEX('29_ゲート承認記録'!$T$4:$T$83,MATCH(B43,'29_ゲート承認記録'!$F$4:$F$83,0)))),P43&lt;&gt;IF(COUNTIF('29_ゲート承認記録'!$F$4:$F$83,B43)&lt;&gt;1,"参照ID不正",IF(INDEX('29_ゲート承認記録'!$U$4:$U$83,MATCH(B43,'29_ゲート承認記録'!$F$4:$F$83,0))="","",INDEX('29_ゲート承認記録'!$U$4:$U$83,MATCH(B43,'29_ゲート承認記録'!$F$4:$F$83,0))))),"条件対象不一致",IF(OR(H43="法的禁止",H43="重大未対策"),"条件化不可・停止",IF(I43="解消",IF(OR(J43="",L43="",L43=F43,COUNT(K43,M43)&lt;2),"解消確認不足",IF(OR(OR(AND(K43&lt;&gt;"",OR(NOT(ISNUMBER(K43)),IFERROR(K43&lt;1,TRUE),IFERROR(INT(K43)&gt;INT(AsOfDate),TRUE))),AND(M43&lt;&gt;"",OR(NOT(ISNUMBER(M43)),IFERROR(M43&lt;1,TRUE),IFERROR(INT(M43)&gt;INT(AsOfDate),TRUE)))),M43&lt;K43),"解消日時不正",IF(K43&gt;G43,"期限後解消・再承認要","解消確認済"))),IF(OR(I43="失効",I43="取消",G43&lt;AsOfDate),"失効・停止再審査",IF(AND(I43&lt;&gt;"未解消",I43&lt;&gt;"対応中"),"条件状態不正","期限内・制約継続")))))))))</f>
        <v/>
      </c>
      <c r="R43" s="32"/>
    </row>
    <row r="44" spans="1:18" ht="64" customHeight="1" x14ac:dyDescent="0.2">
      <c r="A44" s="29"/>
      <c r="B44" s="29"/>
      <c r="C44" s="29"/>
      <c r="D44" s="29"/>
      <c r="E44" s="29"/>
      <c r="F44" s="29"/>
      <c r="G44" s="32"/>
      <c r="H44" s="29"/>
      <c r="I44" s="29"/>
      <c r="J44" s="29"/>
      <c r="K44" s="32"/>
      <c r="L44" s="29"/>
      <c r="M44" s="32"/>
      <c r="N44" s="29"/>
      <c r="O44" s="29"/>
      <c r="P44" s="29"/>
      <c r="Q44" s="28" t="str">
        <f>IF(A44="","",IF(COUNTIF($A$4:$A$83,A44)&lt;&gt;1,"Condition ID重複",IF(OR(OR(B44="",E44="",F44="",H44="",I44="",N44=""),NOT(ISNUMBER(G44))),"条件定義不足",IF(COUNTIF('29_ゲート承認記録'!$F$4:$F$83,B44)&lt;&gt;1,"GateRun不正",IF(OR(C44&lt;&gt;IF(COUNTIF('29_ゲート承認記録'!$F$4:$F$83,B44)&lt;&gt;1,"参照ID不正",IF(INDEX('29_ゲート承認記録'!$T$4:$T$83,MATCH(B44,'29_ゲート承認記録'!$F$4:$F$83,0))="","",INDEX('29_ゲート承認記録'!$T$4:$T$83,MATCH(B44,'29_ゲート承認記録'!$F$4:$F$83,0)))),P44&lt;&gt;IF(COUNTIF('29_ゲート承認記録'!$F$4:$F$83,B44)&lt;&gt;1,"参照ID不正",IF(INDEX('29_ゲート承認記録'!$U$4:$U$83,MATCH(B44,'29_ゲート承認記録'!$F$4:$F$83,0))="","",INDEX('29_ゲート承認記録'!$U$4:$U$83,MATCH(B44,'29_ゲート承認記録'!$F$4:$F$83,0))))),"条件対象不一致",IF(OR(H44="法的禁止",H44="重大未対策"),"条件化不可・停止",IF(I44="解消",IF(OR(J44="",L44="",L44=F44,COUNT(K44,M44)&lt;2),"解消確認不足",IF(OR(OR(AND(K44&lt;&gt;"",OR(NOT(ISNUMBER(K44)),IFERROR(K44&lt;1,TRUE),IFERROR(INT(K44)&gt;INT(AsOfDate),TRUE))),AND(M44&lt;&gt;"",OR(NOT(ISNUMBER(M44)),IFERROR(M44&lt;1,TRUE),IFERROR(INT(M44)&gt;INT(AsOfDate),TRUE)))),M44&lt;K44),"解消日時不正",IF(K44&gt;G44,"期限後解消・再承認要","解消確認済"))),IF(OR(I44="失効",I44="取消",G44&lt;AsOfDate),"失効・停止再審査",IF(AND(I44&lt;&gt;"未解消",I44&lt;&gt;"対応中"),"条件状態不正","期限内・制約継続")))))))))</f>
        <v/>
      </c>
      <c r="R44" s="32"/>
    </row>
    <row r="45" spans="1:18" ht="64" customHeight="1" x14ac:dyDescent="0.2">
      <c r="A45" s="29"/>
      <c r="B45" s="29"/>
      <c r="C45" s="29"/>
      <c r="D45" s="29"/>
      <c r="E45" s="29"/>
      <c r="F45" s="29"/>
      <c r="G45" s="32"/>
      <c r="H45" s="29"/>
      <c r="I45" s="29"/>
      <c r="J45" s="29"/>
      <c r="K45" s="32"/>
      <c r="L45" s="29"/>
      <c r="M45" s="32"/>
      <c r="N45" s="29"/>
      <c r="O45" s="29"/>
      <c r="P45" s="29"/>
      <c r="Q45" s="28" t="str">
        <f>IF(A45="","",IF(COUNTIF($A$4:$A$83,A45)&lt;&gt;1,"Condition ID重複",IF(OR(OR(B45="",E45="",F45="",H45="",I45="",N45=""),NOT(ISNUMBER(G45))),"条件定義不足",IF(COUNTIF('29_ゲート承認記録'!$F$4:$F$83,B45)&lt;&gt;1,"GateRun不正",IF(OR(C45&lt;&gt;IF(COUNTIF('29_ゲート承認記録'!$F$4:$F$83,B45)&lt;&gt;1,"参照ID不正",IF(INDEX('29_ゲート承認記録'!$T$4:$T$83,MATCH(B45,'29_ゲート承認記録'!$F$4:$F$83,0))="","",INDEX('29_ゲート承認記録'!$T$4:$T$83,MATCH(B45,'29_ゲート承認記録'!$F$4:$F$83,0)))),P45&lt;&gt;IF(COUNTIF('29_ゲート承認記録'!$F$4:$F$83,B45)&lt;&gt;1,"参照ID不正",IF(INDEX('29_ゲート承認記録'!$U$4:$U$83,MATCH(B45,'29_ゲート承認記録'!$F$4:$F$83,0))="","",INDEX('29_ゲート承認記録'!$U$4:$U$83,MATCH(B45,'29_ゲート承認記録'!$F$4:$F$83,0))))),"条件対象不一致",IF(OR(H45="法的禁止",H45="重大未対策"),"条件化不可・停止",IF(I45="解消",IF(OR(J45="",L45="",L45=F45,COUNT(K45,M45)&lt;2),"解消確認不足",IF(OR(OR(AND(K45&lt;&gt;"",OR(NOT(ISNUMBER(K45)),IFERROR(K45&lt;1,TRUE),IFERROR(INT(K45)&gt;INT(AsOfDate),TRUE))),AND(M45&lt;&gt;"",OR(NOT(ISNUMBER(M45)),IFERROR(M45&lt;1,TRUE),IFERROR(INT(M45)&gt;INT(AsOfDate),TRUE)))),M45&lt;K45),"解消日時不正",IF(K45&gt;G45,"期限後解消・再承認要","解消確認済"))),IF(OR(I45="失効",I45="取消",G45&lt;AsOfDate),"失効・停止再審査",IF(AND(I45&lt;&gt;"未解消",I45&lt;&gt;"対応中"),"条件状態不正","期限内・制約継続")))))))))</f>
        <v/>
      </c>
      <c r="R45" s="32"/>
    </row>
    <row r="46" spans="1:18" ht="64" customHeight="1" x14ac:dyDescent="0.2">
      <c r="A46" s="29"/>
      <c r="B46" s="29"/>
      <c r="C46" s="29"/>
      <c r="D46" s="29"/>
      <c r="E46" s="29"/>
      <c r="F46" s="29"/>
      <c r="G46" s="32"/>
      <c r="H46" s="29"/>
      <c r="I46" s="29"/>
      <c r="J46" s="29"/>
      <c r="K46" s="32"/>
      <c r="L46" s="29"/>
      <c r="M46" s="32"/>
      <c r="N46" s="29"/>
      <c r="O46" s="29"/>
      <c r="P46" s="29"/>
      <c r="Q46" s="28" t="str">
        <f>IF(A46="","",IF(COUNTIF($A$4:$A$83,A46)&lt;&gt;1,"Condition ID重複",IF(OR(OR(B46="",E46="",F46="",H46="",I46="",N46=""),NOT(ISNUMBER(G46))),"条件定義不足",IF(COUNTIF('29_ゲート承認記録'!$F$4:$F$83,B46)&lt;&gt;1,"GateRun不正",IF(OR(C46&lt;&gt;IF(COUNTIF('29_ゲート承認記録'!$F$4:$F$83,B46)&lt;&gt;1,"参照ID不正",IF(INDEX('29_ゲート承認記録'!$T$4:$T$83,MATCH(B46,'29_ゲート承認記録'!$F$4:$F$83,0))="","",INDEX('29_ゲート承認記録'!$T$4:$T$83,MATCH(B46,'29_ゲート承認記録'!$F$4:$F$83,0)))),P46&lt;&gt;IF(COUNTIF('29_ゲート承認記録'!$F$4:$F$83,B46)&lt;&gt;1,"参照ID不正",IF(INDEX('29_ゲート承認記録'!$U$4:$U$83,MATCH(B46,'29_ゲート承認記録'!$F$4:$F$83,0))="","",INDEX('29_ゲート承認記録'!$U$4:$U$83,MATCH(B46,'29_ゲート承認記録'!$F$4:$F$83,0))))),"条件対象不一致",IF(OR(H46="法的禁止",H46="重大未対策"),"条件化不可・停止",IF(I46="解消",IF(OR(J46="",L46="",L46=F46,COUNT(K46,M46)&lt;2),"解消確認不足",IF(OR(OR(AND(K46&lt;&gt;"",OR(NOT(ISNUMBER(K46)),IFERROR(K46&lt;1,TRUE),IFERROR(INT(K46)&gt;INT(AsOfDate),TRUE))),AND(M46&lt;&gt;"",OR(NOT(ISNUMBER(M46)),IFERROR(M46&lt;1,TRUE),IFERROR(INT(M46)&gt;INT(AsOfDate),TRUE)))),M46&lt;K46),"解消日時不正",IF(K46&gt;G46,"期限後解消・再承認要","解消確認済"))),IF(OR(I46="失効",I46="取消",G46&lt;AsOfDate),"失効・停止再審査",IF(AND(I46&lt;&gt;"未解消",I46&lt;&gt;"対応中"),"条件状態不正","期限内・制約継続")))))))))</f>
        <v/>
      </c>
      <c r="R46" s="32"/>
    </row>
    <row r="47" spans="1:18" ht="64" customHeight="1" x14ac:dyDescent="0.2">
      <c r="A47" s="29"/>
      <c r="B47" s="29"/>
      <c r="C47" s="29"/>
      <c r="D47" s="29"/>
      <c r="E47" s="29"/>
      <c r="F47" s="29"/>
      <c r="G47" s="32"/>
      <c r="H47" s="29"/>
      <c r="I47" s="29"/>
      <c r="J47" s="29"/>
      <c r="K47" s="32"/>
      <c r="L47" s="29"/>
      <c r="M47" s="32"/>
      <c r="N47" s="29"/>
      <c r="O47" s="29"/>
      <c r="P47" s="29"/>
      <c r="Q47" s="28" t="str">
        <f>IF(A47="","",IF(COUNTIF($A$4:$A$83,A47)&lt;&gt;1,"Condition ID重複",IF(OR(OR(B47="",E47="",F47="",H47="",I47="",N47=""),NOT(ISNUMBER(G47))),"条件定義不足",IF(COUNTIF('29_ゲート承認記録'!$F$4:$F$83,B47)&lt;&gt;1,"GateRun不正",IF(OR(C47&lt;&gt;IF(COUNTIF('29_ゲート承認記録'!$F$4:$F$83,B47)&lt;&gt;1,"参照ID不正",IF(INDEX('29_ゲート承認記録'!$T$4:$T$83,MATCH(B47,'29_ゲート承認記録'!$F$4:$F$83,0))="","",INDEX('29_ゲート承認記録'!$T$4:$T$83,MATCH(B47,'29_ゲート承認記録'!$F$4:$F$83,0)))),P47&lt;&gt;IF(COUNTIF('29_ゲート承認記録'!$F$4:$F$83,B47)&lt;&gt;1,"参照ID不正",IF(INDEX('29_ゲート承認記録'!$U$4:$U$83,MATCH(B47,'29_ゲート承認記録'!$F$4:$F$83,0))="","",INDEX('29_ゲート承認記録'!$U$4:$U$83,MATCH(B47,'29_ゲート承認記録'!$F$4:$F$83,0))))),"条件対象不一致",IF(OR(H47="法的禁止",H47="重大未対策"),"条件化不可・停止",IF(I47="解消",IF(OR(J47="",L47="",L47=F47,COUNT(K47,M47)&lt;2),"解消確認不足",IF(OR(OR(AND(K47&lt;&gt;"",OR(NOT(ISNUMBER(K47)),IFERROR(K47&lt;1,TRUE),IFERROR(INT(K47)&gt;INT(AsOfDate),TRUE))),AND(M47&lt;&gt;"",OR(NOT(ISNUMBER(M47)),IFERROR(M47&lt;1,TRUE),IFERROR(INT(M47)&gt;INT(AsOfDate),TRUE)))),M47&lt;K47),"解消日時不正",IF(K47&gt;G47,"期限後解消・再承認要","解消確認済"))),IF(OR(I47="失効",I47="取消",G47&lt;AsOfDate),"失効・停止再審査",IF(AND(I47&lt;&gt;"未解消",I47&lt;&gt;"対応中"),"条件状態不正","期限内・制約継続")))))))))</f>
        <v/>
      </c>
      <c r="R47" s="32"/>
    </row>
    <row r="48" spans="1:18" ht="64" customHeight="1" x14ac:dyDescent="0.2">
      <c r="A48" s="29"/>
      <c r="B48" s="29"/>
      <c r="C48" s="29"/>
      <c r="D48" s="29"/>
      <c r="E48" s="29"/>
      <c r="F48" s="29"/>
      <c r="G48" s="32"/>
      <c r="H48" s="29"/>
      <c r="I48" s="29"/>
      <c r="J48" s="29"/>
      <c r="K48" s="32"/>
      <c r="L48" s="29"/>
      <c r="M48" s="32"/>
      <c r="N48" s="29"/>
      <c r="O48" s="29"/>
      <c r="P48" s="29"/>
      <c r="Q48" s="28" t="str">
        <f>IF(A48="","",IF(COUNTIF($A$4:$A$83,A48)&lt;&gt;1,"Condition ID重複",IF(OR(OR(B48="",E48="",F48="",H48="",I48="",N48=""),NOT(ISNUMBER(G48))),"条件定義不足",IF(COUNTIF('29_ゲート承認記録'!$F$4:$F$83,B48)&lt;&gt;1,"GateRun不正",IF(OR(C48&lt;&gt;IF(COUNTIF('29_ゲート承認記録'!$F$4:$F$83,B48)&lt;&gt;1,"参照ID不正",IF(INDEX('29_ゲート承認記録'!$T$4:$T$83,MATCH(B48,'29_ゲート承認記録'!$F$4:$F$83,0))="","",INDEX('29_ゲート承認記録'!$T$4:$T$83,MATCH(B48,'29_ゲート承認記録'!$F$4:$F$83,0)))),P48&lt;&gt;IF(COUNTIF('29_ゲート承認記録'!$F$4:$F$83,B48)&lt;&gt;1,"参照ID不正",IF(INDEX('29_ゲート承認記録'!$U$4:$U$83,MATCH(B48,'29_ゲート承認記録'!$F$4:$F$83,0))="","",INDEX('29_ゲート承認記録'!$U$4:$U$83,MATCH(B48,'29_ゲート承認記録'!$F$4:$F$83,0))))),"条件対象不一致",IF(OR(H48="法的禁止",H48="重大未対策"),"条件化不可・停止",IF(I48="解消",IF(OR(J48="",L48="",L48=F48,COUNT(K48,M48)&lt;2),"解消確認不足",IF(OR(OR(AND(K48&lt;&gt;"",OR(NOT(ISNUMBER(K48)),IFERROR(K48&lt;1,TRUE),IFERROR(INT(K48)&gt;INT(AsOfDate),TRUE))),AND(M48&lt;&gt;"",OR(NOT(ISNUMBER(M48)),IFERROR(M48&lt;1,TRUE),IFERROR(INT(M48)&gt;INT(AsOfDate),TRUE)))),M48&lt;K48),"解消日時不正",IF(K48&gt;G48,"期限後解消・再承認要","解消確認済"))),IF(OR(I48="失効",I48="取消",G48&lt;AsOfDate),"失効・停止再審査",IF(AND(I48&lt;&gt;"未解消",I48&lt;&gt;"対応中"),"条件状態不正","期限内・制約継続")))))))))</f>
        <v/>
      </c>
      <c r="R48" s="32"/>
    </row>
    <row r="49" spans="1:18" ht="64" customHeight="1" x14ac:dyDescent="0.2">
      <c r="A49" s="29"/>
      <c r="B49" s="29"/>
      <c r="C49" s="29"/>
      <c r="D49" s="29"/>
      <c r="E49" s="29"/>
      <c r="F49" s="29"/>
      <c r="G49" s="32"/>
      <c r="H49" s="29"/>
      <c r="I49" s="29"/>
      <c r="J49" s="29"/>
      <c r="K49" s="32"/>
      <c r="L49" s="29"/>
      <c r="M49" s="32"/>
      <c r="N49" s="29"/>
      <c r="O49" s="29"/>
      <c r="P49" s="29"/>
      <c r="Q49" s="28" t="str">
        <f>IF(A49="","",IF(COUNTIF($A$4:$A$83,A49)&lt;&gt;1,"Condition ID重複",IF(OR(OR(B49="",E49="",F49="",H49="",I49="",N49=""),NOT(ISNUMBER(G49))),"条件定義不足",IF(COUNTIF('29_ゲート承認記録'!$F$4:$F$83,B49)&lt;&gt;1,"GateRun不正",IF(OR(C49&lt;&gt;IF(COUNTIF('29_ゲート承認記録'!$F$4:$F$83,B49)&lt;&gt;1,"参照ID不正",IF(INDEX('29_ゲート承認記録'!$T$4:$T$83,MATCH(B49,'29_ゲート承認記録'!$F$4:$F$83,0))="","",INDEX('29_ゲート承認記録'!$T$4:$T$83,MATCH(B49,'29_ゲート承認記録'!$F$4:$F$83,0)))),P49&lt;&gt;IF(COUNTIF('29_ゲート承認記録'!$F$4:$F$83,B49)&lt;&gt;1,"参照ID不正",IF(INDEX('29_ゲート承認記録'!$U$4:$U$83,MATCH(B49,'29_ゲート承認記録'!$F$4:$F$83,0))="","",INDEX('29_ゲート承認記録'!$U$4:$U$83,MATCH(B49,'29_ゲート承認記録'!$F$4:$F$83,0))))),"条件対象不一致",IF(OR(H49="法的禁止",H49="重大未対策"),"条件化不可・停止",IF(I49="解消",IF(OR(J49="",L49="",L49=F49,COUNT(K49,M49)&lt;2),"解消確認不足",IF(OR(OR(AND(K49&lt;&gt;"",OR(NOT(ISNUMBER(K49)),IFERROR(K49&lt;1,TRUE),IFERROR(INT(K49)&gt;INT(AsOfDate),TRUE))),AND(M49&lt;&gt;"",OR(NOT(ISNUMBER(M49)),IFERROR(M49&lt;1,TRUE),IFERROR(INT(M49)&gt;INT(AsOfDate),TRUE)))),M49&lt;K49),"解消日時不正",IF(K49&gt;G49,"期限後解消・再承認要","解消確認済"))),IF(OR(I49="失効",I49="取消",G49&lt;AsOfDate),"失効・停止再審査",IF(AND(I49&lt;&gt;"未解消",I49&lt;&gt;"対応中"),"条件状態不正","期限内・制約継続")))))))))</f>
        <v/>
      </c>
      <c r="R49" s="32"/>
    </row>
    <row r="50" spans="1:18" ht="64" customHeight="1" x14ac:dyDescent="0.2">
      <c r="A50" s="29"/>
      <c r="B50" s="29"/>
      <c r="C50" s="29"/>
      <c r="D50" s="29"/>
      <c r="E50" s="29"/>
      <c r="F50" s="29"/>
      <c r="G50" s="32"/>
      <c r="H50" s="29"/>
      <c r="I50" s="29"/>
      <c r="J50" s="29"/>
      <c r="K50" s="32"/>
      <c r="L50" s="29"/>
      <c r="M50" s="32"/>
      <c r="N50" s="29"/>
      <c r="O50" s="29"/>
      <c r="P50" s="29"/>
      <c r="Q50" s="28" t="str">
        <f>IF(A50="","",IF(COUNTIF($A$4:$A$83,A50)&lt;&gt;1,"Condition ID重複",IF(OR(OR(B50="",E50="",F50="",H50="",I50="",N50=""),NOT(ISNUMBER(G50))),"条件定義不足",IF(COUNTIF('29_ゲート承認記録'!$F$4:$F$83,B50)&lt;&gt;1,"GateRun不正",IF(OR(C50&lt;&gt;IF(COUNTIF('29_ゲート承認記録'!$F$4:$F$83,B50)&lt;&gt;1,"参照ID不正",IF(INDEX('29_ゲート承認記録'!$T$4:$T$83,MATCH(B50,'29_ゲート承認記録'!$F$4:$F$83,0))="","",INDEX('29_ゲート承認記録'!$T$4:$T$83,MATCH(B50,'29_ゲート承認記録'!$F$4:$F$83,0)))),P50&lt;&gt;IF(COUNTIF('29_ゲート承認記録'!$F$4:$F$83,B50)&lt;&gt;1,"参照ID不正",IF(INDEX('29_ゲート承認記録'!$U$4:$U$83,MATCH(B50,'29_ゲート承認記録'!$F$4:$F$83,0))="","",INDEX('29_ゲート承認記録'!$U$4:$U$83,MATCH(B50,'29_ゲート承認記録'!$F$4:$F$83,0))))),"条件対象不一致",IF(OR(H50="法的禁止",H50="重大未対策"),"条件化不可・停止",IF(I50="解消",IF(OR(J50="",L50="",L50=F50,COUNT(K50,M50)&lt;2),"解消確認不足",IF(OR(OR(AND(K50&lt;&gt;"",OR(NOT(ISNUMBER(K50)),IFERROR(K50&lt;1,TRUE),IFERROR(INT(K50)&gt;INT(AsOfDate),TRUE))),AND(M50&lt;&gt;"",OR(NOT(ISNUMBER(M50)),IFERROR(M50&lt;1,TRUE),IFERROR(INT(M50)&gt;INT(AsOfDate),TRUE)))),M50&lt;K50),"解消日時不正",IF(K50&gt;G50,"期限後解消・再承認要","解消確認済"))),IF(OR(I50="失効",I50="取消",G50&lt;AsOfDate),"失効・停止再審査",IF(AND(I50&lt;&gt;"未解消",I50&lt;&gt;"対応中"),"条件状態不正","期限内・制約継続")))))))))</f>
        <v/>
      </c>
      <c r="R50" s="32"/>
    </row>
    <row r="51" spans="1:18" ht="64" customHeight="1" x14ac:dyDescent="0.2">
      <c r="A51" s="29"/>
      <c r="B51" s="29"/>
      <c r="C51" s="29"/>
      <c r="D51" s="29"/>
      <c r="E51" s="29"/>
      <c r="F51" s="29"/>
      <c r="G51" s="32"/>
      <c r="H51" s="29"/>
      <c r="I51" s="29"/>
      <c r="J51" s="29"/>
      <c r="K51" s="32"/>
      <c r="L51" s="29"/>
      <c r="M51" s="32"/>
      <c r="N51" s="29"/>
      <c r="O51" s="29"/>
      <c r="P51" s="29"/>
      <c r="Q51" s="28" t="str">
        <f>IF(A51="","",IF(COUNTIF($A$4:$A$83,A51)&lt;&gt;1,"Condition ID重複",IF(OR(OR(B51="",E51="",F51="",H51="",I51="",N51=""),NOT(ISNUMBER(G51))),"条件定義不足",IF(COUNTIF('29_ゲート承認記録'!$F$4:$F$83,B51)&lt;&gt;1,"GateRun不正",IF(OR(C51&lt;&gt;IF(COUNTIF('29_ゲート承認記録'!$F$4:$F$83,B51)&lt;&gt;1,"参照ID不正",IF(INDEX('29_ゲート承認記録'!$T$4:$T$83,MATCH(B51,'29_ゲート承認記録'!$F$4:$F$83,0))="","",INDEX('29_ゲート承認記録'!$T$4:$T$83,MATCH(B51,'29_ゲート承認記録'!$F$4:$F$83,0)))),P51&lt;&gt;IF(COUNTIF('29_ゲート承認記録'!$F$4:$F$83,B51)&lt;&gt;1,"参照ID不正",IF(INDEX('29_ゲート承認記録'!$U$4:$U$83,MATCH(B51,'29_ゲート承認記録'!$F$4:$F$83,0))="","",INDEX('29_ゲート承認記録'!$U$4:$U$83,MATCH(B51,'29_ゲート承認記録'!$F$4:$F$83,0))))),"条件対象不一致",IF(OR(H51="法的禁止",H51="重大未対策"),"条件化不可・停止",IF(I51="解消",IF(OR(J51="",L51="",L51=F51,COUNT(K51,M51)&lt;2),"解消確認不足",IF(OR(OR(AND(K51&lt;&gt;"",OR(NOT(ISNUMBER(K51)),IFERROR(K51&lt;1,TRUE),IFERROR(INT(K51)&gt;INT(AsOfDate),TRUE))),AND(M51&lt;&gt;"",OR(NOT(ISNUMBER(M51)),IFERROR(M51&lt;1,TRUE),IFERROR(INT(M51)&gt;INT(AsOfDate),TRUE)))),M51&lt;K51),"解消日時不正",IF(K51&gt;G51,"期限後解消・再承認要","解消確認済"))),IF(OR(I51="失効",I51="取消",G51&lt;AsOfDate),"失効・停止再審査",IF(AND(I51&lt;&gt;"未解消",I51&lt;&gt;"対応中"),"条件状態不正","期限内・制約継続")))))))))</f>
        <v/>
      </c>
      <c r="R51" s="32"/>
    </row>
    <row r="52" spans="1:18" ht="64" customHeight="1" x14ac:dyDescent="0.2">
      <c r="A52" s="29"/>
      <c r="B52" s="29"/>
      <c r="C52" s="29"/>
      <c r="D52" s="29"/>
      <c r="E52" s="29"/>
      <c r="F52" s="29"/>
      <c r="G52" s="32"/>
      <c r="H52" s="29"/>
      <c r="I52" s="29"/>
      <c r="J52" s="29"/>
      <c r="K52" s="32"/>
      <c r="L52" s="29"/>
      <c r="M52" s="32"/>
      <c r="N52" s="29"/>
      <c r="O52" s="29"/>
      <c r="P52" s="29"/>
      <c r="Q52" s="28" t="str">
        <f>IF(A52="","",IF(COUNTIF($A$4:$A$83,A52)&lt;&gt;1,"Condition ID重複",IF(OR(OR(B52="",E52="",F52="",H52="",I52="",N52=""),NOT(ISNUMBER(G52))),"条件定義不足",IF(COUNTIF('29_ゲート承認記録'!$F$4:$F$83,B52)&lt;&gt;1,"GateRun不正",IF(OR(C52&lt;&gt;IF(COUNTIF('29_ゲート承認記録'!$F$4:$F$83,B52)&lt;&gt;1,"参照ID不正",IF(INDEX('29_ゲート承認記録'!$T$4:$T$83,MATCH(B52,'29_ゲート承認記録'!$F$4:$F$83,0))="","",INDEX('29_ゲート承認記録'!$T$4:$T$83,MATCH(B52,'29_ゲート承認記録'!$F$4:$F$83,0)))),P52&lt;&gt;IF(COUNTIF('29_ゲート承認記録'!$F$4:$F$83,B52)&lt;&gt;1,"参照ID不正",IF(INDEX('29_ゲート承認記録'!$U$4:$U$83,MATCH(B52,'29_ゲート承認記録'!$F$4:$F$83,0))="","",INDEX('29_ゲート承認記録'!$U$4:$U$83,MATCH(B52,'29_ゲート承認記録'!$F$4:$F$83,0))))),"条件対象不一致",IF(OR(H52="法的禁止",H52="重大未対策"),"条件化不可・停止",IF(I52="解消",IF(OR(J52="",L52="",L52=F52,COUNT(K52,M52)&lt;2),"解消確認不足",IF(OR(OR(AND(K52&lt;&gt;"",OR(NOT(ISNUMBER(K52)),IFERROR(K52&lt;1,TRUE),IFERROR(INT(K52)&gt;INT(AsOfDate),TRUE))),AND(M52&lt;&gt;"",OR(NOT(ISNUMBER(M52)),IFERROR(M52&lt;1,TRUE),IFERROR(INT(M52)&gt;INT(AsOfDate),TRUE)))),M52&lt;K52),"解消日時不正",IF(K52&gt;G52,"期限後解消・再承認要","解消確認済"))),IF(OR(I52="失効",I52="取消",G52&lt;AsOfDate),"失効・停止再審査",IF(AND(I52&lt;&gt;"未解消",I52&lt;&gt;"対応中"),"条件状態不正","期限内・制約継続")))))))))</f>
        <v/>
      </c>
      <c r="R52" s="32"/>
    </row>
    <row r="53" spans="1:18" ht="64" customHeight="1" x14ac:dyDescent="0.2">
      <c r="A53" s="29"/>
      <c r="B53" s="29"/>
      <c r="C53" s="29"/>
      <c r="D53" s="29"/>
      <c r="E53" s="29"/>
      <c r="F53" s="29"/>
      <c r="G53" s="32"/>
      <c r="H53" s="29"/>
      <c r="I53" s="29"/>
      <c r="J53" s="29"/>
      <c r="K53" s="32"/>
      <c r="L53" s="29"/>
      <c r="M53" s="32"/>
      <c r="N53" s="29"/>
      <c r="O53" s="29"/>
      <c r="P53" s="29"/>
      <c r="Q53" s="28" t="str">
        <f>IF(A53="","",IF(COUNTIF($A$4:$A$83,A53)&lt;&gt;1,"Condition ID重複",IF(OR(OR(B53="",E53="",F53="",H53="",I53="",N53=""),NOT(ISNUMBER(G53))),"条件定義不足",IF(COUNTIF('29_ゲート承認記録'!$F$4:$F$83,B53)&lt;&gt;1,"GateRun不正",IF(OR(C53&lt;&gt;IF(COUNTIF('29_ゲート承認記録'!$F$4:$F$83,B53)&lt;&gt;1,"参照ID不正",IF(INDEX('29_ゲート承認記録'!$T$4:$T$83,MATCH(B53,'29_ゲート承認記録'!$F$4:$F$83,0))="","",INDEX('29_ゲート承認記録'!$T$4:$T$83,MATCH(B53,'29_ゲート承認記録'!$F$4:$F$83,0)))),P53&lt;&gt;IF(COUNTIF('29_ゲート承認記録'!$F$4:$F$83,B53)&lt;&gt;1,"参照ID不正",IF(INDEX('29_ゲート承認記録'!$U$4:$U$83,MATCH(B53,'29_ゲート承認記録'!$F$4:$F$83,0))="","",INDEX('29_ゲート承認記録'!$U$4:$U$83,MATCH(B53,'29_ゲート承認記録'!$F$4:$F$83,0))))),"条件対象不一致",IF(OR(H53="法的禁止",H53="重大未対策"),"条件化不可・停止",IF(I53="解消",IF(OR(J53="",L53="",L53=F53,COUNT(K53,M53)&lt;2),"解消確認不足",IF(OR(OR(AND(K53&lt;&gt;"",OR(NOT(ISNUMBER(K53)),IFERROR(K53&lt;1,TRUE),IFERROR(INT(K53)&gt;INT(AsOfDate),TRUE))),AND(M53&lt;&gt;"",OR(NOT(ISNUMBER(M53)),IFERROR(M53&lt;1,TRUE),IFERROR(INT(M53)&gt;INT(AsOfDate),TRUE)))),M53&lt;K53),"解消日時不正",IF(K53&gt;G53,"期限後解消・再承認要","解消確認済"))),IF(OR(I53="失効",I53="取消",G53&lt;AsOfDate),"失効・停止再審査",IF(AND(I53&lt;&gt;"未解消",I53&lt;&gt;"対応中"),"条件状態不正","期限内・制約継続")))))))))</f>
        <v/>
      </c>
      <c r="R53" s="32"/>
    </row>
    <row r="54" spans="1:18" ht="64" customHeight="1" x14ac:dyDescent="0.2">
      <c r="A54" s="29"/>
      <c r="B54" s="29"/>
      <c r="C54" s="29"/>
      <c r="D54" s="29"/>
      <c r="E54" s="29"/>
      <c r="F54" s="29"/>
      <c r="G54" s="32"/>
      <c r="H54" s="29"/>
      <c r="I54" s="29"/>
      <c r="J54" s="29"/>
      <c r="K54" s="32"/>
      <c r="L54" s="29"/>
      <c r="M54" s="32"/>
      <c r="N54" s="29"/>
      <c r="O54" s="29"/>
      <c r="P54" s="29"/>
      <c r="Q54" s="28" t="str">
        <f>IF(A54="","",IF(COUNTIF($A$4:$A$83,A54)&lt;&gt;1,"Condition ID重複",IF(OR(OR(B54="",E54="",F54="",H54="",I54="",N54=""),NOT(ISNUMBER(G54))),"条件定義不足",IF(COUNTIF('29_ゲート承認記録'!$F$4:$F$83,B54)&lt;&gt;1,"GateRun不正",IF(OR(C54&lt;&gt;IF(COUNTIF('29_ゲート承認記録'!$F$4:$F$83,B54)&lt;&gt;1,"参照ID不正",IF(INDEX('29_ゲート承認記録'!$T$4:$T$83,MATCH(B54,'29_ゲート承認記録'!$F$4:$F$83,0))="","",INDEX('29_ゲート承認記録'!$T$4:$T$83,MATCH(B54,'29_ゲート承認記録'!$F$4:$F$83,0)))),P54&lt;&gt;IF(COUNTIF('29_ゲート承認記録'!$F$4:$F$83,B54)&lt;&gt;1,"参照ID不正",IF(INDEX('29_ゲート承認記録'!$U$4:$U$83,MATCH(B54,'29_ゲート承認記録'!$F$4:$F$83,0))="","",INDEX('29_ゲート承認記録'!$U$4:$U$83,MATCH(B54,'29_ゲート承認記録'!$F$4:$F$83,0))))),"条件対象不一致",IF(OR(H54="法的禁止",H54="重大未対策"),"条件化不可・停止",IF(I54="解消",IF(OR(J54="",L54="",L54=F54,COUNT(K54,M54)&lt;2),"解消確認不足",IF(OR(OR(AND(K54&lt;&gt;"",OR(NOT(ISNUMBER(K54)),IFERROR(K54&lt;1,TRUE),IFERROR(INT(K54)&gt;INT(AsOfDate),TRUE))),AND(M54&lt;&gt;"",OR(NOT(ISNUMBER(M54)),IFERROR(M54&lt;1,TRUE),IFERROR(INT(M54)&gt;INT(AsOfDate),TRUE)))),M54&lt;K54),"解消日時不正",IF(K54&gt;G54,"期限後解消・再承認要","解消確認済"))),IF(OR(I54="失効",I54="取消",G54&lt;AsOfDate),"失効・停止再審査",IF(AND(I54&lt;&gt;"未解消",I54&lt;&gt;"対応中"),"条件状態不正","期限内・制約継続")))))))))</f>
        <v/>
      </c>
      <c r="R54" s="32"/>
    </row>
    <row r="55" spans="1:18" ht="64" customHeight="1" x14ac:dyDescent="0.2">
      <c r="A55" s="29"/>
      <c r="B55" s="29"/>
      <c r="C55" s="29"/>
      <c r="D55" s="29"/>
      <c r="E55" s="29"/>
      <c r="F55" s="29"/>
      <c r="G55" s="32"/>
      <c r="H55" s="29"/>
      <c r="I55" s="29"/>
      <c r="J55" s="29"/>
      <c r="K55" s="32"/>
      <c r="L55" s="29"/>
      <c r="M55" s="32"/>
      <c r="N55" s="29"/>
      <c r="O55" s="29"/>
      <c r="P55" s="29"/>
      <c r="Q55" s="28" t="str">
        <f>IF(A55="","",IF(COUNTIF($A$4:$A$83,A55)&lt;&gt;1,"Condition ID重複",IF(OR(OR(B55="",E55="",F55="",H55="",I55="",N55=""),NOT(ISNUMBER(G55))),"条件定義不足",IF(COUNTIF('29_ゲート承認記録'!$F$4:$F$83,B55)&lt;&gt;1,"GateRun不正",IF(OR(C55&lt;&gt;IF(COUNTIF('29_ゲート承認記録'!$F$4:$F$83,B55)&lt;&gt;1,"参照ID不正",IF(INDEX('29_ゲート承認記録'!$T$4:$T$83,MATCH(B55,'29_ゲート承認記録'!$F$4:$F$83,0))="","",INDEX('29_ゲート承認記録'!$T$4:$T$83,MATCH(B55,'29_ゲート承認記録'!$F$4:$F$83,0)))),P55&lt;&gt;IF(COUNTIF('29_ゲート承認記録'!$F$4:$F$83,B55)&lt;&gt;1,"参照ID不正",IF(INDEX('29_ゲート承認記録'!$U$4:$U$83,MATCH(B55,'29_ゲート承認記録'!$F$4:$F$83,0))="","",INDEX('29_ゲート承認記録'!$U$4:$U$83,MATCH(B55,'29_ゲート承認記録'!$F$4:$F$83,0))))),"条件対象不一致",IF(OR(H55="法的禁止",H55="重大未対策"),"条件化不可・停止",IF(I55="解消",IF(OR(J55="",L55="",L55=F55,COUNT(K55,M55)&lt;2),"解消確認不足",IF(OR(OR(AND(K55&lt;&gt;"",OR(NOT(ISNUMBER(K55)),IFERROR(K55&lt;1,TRUE),IFERROR(INT(K55)&gt;INT(AsOfDate),TRUE))),AND(M55&lt;&gt;"",OR(NOT(ISNUMBER(M55)),IFERROR(M55&lt;1,TRUE),IFERROR(INT(M55)&gt;INT(AsOfDate),TRUE)))),M55&lt;K55),"解消日時不正",IF(K55&gt;G55,"期限後解消・再承認要","解消確認済"))),IF(OR(I55="失効",I55="取消",G55&lt;AsOfDate),"失効・停止再審査",IF(AND(I55&lt;&gt;"未解消",I55&lt;&gt;"対応中"),"条件状態不正","期限内・制約継続")))))))))</f>
        <v/>
      </c>
      <c r="R55" s="32"/>
    </row>
    <row r="56" spans="1:18" ht="64" customHeight="1" x14ac:dyDescent="0.2">
      <c r="A56" s="29"/>
      <c r="B56" s="29"/>
      <c r="C56" s="29"/>
      <c r="D56" s="29"/>
      <c r="E56" s="29"/>
      <c r="F56" s="29"/>
      <c r="G56" s="32"/>
      <c r="H56" s="29"/>
      <c r="I56" s="29"/>
      <c r="J56" s="29"/>
      <c r="K56" s="32"/>
      <c r="L56" s="29"/>
      <c r="M56" s="32"/>
      <c r="N56" s="29"/>
      <c r="O56" s="29"/>
      <c r="P56" s="29"/>
      <c r="Q56" s="28" t="str">
        <f>IF(A56="","",IF(COUNTIF($A$4:$A$83,A56)&lt;&gt;1,"Condition ID重複",IF(OR(OR(B56="",E56="",F56="",H56="",I56="",N56=""),NOT(ISNUMBER(G56))),"条件定義不足",IF(COUNTIF('29_ゲート承認記録'!$F$4:$F$83,B56)&lt;&gt;1,"GateRun不正",IF(OR(C56&lt;&gt;IF(COUNTIF('29_ゲート承認記録'!$F$4:$F$83,B56)&lt;&gt;1,"参照ID不正",IF(INDEX('29_ゲート承認記録'!$T$4:$T$83,MATCH(B56,'29_ゲート承認記録'!$F$4:$F$83,0))="","",INDEX('29_ゲート承認記録'!$T$4:$T$83,MATCH(B56,'29_ゲート承認記録'!$F$4:$F$83,0)))),P56&lt;&gt;IF(COUNTIF('29_ゲート承認記録'!$F$4:$F$83,B56)&lt;&gt;1,"参照ID不正",IF(INDEX('29_ゲート承認記録'!$U$4:$U$83,MATCH(B56,'29_ゲート承認記録'!$F$4:$F$83,0))="","",INDEX('29_ゲート承認記録'!$U$4:$U$83,MATCH(B56,'29_ゲート承認記録'!$F$4:$F$83,0))))),"条件対象不一致",IF(OR(H56="法的禁止",H56="重大未対策"),"条件化不可・停止",IF(I56="解消",IF(OR(J56="",L56="",L56=F56,COUNT(K56,M56)&lt;2),"解消確認不足",IF(OR(OR(AND(K56&lt;&gt;"",OR(NOT(ISNUMBER(K56)),IFERROR(K56&lt;1,TRUE),IFERROR(INT(K56)&gt;INT(AsOfDate),TRUE))),AND(M56&lt;&gt;"",OR(NOT(ISNUMBER(M56)),IFERROR(M56&lt;1,TRUE),IFERROR(INT(M56)&gt;INT(AsOfDate),TRUE)))),M56&lt;K56),"解消日時不正",IF(K56&gt;G56,"期限後解消・再承認要","解消確認済"))),IF(OR(I56="失効",I56="取消",G56&lt;AsOfDate),"失効・停止再審査",IF(AND(I56&lt;&gt;"未解消",I56&lt;&gt;"対応中"),"条件状態不正","期限内・制約継続")))))))))</f>
        <v/>
      </c>
      <c r="R56" s="32"/>
    </row>
    <row r="57" spans="1:18" ht="64" customHeight="1" x14ac:dyDescent="0.2">
      <c r="A57" s="29"/>
      <c r="B57" s="29"/>
      <c r="C57" s="29"/>
      <c r="D57" s="29"/>
      <c r="E57" s="29"/>
      <c r="F57" s="29"/>
      <c r="G57" s="32"/>
      <c r="H57" s="29"/>
      <c r="I57" s="29"/>
      <c r="J57" s="29"/>
      <c r="K57" s="32"/>
      <c r="L57" s="29"/>
      <c r="M57" s="32"/>
      <c r="N57" s="29"/>
      <c r="O57" s="29"/>
      <c r="P57" s="29"/>
      <c r="Q57" s="28" t="str">
        <f>IF(A57="","",IF(COUNTIF($A$4:$A$83,A57)&lt;&gt;1,"Condition ID重複",IF(OR(OR(B57="",E57="",F57="",H57="",I57="",N57=""),NOT(ISNUMBER(G57))),"条件定義不足",IF(COUNTIF('29_ゲート承認記録'!$F$4:$F$83,B57)&lt;&gt;1,"GateRun不正",IF(OR(C57&lt;&gt;IF(COUNTIF('29_ゲート承認記録'!$F$4:$F$83,B57)&lt;&gt;1,"参照ID不正",IF(INDEX('29_ゲート承認記録'!$T$4:$T$83,MATCH(B57,'29_ゲート承認記録'!$F$4:$F$83,0))="","",INDEX('29_ゲート承認記録'!$T$4:$T$83,MATCH(B57,'29_ゲート承認記録'!$F$4:$F$83,0)))),P57&lt;&gt;IF(COUNTIF('29_ゲート承認記録'!$F$4:$F$83,B57)&lt;&gt;1,"参照ID不正",IF(INDEX('29_ゲート承認記録'!$U$4:$U$83,MATCH(B57,'29_ゲート承認記録'!$F$4:$F$83,0))="","",INDEX('29_ゲート承認記録'!$U$4:$U$83,MATCH(B57,'29_ゲート承認記録'!$F$4:$F$83,0))))),"条件対象不一致",IF(OR(H57="法的禁止",H57="重大未対策"),"条件化不可・停止",IF(I57="解消",IF(OR(J57="",L57="",L57=F57,COUNT(K57,M57)&lt;2),"解消確認不足",IF(OR(OR(AND(K57&lt;&gt;"",OR(NOT(ISNUMBER(K57)),IFERROR(K57&lt;1,TRUE),IFERROR(INT(K57)&gt;INT(AsOfDate),TRUE))),AND(M57&lt;&gt;"",OR(NOT(ISNUMBER(M57)),IFERROR(M57&lt;1,TRUE),IFERROR(INT(M57)&gt;INT(AsOfDate),TRUE)))),M57&lt;K57),"解消日時不正",IF(K57&gt;G57,"期限後解消・再承認要","解消確認済"))),IF(OR(I57="失効",I57="取消",G57&lt;AsOfDate),"失効・停止再審査",IF(AND(I57&lt;&gt;"未解消",I57&lt;&gt;"対応中"),"条件状態不正","期限内・制約継続")))))))))</f>
        <v/>
      </c>
      <c r="R57" s="32"/>
    </row>
    <row r="58" spans="1:18" ht="64" customHeight="1" x14ac:dyDescent="0.2">
      <c r="A58" s="29"/>
      <c r="B58" s="29"/>
      <c r="C58" s="29"/>
      <c r="D58" s="29"/>
      <c r="E58" s="29"/>
      <c r="F58" s="29"/>
      <c r="G58" s="32"/>
      <c r="H58" s="29"/>
      <c r="I58" s="29"/>
      <c r="J58" s="29"/>
      <c r="K58" s="32"/>
      <c r="L58" s="29"/>
      <c r="M58" s="32"/>
      <c r="N58" s="29"/>
      <c r="O58" s="29"/>
      <c r="P58" s="29"/>
      <c r="Q58" s="28" t="str">
        <f>IF(A58="","",IF(COUNTIF($A$4:$A$83,A58)&lt;&gt;1,"Condition ID重複",IF(OR(OR(B58="",E58="",F58="",H58="",I58="",N58=""),NOT(ISNUMBER(G58))),"条件定義不足",IF(COUNTIF('29_ゲート承認記録'!$F$4:$F$83,B58)&lt;&gt;1,"GateRun不正",IF(OR(C58&lt;&gt;IF(COUNTIF('29_ゲート承認記録'!$F$4:$F$83,B58)&lt;&gt;1,"参照ID不正",IF(INDEX('29_ゲート承認記録'!$T$4:$T$83,MATCH(B58,'29_ゲート承認記録'!$F$4:$F$83,0))="","",INDEX('29_ゲート承認記録'!$T$4:$T$83,MATCH(B58,'29_ゲート承認記録'!$F$4:$F$83,0)))),P58&lt;&gt;IF(COUNTIF('29_ゲート承認記録'!$F$4:$F$83,B58)&lt;&gt;1,"参照ID不正",IF(INDEX('29_ゲート承認記録'!$U$4:$U$83,MATCH(B58,'29_ゲート承認記録'!$F$4:$F$83,0))="","",INDEX('29_ゲート承認記録'!$U$4:$U$83,MATCH(B58,'29_ゲート承認記録'!$F$4:$F$83,0))))),"条件対象不一致",IF(OR(H58="法的禁止",H58="重大未対策"),"条件化不可・停止",IF(I58="解消",IF(OR(J58="",L58="",L58=F58,COUNT(K58,M58)&lt;2),"解消確認不足",IF(OR(OR(AND(K58&lt;&gt;"",OR(NOT(ISNUMBER(K58)),IFERROR(K58&lt;1,TRUE),IFERROR(INT(K58)&gt;INT(AsOfDate),TRUE))),AND(M58&lt;&gt;"",OR(NOT(ISNUMBER(M58)),IFERROR(M58&lt;1,TRUE),IFERROR(INT(M58)&gt;INT(AsOfDate),TRUE)))),M58&lt;K58),"解消日時不正",IF(K58&gt;G58,"期限後解消・再承認要","解消確認済"))),IF(OR(I58="失効",I58="取消",G58&lt;AsOfDate),"失効・停止再審査",IF(AND(I58&lt;&gt;"未解消",I58&lt;&gt;"対応中"),"条件状態不正","期限内・制約継続")))))))))</f>
        <v/>
      </c>
      <c r="R58" s="32"/>
    </row>
    <row r="59" spans="1:18" ht="64" customHeight="1" x14ac:dyDescent="0.2">
      <c r="A59" s="29"/>
      <c r="B59" s="29"/>
      <c r="C59" s="29"/>
      <c r="D59" s="29"/>
      <c r="E59" s="29"/>
      <c r="F59" s="29"/>
      <c r="G59" s="32"/>
      <c r="H59" s="29"/>
      <c r="I59" s="29"/>
      <c r="J59" s="29"/>
      <c r="K59" s="32"/>
      <c r="L59" s="29"/>
      <c r="M59" s="32"/>
      <c r="N59" s="29"/>
      <c r="O59" s="29"/>
      <c r="P59" s="29"/>
      <c r="Q59" s="28" t="str">
        <f>IF(A59="","",IF(COUNTIF($A$4:$A$83,A59)&lt;&gt;1,"Condition ID重複",IF(OR(OR(B59="",E59="",F59="",H59="",I59="",N59=""),NOT(ISNUMBER(G59))),"条件定義不足",IF(COUNTIF('29_ゲート承認記録'!$F$4:$F$83,B59)&lt;&gt;1,"GateRun不正",IF(OR(C59&lt;&gt;IF(COUNTIF('29_ゲート承認記録'!$F$4:$F$83,B59)&lt;&gt;1,"参照ID不正",IF(INDEX('29_ゲート承認記録'!$T$4:$T$83,MATCH(B59,'29_ゲート承認記録'!$F$4:$F$83,0))="","",INDEX('29_ゲート承認記録'!$T$4:$T$83,MATCH(B59,'29_ゲート承認記録'!$F$4:$F$83,0)))),P59&lt;&gt;IF(COUNTIF('29_ゲート承認記録'!$F$4:$F$83,B59)&lt;&gt;1,"参照ID不正",IF(INDEX('29_ゲート承認記録'!$U$4:$U$83,MATCH(B59,'29_ゲート承認記録'!$F$4:$F$83,0))="","",INDEX('29_ゲート承認記録'!$U$4:$U$83,MATCH(B59,'29_ゲート承認記録'!$F$4:$F$83,0))))),"条件対象不一致",IF(OR(H59="法的禁止",H59="重大未対策"),"条件化不可・停止",IF(I59="解消",IF(OR(J59="",L59="",L59=F59,COUNT(K59,M59)&lt;2),"解消確認不足",IF(OR(OR(AND(K59&lt;&gt;"",OR(NOT(ISNUMBER(K59)),IFERROR(K59&lt;1,TRUE),IFERROR(INT(K59)&gt;INT(AsOfDate),TRUE))),AND(M59&lt;&gt;"",OR(NOT(ISNUMBER(M59)),IFERROR(M59&lt;1,TRUE),IFERROR(INT(M59)&gt;INT(AsOfDate),TRUE)))),M59&lt;K59),"解消日時不正",IF(K59&gt;G59,"期限後解消・再承認要","解消確認済"))),IF(OR(I59="失効",I59="取消",G59&lt;AsOfDate),"失効・停止再審査",IF(AND(I59&lt;&gt;"未解消",I59&lt;&gt;"対応中"),"条件状態不正","期限内・制約継続")))))))))</f>
        <v/>
      </c>
      <c r="R59" s="32"/>
    </row>
    <row r="60" spans="1:18" ht="64" customHeight="1" x14ac:dyDescent="0.2">
      <c r="A60" s="29"/>
      <c r="B60" s="29"/>
      <c r="C60" s="29"/>
      <c r="D60" s="29"/>
      <c r="E60" s="29"/>
      <c r="F60" s="29"/>
      <c r="G60" s="32"/>
      <c r="H60" s="29"/>
      <c r="I60" s="29"/>
      <c r="J60" s="29"/>
      <c r="K60" s="32"/>
      <c r="L60" s="29"/>
      <c r="M60" s="32"/>
      <c r="N60" s="29"/>
      <c r="O60" s="29"/>
      <c r="P60" s="29"/>
      <c r="Q60" s="28" t="str">
        <f>IF(A60="","",IF(COUNTIF($A$4:$A$83,A60)&lt;&gt;1,"Condition ID重複",IF(OR(OR(B60="",E60="",F60="",H60="",I60="",N60=""),NOT(ISNUMBER(G60))),"条件定義不足",IF(COUNTIF('29_ゲート承認記録'!$F$4:$F$83,B60)&lt;&gt;1,"GateRun不正",IF(OR(C60&lt;&gt;IF(COUNTIF('29_ゲート承認記録'!$F$4:$F$83,B60)&lt;&gt;1,"参照ID不正",IF(INDEX('29_ゲート承認記録'!$T$4:$T$83,MATCH(B60,'29_ゲート承認記録'!$F$4:$F$83,0))="","",INDEX('29_ゲート承認記録'!$T$4:$T$83,MATCH(B60,'29_ゲート承認記録'!$F$4:$F$83,0)))),P60&lt;&gt;IF(COUNTIF('29_ゲート承認記録'!$F$4:$F$83,B60)&lt;&gt;1,"参照ID不正",IF(INDEX('29_ゲート承認記録'!$U$4:$U$83,MATCH(B60,'29_ゲート承認記録'!$F$4:$F$83,0))="","",INDEX('29_ゲート承認記録'!$U$4:$U$83,MATCH(B60,'29_ゲート承認記録'!$F$4:$F$83,0))))),"条件対象不一致",IF(OR(H60="法的禁止",H60="重大未対策"),"条件化不可・停止",IF(I60="解消",IF(OR(J60="",L60="",L60=F60,COUNT(K60,M60)&lt;2),"解消確認不足",IF(OR(OR(AND(K60&lt;&gt;"",OR(NOT(ISNUMBER(K60)),IFERROR(K60&lt;1,TRUE),IFERROR(INT(K60)&gt;INT(AsOfDate),TRUE))),AND(M60&lt;&gt;"",OR(NOT(ISNUMBER(M60)),IFERROR(M60&lt;1,TRUE),IFERROR(INT(M60)&gt;INT(AsOfDate),TRUE)))),M60&lt;K60),"解消日時不正",IF(K60&gt;G60,"期限後解消・再承認要","解消確認済"))),IF(OR(I60="失効",I60="取消",G60&lt;AsOfDate),"失効・停止再審査",IF(AND(I60&lt;&gt;"未解消",I60&lt;&gt;"対応中"),"条件状態不正","期限内・制約継続")))))))))</f>
        <v/>
      </c>
      <c r="R60" s="32"/>
    </row>
    <row r="61" spans="1:18" ht="64" customHeight="1" x14ac:dyDescent="0.2">
      <c r="A61" s="29"/>
      <c r="B61" s="29"/>
      <c r="C61" s="29"/>
      <c r="D61" s="29"/>
      <c r="E61" s="29"/>
      <c r="F61" s="29"/>
      <c r="G61" s="32"/>
      <c r="H61" s="29"/>
      <c r="I61" s="29"/>
      <c r="J61" s="29"/>
      <c r="K61" s="32"/>
      <c r="L61" s="29"/>
      <c r="M61" s="32"/>
      <c r="N61" s="29"/>
      <c r="O61" s="29"/>
      <c r="P61" s="29"/>
      <c r="Q61" s="28" t="str">
        <f>IF(A61="","",IF(COUNTIF($A$4:$A$83,A61)&lt;&gt;1,"Condition ID重複",IF(OR(OR(B61="",E61="",F61="",H61="",I61="",N61=""),NOT(ISNUMBER(G61))),"条件定義不足",IF(COUNTIF('29_ゲート承認記録'!$F$4:$F$83,B61)&lt;&gt;1,"GateRun不正",IF(OR(C61&lt;&gt;IF(COUNTIF('29_ゲート承認記録'!$F$4:$F$83,B61)&lt;&gt;1,"参照ID不正",IF(INDEX('29_ゲート承認記録'!$T$4:$T$83,MATCH(B61,'29_ゲート承認記録'!$F$4:$F$83,0))="","",INDEX('29_ゲート承認記録'!$T$4:$T$83,MATCH(B61,'29_ゲート承認記録'!$F$4:$F$83,0)))),P61&lt;&gt;IF(COUNTIF('29_ゲート承認記録'!$F$4:$F$83,B61)&lt;&gt;1,"参照ID不正",IF(INDEX('29_ゲート承認記録'!$U$4:$U$83,MATCH(B61,'29_ゲート承認記録'!$F$4:$F$83,0))="","",INDEX('29_ゲート承認記録'!$U$4:$U$83,MATCH(B61,'29_ゲート承認記録'!$F$4:$F$83,0))))),"条件対象不一致",IF(OR(H61="法的禁止",H61="重大未対策"),"条件化不可・停止",IF(I61="解消",IF(OR(J61="",L61="",L61=F61,COUNT(K61,M61)&lt;2),"解消確認不足",IF(OR(OR(AND(K61&lt;&gt;"",OR(NOT(ISNUMBER(K61)),IFERROR(K61&lt;1,TRUE),IFERROR(INT(K61)&gt;INT(AsOfDate),TRUE))),AND(M61&lt;&gt;"",OR(NOT(ISNUMBER(M61)),IFERROR(M61&lt;1,TRUE),IFERROR(INT(M61)&gt;INT(AsOfDate),TRUE)))),M61&lt;K61),"解消日時不正",IF(K61&gt;G61,"期限後解消・再承認要","解消確認済"))),IF(OR(I61="失効",I61="取消",G61&lt;AsOfDate),"失効・停止再審査",IF(AND(I61&lt;&gt;"未解消",I61&lt;&gt;"対応中"),"条件状態不正","期限内・制約継続")))))))))</f>
        <v/>
      </c>
      <c r="R61" s="32"/>
    </row>
    <row r="62" spans="1:18" ht="64" customHeight="1" x14ac:dyDescent="0.2">
      <c r="A62" s="29"/>
      <c r="B62" s="29"/>
      <c r="C62" s="29"/>
      <c r="D62" s="29"/>
      <c r="E62" s="29"/>
      <c r="F62" s="29"/>
      <c r="G62" s="32"/>
      <c r="H62" s="29"/>
      <c r="I62" s="29"/>
      <c r="J62" s="29"/>
      <c r="K62" s="32"/>
      <c r="L62" s="29"/>
      <c r="M62" s="32"/>
      <c r="N62" s="29"/>
      <c r="O62" s="29"/>
      <c r="P62" s="29"/>
      <c r="Q62" s="28" t="str">
        <f>IF(A62="","",IF(COUNTIF($A$4:$A$83,A62)&lt;&gt;1,"Condition ID重複",IF(OR(OR(B62="",E62="",F62="",H62="",I62="",N62=""),NOT(ISNUMBER(G62))),"条件定義不足",IF(COUNTIF('29_ゲート承認記録'!$F$4:$F$83,B62)&lt;&gt;1,"GateRun不正",IF(OR(C62&lt;&gt;IF(COUNTIF('29_ゲート承認記録'!$F$4:$F$83,B62)&lt;&gt;1,"参照ID不正",IF(INDEX('29_ゲート承認記録'!$T$4:$T$83,MATCH(B62,'29_ゲート承認記録'!$F$4:$F$83,0))="","",INDEX('29_ゲート承認記録'!$T$4:$T$83,MATCH(B62,'29_ゲート承認記録'!$F$4:$F$83,0)))),P62&lt;&gt;IF(COUNTIF('29_ゲート承認記録'!$F$4:$F$83,B62)&lt;&gt;1,"参照ID不正",IF(INDEX('29_ゲート承認記録'!$U$4:$U$83,MATCH(B62,'29_ゲート承認記録'!$F$4:$F$83,0))="","",INDEX('29_ゲート承認記録'!$U$4:$U$83,MATCH(B62,'29_ゲート承認記録'!$F$4:$F$83,0))))),"条件対象不一致",IF(OR(H62="法的禁止",H62="重大未対策"),"条件化不可・停止",IF(I62="解消",IF(OR(J62="",L62="",L62=F62,COUNT(K62,M62)&lt;2),"解消確認不足",IF(OR(OR(AND(K62&lt;&gt;"",OR(NOT(ISNUMBER(K62)),IFERROR(K62&lt;1,TRUE),IFERROR(INT(K62)&gt;INT(AsOfDate),TRUE))),AND(M62&lt;&gt;"",OR(NOT(ISNUMBER(M62)),IFERROR(M62&lt;1,TRUE),IFERROR(INT(M62)&gt;INT(AsOfDate),TRUE)))),M62&lt;K62),"解消日時不正",IF(K62&gt;G62,"期限後解消・再承認要","解消確認済"))),IF(OR(I62="失効",I62="取消",G62&lt;AsOfDate),"失効・停止再審査",IF(AND(I62&lt;&gt;"未解消",I62&lt;&gt;"対応中"),"条件状態不正","期限内・制約継続")))))))))</f>
        <v/>
      </c>
      <c r="R62" s="32"/>
    </row>
    <row r="63" spans="1:18" ht="64" customHeight="1" x14ac:dyDescent="0.2">
      <c r="A63" s="29"/>
      <c r="B63" s="29"/>
      <c r="C63" s="29"/>
      <c r="D63" s="29"/>
      <c r="E63" s="29"/>
      <c r="F63" s="29"/>
      <c r="G63" s="32"/>
      <c r="H63" s="29"/>
      <c r="I63" s="29"/>
      <c r="J63" s="29"/>
      <c r="K63" s="32"/>
      <c r="L63" s="29"/>
      <c r="M63" s="32"/>
      <c r="N63" s="29"/>
      <c r="O63" s="29"/>
      <c r="P63" s="29"/>
      <c r="Q63" s="28" t="str">
        <f>IF(A63="","",IF(COUNTIF($A$4:$A$83,A63)&lt;&gt;1,"Condition ID重複",IF(OR(OR(B63="",E63="",F63="",H63="",I63="",N63=""),NOT(ISNUMBER(G63))),"条件定義不足",IF(COUNTIF('29_ゲート承認記録'!$F$4:$F$83,B63)&lt;&gt;1,"GateRun不正",IF(OR(C63&lt;&gt;IF(COUNTIF('29_ゲート承認記録'!$F$4:$F$83,B63)&lt;&gt;1,"参照ID不正",IF(INDEX('29_ゲート承認記録'!$T$4:$T$83,MATCH(B63,'29_ゲート承認記録'!$F$4:$F$83,0))="","",INDEX('29_ゲート承認記録'!$T$4:$T$83,MATCH(B63,'29_ゲート承認記録'!$F$4:$F$83,0)))),P63&lt;&gt;IF(COUNTIF('29_ゲート承認記録'!$F$4:$F$83,B63)&lt;&gt;1,"参照ID不正",IF(INDEX('29_ゲート承認記録'!$U$4:$U$83,MATCH(B63,'29_ゲート承認記録'!$F$4:$F$83,0))="","",INDEX('29_ゲート承認記録'!$U$4:$U$83,MATCH(B63,'29_ゲート承認記録'!$F$4:$F$83,0))))),"条件対象不一致",IF(OR(H63="法的禁止",H63="重大未対策"),"条件化不可・停止",IF(I63="解消",IF(OR(J63="",L63="",L63=F63,COUNT(K63,M63)&lt;2),"解消確認不足",IF(OR(OR(AND(K63&lt;&gt;"",OR(NOT(ISNUMBER(K63)),IFERROR(K63&lt;1,TRUE),IFERROR(INT(K63)&gt;INT(AsOfDate),TRUE))),AND(M63&lt;&gt;"",OR(NOT(ISNUMBER(M63)),IFERROR(M63&lt;1,TRUE),IFERROR(INT(M63)&gt;INT(AsOfDate),TRUE)))),M63&lt;K63),"解消日時不正",IF(K63&gt;G63,"期限後解消・再承認要","解消確認済"))),IF(OR(I63="失効",I63="取消",G63&lt;AsOfDate),"失効・停止再審査",IF(AND(I63&lt;&gt;"未解消",I63&lt;&gt;"対応中"),"条件状態不正","期限内・制約継続")))))))))</f>
        <v/>
      </c>
      <c r="R63" s="32"/>
    </row>
    <row r="64" spans="1:18" ht="64" customHeight="1" x14ac:dyDescent="0.2">
      <c r="A64" s="29"/>
      <c r="B64" s="29"/>
      <c r="C64" s="29"/>
      <c r="D64" s="29"/>
      <c r="E64" s="29"/>
      <c r="F64" s="29"/>
      <c r="G64" s="32"/>
      <c r="H64" s="29"/>
      <c r="I64" s="29"/>
      <c r="J64" s="29"/>
      <c r="K64" s="32"/>
      <c r="L64" s="29"/>
      <c r="M64" s="32"/>
      <c r="N64" s="29"/>
      <c r="O64" s="29"/>
      <c r="P64" s="29"/>
      <c r="Q64" s="28" t="str">
        <f>IF(A64="","",IF(COUNTIF($A$4:$A$83,A64)&lt;&gt;1,"Condition ID重複",IF(OR(OR(B64="",E64="",F64="",H64="",I64="",N64=""),NOT(ISNUMBER(G64))),"条件定義不足",IF(COUNTIF('29_ゲート承認記録'!$F$4:$F$83,B64)&lt;&gt;1,"GateRun不正",IF(OR(C64&lt;&gt;IF(COUNTIF('29_ゲート承認記録'!$F$4:$F$83,B64)&lt;&gt;1,"参照ID不正",IF(INDEX('29_ゲート承認記録'!$T$4:$T$83,MATCH(B64,'29_ゲート承認記録'!$F$4:$F$83,0))="","",INDEX('29_ゲート承認記録'!$T$4:$T$83,MATCH(B64,'29_ゲート承認記録'!$F$4:$F$83,0)))),P64&lt;&gt;IF(COUNTIF('29_ゲート承認記録'!$F$4:$F$83,B64)&lt;&gt;1,"参照ID不正",IF(INDEX('29_ゲート承認記録'!$U$4:$U$83,MATCH(B64,'29_ゲート承認記録'!$F$4:$F$83,0))="","",INDEX('29_ゲート承認記録'!$U$4:$U$83,MATCH(B64,'29_ゲート承認記録'!$F$4:$F$83,0))))),"条件対象不一致",IF(OR(H64="法的禁止",H64="重大未対策"),"条件化不可・停止",IF(I64="解消",IF(OR(J64="",L64="",L64=F64,COUNT(K64,M64)&lt;2),"解消確認不足",IF(OR(OR(AND(K64&lt;&gt;"",OR(NOT(ISNUMBER(K64)),IFERROR(K64&lt;1,TRUE),IFERROR(INT(K64)&gt;INT(AsOfDate),TRUE))),AND(M64&lt;&gt;"",OR(NOT(ISNUMBER(M64)),IFERROR(M64&lt;1,TRUE),IFERROR(INT(M64)&gt;INT(AsOfDate),TRUE)))),M64&lt;K64),"解消日時不正",IF(K64&gt;G64,"期限後解消・再承認要","解消確認済"))),IF(OR(I64="失効",I64="取消",G64&lt;AsOfDate),"失効・停止再審査",IF(AND(I64&lt;&gt;"未解消",I64&lt;&gt;"対応中"),"条件状態不正","期限内・制約継続")))))))))</f>
        <v/>
      </c>
      <c r="R64" s="32"/>
    </row>
    <row r="65" spans="1:18" ht="64" customHeight="1" x14ac:dyDescent="0.2">
      <c r="A65" s="29"/>
      <c r="B65" s="29"/>
      <c r="C65" s="29"/>
      <c r="D65" s="29"/>
      <c r="E65" s="29"/>
      <c r="F65" s="29"/>
      <c r="G65" s="32"/>
      <c r="H65" s="29"/>
      <c r="I65" s="29"/>
      <c r="J65" s="29"/>
      <c r="K65" s="32"/>
      <c r="L65" s="29"/>
      <c r="M65" s="32"/>
      <c r="N65" s="29"/>
      <c r="O65" s="29"/>
      <c r="P65" s="29"/>
      <c r="Q65" s="28" t="str">
        <f>IF(A65="","",IF(COUNTIF($A$4:$A$83,A65)&lt;&gt;1,"Condition ID重複",IF(OR(OR(B65="",E65="",F65="",H65="",I65="",N65=""),NOT(ISNUMBER(G65))),"条件定義不足",IF(COUNTIF('29_ゲート承認記録'!$F$4:$F$83,B65)&lt;&gt;1,"GateRun不正",IF(OR(C65&lt;&gt;IF(COUNTIF('29_ゲート承認記録'!$F$4:$F$83,B65)&lt;&gt;1,"参照ID不正",IF(INDEX('29_ゲート承認記録'!$T$4:$T$83,MATCH(B65,'29_ゲート承認記録'!$F$4:$F$83,0))="","",INDEX('29_ゲート承認記録'!$T$4:$T$83,MATCH(B65,'29_ゲート承認記録'!$F$4:$F$83,0)))),P65&lt;&gt;IF(COUNTIF('29_ゲート承認記録'!$F$4:$F$83,B65)&lt;&gt;1,"参照ID不正",IF(INDEX('29_ゲート承認記録'!$U$4:$U$83,MATCH(B65,'29_ゲート承認記録'!$F$4:$F$83,0))="","",INDEX('29_ゲート承認記録'!$U$4:$U$83,MATCH(B65,'29_ゲート承認記録'!$F$4:$F$83,0))))),"条件対象不一致",IF(OR(H65="法的禁止",H65="重大未対策"),"条件化不可・停止",IF(I65="解消",IF(OR(J65="",L65="",L65=F65,COUNT(K65,M65)&lt;2),"解消確認不足",IF(OR(OR(AND(K65&lt;&gt;"",OR(NOT(ISNUMBER(K65)),IFERROR(K65&lt;1,TRUE),IFERROR(INT(K65)&gt;INT(AsOfDate),TRUE))),AND(M65&lt;&gt;"",OR(NOT(ISNUMBER(M65)),IFERROR(M65&lt;1,TRUE),IFERROR(INT(M65)&gt;INT(AsOfDate),TRUE)))),M65&lt;K65),"解消日時不正",IF(K65&gt;G65,"期限後解消・再承認要","解消確認済"))),IF(OR(I65="失効",I65="取消",G65&lt;AsOfDate),"失効・停止再審査",IF(AND(I65&lt;&gt;"未解消",I65&lt;&gt;"対応中"),"条件状態不正","期限内・制約継続")))))))))</f>
        <v/>
      </c>
      <c r="R65" s="32"/>
    </row>
    <row r="66" spans="1:18" ht="64" customHeight="1" x14ac:dyDescent="0.2">
      <c r="A66" s="29"/>
      <c r="B66" s="29"/>
      <c r="C66" s="29"/>
      <c r="D66" s="29"/>
      <c r="E66" s="29"/>
      <c r="F66" s="29"/>
      <c r="G66" s="32"/>
      <c r="H66" s="29"/>
      <c r="I66" s="29"/>
      <c r="J66" s="29"/>
      <c r="K66" s="32"/>
      <c r="L66" s="29"/>
      <c r="M66" s="32"/>
      <c r="N66" s="29"/>
      <c r="O66" s="29"/>
      <c r="P66" s="29"/>
      <c r="Q66" s="28" t="str">
        <f>IF(A66="","",IF(COUNTIF($A$4:$A$83,A66)&lt;&gt;1,"Condition ID重複",IF(OR(OR(B66="",E66="",F66="",H66="",I66="",N66=""),NOT(ISNUMBER(G66))),"条件定義不足",IF(COUNTIF('29_ゲート承認記録'!$F$4:$F$83,B66)&lt;&gt;1,"GateRun不正",IF(OR(C66&lt;&gt;IF(COUNTIF('29_ゲート承認記録'!$F$4:$F$83,B66)&lt;&gt;1,"参照ID不正",IF(INDEX('29_ゲート承認記録'!$T$4:$T$83,MATCH(B66,'29_ゲート承認記録'!$F$4:$F$83,0))="","",INDEX('29_ゲート承認記録'!$T$4:$T$83,MATCH(B66,'29_ゲート承認記録'!$F$4:$F$83,0)))),P66&lt;&gt;IF(COUNTIF('29_ゲート承認記録'!$F$4:$F$83,B66)&lt;&gt;1,"参照ID不正",IF(INDEX('29_ゲート承認記録'!$U$4:$U$83,MATCH(B66,'29_ゲート承認記録'!$F$4:$F$83,0))="","",INDEX('29_ゲート承認記録'!$U$4:$U$83,MATCH(B66,'29_ゲート承認記録'!$F$4:$F$83,0))))),"条件対象不一致",IF(OR(H66="法的禁止",H66="重大未対策"),"条件化不可・停止",IF(I66="解消",IF(OR(J66="",L66="",L66=F66,COUNT(K66,M66)&lt;2),"解消確認不足",IF(OR(OR(AND(K66&lt;&gt;"",OR(NOT(ISNUMBER(K66)),IFERROR(K66&lt;1,TRUE),IFERROR(INT(K66)&gt;INT(AsOfDate),TRUE))),AND(M66&lt;&gt;"",OR(NOT(ISNUMBER(M66)),IFERROR(M66&lt;1,TRUE),IFERROR(INT(M66)&gt;INT(AsOfDate),TRUE)))),M66&lt;K66),"解消日時不正",IF(K66&gt;G66,"期限後解消・再承認要","解消確認済"))),IF(OR(I66="失効",I66="取消",G66&lt;AsOfDate),"失効・停止再審査",IF(AND(I66&lt;&gt;"未解消",I66&lt;&gt;"対応中"),"条件状態不正","期限内・制約継続")))))))))</f>
        <v/>
      </c>
      <c r="R66" s="32"/>
    </row>
    <row r="67" spans="1:18" ht="64" customHeight="1" x14ac:dyDescent="0.2">
      <c r="A67" s="29"/>
      <c r="B67" s="29"/>
      <c r="C67" s="29"/>
      <c r="D67" s="29"/>
      <c r="E67" s="29"/>
      <c r="F67" s="29"/>
      <c r="G67" s="32"/>
      <c r="H67" s="29"/>
      <c r="I67" s="29"/>
      <c r="J67" s="29"/>
      <c r="K67" s="32"/>
      <c r="L67" s="29"/>
      <c r="M67" s="32"/>
      <c r="N67" s="29"/>
      <c r="O67" s="29"/>
      <c r="P67" s="29"/>
      <c r="Q67" s="28" t="str">
        <f>IF(A67="","",IF(COUNTIF($A$4:$A$83,A67)&lt;&gt;1,"Condition ID重複",IF(OR(OR(B67="",E67="",F67="",H67="",I67="",N67=""),NOT(ISNUMBER(G67))),"条件定義不足",IF(COUNTIF('29_ゲート承認記録'!$F$4:$F$83,B67)&lt;&gt;1,"GateRun不正",IF(OR(C67&lt;&gt;IF(COUNTIF('29_ゲート承認記録'!$F$4:$F$83,B67)&lt;&gt;1,"参照ID不正",IF(INDEX('29_ゲート承認記録'!$T$4:$T$83,MATCH(B67,'29_ゲート承認記録'!$F$4:$F$83,0))="","",INDEX('29_ゲート承認記録'!$T$4:$T$83,MATCH(B67,'29_ゲート承認記録'!$F$4:$F$83,0)))),P67&lt;&gt;IF(COUNTIF('29_ゲート承認記録'!$F$4:$F$83,B67)&lt;&gt;1,"参照ID不正",IF(INDEX('29_ゲート承認記録'!$U$4:$U$83,MATCH(B67,'29_ゲート承認記録'!$F$4:$F$83,0))="","",INDEX('29_ゲート承認記録'!$U$4:$U$83,MATCH(B67,'29_ゲート承認記録'!$F$4:$F$83,0))))),"条件対象不一致",IF(OR(H67="法的禁止",H67="重大未対策"),"条件化不可・停止",IF(I67="解消",IF(OR(J67="",L67="",L67=F67,COUNT(K67,M67)&lt;2),"解消確認不足",IF(OR(OR(AND(K67&lt;&gt;"",OR(NOT(ISNUMBER(K67)),IFERROR(K67&lt;1,TRUE),IFERROR(INT(K67)&gt;INT(AsOfDate),TRUE))),AND(M67&lt;&gt;"",OR(NOT(ISNUMBER(M67)),IFERROR(M67&lt;1,TRUE),IFERROR(INT(M67)&gt;INT(AsOfDate),TRUE)))),M67&lt;K67),"解消日時不正",IF(K67&gt;G67,"期限後解消・再承認要","解消確認済"))),IF(OR(I67="失効",I67="取消",G67&lt;AsOfDate),"失効・停止再審査",IF(AND(I67&lt;&gt;"未解消",I67&lt;&gt;"対応中"),"条件状態不正","期限内・制約継続")))))))))</f>
        <v/>
      </c>
      <c r="R67" s="32"/>
    </row>
    <row r="68" spans="1:18" ht="64" customHeight="1" x14ac:dyDescent="0.2">
      <c r="A68" s="29"/>
      <c r="B68" s="29"/>
      <c r="C68" s="29"/>
      <c r="D68" s="29"/>
      <c r="E68" s="29"/>
      <c r="F68" s="29"/>
      <c r="G68" s="32"/>
      <c r="H68" s="29"/>
      <c r="I68" s="29"/>
      <c r="J68" s="29"/>
      <c r="K68" s="32"/>
      <c r="L68" s="29"/>
      <c r="M68" s="32"/>
      <c r="N68" s="29"/>
      <c r="O68" s="29"/>
      <c r="P68" s="29"/>
      <c r="Q68" s="28" t="str">
        <f>IF(A68="","",IF(COUNTIF($A$4:$A$83,A68)&lt;&gt;1,"Condition ID重複",IF(OR(OR(B68="",E68="",F68="",H68="",I68="",N68=""),NOT(ISNUMBER(G68))),"条件定義不足",IF(COUNTIF('29_ゲート承認記録'!$F$4:$F$83,B68)&lt;&gt;1,"GateRun不正",IF(OR(C68&lt;&gt;IF(COUNTIF('29_ゲート承認記録'!$F$4:$F$83,B68)&lt;&gt;1,"参照ID不正",IF(INDEX('29_ゲート承認記録'!$T$4:$T$83,MATCH(B68,'29_ゲート承認記録'!$F$4:$F$83,0))="","",INDEX('29_ゲート承認記録'!$T$4:$T$83,MATCH(B68,'29_ゲート承認記録'!$F$4:$F$83,0)))),P68&lt;&gt;IF(COUNTIF('29_ゲート承認記録'!$F$4:$F$83,B68)&lt;&gt;1,"参照ID不正",IF(INDEX('29_ゲート承認記録'!$U$4:$U$83,MATCH(B68,'29_ゲート承認記録'!$F$4:$F$83,0))="","",INDEX('29_ゲート承認記録'!$U$4:$U$83,MATCH(B68,'29_ゲート承認記録'!$F$4:$F$83,0))))),"条件対象不一致",IF(OR(H68="法的禁止",H68="重大未対策"),"条件化不可・停止",IF(I68="解消",IF(OR(J68="",L68="",L68=F68,COUNT(K68,M68)&lt;2),"解消確認不足",IF(OR(OR(AND(K68&lt;&gt;"",OR(NOT(ISNUMBER(K68)),IFERROR(K68&lt;1,TRUE),IFERROR(INT(K68)&gt;INT(AsOfDate),TRUE))),AND(M68&lt;&gt;"",OR(NOT(ISNUMBER(M68)),IFERROR(M68&lt;1,TRUE),IFERROR(INT(M68)&gt;INT(AsOfDate),TRUE)))),M68&lt;K68),"解消日時不正",IF(K68&gt;G68,"期限後解消・再承認要","解消確認済"))),IF(OR(I68="失効",I68="取消",G68&lt;AsOfDate),"失効・停止再審査",IF(AND(I68&lt;&gt;"未解消",I68&lt;&gt;"対応中"),"条件状態不正","期限内・制約継続")))))))))</f>
        <v/>
      </c>
      <c r="R68" s="32"/>
    </row>
    <row r="69" spans="1:18" ht="64" customHeight="1" x14ac:dyDescent="0.2">
      <c r="A69" s="29"/>
      <c r="B69" s="29"/>
      <c r="C69" s="29"/>
      <c r="D69" s="29"/>
      <c r="E69" s="29"/>
      <c r="F69" s="29"/>
      <c r="G69" s="32"/>
      <c r="H69" s="29"/>
      <c r="I69" s="29"/>
      <c r="J69" s="29"/>
      <c r="K69" s="32"/>
      <c r="L69" s="29"/>
      <c r="M69" s="32"/>
      <c r="N69" s="29"/>
      <c r="O69" s="29"/>
      <c r="P69" s="29"/>
      <c r="Q69" s="28" t="str">
        <f>IF(A69="","",IF(COUNTIF($A$4:$A$83,A69)&lt;&gt;1,"Condition ID重複",IF(OR(OR(B69="",E69="",F69="",H69="",I69="",N69=""),NOT(ISNUMBER(G69))),"条件定義不足",IF(COUNTIF('29_ゲート承認記録'!$F$4:$F$83,B69)&lt;&gt;1,"GateRun不正",IF(OR(C69&lt;&gt;IF(COUNTIF('29_ゲート承認記録'!$F$4:$F$83,B69)&lt;&gt;1,"参照ID不正",IF(INDEX('29_ゲート承認記録'!$T$4:$T$83,MATCH(B69,'29_ゲート承認記録'!$F$4:$F$83,0))="","",INDEX('29_ゲート承認記録'!$T$4:$T$83,MATCH(B69,'29_ゲート承認記録'!$F$4:$F$83,0)))),P69&lt;&gt;IF(COUNTIF('29_ゲート承認記録'!$F$4:$F$83,B69)&lt;&gt;1,"参照ID不正",IF(INDEX('29_ゲート承認記録'!$U$4:$U$83,MATCH(B69,'29_ゲート承認記録'!$F$4:$F$83,0))="","",INDEX('29_ゲート承認記録'!$U$4:$U$83,MATCH(B69,'29_ゲート承認記録'!$F$4:$F$83,0))))),"条件対象不一致",IF(OR(H69="法的禁止",H69="重大未対策"),"条件化不可・停止",IF(I69="解消",IF(OR(J69="",L69="",L69=F69,COUNT(K69,M69)&lt;2),"解消確認不足",IF(OR(OR(AND(K69&lt;&gt;"",OR(NOT(ISNUMBER(K69)),IFERROR(K69&lt;1,TRUE),IFERROR(INT(K69)&gt;INT(AsOfDate),TRUE))),AND(M69&lt;&gt;"",OR(NOT(ISNUMBER(M69)),IFERROR(M69&lt;1,TRUE),IFERROR(INT(M69)&gt;INT(AsOfDate),TRUE)))),M69&lt;K69),"解消日時不正",IF(K69&gt;G69,"期限後解消・再承認要","解消確認済"))),IF(OR(I69="失効",I69="取消",G69&lt;AsOfDate),"失効・停止再審査",IF(AND(I69&lt;&gt;"未解消",I69&lt;&gt;"対応中"),"条件状態不正","期限内・制約継続")))))))))</f>
        <v/>
      </c>
      <c r="R69" s="32"/>
    </row>
    <row r="70" spans="1:18" ht="64" customHeight="1" x14ac:dyDescent="0.2">
      <c r="A70" s="29"/>
      <c r="B70" s="29"/>
      <c r="C70" s="29"/>
      <c r="D70" s="29"/>
      <c r="E70" s="29"/>
      <c r="F70" s="29"/>
      <c r="G70" s="32"/>
      <c r="H70" s="29"/>
      <c r="I70" s="29"/>
      <c r="J70" s="29"/>
      <c r="K70" s="32"/>
      <c r="L70" s="29"/>
      <c r="M70" s="32"/>
      <c r="N70" s="29"/>
      <c r="O70" s="29"/>
      <c r="P70" s="29"/>
      <c r="Q70" s="28" t="str">
        <f>IF(A70="","",IF(COUNTIF($A$4:$A$83,A70)&lt;&gt;1,"Condition ID重複",IF(OR(OR(B70="",E70="",F70="",H70="",I70="",N70=""),NOT(ISNUMBER(G70))),"条件定義不足",IF(COUNTIF('29_ゲート承認記録'!$F$4:$F$83,B70)&lt;&gt;1,"GateRun不正",IF(OR(C70&lt;&gt;IF(COUNTIF('29_ゲート承認記録'!$F$4:$F$83,B70)&lt;&gt;1,"参照ID不正",IF(INDEX('29_ゲート承認記録'!$T$4:$T$83,MATCH(B70,'29_ゲート承認記録'!$F$4:$F$83,0))="","",INDEX('29_ゲート承認記録'!$T$4:$T$83,MATCH(B70,'29_ゲート承認記録'!$F$4:$F$83,0)))),P70&lt;&gt;IF(COUNTIF('29_ゲート承認記録'!$F$4:$F$83,B70)&lt;&gt;1,"参照ID不正",IF(INDEX('29_ゲート承認記録'!$U$4:$U$83,MATCH(B70,'29_ゲート承認記録'!$F$4:$F$83,0))="","",INDEX('29_ゲート承認記録'!$U$4:$U$83,MATCH(B70,'29_ゲート承認記録'!$F$4:$F$83,0))))),"条件対象不一致",IF(OR(H70="法的禁止",H70="重大未対策"),"条件化不可・停止",IF(I70="解消",IF(OR(J70="",L70="",L70=F70,COUNT(K70,M70)&lt;2),"解消確認不足",IF(OR(OR(AND(K70&lt;&gt;"",OR(NOT(ISNUMBER(K70)),IFERROR(K70&lt;1,TRUE),IFERROR(INT(K70)&gt;INT(AsOfDate),TRUE))),AND(M70&lt;&gt;"",OR(NOT(ISNUMBER(M70)),IFERROR(M70&lt;1,TRUE),IFERROR(INT(M70)&gt;INT(AsOfDate),TRUE)))),M70&lt;K70),"解消日時不正",IF(K70&gt;G70,"期限後解消・再承認要","解消確認済"))),IF(OR(I70="失効",I70="取消",G70&lt;AsOfDate),"失効・停止再審査",IF(AND(I70&lt;&gt;"未解消",I70&lt;&gt;"対応中"),"条件状態不正","期限内・制約継続")))))))))</f>
        <v/>
      </c>
      <c r="R70" s="32"/>
    </row>
    <row r="71" spans="1:18" ht="64" customHeight="1" x14ac:dyDescent="0.2">
      <c r="A71" s="29"/>
      <c r="B71" s="29"/>
      <c r="C71" s="29"/>
      <c r="D71" s="29"/>
      <c r="E71" s="29"/>
      <c r="F71" s="29"/>
      <c r="G71" s="32"/>
      <c r="H71" s="29"/>
      <c r="I71" s="29"/>
      <c r="J71" s="29"/>
      <c r="K71" s="32"/>
      <c r="L71" s="29"/>
      <c r="M71" s="32"/>
      <c r="N71" s="29"/>
      <c r="O71" s="29"/>
      <c r="P71" s="29"/>
      <c r="Q71" s="28" t="str">
        <f>IF(A71="","",IF(COUNTIF($A$4:$A$83,A71)&lt;&gt;1,"Condition ID重複",IF(OR(OR(B71="",E71="",F71="",H71="",I71="",N71=""),NOT(ISNUMBER(G71))),"条件定義不足",IF(COUNTIF('29_ゲート承認記録'!$F$4:$F$83,B71)&lt;&gt;1,"GateRun不正",IF(OR(C71&lt;&gt;IF(COUNTIF('29_ゲート承認記録'!$F$4:$F$83,B71)&lt;&gt;1,"参照ID不正",IF(INDEX('29_ゲート承認記録'!$T$4:$T$83,MATCH(B71,'29_ゲート承認記録'!$F$4:$F$83,0))="","",INDEX('29_ゲート承認記録'!$T$4:$T$83,MATCH(B71,'29_ゲート承認記録'!$F$4:$F$83,0)))),P71&lt;&gt;IF(COUNTIF('29_ゲート承認記録'!$F$4:$F$83,B71)&lt;&gt;1,"参照ID不正",IF(INDEX('29_ゲート承認記録'!$U$4:$U$83,MATCH(B71,'29_ゲート承認記録'!$F$4:$F$83,0))="","",INDEX('29_ゲート承認記録'!$U$4:$U$83,MATCH(B71,'29_ゲート承認記録'!$F$4:$F$83,0))))),"条件対象不一致",IF(OR(H71="法的禁止",H71="重大未対策"),"条件化不可・停止",IF(I71="解消",IF(OR(J71="",L71="",L71=F71,COUNT(K71,M71)&lt;2),"解消確認不足",IF(OR(OR(AND(K71&lt;&gt;"",OR(NOT(ISNUMBER(K71)),IFERROR(K71&lt;1,TRUE),IFERROR(INT(K71)&gt;INT(AsOfDate),TRUE))),AND(M71&lt;&gt;"",OR(NOT(ISNUMBER(M71)),IFERROR(M71&lt;1,TRUE),IFERROR(INT(M71)&gt;INT(AsOfDate),TRUE)))),M71&lt;K71),"解消日時不正",IF(K71&gt;G71,"期限後解消・再承認要","解消確認済"))),IF(OR(I71="失効",I71="取消",G71&lt;AsOfDate),"失効・停止再審査",IF(AND(I71&lt;&gt;"未解消",I71&lt;&gt;"対応中"),"条件状態不正","期限内・制約継続")))))))))</f>
        <v/>
      </c>
      <c r="R71" s="32"/>
    </row>
    <row r="72" spans="1:18" ht="64" customHeight="1" x14ac:dyDescent="0.2">
      <c r="A72" s="29"/>
      <c r="B72" s="29"/>
      <c r="C72" s="29"/>
      <c r="D72" s="29"/>
      <c r="E72" s="29"/>
      <c r="F72" s="29"/>
      <c r="G72" s="32"/>
      <c r="H72" s="29"/>
      <c r="I72" s="29"/>
      <c r="J72" s="29"/>
      <c r="K72" s="32"/>
      <c r="L72" s="29"/>
      <c r="M72" s="32"/>
      <c r="N72" s="29"/>
      <c r="O72" s="29"/>
      <c r="P72" s="29"/>
      <c r="Q72" s="28" t="str">
        <f>IF(A72="","",IF(COUNTIF($A$4:$A$83,A72)&lt;&gt;1,"Condition ID重複",IF(OR(OR(B72="",E72="",F72="",H72="",I72="",N72=""),NOT(ISNUMBER(G72))),"条件定義不足",IF(COUNTIF('29_ゲート承認記録'!$F$4:$F$83,B72)&lt;&gt;1,"GateRun不正",IF(OR(C72&lt;&gt;IF(COUNTIF('29_ゲート承認記録'!$F$4:$F$83,B72)&lt;&gt;1,"参照ID不正",IF(INDEX('29_ゲート承認記録'!$T$4:$T$83,MATCH(B72,'29_ゲート承認記録'!$F$4:$F$83,0))="","",INDEX('29_ゲート承認記録'!$T$4:$T$83,MATCH(B72,'29_ゲート承認記録'!$F$4:$F$83,0)))),P72&lt;&gt;IF(COUNTIF('29_ゲート承認記録'!$F$4:$F$83,B72)&lt;&gt;1,"参照ID不正",IF(INDEX('29_ゲート承認記録'!$U$4:$U$83,MATCH(B72,'29_ゲート承認記録'!$F$4:$F$83,0))="","",INDEX('29_ゲート承認記録'!$U$4:$U$83,MATCH(B72,'29_ゲート承認記録'!$F$4:$F$83,0))))),"条件対象不一致",IF(OR(H72="法的禁止",H72="重大未対策"),"条件化不可・停止",IF(I72="解消",IF(OR(J72="",L72="",L72=F72,COUNT(K72,M72)&lt;2),"解消確認不足",IF(OR(OR(AND(K72&lt;&gt;"",OR(NOT(ISNUMBER(K72)),IFERROR(K72&lt;1,TRUE),IFERROR(INT(K72)&gt;INT(AsOfDate),TRUE))),AND(M72&lt;&gt;"",OR(NOT(ISNUMBER(M72)),IFERROR(M72&lt;1,TRUE),IFERROR(INT(M72)&gt;INT(AsOfDate),TRUE)))),M72&lt;K72),"解消日時不正",IF(K72&gt;G72,"期限後解消・再承認要","解消確認済"))),IF(OR(I72="失効",I72="取消",G72&lt;AsOfDate),"失効・停止再審査",IF(AND(I72&lt;&gt;"未解消",I72&lt;&gt;"対応中"),"条件状態不正","期限内・制約継続")))))))))</f>
        <v/>
      </c>
      <c r="R72" s="32"/>
    </row>
    <row r="73" spans="1:18" ht="64" customHeight="1" x14ac:dyDescent="0.2">
      <c r="A73" s="29"/>
      <c r="B73" s="29"/>
      <c r="C73" s="29"/>
      <c r="D73" s="29"/>
      <c r="E73" s="29"/>
      <c r="F73" s="29"/>
      <c r="G73" s="32"/>
      <c r="H73" s="29"/>
      <c r="I73" s="29"/>
      <c r="J73" s="29"/>
      <c r="K73" s="32"/>
      <c r="L73" s="29"/>
      <c r="M73" s="32"/>
      <c r="N73" s="29"/>
      <c r="O73" s="29"/>
      <c r="P73" s="29"/>
      <c r="Q73" s="28" t="str">
        <f>IF(A73="","",IF(COUNTIF($A$4:$A$83,A73)&lt;&gt;1,"Condition ID重複",IF(OR(OR(B73="",E73="",F73="",H73="",I73="",N73=""),NOT(ISNUMBER(G73))),"条件定義不足",IF(COUNTIF('29_ゲート承認記録'!$F$4:$F$83,B73)&lt;&gt;1,"GateRun不正",IF(OR(C73&lt;&gt;IF(COUNTIF('29_ゲート承認記録'!$F$4:$F$83,B73)&lt;&gt;1,"参照ID不正",IF(INDEX('29_ゲート承認記録'!$T$4:$T$83,MATCH(B73,'29_ゲート承認記録'!$F$4:$F$83,0))="","",INDEX('29_ゲート承認記録'!$T$4:$T$83,MATCH(B73,'29_ゲート承認記録'!$F$4:$F$83,0)))),P73&lt;&gt;IF(COUNTIF('29_ゲート承認記録'!$F$4:$F$83,B73)&lt;&gt;1,"参照ID不正",IF(INDEX('29_ゲート承認記録'!$U$4:$U$83,MATCH(B73,'29_ゲート承認記録'!$F$4:$F$83,0))="","",INDEX('29_ゲート承認記録'!$U$4:$U$83,MATCH(B73,'29_ゲート承認記録'!$F$4:$F$83,0))))),"条件対象不一致",IF(OR(H73="法的禁止",H73="重大未対策"),"条件化不可・停止",IF(I73="解消",IF(OR(J73="",L73="",L73=F73,COUNT(K73,M73)&lt;2),"解消確認不足",IF(OR(OR(AND(K73&lt;&gt;"",OR(NOT(ISNUMBER(K73)),IFERROR(K73&lt;1,TRUE),IFERROR(INT(K73)&gt;INT(AsOfDate),TRUE))),AND(M73&lt;&gt;"",OR(NOT(ISNUMBER(M73)),IFERROR(M73&lt;1,TRUE),IFERROR(INT(M73)&gt;INT(AsOfDate),TRUE)))),M73&lt;K73),"解消日時不正",IF(K73&gt;G73,"期限後解消・再承認要","解消確認済"))),IF(OR(I73="失効",I73="取消",G73&lt;AsOfDate),"失効・停止再審査",IF(AND(I73&lt;&gt;"未解消",I73&lt;&gt;"対応中"),"条件状態不正","期限内・制約継続")))))))))</f>
        <v/>
      </c>
      <c r="R73" s="32"/>
    </row>
    <row r="74" spans="1:18" ht="64" customHeight="1" x14ac:dyDescent="0.2">
      <c r="A74" s="29"/>
      <c r="B74" s="29"/>
      <c r="C74" s="29"/>
      <c r="D74" s="29"/>
      <c r="E74" s="29"/>
      <c r="F74" s="29"/>
      <c r="G74" s="32"/>
      <c r="H74" s="29"/>
      <c r="I74" s="29"/>
      <c r="J74" s="29"/>
      <c r="K74" s="32"/>
      <c r="L74" s="29"/>
      <c r="M74" s="32"/>
      <c r="N74" s="29"/>
      <c r="O74" s="29"/>
      <c r="P74" s="29"/>
      <c r="Q74" s="28" t="str">
        <f>IF(A74="","",IF(COUNTIF($A$4:$A$83,A74)&lt;&gt;1,"Condition ID重複",IF(OR(OR(B74="",E74="",F74="",H74="",I74="",N74=""),NOT(ISNUMBER(G74))),"条件定義不足",IF(COUNTIF('29_ゲート承認記録'!$F$4:$F$83,B74)&lt;&gt;1,"GateRun不正",IF(OR(C74&lt;&gt;IF(COUNTIF('29_ゲート承認記録'!$F$4:$F$83,B74)&lt;&gt;1,"参照ID不正",IF(INDEX('29_ゲート承認記録'!$T$4:$T$83,MATCH(B74,'29_ゲート承認記録'!$F$4:$F$83,0))="","",INDEX('29_ゲート承認記録'!$T$4:$T$83,MATCH(B74,'29_ゲート承認記録'!$F$4:$F$83,0)))),P74&lt;&gt;IF(COUNTIF('29_ゲート承認記録'!$F$4:$F$83,B74)&lt;&gt;1,"参照ID不正",IF(INDEX('29_ゲート承認記録'!$U$4:$U$83,MATCH(B74,'29_ゲート承認記録'!$F$4:$F$83,0))="","",INDEX('29_ゲート承認記録'!$U$4:$U$83,MATCH(B74,'29_ゲート承認記録'!$F$4:$F$83,0))))),"条件対象不一致",IF(OR(H74="法的禁止",H74="重大未対策"),"条件化不可・停止",IF(I74="解消",IF(OR(J74="",L74="",L74=F74,COUNT(K74,M74)&lt;2),"解消確認不足",IF(OR(OR(AND(K74&lt;&gt;"",OR(NOT(ISNUMBER(K74)),IFERROR(K74&lt;1,TRUE),IFERROR(INT(K74)&gt;INT(AsOfDate),TRUE))),AND(M74&lt;&gt;"",OR(NOT(ISNUMBER(M74)),IFERROR(M74&lt;1,TRUE),IFERROR(INT(M74)&gt;INT(AsOfDate),TRUE)))),M74&lt;K74),"解消日時不正",IF(K74&gt;G74,"期限後解消・再承認要","解消確認済"))),IF(OR(I74="失効",I74="取消",G74&lt;AsOfDate),"失効・停止再審査",IF(AND(I74&lt;&gt;"未解消",I74&lt;&gt;"対応中"),"条件状態不正","期限内・制約継続")))))))))</f>
        <v/>
      </c>
      <c r="R74" s="32"/>
    </row>
    <row r="75" spans="1:18" ht="64" customHeight="1" x14ac:dyDescent="0.2">
      <c r="A75" s="29"/>
      <c r="B75" s="29"/>
      <c r="C75" s="29"/>
      <c r="D75" s="29"/>
      <c r="E75" s="29"/>
      <c r="F75" s="29"/>
      <c r="G75" s="32"/>
      <c r="H75" s="29"/>
      <c r="I75" s="29"/>
      <c r="J75" s="29"/>
      <c r="K75" s="32"/>
      <c r="L75" s="29"/>
      <c r="M75" s="32"/>
      <c r="N75" s="29"/>
      <c r="O75" s="29"/>
      <c r="P75" s="29"/>
      <c r="Q75" s="28" t="str">
        <f>IF(A75="","",IF(COUNTIF($A$4:$A$83,A75)&lt;&gt;1,"Condition ID重複",IF(OR(OR(B75="",E75="",F75="",H75="",I75="",N75=""),NOT(ISNUMBER(G75))),"条件定義不足",IF(COUNTIF('29_ゲート承認記録'!$F$4:$F$83,B75)&lt;&gt;1,"GateRun不正",IF(OR(C75&lt;&gt;IF(COUNTIF('29_ゲート承認記録'!$F$4:$F$83,B75)&lt;&gt;1,"参照ID不正",IF(INDEX('29_ゲート承認記録'!$T$4:$T$83,MATCH(B75,'29_ゲート承認記録'!$F$4:$F$83,0))="","",INDEX('29_ゲート承認記録'!$T$4:$T$83,MATCH(B75,'29_ゲート承認記録'!$F$4:$F$83,0)))),P75&lt;&gt;IF(COUNTIF('29_ゲート承認記録'!$F$4:$F$83,B75)&lt;&gt;1,"参照ID不正",IF(INDEX('29_ゲート承認記録'!$U$4:$U$83,MATCH(B75,'29_ゲート承認記録'!$F$4:$F$83,0))="","",INDEX('29_ゲート承認記録'!$U$4:$U$83,MATCH(B75,'29_ゲート承認記録'!$F$4:$F$83,0))))),"条件対象不一致",IF(OR(H75="法的禁止",H75="重大未対策"),"条件化不可・停止",IF(I75="解消",IF(OR(J75="",L75="",L75=F75,COUNT(K75,M75)&lt;2),"解消確認不足",IF(OR(OR(AND(K75&lt;&gt;"",OR(NOT(ISNUMBER(K75)),IFERROR(K75&lt;1,TRUE),IFERROR(INT(K75)&gt;INT(AsOfDate),TRUE))),AND(M75&lt;&gt;"",OR(NOT(ISNUMBER(M75)),IFERROR(M75&lt;1,TRUE),IFERROR(INT(M75)&gt;INT(AsOfDate),TRUE)))),M75&lt;K75),"解消日時不正",IF(K75&gt;G75,"期限後解消・再承認要","解消確認済"))),IF(OR(I75="失効",I75="取消",G75&lt;AsOfDate),"失効・停止再審査",IF(AND(I75&lt;&gt;"未解消",I75&lt;&gt;"対応中"),"条件状態不正","期限内・制約継続")))))))))</f>
        <v/>
      </c>
      <c r="R75" s="32"/>
    </row>
    <row r="76" spans="1:18" ht="64" customHeight="1" x14ac:dyDescent="0.2">
      <c r="A76" s="29"/>
      <c r="B76" s="29"/>
      <c r="C76" s="29"/>
      <c r="D76" s="29"/>
      <c r="E76" s="29"/>
      <c r="F76" s="29"/>
      <c r="G76" s="32"/>
      <c r="H76" s="29"/>
      <c r="I76" s="29"/>
      <c r="J76" s="29"/>
      <c r="K76" s="32"/>
      <c r="L76" s="29"/>
      <c r="M76" s="32"/>
      <c r="N76" s="29"/>
      <c r="O76" s="29"/>
      <c r="P76" s="29"/>
      <c r="Q76" s="28" t="str">
        <f>IF(A76="","",IF(COUNTIF($A$4:$A$83,A76)&lt;&gt;1,"Condition ID重複",IF(OR(OR(B76="",E76="",F76="",H76="",I76="",N76=""),NOT(ISNUMBER(G76))),"条件定義不足",IF(COUNTIF('29_ゲート承認記録'!$F$4:$F$83,B76)&lt;&gt;1,"GateRun不正",IF(OR(C76&lt;&gt;IF(COUNTIF('29_ゲート承認記録'!$F$4:$F$83,B76)&lt;&gt;1,"参照ID不正",IF(INDEX('29_ゲート承認記録'!$T$4:$T$83,MATCH(B76,'29_ゲート承認記録'!$F$4:$F$83,0))="","",INDEX('29_ゲート承認記録'!$T$4:$T$83,MATCH(B76,'29_ゲート承認記録'!$F$4:$F$83,0)))),P76&lt;&gt;IF(COUNTIF('29_ゲート承認記録'!$F$4:$F$83,B76)&lt;&gt;1,"参照ID不正",IF(INDEX('29_ゲート承認記録'!$U$4:$U$83,MATCH(B76,'29_ゲート承認記録'!$F$4:$F$83,0))="","",INDEX('29_ゲート承認記録'!$U$4:$U$83,MATCH(B76,'29_ゲート承認記録'!$F$4:$F$83,0))))),"条件対象不一致",IF(OR(H76="法的禁止",H76="重大未対策"),"条件化不可・停止",IF(I76="解消",IF(OR(J76="",L76="",L76=F76,COUNT(K76,M76)&lt;2),"解消確認不足",IF(OR(OR(AND(K76&lt;&gt;"",OR(NOT(ISNUMBER(K76)),IFERROR(K76&lt;1,TRUE),IFERROR(INT(K76)&gt;INT(AsOfDate),TRUE))),AND(M76&lt;&gt;"",OR(NOT(ISNUMBER(M76)),IFERROR(M76&lt;1,TRUE),IFERROR(INT(M76)&gt;INT(AsOfDate),TRUE)))),M76&lt;K76),"解消日時不正",IF(K76&gt;G76,"期限後解消・再承認要","解消確認済"))),IF(OR(I76="失効",I76="取消",G76&lt;AsOfDate),"失効・停止再審査",IF(AND(I76&lt;&gt;"未解消",I76&lt;&gt;"対応中"),"条件状態不正","期限内・制約継続")))))))))</f>
        <v/>
      </c>
      <c r="R76" s="32"/>
    </row>
    <row r="77" spans="1:18" ht="64" customHeight="1" x14ac:dyDescent="0.2">
      <c r="A77" s="29"/>
      <c r="B77" s="29"/>
      <c r="C77" s="29"/>
      <c r="D77" s="29"/>
      <c r="E77" s="29"/>
      <c r="F77" s="29"/>
      <c r="G77" s="32"/>
      <c r="H77" s="29"/>
      <c r="I77" s="29"/>
      <c r="J77" s="29"/>
      <c r="K77" s="32"/>
      <c r="L77" s="29"/>
      <c r="M77" s="32"/>
      <c r="N77" s="29"/>
      <c r="O77" s="29"/>
      <c r="P77" s="29"/>
      <c r="Q77" s="28" t="str">
        <f>IF(A77="","",IF(COUNTIF($A$4:$A$83,A77)&lt;&gt;1,"Condition ID重複",IF(OR(OR(B77="",E77="",F77="",H77="",I77="",N77=""),NOT(ISNUMBER(G77))),"条件定義不足",IF(COUNTIF('29_ゲート承認記録'!$F$4:$F$83,B77)&lt;&gt;1,"GateRun不正",IF(OR(C77&lt;&gt;IF(COUNTIF('29_ゲート承認記録'!$F$4:$F$83,B77)&lt;&gt;1,"参照ID不正",IF(INDEX('29_ゲート承認記録'!$T$4:$T$83,MATCH(B77,'29_ゲート承認記録'!$F$4:$F$83,0))="","",INDEX('29_ゲート承認記録'!$T$4:$T$83,MATCH(B77,'29_ゲート承認記録'!$F$4:$F$83,0)))),P77&lt;&gt;IF(COUNTIF('29_ゲート承認記録'!$F$4:$F$83,B77)&lt;&gt;1,"参照ID不正",IF(INDEX('29_ゲート承認記録'!$U$4:$U$83,MATCH(B77,'29_ゲート承認記録'!$F$4:$F$83,0))="","",INDEX('29_ゲート承認記録'!$U$4:$U$83,MATCH(B77,'29_ゲート承認記録'!$F$4:$F$83,0))))),"条件対象不一致",IF(OR(H77="法的禁止",H77="重大未対策"),"条件化不可・停止",IF(I77="解消",IF(OR(J77="",L77="",L77=F77,COUNT(K77,M77)&lt;2),"解消確認不足",IF(OR(OR(AND(K77&lt;&gt;"",OR(NOT(ISNUMBER(K77)),IFERROR(K77&lt;1,TRUE),IFERROR(INT(K77)&gt;INT(AsOfDate),TRUE))),AND(M77&lt;&gt;"",OR(NOT(ISNUMBER(M77)),IFERROR(M77&lt;1,TRUE),IFERROR(INT(M77)&gt;INT(AsOfDate),TRUE)))),M77&lt;K77),"解消日時不正",IF(K77&gt;G77,"期限後解消・再承認要","解消確認済"))),IF(OR(I77="失効",I77="取消",G77&lt;AsOfDate),"失効・停止再審査",IF(AND(I77&lt;&gt;"未解消",I77&lt;&gt;"対応中"),"条件状態不正","期限内・制約継続")))))))))</f>
        <v/>
      </c>
      <c r="R77" s="32"/>
    </row>
    <row r="78" spans="1:18" ht="64" customHeight="1" x14ac:dyDescent="0.2">
      <c r="A78" s="29"/>
      <c r="B78" s="29"/>
      <c r="C78" s="29"/>
      <c r="D78" s="29"/>
      <c r="E78" s="29"/>
      <c r="F78" s="29"/>
      <c r="G78" s="32"/>
      <c r="H78" s="29"/>
      <c r="I78" s="29"/>
      <c r="J78" s="29"/>
      <c r="K78" s="32"/>
      <c r="L78" s="29"/>
      <c r="M78" s="32"/>
      <c r="N78" s="29"/>
      <c r="O78" s="29"/>
      <c r="P78" s="29"/>
      <c r="Q78" s="28" t="str">
        <f>IF(A78="","",IF(COUNTIF($A$4:$A$83,A78)&lt;&gt;1,"Condition ID重複",IF(OR(OR(B78="",E78="",F78="",H78="",I78="",N78=""),NOT(ISNUMBER(G78))),"条件定義不足",IF(COUNTIF('29_ゲート承認記録'!$F$4:$F$83,B78)&lt;&gt;1,"GateRun不正",IF(OR(C78&lt;&gt;IF(COUNTIF('29_ゲート承認記録'!$F$4:$F$83,B78)&lt;&gt;1,"参照ID不正",IF(INDEX('29_ゲート承認記録'!$T$4:$T$83,MATCH(B78,'29_ゲート承認記録'!$F$4:$F$83,0))="","",INDEX('29_ゲート承認記録'!$T$4:$T$83,MATCH(B78,'29_ゲート承認記録'!$F$4:$F$83,0)))),P78&lt;&gt;IF(COUNTIF('29_ゲート承認記録'!$F$4:$F$83,B78)&lt;&gt;1,"参照ID不正",IF(INDEX('29_ゲート承認記録'!$U$4:$U$83,MATCH(B78,'29_ゲート承認記録'!$F$4:$F$83,0))="","",INDEX('29_ゲート承認記録'!$U$4:$U$83,MATCH(B78,'29_ゲート承認記録'!$F$4:$F$83,0))))),"条件対象不一致",IF(OR(H78="法的禁止",H78="重大未対策"),"条件化不可・停止",IF(I78="解消",IF(OR(J78="",L78="",L78=F78,COUNT(K78,M78)&lt;2),"解消確認不足",IF(OR(OR(AND(K78&lt;&gt;"",OR(NOT(ISNUMBER(K78)),IFERROR(K78&lt;1,TRUE),IFERROR(INT(K78)&gt;INT(AsOfDate),TRUE))),AND(M78&lt;&gt;"",OR(NOT(ISNUMBER(M78)),IFERROR(M78&lt;1,TRUE),IFERROR(INT(M78)&gt;INT(AsOfDate),TRUE)))),M78&lt;K78),"解消日時不正",IF(K78&gt;G78,"期限後解消・再承認要","解消確認済"))),IF(OR(I78="失効",I78="取消",G78&lt;AsOfDate),"失効・停止再審査",IF(AND(I78&lt;&gt;"未解消",I78&lt;&gt;"対応中"),"条件状態不正","期限内・制約継続")))))))))</f>
        <v/>
      </c>
      <c r="R78" s="32"/>
    </row>
    <row r="79" spans="1:18" ht="64" customHeight="1" x14ac:dyDescent="0.2">
      <c r="A79" s="29"/>
      <c r="B79" s="29"/>
      <c r="C79" s="29"/>
      <c r="D79" s="29"/>
      <c r="E79" s="29"/>
      <c r="F79" s="29"/>
      <c r="G79" s="32"/>
      <c r="H79" s="29"/>
      <c r="I79" s="29"/>
      <c r="J79" s="29"/>
      <c r="K79" s="32"/>
      <c r="L79" s="29"/>
      <c r="M79" s="32"/>
      <c r="N79" s="29"/>
      <c r="O79" s="29"/>
      <c r="P79" s="29"/>
      <c r="Q79" s="28" t="str">
        <f>IF(A79="","",IF(COUNTIF($A$4:$A$83,A79)&lt;&gt;1,"Condition ID重複",IF(OR(OR(B79="",E79="",F79="",H79="",I79="",N79=""),NOT(ISNUMBER(G79))),"条件定義不足",IF(COUNTIF('29_ゲート承認記録'!$F$4:$F$83,B79)&lt;&gt;1,"GateRun不正",IF(OR(C79&lt;&gt;IF(COUNTIF('29_ゲート承認記録'!$F$4:$F$83,B79)&lt;&gt;1,"参照ID不正",IF(INDEX('29_ゲート承認記録'!$T$4:$T$83,MATCH(B79,'29_ゲート承認記録'!$F$4:$F$83,0))="","",INDEX('29_ゲート承認記録'!$T$4:$T$83,MATCH(B79,'29_ゲート承認記録'!$F$4:$F$83,0)))),P79&lt;&gt;IF(COUNTIF('29_ゲート承認記録'!$F$4:$F$83,B79)&lt;&gt;1,"参照ID不正",IF(INDEX('29_ゲート承認記録'!$U$4:$U$83,MATCH(B79,'29_ゲート承認記録'!$F$4:$F$83,0))="","",INDEX('29_ゲート承認記録'!$U$4:$U$83,MATCH(B79,'29_ゲート承認記録'!$F$4:$F$83,0))))),"条件対象不一致",IF(OR(H79="法的禁止",H79="重大未対策"),"条件化不可・停止",IF(I79="解消",IF(OR(J79="",L79="",L79=F79,COUNT(K79,M79)&lt;2),"解消確認不足",IF(OR(OR(AND(K79&lt;&gt;"",OR(NOT(ISNUMBER(K79)),IFERROR(K79&lt;1,TRUE),IFERROR(INT(K79)&gt;INT(AsOfDate),TRUE))),AND(M79&lt;&gt;"",OR(NOT(ISNUMBER(M79)),IFERROR(M79&lt;1,TRUE),IFERROR(INT(M79)&gt;INT(AsOfDate),TRUE)))),M79&lt;K79),"解消日時不正",IF(K79&gt;G79,"期限後解消・再承認要","解消確認済"))),IF(OR(I79="失効",I79="取消",G79&lt;AsOfDate),"失効・停止再審査",IF(AND(I79&lt;&gt;"未解消",I79&lt;&gt;"対応中"),"条件状態不正","期限内・制約継続")))))))))</f>
        <v/>
      </c>
      <c r="R79" s="32"/>
    </row>
    <row r="80" spans="1:18" ht="64" customHeight="1" x14ac:dyDescent="0.2">
      <c r="A80" s="29"/>
      <c r="B80" s="29"/>
      <c r="C80" s="29"/>
      <c r="D80" s="29"/>
      <c r="E80" s="29"/>
      <c r="F80" s="29"/>
      <c r="G80" s="32"/>
      <c r="H80" s="29"/>
      <c r="I80" s="29"/>
      <c r="J80" s="29"/>
      <c r="K80" s="32"/>
      <c r="L80" s="29"/>
      <c r="M80" s="32"/>
      <c r="N80" s="29"/>
      <c r="O80" s="29"/>
      <c r="P80" s="29"/>
      <c r="Q80" s="28" t="str">
        <f>IF(A80="","",IF(COUNTIF($A$4:$A$83,A80)&lt;&gt;1,"Condition ID重複",IF(OR(OR(B80="",E80="",F80="",H80="",I80="",N80=""),NOT(ISNUMBER(G80))),"条件定義不足",IF(COUNTIF('29_ゲート承認記録'!$F$4:$F$83,B80)&lt;&gt;1,"GateRun不正",IF(OR(C80&lt;&gt;IF(COUNTIF('29_ゲート承認記録'!$F$4:$F$83,B80)&lt;&gt;1,"参照ID不正",IF(INDEX('29_ゲート承認記録'!$T$4:$T$83,MATCH(B80,'29_ゲート承認記録'!$F$4:$F$83,0))="","",INDEX('29_ゲート承認記録'!$T$4:$T$83,MATCH(B80,'29_ゲート承認記録'!$F$4:$F$83,0)))),P80&lt;&gt;IF(COUNTIF('29_ゲート承認記録'!$F$4:$F$83,B80)&lt;&gt;1,"参照ID不正",IF(INDEX('29_ゲート承認記録'!$U$4:$U$83,MATCH(B80,'29_ゲート承認記録'!$F$4:$F$83,0))="","",INDEX('29_ゲート承認記録'!$U$4:$U$83,MATCH(B80,'29_ゲート承認記録'!$F$4:$F$83,0))))),"条件対象不一致",IF(OR(H80="法的禁止",H80="重大未対策"),"条件化不可・停止",IF(I80="解消",IF(OR(J80="",L80="",L80=F80,COUNT(K80,M80)&lt;2),"解消確認不足",IF(OR(OR(AND(K80&lt;&gt;"",OR(NOT(ISNUMBER(K80)),IFERROR(K80&lt;1,TRUE),IFERROR(INT(K80)&gt;INT(AsOfDate),TRUE))),AND(M80&lt;&gt;"",OR(NOT(ISNUMBER(M80)),IFERROR(M80&lt;1,TRUE),IFERROR(INT(M80)&gt;INT(AsOfDate),TRUE)))),M80&lt;K80),"解消日時不正",IF(K80&gt;G80,"期限後解消・再承認要","解消確認済"))),IF(OR(I80="失効",I80="取消",G80&lt;AsOfDate),"失効・停止再審査",IF(AND(I80&lt;&gt;"未解消",I80&lt;&gt;"対応中"),"条件状態不正","期限内・制約継続")))))))))</f>
        <v/>
      </c>
      <c r="R80" s="32"/>
    </row>
    <row r="81" spans="1:18" ht="64" customHeight="1" x14ac:dyDescent="0.2">
      <c r="A81" s="29"/>
      <c r="B81" s="29"/>
      <c r="C81" s="29"/>
      <c r="D81" s="29"/>
      <c r="E81" s="29"/>
      <c r="F81" s="29"/>
      <c r="G81" s="32"/>
      <c r="H81" s="29"/>
      <c r="I81" s="29"/>
      <c r="J81" s="29"/>
      <c r="K81" s="32"/>
      <c r="L81" s="29"/>
      <c r="M81" s="32"/>
      <c r="N81" s="29"/>
      <c r="O81" s="29"/>
      <c r="P81" s="29"/>
      <c r="Q81" s="28" t="str">
        <f>IF(A81="","",IF(COUNTIF($A$4:$A$83,A81)&lt;&gt;1,"Condition ID重複",IF(OR(OR(B81="",E81="",F81="",H81="",I81="",N81=""),NOT(ISNUMBER(G81))),"条件定義不足",IF(COUNTIF('29_ゲート承認記録'!$F$4:$F$83,B81)&lt;&gt;1,"GateRun不正",IF(OR(C81&lt;&gt;IF(COUNTIF('29_ゲート承認記録'!$F$4:$F$83,B81)&lt;&gt;1,"参照ID不正",IF(INDEX('29_ゲート承認記録'!$T$4:$T$83,MATCH(B81,'29_ゲート承認記録'!$F$4:$F$83,0))="","",INDEX('29_ゲート承認記録'!$T$4:$T$83,MATCH(B81,'29_ゲート承認記録'!$F$4:$F$83,0)))),P81&lt;&gt;IF(COUNTIF('29_ゲート承認記録'!$F$4:$F$83,B81)&lt;&gt;1,"参照ID不正",IF(INDEX('29_ゲート承認記録'!$U$4:$U$83,MATCH(B81,'29_ゲート承認記録'!$F$4:$F$83,0))="","",INDEX('29_ゲート承認記録'!$U$4:$U$83,MATCH(B81,'29_ゲート承認記録'!$F$4:$F$83,0))))),"条件対象不一致",IF(OR(H81="法的禁止",H81="重大未対策"),"条件化不可・停止",IF(I81="解消",IF(OR(J81="",L81="",L81=F81,COUNT(K81,M81)&lt;2),"解消確認不足",IF(OR(OR(AND(K81&lt;&gt;"",OR(NOT(ISNUMBER(K81)),IFERROR(K81&lt;1,TRUE),IFERROR(INT(K81)&gt;INT(AsOfDate),TRUE))),AND(M81&lt;&gt;"",OR(NOT(ISNUMBER(M81)),IFERROR(M81&lt;1,TRUE),IFERROR(INT(M81)&gt;INT(AsOfDate),TRUE)))),M81&lt;K81),"解消日時不正",IF(K81&gt;G81,"期限後解消・再承認要","解消確認済"))),IF(OR(I81="失効",I81="取消",G81&lt;AsOfDate),"失効・停止再審査",IF(AND(I81&lt;&gt;"未解消",I81&lt;&gt;"対応中"),"条件状態不正","期限内・制約継続")))))))))</f>
        <v/>
      </c>
      <c r="R81" s="32"/>
    </row>
    <row r="82" spans="1:18" ht="64" customHeight="1" x14ac:dyDescent="0.2">
      <c r="A82" s="29"/>
      <c r="B82" s="29"/>
      <c r="C82" s="29"/>
      <c r="D82" s="29"/>
      <c r="E82" s="29"/>
      <c r="F82" s="29"/>
      <c r="G82" s="32"/>
      <c r="H82" s="29"/>
      <c r="I82" s="29"/>
      <c r="J82" s="29"/>
      <c r="K82" s="32"/>
      <c r="L82" s="29"/>
      <c r="M82" s="32"/>
      <c r="N82" s="29"/>
      <c r="O82" s="29"/>
      <c r="P82" s="29"/>
      <c r="Q82" s="28" t="str">
        <f>IF(A82="","",IF(COUNTIF($A$4:$A$83,A82)&lt;&gt;1,"Condition ID重複",IF(OR(OR(B82="",E82="",F82="",H82="",I82="",N82=""),NOT(ISNUMBER(G82))),"条件定義不足",IF(COUNTIF('29_ゲート承認記録'!$F$4:$F$83,B82)&lt;&gt;1,"GateRun不正",IF(OR(C82&lt;&gt;IF(COUNTIF('29_ゲート承認記録'!$F$4:$F$83,B82)&lt;&gt;1,"参照ID不正",IF(INDEX('29_ゲート承認記録'!$T$4:$T$83,MATCH(B82,'29_ゲート承認記録'!$F$4:$F$83,0))="","",INDEX('29_ゲート承認記録'!$T$4:$T$83,MATCH(B82,'29_ゲート承認記録'!$F$4:$F$83,0)))),P82&lt;&gt;IF(COUNTIF('29_ゲート承認記録'!$F$4:$F$83,B82)&lt;&gt;1,"参照ID不正",IF(INDEX('29_ゲート承認記録'!$U$4:$U$83,MATCH(B82,'29_ゲート承認記録'!$F$4:$F$83,0))="","",INDEX('29_ゲート承認記録'!$U$4:$U$83,MATCH(B82,'29_ゲート承認記録'!$F$4:$F$83,0))))),"条件対象不一致",IF(OR(H82="法的禁止",H82="重大未対策"),"条件化不可・停止",IF(I82="解消",IF(OR(J82="",L82="",L82=F82,COUNT(K82,M82)&lt;2),"解消確認不足",IF(OR(OR(AND(K82&lt;&gt;"",OR(NOT(ISNUMBER(K82)),IFERROR(K82&lt;1,TRUE),IFERROR(INT(K82)&gt;INT(AsOfDate),TRUE))),AND(M82&lt;&gt;"",OR(NOT(ISNUMBER(M82)),IFERROR(M82&lt;1,TRUE),IFERROR(INT(M82)&gt;INT(AsOfDate),TRUE)))),M82&lt;K82),"解消日時不正",IF(K82&gt;G82,"期限後解消・再承認要","解消確認済"))),IF(OR(I82="失効",I82="取消",G82&lt;AsOfDate),"失効・停止再審査",IF(AND(I82&lt;&gt;"未解消",I82&lt;&gt;"対応中"),"条件状態不正","期限内・制約継続")))))))))</f>
        <v/>
      </c>
      <c r="R82" s="32"/>
    </row>
    <row r="83" spans="1:18" ht="64" customHeight="1" x14ac:dyDescent="0.2">
      <c r="A83" s="29"/>
      <c r="B83" s="29"/>
      <c r="C83" s="29"/>
      <c r="D83" s="29"/>
      <c r="E83" s="29"/>
      <c r="F83" s="29"/>
      <c r="G83" s="32"/>
      <c r="H83" s="29"/>
      <c r="I83" s="29"/>
      <c r="J83" s="29"/>
      <c r="K83" s="32"/>
      <c r="L83" s="29"/>
      <c r="M83" s="32"/>
      <c r="N83" s="29"/>
      <c r="O83" s="29"/>
      <c r="P83" s="29"/>
      <c r="Q83" s="28" t="str">
        <f>IF(A83="","",IF(COUNTIF($A$4:$A$83,A83)&lt;&gt;1,"Condition ID重複",IF(OR(OR(B83="",E83="",F83="",H83="",I83="",N83=""),NOT(ISNUMBER(G83))),"条件定義不足",IF(COUNTIF('29_ゲート承認記録'!$F$4:$F$83,B83)&lt;&gt;1,"GateRun不正",IF(OR(C83&lt;&gt;IF(COUNTIF('29_ゲート承認記録'!$F$4:$F$83,B83)&lt;&gt;1,"参照ID不正",IF(INDEX('29_ゲート承認記録'!$T$4:$T$83,MATCH(B83,'29_ゲート承認記録'!$F$4:$F$83,0))="","",INDEX('29_ゲート承認記録'!$T$4:$T$83,MATCH(B83,'29_ゲート承認記録'!$F$4:$F$83,0)))),P83&lt;&gt;IF(COUNTIF('29_ゲート承認記録'!$F$4:$F$83,B83)&lt;&gt;1,"参照ID不正",IF(INDEX('29_ゲート承認記録'!$U$4:$U$83,MATCH(B83,'29_ゲート承認記録'!$F$4:$F$83,0))="","",INDEX('29_ゲート承認記録'!$U$4:$U$83,MATCH(B83,'29_ゲート承認記録'!$F$4:$F$83,0))))),"条件対象不一致",IF(OR(H83="法的禁止",H83="重大未対策"),"条件化不可・停止",IF(I83="解消",IF(OR(J83="",L83="",L83=F83,COUNT(K83,M83)&lt;2),"解消確認不足",IF(OR(OR(AND(K83&lt;&gt;"",OR(NOT(ISNUMBER(K83)),IFERROR(K83&lt;1,TRUE),IFERROR(INT(K83)&gt;INT(AsOfDate),TRUE))),AND(M83&lt;&gt;"",OR(NOT(ISNUMBER(M83)),IFERROR(M83&lt;1,TRUE),IFERROR(INT(M83)&gt;INT(AsOfDate),TRUE)))),M83&lt;K83),"解消日時不正",IF(K83&gt;G83,"期限後解消・再承認要","解消確認済"))),IF(OR(I83="失効",I83="取消",G83&lt;AsOfDate),"失効・停止再審査",IF(AND(I83&lt;&gt;"未解消",I83&lt;&gt;"対応中"),"条件状態不正","期限内・制約継続")))))))))</f>
        <v/>
      </c>
      <c r="R83" s="32"/>
    </row>
  </sheetData>
  <autoFilter ref="A3:R83" xr:uid="{00000000-0009-0000-0000-00001F000000}"/>
  <mergeCells count="2">
    <mergeCell ref="A2:I2"/>
    <mergeCell ref="A1:G1"/>
  </mergeCells>
  <phoneticPr fontId="12"/>
  <conditionalFormatting sqref="Q4:Q83">
    <cfRule type="expression" dxfId="2" priority="1">
      <formula>OR(ISNUMBER(SEARCH("不正",Q4)),ISNUMBER(SEARCH("不足",Q4)),ISNUMBER(SEARCH("超過",Q4)),ISNUMBER(SEARCH("不一致",Q4)),ISNUMBER(SEARCH("失効",Q4)),ISNUMBER(SEARCH("矛盾",Q4)))</formula>
    </cfRule>
  </conditionalFormatting>
  <dataValidations count="2">
    <dataValidation type="list" allowBlank="1" showErrorMessage="1" errorTitle="入力値を確認" error="候補・値域を確認してください。貼付や外部取込後も点検が必要です。" sqref="H4:H83" xr:uid="{00000000-0002-0000-1F00-000000000000}">
      <formula1>"通常条件,法的禁止,重大未対策"</formula1>
    </dataValidation>
    <dataValidation type="list" allowBlank="1" showErrorMessage="1" errorTitle="入力値を確認" error="候補・値域を確認してください。貼付や外部取込後も点検が必要です。" sqref="I4:I83" xr:uid="{00000000-0002-0000-1F00-000001000000}">
      <formula1>"未解消,対応中,解消,失効,取消"</formula1>
    </dataValidation>
  </dataValidations>
  <pageMargins left="0.75" right="0.75" top="1" bottom="1" header="0.5" footer="0.5"/>
  <pageSetup paperSize="8" fitToHeight="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775B98"/>
    <outlinePr summaryRight="0"/>
    <pageSetUpPr fitToPage="1"/>
  </sheetPr>
  <dimension ref="A1:H34"/>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1" width="22" customWidth="1"/>
    <col min="2" max="2" width="32" customWidth="1"/>
    <col min="3" max="3" width="38" customWidth="1"/>
    <col min="4" max="4" width="65" customWidth="1"/>
    <col min="5" max="5" width="66" customWidth="1"/>
    <col min="6" max="6" width="60" customWidth="1"/>
    <col min="7" max="8" width="30" customWidth="1"/>
  </cols>
  <sheetData>
    <row r="1" spans="1:8" ht="36" customHeight="1" x14ac:dyDescent="0.55000000000000004">
      <c r="A1" s="44" t="s">
        <v>4917</v>
      </c>
      <c r="B1" s="45"/>
      <c r="C1" s="45"/>
      <c r="D1" s="45"/>
      <c r="E1" s="45"/>
      <c r="F1" s="45"/>
      <c r="G1" s="45"/>
    </row>
    <row r="2" spans="1:8" ht="42" customHeight="1" x14ac:dyDescent="0.2">
      <c r="A2" s="47" t="s">
        <v>4918</v>
      </c>
      <c r="B2" s="45"/>
      <c r="C2" s="45"/>
      <c r="D2" s="45"/>
      <c r="E2" s="45"/>
      <c r="F2" s="45"/>
      <c r="G2" s="45"/>
      <c r="H2" s="45"/>
    </row>
    <row r="3" spans="1:8" ht="42" customHeight="1" x14ac:dyDescent="0.2">
      <c r="A3" s="1" t="s">
        <v>156</v>
      </c>
      <c r="B3" s="1" t="s">
        <v>1696</v>
      </c>
      <c r="C3" s="1" t="s">
        <v>4866</v>
      </c>
      <c r="D3" s="1" t="s">
        <v>4867</v>
      </c>
      <c r="E3" s="1" t="s">
        <v>4919</v>
      </c>
      <c r="F3" s="1" t="s">
        <v>4920</v>
      </c>
      <c r="G3" s="1" t="s">
        <v>4921</v>
      </c>
      <c r="H3" s="1" t="s">
        <v>4922</v>
      </c>
    </row>
    <row r="4" spans="1:8" ht="64" customHeight="1" x14ac:dyDescent="0.2">
      <c r="A4" s="43" t="s">
        <v>165</v>
      </c>
      <c r="B4" s="43" t="s">
        <v>4923</v>
      </c>
      <c r="C4" s="43" t="s">
        <v>445</v>
      </c>
      <c r="D4" s="43" t="s">
        <v>166</v>
      </c>
      <c r="E4" s="43" t="s">
        <v>4924</v>
      </c>
      <c r="F4" s="43" t="s">
        <v>4925</v>
      </c>
      <c r="G4" s="43" t="s">
        <v>4926</v>
      </c>
      <c r="H4" s="43" t="s">
        <v>4927</v>
      </c>
    </row>
    <row r="5" spans="1:8" ht="64" customHeight="1" x14ac:dyDescent="0.2">
      <c r="A5" s="43" t="s">
        <v>174</v>
      </c>
      <c r="B5" s="43" t="s">
        <v>4928</v>
      </c>
      <c r="C5" s="43" t="s">
        <v>635</v>
      </c>
      <c r="D5" s="43" t="s">
        <v>166</v>
      </c>
      <c r="E5" s="43" t="s">
        <v>4929</v>
      </c>
      <c r="F5" s="43" t="s">
        <v>4925</v>
      </c>
      <c r="G5" s="43" t="s">
        <v>4926</v>
      </c>
      <c r="H5" s="43" t="s">
        <v>4927</v>
      </c>
    </row>
    <row r="6" spans="1:8" ht="64" customHeight="1" x14ac:dyDescent="0.2">
      <c r="A6" s="43" t="s">
        <v>181</v>
      </c>
      <c r="B6" s="43" t="s">
        <v>4930</v>
      </c>
      <c r="C6" s="43" t="s">
        <v>849</v>
      </c>
      <c r="D6" s="43" t="s">
        <v>166</v>
      </c>
      <c r="E6" s="43" t="s">
        <v>4931</v>
      </c>
      <c r="F6" s="43" t="s">
        <v>4925</v>
      </c>
      <c r="G6" s="43" t="s">
        <v>4926</v>
      </c>
      <c r="H6" s="43" t="s">
        <v>4927</v>
      </c>
    </row>
    <row r="7" spans="1:8" ht="64" customHeight="1" x14ac:dyDescent="0.2">
      <c r="A7" s="43" t="s">
        <v>196</v>
      </c>
      <c r="B7" s="43" t="s">
        <v>4932</v>
      </c>
      <c r="C7" s="43" t="s">
        <v>1212</v>
      </c>
      <c r="D7" s="43" t="s">
        <v>197</v>
      </c>
      <c r="E7" s="43" t="s">
        <v>4933</v>
      </c>
      <c r="F7" s="43" t="s">
        <v>4934</v>
      </c>
      <c r="G7" s="43" t="s">
        <v>4926</v>
      </c>
      <c r="H7" s="43" t="s">
        <v>4927</v>
      </c>
    </row>
    <row r="8" spans="1:8" ht="64" customHeight="1" x14ac:dyDescent="0.2">
      <c r="A8" s="43" t="s">
        <v>204</v>
      </c>
      <c r="B8" s="43" t="s">
        <v>1752</v>
      </c>
      <c r="C8" s="43" t="s">
        <v>1431</v>
      </c>
      <c r="D8" s="43" t="s">
        <v>166</v>
      </c>
      <c r="E8" s="43" t="s">
        <v>4935</v>
      </c>
      <c r="F8" s="43" t="s">
        <v>4936</v>
      </c>
      <c r="G8" s="43" t="s">
        <v>4926</v>
      </c>
      <c r="H8" s="43" t="s">
        <v>4927</v>
      </c>
    </row>
    <row r="9" spans="1:8" ht="64" customHeight="1" x14ac:dyDescent="0.2">
      <c r="A9" s="43" t="s">
        <v>211</v>
      </c>
      <c r="B9" s="43" t="s">
        <v>1758</v>
      </c>
      <c r="C9" s="43" t="s">
        <v>1546</v>
      </c>
      <c r="D9" s="43" t="s">
        <v>166</v>
      </c>
      <c r="E9" s="43" t="s">
        <v>4937</v>
      </c>
      <c r="F9" s="43" t="s">
        <v>4938</v>
      </c>
      <c r="G9" s="43" t="s">
        <v>4926</v>
      </c>
      <c r="H9" s="43" t="s">
        <v>4927</v>
      </c>
    </row>
    <row r="10" spans="1:8" ht="64" customHeight="1" x14ac:dyDescent="0.2">
      <c r="A10" s="29"/>
      <c r="B10" s="29"/>
      <c r="C10" s="29"/>
      <c r="D10" s="29"/>
      <c r="E10" s="29"/>
      <c r="F10" s="29"/>
      <c r="G10" s="29"/>
      <c r="H10" s="29"/>
    </row>
    <row r="11" spans="1:8" ht="64" customHeight="1" x14ac:dyDescent="0.2">
      <c r="A11" s="29"/>
      <c r="B11" s="29"/>
      <c r="C11" s="29"/>
      <c r="D11" s="29"/>
      <c r="E11" s="29"/>
      <c r="F11" s="29"/>
      <c r="G11" s="29"/>
      <c r="H11" s="29"/>
    </row>
    <row r="12" spans="1:8" ht="64" customHeight="1" x14ac:dyDescent="0.2">
      <c r="A12" s="1" t="s">
        <v>3491</v>
      </c>
      <c r="B12" s="1" t="s">
        <v>3492</v>
      </c>
      <c r="C12" s="1" t="s">
        <v>3493</v>
      </c>
      <c r="D12" s="1" t="s">
        <v>3494</v>
      </c>
      <c r="E12" s="1" t="s">
        <v>255</v>
      </c>
      <c r="F12" s="1" t="s">
        <v>3495</v>
      </c>
      <c r="G12" s="1" t="s">
        <v>160</v>
      </c>
      <c r="H12" s="1" t="s">
        <v>4939</v>
      </c>
    </row>
    <row r="13" spans="1:8" ht="64" customHeight="1" x14ac:dyDescent="0.2">
      <c r="A13" s="43" t="s">
        <v>3514</v>
      </c>
      <c r="B13" s="43" t="s">
        <v>4940</v>
      </c>
      <c r="C13" s="43" t="s">
        <v>4941</v>
      </c>
      <c r="D13" s="43" t="s">
        <v>4942</v>
      </c>
      <c r="E13" s="43" t="s">
        <v>273</v>
      </c>
      <c r="F13" s="43" t="s">
        <v>4943</v>
      </c>
      <c r="G13" s="43" t="s">
        <v>301</v>
      </c>
      <c r="H13" s="43" t="s">
        <v>4926</v>
      </c>
    </row>
    <row r="14" spans="1:8" ht="64" customHeight="1" x14ac:dyDescent="0.2">
      <c r="A14" s="43" t="s">
        <v>3518</v>
      </c>
      <c r="B14" s="43" t="s">
        <v>4944</v>
      </c>
      <c r="C14" s="43" t="s">
        <v>4945</v>
      </c>
      <c r="D14" s="43" t="s">
        <v>4946</v>
      </c>
      <c r="E14" s="43" t="s">
        <v>4947</v>
      </c>
      <c r="F14" s="43" t="s">
        <v>4948</v>
      </c>
      <c r="G14" s="43" t="s">
        <v>750</v>
      </c>
      <c r="H14" s="43" t="s">
        <v>4926</v>
      </c>
    </row>
    <row r="15" spans="1:8" ht="64" customHeight="1" x14ac:dyDescent="0.2">
      <c r="A15" s="43" t="s">
        <v>3520</v>
      </c>
      <c r="B15" s="43" t="s">
        <v>4949</v>
      </c>
      <c r="C15" s="43" t="s">
        <v>4950</v>
      </c>
      <c r="D15" s="43" t="s">
        <v>4951</v>
      </c>
      <c r="E15" s="43" t="s">
        <v>932</v>
      </c>
      <c r="F15" s="43" t="s">
        <v>4952</v>
      </c>
      <c r="G15" s="43" t="s">
        <v>301</v>
      </c>
      <c r="H15" s="43" t="s">
        <v>4926</v>
      </c>
    </row>
    <row r="16" spans="1:8" ht="64" customHeight="1" x14ac:dyDescent="0.2">
      <c r="A16" s="43" t="s">
        <v>3522</v>
      </c>
      <c r="B16" s="43" t="s">
        <v>4953</v>
      </c>
      <c r="C16" s="43" t="s">
        <v>4954</v>
      </c>
      <c r="D16" s="43" t="s">
        <v>4955</v>
      </c>
      <c r="E16" s="43" t="s">
        <v>932</v>
      </c>
      <c r="F16" s="43" t="s">
        <v>4943</v>
      </c>
      <c r="G16" s="43" t="s">
        <v>301</v>
      </c>
      <c r="H16" s="43" t="s">
        <v>4926</v>
      </c>
    </row>
    <row r="17" spans="1:8" ht="64" customHeight="1" x14ac:dyDescent="0.2">
      <c r="A17" s="43" t="s">
        <v>3524</v>
      </c>
      <c r="B17" s="43" t="s">
        <v>4956</v>
      </c>
      <c r="C17" s="43" t="s">
        <v>4957</v>
      </c>
      <c r="D17" s="43" t="s">
        <v>4958</v>
      </c>
      <c r="E17" s="43" t="s">
        <v>962</v>
      </c>
      <c r="F17" s="43" t="s">
        <v>1091</v>
      </c>
      <c r="G17" s="43" t="s">
        <v>4046</v>
      </c>
      <c r="H17" s="43" t="s">
        <v>4926</v>
      </c>
    </row>
    <row r="18" spans="1:8" ht="64" customHeight="1" x14ac:dyDescent="0.2">
      <c r="A18" s="43" t="s">
        <v>3526</v>
      </c>
      <c r="B18" s="43" t="s">
        <v>1127</v>
      </c>
      <c r="C18" s="43" t="s">
        <v>4959</v>
      </c>
      <c r="D18" s="43" t="s">
        <v>4960</v>
      </c>
      <c r="E18" s="43" t="s">
        <v>273</v>
      </c>
      <c r="F18" s="43" t="s">
        <v>516</v>
      </c>
      <c r="G18" s="43" t="s">
        <v>301</v>
      </c>
      <c r="H18" s="43" t="s">
        <v>4926</v>
      </c>
    </row>
    <row r="19" spans="1:8" ht="64" customHeight="1" x14ac:dyDescent="0.2">
      <c r="A19" s="43" t="s">
        <v>3528</v>
      </c>
      <c r="B19" s="43" t="s">
        <v>1138</v>
      </c>
      <c r="C19" s="43" t="s">
        <v>4961</v>
      </c>
      <c r="D19" s="43" t="s">
        <v>4962</v>
      </c>
      <c r="E19" s="43" t="s">
        <v>273</v>
      </c>
      <c r="F19" s="43" t="s">
        <v>714</v>
      </c>
      <c r="G19" s="43" t="s">
        <v>4963</v>
      </c>
      <c r="H19" s="43" t="s">
        <v>4926</v>
      </c>
    </row>
    <row r="20" spans="1:8" ht="64" customHeight="1" x14ac:dyDescent="0.2">
      <c r="A20" s="43" t="s">
        <v>3530</v>
      </c>
      <c r="B20" s="43" t="s">
        <v>4964</v>
      </c>
      <c r="C20" s="43" t="s">
        <v>4965</v>
      </c>
      <c r="D20" s="43" t="s">
        <v>4966</v>
      </c>
      <c r="E20" s="43" t="s">
        <v>273</v>
      </c>
      <c r="F20" s="43" t="s">
        <v>4967</v>
      </c>
      <c r="G20" s="43" t="s">
        <v>340</v>
      </c>
      <c r="H20" s="43" t="s">
        <v>4926</v>
      </c>
    </row>
    <row r="21" spans="1:8" ht="64" customHeight="1" x14ac:dyDescent="0.2">
      <c r="A21" s="43" t="s">
        <v>3532</v>
      </c>
      <c r="B21" s="43" t="s">
        <v>4968</v>
      </c>
      <c r="C21" s="43" t="s">
        <v>4969</v>
      </c>
      <c r="D21" s="43" t="s">
        <v>4970</v>
      </c>
      <c r="E21" s="43" t="s">
        <v>4971</v>
      </c>
      <c r="F21" s="43" t="s">
        <v>4972</v>
      </c>
      <c r="G21" s="43" t="s">
        <v>301</v>
      </c>
      <c r="H21" s="43" t="s">
        <v>4926</v>
      </c>
    </row>
    <row r="22" spans="1:8" ht="64" customHeight="1" x14ac:dyDescent="0.2">
      <c r="A22" s="43" t="s">
        <v>3534</v>
      </c>
      <c r="B22" s="43" t="s">
        <v>4973</v>
      </c>
      <c r="C22" s="43" t="s">
        <v>4974</v>
      </c>
      <c r="D22" s="43" t="s">
        <v>4975</v>
      </c>
      <c r="E22" s="43" t="s">
        <v>273</v>
      </c>
      <c r="F22" s="43" t="s">
        <v>4976</v>
      </c>
      <c r="G22" s="43" t="s">
        <v>301</v>
      </c>
      <c r="H22" s="43" t="s">
        <v>4926</v>
      </c>
    </row>
    <row r="23" spans="1:8" ht="64" customHeight="1" x14ac:dyDescent="0.2">
      <c r="A23" s="43" t="s">
        <v>3536</v>
      </c>
      <c r="B23" s="43" t="s">
        <v>4977</v>
      </c>
      <c r="C23" s="43" t="s">
        <v>4978</v>
      </c>
      <c r="D23" s="43" t="s">
        <v>4979</v>
      </c>
      <c r="E23" s="43" t="s">
        <v>273</v>
      </c>
      <c r="F23" s="43" t="s">
        <v>1271</v>
      </c>
      <c r="G23" s="43" t="s">
        <v>301</v>
      </c>
      <c r="H23" s="43" t="s">
        <v>4926</v>
      </c>
    </row>
    <row r="24" spans="1:8" ht="64" customHeight="1" x14ac:dyDescent="0.2">
      <c r="A24" s="43" t="s">
        <v>3538</v>
      </c>
      <c r="B24" s="43" t="s">
        <v>4980</v>
      </c>
      <c r="C24" s="43" t="s">
        <v>4981</v>
      </c>
      <c r="D24" s="43" t="s">
        <v>4982</v>
      </c>
      <c r="E24" s="43" t="s">
        <v>273</v>
      </c>
      <c r="F24" s="43" t="s">
        <v>4983</v>
      </c>
      <c r="G24" s="43" t="s">
        <v>301</v>
      </c>
      <c r="H24" s="43" t="s">
        <v>4926</v>
      </c>
    </row>
    <row r="25" spans="1:8" ht="64" customHeight="1" x14ac:dyDescent="0.2">
      <c r="A25" s="43" t="s">
        <v>3540</v>
      </c>
      <c r="B25" s="43" t="s">
        <v>4984</v>
      </c>
      <c r="C25" s="43" t="s">
        <v>4985</v>
      </c>
      <c r="D25" s="43" t="s">
        <v>4986</v>
      </c>
      <c r="E25" s="43" t="s">
        <v>273</v>
      </c>
      <c r="F25" s="43" t="s">
        <v>1867</v>
      </c>
      <c r="G25" s="43" t="s">
        <v>373</v>
      </c>
      <c r="H25" s="43" t="s">
        <v>4926</v>
      </c>
    </row>
    <row r="26" spans="1:8" ht="64" customHeight="1" x14ac:dyDescent="0.2">
      <c r="A26" s="43" t="s">
        <v>3542</v>
      </c>
      <c r="B26" s="43" t="s">
        <v>4987</v>
      </c>
      <c r="C26" s="43" t="s">
        <v>4988</v>
      </c>
      <c r="D26" s="43" t="s">
        <v>4989</v>
      </c>
      <c r="E26" s="43" t="s">
        <v>4990</v>
      </c>
      <c r="F26" s="43" t="s">
        <v>4991</v>
      </c>
      <c r="G26" s="43" t="s">
        <v>4046</v>
      </c>
      <c r="H26" s="43" t="s">
        <v>4926</v>
      </c>
    </row>
    <row r="27" spans="1:8" ht="64" customHeight="1" x14ac:dyDescent="0.2">
      <c r="A27" s="43" t="s">
        <v>3544</v>
      </c>
      <c r="B27" s="43" t="s">
        <v>4741</v>
      </c>
      <c r="C27" s="43" t="s">
        <v>4992</v>
      </c>
      <c r="D27" s="43" t="s">
        <v>4993</v>
      </c>
      <c r="E27" s="43" t="s">
        <v>2800</v>
      </c>
      <c r="F27" s="43" t="s">
        <v>4994</v>
      </c>
      <c r="G27" s="43" t="s">
        <v>3328</v>
      </c>
      <c r="H27" s="43" t="s">
        <v>4926</v>
      </c>
    </row>
    <row r="28" spans="1:8" ht="64" customHeight="1" x14ac:dyDescent="0.2">
      <c r="A28" s="43" t="s">
        <v>3546</v>
      </c>
      <c r="B28" s="43" t="s">
        <v>4995</v>
      </c>
      <c r="C28" s="43" t="s">
        <v>4996</v>
      </c>
      <c r="D28" s="43" t="s">
        <v>4997</v>
      </c>
      <c r="E28" s="43" t="s">
        <v>273</v>
      </c>
      <c r="F28" s="43" t="s">
        <v>1091</v>
      </c>
      <c r="G28" s="43" t="s">
        <v>750</v>
      </c>
      <c r="H28" s="43" t="s">
        <v>4926</v>
      </c>
    </row>
    <row r="29" spans="1:8" ht="64" customHeight="1" x14ac:dyDescent="0.2">
      <c r="A29" s="43" t="s">
        <v>3548</v>
      </c>
      <c r="B29" s="43" t="s">
        <v>4998</v>
      </c>
      <c r="C29" s="43" t="s">
        <v>4999</v>
      </c>
      <c r="D29" s="43" t="s">
        <v>5000</v>
      </c>
      <c r="E29" s="43" t="s">
        <v>5001</v>
      </c>
      <c r="F29" s="43" t="s">
        <v>5002</v>
      </c>
      <c r="G29" s="43" t="s">
        <v>2752</v>
      </c>
      <c r="H29" s="43" t="s">
        <v>4926</v>
      </c>
    </row>
    <row r="30" spans="1:8" ht="64" customHeight="1" x14ac:dyDescent="0.2">
      <c r="A30" s="43" t="s">
        <v>3550</v>
      </c>
      <c r="B30" s="43" t="s">
        <v>5003</v>
      </c>
      <c r="C30" s="43" t="s">
        <v>5004</v>
      </c>
      <c r="D30" s="43" t="s">
        <v>5005</v>
      </c>
      <c r="E30" s="43" t="s">
        <v>273</v>
      </c>
      <c r="F30" s="43" t="s">
        <v>5006</v>
      </c>
      <c r="G30" s="43" t="s">
        <v>301</v>
      </c>
      <c r="H30" s="43" t="s">
        <v>4926</v>
      </c>
    </row>
    <row r="31" spans="1:8" ht="64" customHeight="1" x14ac:dyDescent="0.2">
      <c r="A31" s="29"/>
      <c r="B31" s="29"/>
      <c r="C31" s="29"/>
      <c r="D31" s="29"/>
      <c r="E31" s="29"/>
      <c r="F31" s="29"/>
      <c r="G31" s="29"/>
      <c r="H31" s="29"/>
    </row>
    <row r="32" spans="1:8" ht="64" customHeight="1" x14ac:dyDescent="0.2">
      <c r="A32" s="29"/>
      <c r="B32" s="29"/>
      <c r="C32" s="29"/>
      <c r="D32" s="29"/>
      <c r="E32" s="29"/>
      <c r="F32" s="29"/>
      <c r="G32" s="29"/>
      <c r="H32" s="29"/>
    </row>
    <row r="33" spans="1:8" ht="64" customHeight="1" x14ac:dyDescent="0.2">
      <c r="A33" s="29"/>
      <c r="B33" s="29"/>
      <c r="C33" s="29"/>
      <c r="D33" s="29"/>
      <c r="E33" s="29"/>
      <c r="F33" s="29"/>
      <c r="G33" s="29"/>
      <c r="H33" s="29"/>
    </row>
    <row r="34" spans="1:8" ht="64" customHeight="1" x14ac:dyDescent="0.2">
      <c r="A34" s="29"/>
      <c r="B34" s="29"/>
      <c r="C34" s="29"/>
      <c r="D34" s="29"/>
      <c r="E34" s="29"/>
      <c r="F34" s="29"/>
      <c r="G34" s="29"/>
      <c r="H34" s="29"/>
    </row>
  </sheetData>
  <autoFilter ref="A3:H9" xr:uid="{00000000-0009-0000-0000-000020000000}"/>
  <mergeCells count="2">
    <mergeCell ref="A2:H2"/>
    <mergeCell ref="A1:G1"/>
  </mergeCells>
  <phoneticPr fontId="12"/>
  <pageMargins left="0.75" right="0.75" top="1" bottom="1" header="0.5" footer="0.5"/>
  <pageSetup paperSize="8" fitToHeight="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775B98"/>
    <outlinePr summaryRight="0"/>
    <pageSetUpPr fitToPage="1"/>
  </sheetPr>
  <dimension ref="A1:J128"/>
  <sheetViews>
    <sheetView showGridLines="0" zoomScale="85" workbookViewId="0">
      <pane xSplit="3" ySplit="3" topLeftCell="D4" activePane="bottomRight" state="frozen"/>
      <selection pane="topRight"/>
      <selection pane="bottomLeft"/>
      <selection pane="bottomRight"/>
    </sheetView>
  </sheetViews>
  <sheetFormatPr defaultRowHeight="13" x14ac:dyDescent="0.2"/>
  <cols>
    <col min="1" max="3" width="22" customWidth="1"/>
    <col min="4" max="4" width="56" customWidth="1"/>
    <col min="5" max="5" width="35" customWidth="1"/>
    <col min="6" max="6" width="66" customWidth="1"/>
    <col min="7" max="7" width="40" customWidth="1"/>
    <col min="8" max="8" width="26" customWidth="1"/>
    <col min="9" max="9" width="48" customWidth="1"/>
    <col min="10" max="10" width="30" customWidth="1"/>
  </cols>
  <sheetData>
    <row r="1" spans="1:10" ht="36" customHeight="1" x14ac:dyDescent="0.55000000000000004">
      <c r="A1" s="44" t="s">
        <v>5007</v>
      </c>
      <c r="B1" s="45"/>
      <c r="C1" s="45"/>
      <c r="D1" s="45"/>
      <c r="E1" s="45"/>
      <c r="F1" s="45"/>
      <c r="G1" s="45"/>
    </row>
    <row r="2" spans="1:10" ht="42" customHeight="1" x14ac:dyDescent="0.2">
      <c r="A2" s="47" t="s">
        <v>5008</v>
      </c>
      <c r="B2" s="45"/>
      <c r="C2" s="45"/>
      <c r="D2" s="45"/>
      <c r="E2" s="45"/>
      <c r="F2" s="45"/>
      <c r="G2" s="45"/>
      <c r="H2" s="45"/>
      <c r="I2" s="45"/>
    </row>
    <row r="3" spans="1:10" ht="42" customHeight="1" x14ac:dyDescent="0.2">
      <c r="A3" s="1" t="s">
        <v>5009</v>
      </c>
      <c r="B3" s="1" t="s">
        <v>5010</v>
      </c>
      <c r="C3" s="1" t="s">
        <v>5011</v>
      </c>
      <c r="D3" s="1" t="s">
        <v>5012</v>
      </c>
      <c r="E3" s="1" t="s">
        <v>3993</v>
      </c>
      <c r="F3" s="1" t="s">
        <v>5013</v>
      </c>
      <c r="G3" s="1" t="s">
        <v>5014</v>
      </c>
      <c r="H3" s="1" t="s">
        <v>5015</v>
      </c>
      <c r="I3" s="1" t="s">
        <v>5016</v>
      </c>
      <c r="J3" s="1" t="s">
        <v>160</v>
      </c>
    </row>
    <row r="4" spans="1:10" ht="146" customHeight="1" x14ac:dyDescent="0.2">
      <c r="A4" s="28" t="s">
        <v>5017</v>
      </c>
      <c r="B4" s="28" t="s">
        <v>4415</v>
      </c>
      <c r="C4" s="28" t="s">
        <v>5018</v>
      </c>
      <c r="D4" s="28" t="s">
        <v>5019</v>
      </c>
      <c r="E4" s="28" t="s">
        <v>4684</v>
      </c>
      <c r="F4" s="28" t="s">
        <v>5020</v>
      </c>
      <c r="G4" s="28" t="s">
        <v>5021</v>
      </c>
      <c r="H4" s="28" t="s">
        <v>5022</v>
      </c>
      <c r="I4" s="28" t="s">
        <v>5023</v>
      </c>
      <c r="J4" s="28" t="s">
        <v>5024</v>
      </c>
    </row>
    <row r="5" spans="1:10" ht="146" customHeight="1" x14ac:dyDescent="0.2">
      <c r="A5" s="28" t="s">
        <v>5025</v>
      </c>
      <c r="B5" s="28" t="s">
        <v>4415</v>
      </c>
      <c r="C5" s="28" t="s">
        <v>5026</v>
      </c>
      <c r="D5" s="28" t="s">
        <v>5027</v>
      </c>
      <c r="E5" s="28" t="s">
        <v>5028</v>
      </c>
      <c r="F5" s="28" t="s">
        <v>5029</v>
      </c>
      <c r="G5" s="28" t="s">
        <v>5030</v>
      </c>
      <c r="H5" s="28" t="s">
        <v>5022</v>
      </c>
      <c r="I5" s="28" t="s">
        <v>5023</v>
      </c>
      <c r="J5" s="28" t="s">
        <v>5031</v>
      </c>
    </row>
    <row r="6" spans="1:10" ht="146" customHeight="1" x14ac:dyDescent="0.2">
      <c r="A6" s="28" t="s">
        <v>5032</v>
      </c>
      <c r="B6" s="28" t="s">
        <v>4415</v>
      </c>
      <c r="C6" s="28" t="s">
        <v>5033</v>
      </c>
      <c r="D6" s="28" t="s">
        <v>5034</v>
      </c>
      <c r="E6" s="28" t="s">
        <v>5035</v>
      </c>
      <c r="F6" s="28" t="s">
        <v>5036</v>
      </c>
      <c r="G6" s="28" t="s">
        <v>5037</v>
      </c>
      <c r="H6" s="28" t="s">
        <v>5022</v>
      </c>
      <c r="I6" s="28" t="s">
        <v>5023</v>
      </c>
      <c r="J6" s="28" t="s">
        <v>5038</v>
      </c>
    </row>
    <row r="7" spans="1:10" ht="146" customHeight="1" x14ac:dyDescent="0.2">
      <c r="A7" s="28" t="s">
        <v>5039</v>
      </c>
      <c r="B7" s="28" t="s">
        <v>4415</v>
      </c>
      <c r="C7" s="28" t="s">
        <v>5040</v>
      </c>
      <c r="D7" s="28" t="s">
        <v>5041</v>
      </c>
      <c r="E7" s="28" t="s">
        <v>5042</v>
      </c>
      <c r="F7" s="28" t="s">
        <v>5043</v>
      </c>
      <c r="G7" s="28" t="s">
        <v>5044</v>
      </c>
      <c r="H7" s="28" t="s">
        <v>5045</v>
      </c>
      <c r="I7" s="28" t="s">
        <v>5023</v>
      </c>
      <c r="J7" s="28" t="s">
        <v>5046</v>
      </c>
    </row>
    <row r="8" spans="1:10" ht="146" customHeight="1" x14ac:dyDescent="0.2">
      <c r="A8" s="28" t="s">
        <v>5047</v>
      </c>
      <c r="B8" s="28" t="s">
        <v>4471</v>
      </c>
      <c r="C8" s="28" t="s">
        <v>5048</v>
      </c>
      <c r="D8" s="28" t="s">
        <v>5049</v>
      </c>
      <c r="E8" s="28" t="s">
        <v>5050</v>
      </c>
      <c r="F8" s="28" t="s">
        <v>5051</v>
      </c>
      <c r="G8" s="28" t="s">
        <v>5052</v>
      </c>
      <c r="H8" s="28" t="s">
        <v>5045</v>
      </c>
      <c r="I8" s="28" t="s">
        <v>5023</v>
      </c>
      <c r="J8" s="28" t="s">
        <v>5053</v>
      </c>
    </row>
    <row r="9" spans="1:10" ht="146" customHeight="1" x14ac:dyDescent="0.2">
      <c r="A9" s="28" t="s">
        <v>5054</v>
      </c>
      <c r="B9" s="28" t="s">
        <v>4415</v>
      </c>
      <c r="C9" s="28" t="s">
        <v>5055</v>
      </c>
      <c r="D9" s="28" t="s">
        <v>5056</v>
      </c>
      <c r="E9" s="28" t="s">
        <v>5057</v>
      </c>
      <c r="F9" s="28" t="s">
        <v>5058</v>
      </c>
      <c r="G9" s="28" t="s">
        <v>5059</v>
      </c>
      <c r="H9" s="28" t="s">
        <v>5045</v>
      </c>
      <c r="I9" s="28" t="s">
        <v>5023</v>
      </c>
      <c r="J9" s="28" t="s">
        <v>5060</v>
      </c>
    </row>
    <row r="10" spans="1:10" ht="146" customHeight="1" x14ac:dyDescent="0.2">
      <c r="A10" s="28" t="s">
        <v>5061</v>
      </c>
      <c r="B10" s="28" t="s">
        <v>4471</v>
      </c>
      <c r="C10" s="28" t="s">
        <v>5062</v>
      </c>
      <c r="D10" s="28" t="s">
        <v>5063</v>
      </c>
      <c r="E10" s="28" t="s">
        <v>5064</v>
      </c>
      <c r="F10" s="28" t="s">
        <v>5065</v>
      </c>
      <c r="G10" s="28" t="s">
        <v>5066</v>
      </c>
      <c r="H10" s="28" t="s">
        <v>5045</v>
      </c>
      <c r="I10" s="28" t="s">
        <v>5023</v>
      </c>
      <c r="J10" s="28" t="s">
        <v>5067</v>
      </c>
    </row>
    <row r="11" spans="1:10" ht="146" customHeight="1" x14ac:dyDescent="0.2">
      <c r="A11" s="28" t="s">
        <v>5068</v>
      </c>
      <c r="B11" s="28" t="s">
        <v>4415</v>
      </c>
      <c r="C11" s="28" t="s">
        <v>5069</v>
      </c>
      <c r="D11" s="28" t="s">
        <v>5070</v>
      </c>
      <c r="E11" s="28" t="s">
        <v>5071</v>
      </c>
      <c r="F11" s="28" t="s">
        <v>5072</v>
      </c>
      <c r="G11" s="28" t="s">
        <v>5073</v>
      </c>
      <c r="H11" s="28" t="s">
        <v>5045</v>
      </c>
      <c r="I11" s="28" t="s">
        <v>5023</v>
      </c>
      <c r="J11" s="28" t="s">
        <v>5074</v>
      </c>
    </row>
    <row r="12" spans="1:10" ht="146" customHeight="1" x14ac:dyDescent="0.2">
      <c r="A12" s="28" t="s">
        <v>5075</v>
      </c>
      <c r="B12" s="28" t="s">
        <v>4415</v>
      </c>
      <c r="C12" s="28" t="s">
        <v>5076</v>
      </c>
      <c r="D12" s="28" t="s">
        <v>5077</v>
      </c>
      <c r="E12" s="28" t="s">
        <v>5078</v>
      </c>
      <c r="F12" s="28" t="s">
        <v>5079</v>
      </c>
      <c r="G12" s="28" t="s">
        <v>5080</v>
      </c>
      <c r="H12" s="28" t="s">
        <v>5045</v>
      </c>
      <c r="I12" s="28" t="s">
        <v>5023</v>
      </c>
      <c r="J12" s="28" t="s">
        <v>5081</v>
      </c>
    </row>
    <row r="13" spans="1:10" ht="146" customHeight="1" x14ac:dyDescent="0.2">
      <c r="A13" s="28" t="s">
        <v>5082</v>
      </c>
      <c r="B13" s="28" t="s">
        <v>4415</v>
      </c>
      <c r="C13" s="28" t="s">
        <v>5083</v>
      </c>
      <c r="D13" s="28" t="s">
        <v>5084</v>
      </c>
      <c r="E13" s="28" t="s">
        <v>5085</v>
      </c>
      <c r="F13" s="28" t="s">
        <v>5086</v>
      </c>
      <c r="G13" s="28" t="s">
        <v>5087</v>
      </c>
      <c r="H13" s="28" t="s">
        <v>5045</v>
      </c>
      <c r="I13" s="28" t="s">
        <v>5023</v>
      </c>
      <c r="J13" s="28" t="s">
        <v>5088</v>
      </c>
    </row>
    <row r="14" spans="1:10" ht="146" customHeight="1" x14ac:dyDescent="0.2">
      <c r="A14" s="28" t="s">
        <v>5089</v>
      </c>
      <c r="B14" s="28" t="s">
        <v>4415</v>
      </c>
      <c r="C14" s="28" t="s">
        <v>5090</v>
      </c>
      <c r="D14" s="28" t="s">
        <v>5091</v>
      </c>
      <c r="E14" s="28" t="s">
        <v>4699</v>
      </c>
      <c r="F14" s="28" t="s">
        <v>5092</v>
      </c>
      <c r="G14" s="28" t="s">
        <v>5093</v>
      </c>
      <c r="H14" s="28" t="s">
        <v>5045</v>
      </c>
      <c r="I14" s="28" t="s">
        <v>5023</v>
      </c>
      <c r="J14" s="28" t="s">
        <v>5094</v>
      </c>
    </row>
    <row r="15" spans="1:10" ht="146" customHeight="1" x14ac:dyDescent="0.2">
      <c r="A15" s="28" t="s">
        <v>5095</v>
      </c>
      <c r="B15" s="28" t="s">
        <v>4415</v>
      </c>
      <c r="C15" s="28" t="s">
        <v>5096</v>
      </c>
      <c r="D15" s="28" t="s">
        <v>5097</v>
      </c>
      <c r="E15" s="28" t="s">
        <v>4696</v>
      </c>
      <c r="F15" s="28" t="s">
        <v>5098</v>
      </c>
      <c r="G15" s="28" t="s">
        <v>5099</v>
      </c>
      <c r="H15" s="28" t="s">
        <v>5045</v>
      </c>
      <c r="I15" s="28" t="s">
        <v>5023</v>
      </c>
      <c r="J15" s="28" t="s">
        <v>5100</v>
      </c>
    </row>
    <row r="16" spans="1:10" ht="146" customHeight="1" x14ac:dyDescent="0.2">
      <c r="A16" s="28" t="s">
        <v>5101</v>
      </c>
      <c r="B16" s="28" t="s">
        <v>4415</v>
      </c>
      <c r="C16" s="28" t="s">
        <v>5102</v>
      </c>
      <c r="D16" s="28" t="s">
        <v>5103</v>
      </c>
      <c r="E16" s="28" t="s">
        <v>5104</v>
      </c>
      <c r="F16" s="28" t="s">
        <v>5105</v>
      </c>
      <c r="G16" s="28" t="s">
        <v>5106</v>
      </c>
      <c r="H16" s="28" t="s">
        <v>5045</v>
      </c>
      <c r="I16" s="28" t="s">
        <v>5023</v>
      </c>
      <c r="J16" s="28" t="s">
        <v>5107</v>
      </c>
    </row>
    <row r="17" spans="1:10" ht="146" customHeight="1" x14ac:dyDescent="0.2">
      <c r="A17" s="28" t="s">
        <v>5108</v>
      </c>
      <c r="B17" s="28" t="s">
        <v>4415</v>
      </c>
      <c r="C17" s="28" t="s">
        <v>5109</v>
      </c>
      <c r="D17" s="28" t="s">
        <v>5110</v>
      </c>
      <c r="E17" s="28" t="s">
        <v>5111</v>
      </c>
      <c r="F17" s="28" t="s">
        <v>5112</v>
      </c>
      <c r="G17" s="28" t="s">
        <v>5113</v>
      </c>
      <c r="H17" s="28" t="s">
        <v>5045</v>
      </c>
      <c r="I17" s="28" t="s">
        <v>5023</v>
      </c>
      <c r="J17" s="28" t="s">
        <v>5114</v>
      </c>
    </row>
    <row r="18" spans="1:10" ht="146" customHeight="1" x14ac:dyDescent="0.2">
      <c r="A18" s="28" t="s">
        <v>5115</v>
      </c>
      <c r="B18" s="28" t="s">
        <v>4471</v>
      </c>
      <c r="C18" s="28" t="s">
        <v>5116</v>
      </c>
      <c r="D18" s="28" t="s">
        <v>5117</v>
      </c>
      <c r="E18" s="28" t="s">
        <v>5118</v>
      </c>
      <c r="F18" s="28" t="s">
        <v>5119</v>
      </c>
      <c r="G18" s="28" t="s">
        <v>5120</v>
      </c>
      <c r="H18" s="28" t="s">
        <v>5045</v>
      </c>
      <c r="I18" s="28" t="s">
        <v>5023</v>
      </c>
      <c r="J18" s="28" t="s">
        <v>5121</v>
      </c>
    </row>
    <row r="19" spans="1:10" ht="146" customHeight="1" x14ac:dyDescent="0.2">
      <c r="A19" s="28" t="s">
        <v>5122</v>
      </c>
      <c r="B19" s="28" t="s">
        <v>4415</v>
      </c>
      <c r="C19" s="28" t="s">
        <v>5123</v>
      </c>
      <c r="D19" s="28" t="s">
        <v>5124</v>
      </c>
      <c r="E19" s="28" t="s">
        <v>5125</v>
      </c>
      <c r="F19" s="28" t="s">
        <v>5126</v>
      </c>
      <c r="G19" s="28" t="s">
        <v>5127</v>
      </c>
      <c r="H19" s="28" t="s">
        <v>5045</v>
      </c>
      <c r="I19" s="28" t="s">
        <v>5023</v>
      </c>
      <c r="J19" s="28" t="s">
        <v>5128</v>
      </c>
    </row>
    <row r="20" spans="1:10" ht="146" customHeight="1" x14ac:dyDescent="0.2">
      <c r="A20" s="28" t="s">
        <v>5129</v>
      </c>
      <c r="B20" s="28" t="s">
        <v>4471</v>
      </c>
      <c r="C20" s="28" t="s">
        <v>5130</v>
      </c>
      <c r="D20" s="28" t="s">
        <v>5131</v>
      </c>
      <c r="E20" s="28" t="s">
        <v>5132</v>
      </c>
      <c r="F20" s="28" t="s">
        <v>5133</v>
      </c>
      <c r="G20" s="28" t="s">
        <v>5134</v>
      </c>
      <c r="H20" s="28" t="s">
        <v>5045</v>
      </c>
      <c r="I20" s="28" t="s">
        <v>5023</v>
      </c>
      <c r="J20" s="28" t="s">
        <v>5135</v>
      </c>
    </row>
    <row r="21" spans="1:10" ht="146" customHeight="1" x14ac:dyDescent="0.2">
      <c r="A21" s="28" t="s">
        <v>5136</v>
      </c>
      <c r="B21" s="28" t="s">
        <v>4415</v>
      </c>
      <c r="C21" s="28" t="s">
        <v>5137</v>
      </c>
      <c r="D21" s="28" t="s">
        <v>5138</v>
      </c>
      <c r="E21" s="28" t="s">
        <v>5139</v>
      </c>
      <c r="F21" s="28" t="s">
        <v>5140</v>
      </c>
      <c r="G21" s="28" t="s">
        <v>5141</v>
      </c>
      <c r="H21" s="28" t="s">
        <v>5045</v>
      </c>
      <c r="I21" s="28" t="s">
        <v>5023</v>
      </c>
      <c r="J21" s="28" t="s">
        <v>5142</v>
      </c>
    </row>
    <row r="22" spans="1:10" ht="146" customHeight="1" x14ac:dyDescent="0.2">
      <c r="A22" s="28" t="s">
        <v>5143</v>
      </c>
      <c r="B22" s="28" t="s">
        <v>4415</v>
      </c>
      <c r="C22" s="28" t="s">
        <v>5144</v>
      </c>
      <c r="D22" s="28" t="s">
        <v>5145</v>
      </c>
      <c r="E22" s="28" t="s">
        <v>5146</v>
      </c>
      <c r="F22" s="28" t="s">
        <v>5147</v>
      </c>
      <c r="G22" s="28" t="s">
        <v>5148</v>
      </c>
      <c r="H22" s="28" t="s">
        <v>5045</v>
      </c>
      <c r="I22" s="28" t="s">
        <v>5023</v>
      </c>
      <c r="J22" s="28" t="s">
        <v>5149</v>
      </c>
    </row>
    <row r="23" spans="1:10" ht="146" customHeight="1" x14ac:dyDescent="0.2">
      <c r="A23" s="28" t="s">
        <v>5150</v>
      </c>
      <c r="B23" s="28" t="s">
        <v>4415</v>
      </c>
      <c r="C23" s="28" t="s">
        <v>5151</v>
      </c>
      <c r="D23" s="28" t="s">
        <v>5152</v>
      </c>
      <c r="E23" s="28" t="s">
        <v>5153</v>
      </c>
      <c r="F23" s="28" t="s">
        <v>5154</v>
      </c>
      <c r="G23" s="28" t="s">
        <v>5155</v>
      </c>
      <c r="H23" s="28" t="s">
        <v>5045</v>
      </c>
      <c r="I23" s="28" t="s">
        <v>5023</v>
      </c>
      <c r="J23" s="28" t="s">
        <v>5156</v>
      </c>
    </row>
    <row r="24" spans="1:10" ht="146" customHeight="1" x14ac:dyDescent="0.2">
      <c r="A24" s="28" t="s">
        <v>5157</v>
      </c>
      <c r="B24" s="28" t="s">
        <v>4471</v>
      </c>
      <c r="C24" s="28" t="s">
        <v>5158</v>
      </c>
      <c r="D24" s="28" t="s">
        <v>5159</v>
      </c>
      <c r="E24" s="28" t="s">
        <v>5160</v>
      </c>
      <c r="F24" s="28" t="s">
        <v>5161</v>
      </c>
      <c r="G24" s="28" t="s">
        <v>5162</v>
      </c>
      <c r="H24" s="28" t="s">
        <v>5045</v>
      </c>
      <c r="I24" s="28" t="s">
        <v>5023</v>
      </c>
      <c r="J24" s="28" t="s">
        <v>5163</v>
      </c>
    </row>
    <row r="25" spans="1:10" ht="146" customHeight="1" x14ac:dyDescent="0.2">
      <c r="A25" s="28" t="s">
        <v>3458</v>
      </c>
      <c r="B25" s="28" t="s">
        <v>4471</v>
      </c>
      <c r="C25" s="28" t="s">
        <v>5164</v>
      </c>
      <c r="D25" s="28" t="s">
        <v>5165</v>
      </c>
      <c r="E25" s="28" t="s">
        <v>5166</v>
      </c>
      <c r="F25" s="28" t="s">
        <v>5167</v>
      </c>
      <c r="G25" s="28" t="s">
        <v>5168</v>
      </c>
      <c r="H25" s="28" t="s">
        <v>5022</v>
      </c>
      <c r="I25" s="28" t="s">
        <v>5169</v>
      </c>
      <c r="J25" s="28" t="s">
        <v>5170</v>
      </c>
    </row>
    <row r="26" spans="1:10" ht="146" customHeight="1" x14ac:dyDescent="0.2">
      <c r="A26" s="28" t="s">
        <v>5171</v>
      </c>
      <c r="B26" s="28" t="s">
        <v>4471</v>
      </c>
      <c r="C26" s="28" t="s">
        <v>5172</v>
      </c>
      <c r="D26" s="28" t="s">
        <v>5173</v>
      </c>
      <c r="E26" s="28" t="s">
        <v>5174</v>
      </c>
      <c r="F26" s="28" t="s">
        <v>5175</v>
      </c>
      <c r="G26" s="28" t="s">
        <v>5176</v>
      </c>
      <c r="H26" s="28" t="s">
        <v>5045</v>
      </c>
      <c r="I26" s="28" t="s">
        <v>5169</v>
      </c>
      <c r="J26" s="28" t="s">
        <v>5177</v>
      </c>
    </row>
    <row r="27" spans="1:10" ht="146" customHeight="1" x14ac:dyDescent="0.2">
      <c r="A27" s="28" t="s">
        <v>5178</v>
      </c>
      <c r="B27" s="28" t="s">
        <v>4471</v>
      </c>
      <c r="C27" s="28" t="s">
        <v>5179</v>
      </c>
      <c r="D27" s="28" t="s">
        <v>5180</v>
      </c>
      <c r="E27" s="28" t="s">
        <v>5181</v>
      </c>
      <c r="F27" s="28" t="s">
        <v>5182</v>
      </c>
      <c r="G27" s="28" t="s">
        <v>5183</v>
      </c>
      <c r="H27" s="28" t="s">
        <v>5045</v>
      </c>
      <c r="I27" s="28" t="s">
        <v>5023</v>
      </c>
      <c r="J27" s="28" t="s">
        <v>5184</v>
      </c>
    </row>
    <row r="28" spans="1:10" ht="146" customHeight="1" x14ac:dyDescent="0.2">
      <c r="A28" s="28" t="s">
        <v>5185</v>
      </c>
      <c r="B28" s="28" t="s">
        <v>4471</v>
      </c>
      <c r="C28" s="28" t="s">
        <v>5186</v>
      </c>
      <c r="D28" s="28" t="s">
        <v>5187</v>
      </c>
      <c r="E28" s="28" t="s">
        <v>5125</v>
      </c>
      <c r="F28" s="28" t="s">
        <v>5188</v>
      </c>
      <c r="G28" s="28" t="s">
        <v>5189</v>
      </c>
      <c r="H28" s="28" t="s">
        <v>5045</v>
      </c>
      <c r="I28" s="28" t="s">
        <v>5023</v>
      </c>
      <c r="J28" s="28" t="s">
        <v>5190</v>
      </c>
    </row>
    <row r="29" spans="1:10" ht="146" customHeight="1" x14ac:dyDescent="0.2">
      <c r="A29" s="28" t="s">
        <v>5191</v>
      </c>
      <c r="B29" s="28" t="s">
        <v>4471</v>
      </c>
      <c r="C29" s="28" t="s">
        <v>5192</v>
      </c>
      <c r="D29" s="28" t="s">
        <v>5193</v>
      </c>
      <c r="E29" s="28" t="s">
        <v>5194</v>
      </c>
      <c r="F29" s="28" t="s">
        <v>5195</v>
      </c>
      <c r="G29" s="28" t="s">
        <v>5196</v>
      </c>
      <c r="H29" s="28" t="s">
        <v>5045</v>
      </c>
      <c r="I29" s="28" t="s">
        <v>5023</v>
      </c>
      <c r="J29" s="28" t="s">
        <v>5197</v>
      </c>
    </row>
    <row r="30" spans="1:10" ht="146" customHeight="1" x14ac:dyDescent="0.2">
      <c r="A30" s="28" t="s">
        <v>5198</v>
      </c>
      <c r="B30" s="28" t="s">
        <v>4471</v>
      </c>
      <c r="C30" s="28" t="s">
        <v>5199</v>
      </c>
      <c r="D30" s="28" t="s">
        <v>5200</v>
      </c>
      <c r="E30" s="28" t="s">
        <v>5201</v>
      </c>
      <c r="F30" s="28" t="s">
        <v>5202</v>
      </c>
      <c r="G30" s="28" t="s">
        <v>5203</v>
      </c>
      <c r="H30" s="28" t="s">
        <v>5022</v>
      </c>
      <c r="I30" s="28" t="s">
        <v>5023</v>
      </c>
      <c r="J30" s="28" t="s">
        <v>5204</v>
      </c>
    </row>
    <row r="34" spans="1:6" ht="22" customHeight="1" x14ac:dyDescent="0.2">
      <c r="A34" s="1" t="s">
        <v>5205</v>
      </c>
      <c r="B34" s="1" t="s">
        <v>5206</v>
      </c>
      <c r="C34" s="1" t="s">
        <v>5207</v>
      </c>
    </row>
    <row r="35" spans="1:6" ht="72" customHeight="1" x14ac:dyDescent="0.2">
      <c r="A35" t="s">
        <v>5208</v>
      </c>
      <c r="B35" t="s">
        <v>5209</v>
      </c>
      <c r="C35" t="s">
        <v>5210</v>
      </c>
      <c r="D35" s="45"/>
      <c r="E35" s="45"/>
      <c r="F35" s="45"/>
    </row>
    <row r="36" spans="1:6" ht="72" customHeight="1" x14ac:dyDescent="0.2">
      <c r="A36" t="s">
        <v>5211</v>
      </c>
      <c r="B36" t="s">
        <v>5212</v>
      </c>
      <c r="C36" t="s">
        <v>5210</v>
      </c>
      <c r="D36" s="45"/>
      <c r="E36" s="45"/>
      <c r="F36" s="45"/>
    </row>
    <row r="37" spans="1:6" ht="72" customHeight="1" x14ac:dyDescent="0.2">
      <c r="A37" t="s">
        <v>5213</v>
      </c>
      <c r="B37" t="s">
        <v>5214</v>
      </c>
      <c r="C37" t="s">
        <v>5210</v>
      </c>
      <c r="D37" s="45"/>
      <c r="E37" s="45"/>
      <c r="F37" s="45"/>
    </row>
    <row r="38" spans="1:6" ht="72" customHeight="1" x14ac:dyDescent="0.2">
      <c r="A38" t="s">
        <v>5215</v>
      </c>
      <c r="B38" t="s">
        <v>5216</v>
      </c>
      <c r="C38" t="s">
        <v>5210</v>
      </c>
      <c r="D38" s="45"/>
      <c r="E38" s="45"/>
      <c r="F38" s="45"/>
    </row>
    <row r="39" spans="1:6" ht="72" customHeight="1" x14ac:dyDescent="0.2">
      <c r="A39" t="s">
        <v>5217</v>
      </c>
      <c r="B39" t="s">
        <v>5218</v>
      </c>
      <c r="C39" t="s">
        <v>5210</v>
      </c>
      <c r="D39" s="45"/>
      <c r="E39" s="45"/>
      <c r="F39" s="45"/>
    </row>
    <row r="40" spans="1:6" ht="72" customHeight="1" x14ac:dyDescent="0.2">
      <c r="A40" t="s">
        <v>5219</v>
      </c>
      <c r="B40" t="s">
        <v>5220</v>
      </c>
      <c r="C40" t="s">
        <v>5210</v>
      </c>
      <c r="D40" s="45"/>
      <c r="E40" s="45"/>
      <c r="F40" s="45"/>
    </row>
    <row r="41" spans="1:6" ht="72" customHeight="1" x14ac:dyDescent="0.2">
      <c r="A41" t="s">
        <v>5221</v>
      </c>
      <c r="B41" t="s">
        <v>5222</v>
      </c>
      <c r="C41" t="s">
        <v>5210</v>
      </c>
      <c r="D41" s="45"/>
      <c r="E41" s="45"/>
      <c r="F41" s="45"/>
    </row>
    <row r="45" spans="1:6" ht="22" customHeight="1" x14ac:dyDescent="0.2">
      <c r="A45" s="1" t="s">
        <v>5223</v>
      </c>
      <c r="B45" s="1" t="s">
        <v>5224</v>
      </c>
      <c r="C45" s="1" t="s">
        <v>5225</v>
      </c>
    </row>
    <row r="46" spans="1:6" ht="120" customHeight="1" x14ac:dyDescent="0.2">
      <c r="A46" t="s">
        <v>4277</v>
      </c>
      <c r="B46" t="s">
        <v>5226</v>
      </c>
      <c r="C46" t="s">
        <v>5227</v>
      </c>
    </row>
    <row r="47" spans="1:6" ht="120" customHeight="1" x14ac:dyDescent="0.2">
      <c r="A47" t="s">
        <v>4281</v>
      </c>
      <c r="B47" t="s">
        <v>5228</v>
      </c>
      <c r="C47" t="s">
        <v>5229</v>
      </c>
    </row>
    <row r="48" spans="1:6" ht="120" customHeight="1" x14ac:dyDescent="0.2">
      <c r="A48" t="s">
        <v>4285</v>
      </c>
      <c r="B48" t="s">
        <v>5230</v>
      </c>
      <c r="C48" t="s">
        <v>5231</v>
      </c>
    </row>
    <row r="49" spans="1:10" ht="120" customHeight="1" x14ac:dyDescent="0.2">
      <c r="A49" t="s">
        <v>4289</v>
      </c>
      <c r="B49" t="s">
        <v>5232</v>
      </c>
      <c r="C49" t="s">
        <v>5233</v>
      </c>
    </row>
    <row r="50" spans="1:10" ht="120" customHeight="1" x14ac:dyDescent="0.2">
      <c r="A50" t="s">
        <v>4293</v>
      </c>
      <c r="B50" t="s">
        <v>5234</v>
      </c>
      <c r="C50" t="s">
        <v>5235</v>
      </c>
    </row>
    <row r="53" spans="1:10" ht="44" customHeight="1" x14ac:dyDescent="0.2">
      <c r="A53" s="48" t="s">
        <v>5236</v>
      </c>
      <c r="B53" s="45"/>
      <c r="C53" s="45"/>
      <c r="D53" s="45"/>
      <c r="E53" s="45"/>
      <c r="F53" s="45"/>
      <c r="G53" s="45"/>
      <c r="H53" s="45"/>
      <c r="I53" s="45"/>
      <c r="J53" s="45"/>
    </row>
    <row r="54" spans="1:10" ht="24" customHeight="1" x14ac:dyDescent="0.2">
      <c r="A54" s="45"/>
      <c r="B54" s="45"/>
      <c r="C54" s="45"/>
      <c r="D54" s="45"/>
      <c r="E54" s="45"/>
      <c r="F54" s="45"/>
      <c r="G54" s="45"/>
      <c r="H54" s="45"/>
      <c r="I54" s="45"/>
      <c r="J54" s="45"/>
    </row>
    <row r="56" spans="1:10" ht="22" customHeight="1" x14ac:dyDescent="0.2">
      <c r="A56" s="1" t="s">
        <v>3439</v>
      </c>
      <c r="B56" s="1" t="s">
        <v>5237</v>
      </c>
      <c r="C56" s="1" t="s">
        <v>5238</v>
      </c>
      <c r="D56" s="1" t="s">
        <v>5239</v>
      </c>
      <c r="E56" s="1" t="s">
        <v>5240</v>
      </c>
      <c r="F56" s="1" t="s">
        <v>5241</v>
      </c>
      <c r="G56" s="1" t="s">
        <v>5242</v>
      </c>
      <c r="H56" s="1" t="s">
        <v>4151</v>
      </c>
      <c r="I56" s="1" t="s">
        <v>5243</v>
      </c>
      <c r="J56" s="1" t="s">
        <v>5</v>
      </c>
    </row>
    <row r="57" spans="1:10" ht="125" customHeight="1" x14ac:dyDescent="0.2">
      <c r="A57" s="28" t="s">
        <v>3896</v>
      </c>
      <c r="B57" s="28" t="s">
        <v>5244</v>
      </c>
      <c r="C57" s="28" t="s">
        <v>5245</v>
      </c>
      <c r="D57" s="28" t="s">
        <v>5246</v>
      </c>
      <c r="E57" s="28" t="s">
        <v>5246</v>
      </c>
      <c r="F57" s="28" t="s">
        <v>5247</v>
      </c>
      <c r="G57" s="28" t="s">
        <v>5248</v>
      </c>
      <c r="H57" s="28" t="s">
        <v>5249</v>
      </c>
      <c r="I57" s="28" t="s">
        <v>5250</v>
      </c>
      <c r="J57" s="28" t="s">
        <v>4158</v>
      </c>
    </row>
    <row r="58" spans="1:10" ht="125" customHeight="1" x14ac:dyDescent="0.2">
      <c r="A58" s="28" t="s">
        <v>3900</v>
      </c>
      <c r="B58" s="28" t="s">
        <v>5082</v>
      </c>
      <c r="C58" s="28" t="s">
        <v>5251</v>
      </c>
      <c r="D58" s="28" t="s">
        <v>5252</v>
      </c>
      <c r="E58" s="28" t="s">
        <v>5252</v>
      </c>
      <c r="F58" s="28" t="s">
        <v>5247</v>
      </c>
      <c r="G58" s="28" t="s">
        <v>5248</v>
      </c>
      <c r="H58" s="28" t="s">
        <v>5249</v>
      </c>
      <c r="I58" s="28" t="s">
        <v>5250</v>
      </c>
      <c r="J58" s="28" t="s">
        <v>4158</v>
      </c>
    </row>
    <row r="59" spans="1:10" ht="125" customHeight="1" x14ac:dyDescent="0.2">
      <c r="A59" s="28" t="s">
        <v>3903</v>
      </c>
      <c r="B59" s="28" t="s">
        <v>5082</v>
      </c>
      <c r="C59" s="28" t="s">
        <v>5253</v>
      </c>
      <c r="D59" s="28" t="s">
        <v>5254</v>
      </c>
      <c r="E59" s="28" t="s">
        <v>5254</v>
      </c>
      <c r="F59" s="28" t="s">
        <v>5247</v>
      </c>
      <c r="G59" s="28" t="s">
        <v>5248</v>
      </c>
      <c r="H59" s="28" t="s">
        <v>5249</v>
      </c>
      <c r="I59" s="28" t="s">
        <v>5250</v>
      </c>
      <c r="J59" s="28" t="s">
        <v>4158</v>
      </c>
    </row>
    <row r="60" spans="1:10" ht="125" customHeight="1" x14ac:dyDescent="0.2">
      <c r="A60" s="28" t="s">
        <v>3906</v>
      </c>
      <c r="B60" s="28" t="s">
        <v>5089</v>
      </c>
      <c r="C60" s="28" t="s">
        <v>5255</v>
      </c>
      <c r="D60" s="28" t="s">
        <v>5256</v>
      </c>
      <c r="E60" s="28" t="s">
        <v>5256</v>
      </c>
      <c r="F60" s="28" t="s">
        <v>5247</v>
      </c>
      <c r="G60" s="28" t="s">
        <v>5248</v>
      </c>
      <c r="H60" s="28" t="s">
        <v>5249</v>
      </c>
      <c r="I60" s="28" t="s">
        <v>5250</v>
      </c>
      <c r="J60" s="28" t="s">
        <v>4158</v>
      </c>
    </row>
    <row r="61" spans="1:10" ht="125" customHeight="1" x14ac:dyDescent="0.2">
      <c r="A61" s="28" t="s">
        <v>3910</v>
      </c>
      <c r="B61" s="28" t="s">
        <v>5089</v>
      </c>
      <c r="C61" s="28" t="s">
        <v>5257</v>
      </c>
      <c r="D61" s="28" t="s">
        <v>5258</v>
      </c>
      <c r="E61" s="28" t="s">
        <v>5258</v>
      </c>
      <c r="F61" s="28" t="s">
        <v>5247</v>
      </c>
      <c r="G61" s="28" t="s">
        <v>5248</v>
      </c>
      <c r="H61" s="28" t="s">
        <v>5249</v>
      </c>
      <c r="I61" s="28" t="s">
        <v>5250</v>
      </c>
      <c r="J61" s="28" t="s">
        <v>4158</v>
      </c>
    </row>
    <row r="62" spans="1:10" ht="125" customHeight="1" x14ac:dyDescent="0.2">
      <c r="A62" s="28" t="s">
        <v>3913</v>
      </c>
      <c r="B62" s="28" t="s">
        <v>5089</v>
      </c>
      <c r="C62" s="28" t="s">
        <v>5259</v>
      </c>
      <c r="D62" s="28" t="s">
        <v>5258</v>
      </c>
      <c r="E62" s="28" t="s">
        <v>5258</v>
      </c>
      <c r="F62" s="28" t="s">
        <v>5247</v>
      </c>
      <c r="G62" s="28" t="s">
        <v>5248</v>
      </c>
      <c r="H62" s="28" t="s">
        <v>5249</v>
      </c>
      <c r="I62" s="28" t="s">
        <v>5250</v>
      </c>
      <c r="J62" s="28" t="s">
        <v>4158</v>
      </c>
    </row>
    <row r="63" spans="1:10" ht="125" customHeight="1" x14ac:dyDescent="0.2">
      <c r="A63" s="28" t="s">
        <v>3917</v>
      </c>
      <c r="B63" s="28" t="s">
        <v>5089</v>
      </c>
      <c r="C63" s="28" t="s">
        <v>5260</v>
      </c>
      <c r="D63" s="28" t="s">
        <v>5258</v>
      </c>
      <c r="E63" s="28" t="s">
        <v>5258</v>
      </c>
      <c r="F63" s="28" t="s">
        <v>5247</v>
      </c>
      <c r="G63" s="28" t="s">
        <v>5248</v>
      </c>
      <c r="H63" s="28" t="s">
        <v>5249</v>
      </c>
      <c r="I63" s="28" t="s">
        <v>5250</v>
      </c>
      <c r="J63" s="28" t="s">
        <v>4158</v>
      </c>
    </row>
    <row r="64" spans="1:10" ht="125" customHeight="1" x14ac:dyDescent="0.2">
      <c r="A64" s="28" t="s">
        <v>3920</v>
      </c>
      <c r="B64" s="28" t="s">
        <v>5089</v>
      </c>
      <c r="C64" s="28" t="s">
        <v>5261</v>
      </c>
      <c r="D64" s="28" t="s">
        <v>5258</v>
      </c>
      <c r="E64" s="28" t="s">
        <v>5258</v>
      </c>
      <c r="F64" s="28" t="s">
        <v>5247</v>
      </c>
      <c r="G64" s="28" t="s">
        <v>5248</v>
      </c>
      <c r="H64" s="28" t="s">
        <v>5249</v>
      </c>
      <c r="I64" s="28" t="s">
        <v>5250</v>
      </c>
      <c r="J64" s="28" t="s">
        <v>4158</v>
      </c>
    </row>
    <row r="65" spans="1:10" ht="125" customHeight="1" x14ac:dyDescent="0.2">
      <c r="A65" s="28" t="s">
        <v>3923</v>
      </c>
      <c r="B65" s="28" t="s">
        <v>5089</v>
      </c>
      <c r="C65" s="28" t="s">
        <v>5262</v>
      </c>
      <c r="D65" s="28" t="s">
        <v>5263</v>
      </c>
      <c r="E65" s="28" t="s">
        <v>5263</v>
      </c>
      <c r="F65" s="28" t="s">
        <v>5247</v>
      </c>
      <c r="G65" s="28" t="s">
        <v>5248</v>
      </c>
      <c r="H65" s="28" t="s">
        <v>5249</v>
      </c>
      <c r="I65" s="28" t="s">
        <v>5250</v>
      </c>
      <c r="J65" s="28" t="s">
        <v>4158</v>
      </c>
    </row>
    <row r="66" spans="1:10" ht="125" customHeight="1" x14ac:dyDescent="0.2">
      <c r="A66" s="28" t="s">
        <v>3926</v>
      </c>
      <c r="B66" s="28" t="s">
        <v>5068</v>
      </c>
      <c r="C66" s="28" t="s">
        <v>5264</v>
      </c>
      <c r="D66" s="28" t="s">
        <v>5265</v>
      </c>
      <c r="E66" s="28" t="s">
        <v>5265</v>
      </c>
      <c r="F66" s="28" t="s">
        <v>5247</v>
      </c>
      <c r="G66" s="28" t="s">
        <v>5248</v>
      </c>
      <c r="H66" s="28" t="s">
        <v>5249</v>
      </c>
      <c r="I66" s="28" t="s">
        <v>5250</v>
      </c>
      <c r="J66" s="28" t="s">
        <v>4158</v>
      </c>
    </row>
    <row r="67" spans="1:10" ht="125" customHeight="1" x14ac:dyDescent="0.2">
      <c r="A67" s="28" t="s">
        <v>5266</v>
      </c>
      <c r="B67" s="28" t="s">
        <v>5075</v>
      </c>
      <c r="C67" s="28" t="s">
        <v>5267</v>
      </c>
      <c r="D67" s="28" t="s">
        <v>5268</v>
      </c>
      <c r="E67" s="28" t="s">
        <v>5268</v>
      </c>
      <c r="F67" s="28" t="s">
        <v>5247</v>
      </c>
      <c r="G67" s="28" t="s">
        <v>5248</v>
      </c>
      <c r="H67" s="28" t="s">
        <v>5249</v>
      </c>
      <c r="I67" s="28" t="s">
        <v>5250</v>
      </c>
      <c r="J67" s="28" t="s">
        <v>4158</v>
      </c>
    </row>
    <row r="68" spans="1:10" ht="125" customHeight="1" x14ac:dyDescent="0.2">
      <c r="A68" s="28" t="s">
        <v>5269</v>
      </c>
      <c r="B68" s="28" t="s">
        <v>5075</v>
      </c>
      <c r="C68" s="28" t="s">
        <v>5270</v>
      </c>
      <c r="D68" s="28" t="s">
        <v>5271</v>
      </c>
      <c r="E68" s="28" t="s">
        <v>5271</v>
      </c>
      <c r="F68" s="28" t="s">
        <v>5247</v>
      </c>
      <c r="G68" s="28" t="s">
        <v>5248</v>
      </c>
      <c r="H68" s="28" t="s">
        <v>5249</v>
      </c>
      <c r="I68" s="28" t="s">
        <v>5250</v>
      </c>
      <c r="J68" s="28" t="s">
        <v>4158</v>
      </c>
    </row>
    <row r="69" spans="1:10" ht="125" customHeight="1" x14ac:dyDescent="0.2">
      <c r="A69" s="28" t="s">
        <v>5272</v>
      </c>
      <c r="B69" s="28" t="s">
        <v>5143</v>
      </c>
      <c r="C69" s="28" t="s">
        <v>5273</v>
      </c>
      <c r="D69" s="28" t="s">
        <v>5274</v>
      </c>
      <c r="E69" s="28" t="s">
        <v>5274</v>
      </c>
      <c r="F69" s="28" t="s">
        <v>5247</v>
      </c>
      <c r="G69" s="28" t="s">
        <v>5248</v>
      </c>
      <c r="H69" s="28" t="s">
        <v>5249</v>
      </c>
      <c r="I69" s="28" t="s">
        <v>5250</v>
      </c>
      <c r="J69" s="28" t="s">
        <v>4158</v>
      </c>
    </row>
    <row r="70" spans="1:10" ht="125" customHeight="1" x14ac:dyDescent="0.2">
      <c r="A70" s="28" t="s">
        <v>5275</v>
      </c>
      <c r="B70" s="28" t="s">
        <v>5143</v>
      </c>
      <c r="C70" s="28" t="s">
        <v>5276</v>
      </c>
      <c r="D70" s="28" t="s">
        <v>5277</v>
      </c>
      <c r="E70" s="28" t="s">
        <v>5277</v>
      </c>
      <c r="F70" s="28" t="s">
        <v>5247</v>
      </c>
      <c r="G70" s="28" t="s">
        <v>5248</v>
      </c>
      <c r="H70" s="28" t="s">
        <v>5249</v>
      </c>
      <c r="I70" s="28" t="s">
        <v>5250</v>
      </c>
      <c r="J70" s="28" t="s">
        <v>4158</v>
      </c>
    </row>
    <row r="71" spans="1:10" ht="125" customHeight="1" x14ac:dyDescent="0.2">
      <c r="A71" s="28" t="s">
        <v>5278</v>
      </c>
      <c r="B71" s="28" t="s">
        <v>5095</v>
      </c>
      <c r="C71" s="28" t="s">
        <v>5279</v>
      </c>
      <c r="D71" s="28" t="s">
        <v>5280</v>
      </c>
      <c r="E71" s="28" t="s">
        <v>5280</v>
      </c>
      <c r="F71" s="28" t="s">
        <v>5247</v>
      </c>
      <c r="G71" s="28" t="s">
        <v>5248</v>
      </c>
      <c r="H71" s="28" t="s">
        <v>5249</v>
      </c>
      <c r="I71" s="28" t="s">
        <v>5250</v>
      </c>
      <c r="J71" s="28" t="s">
        <v>4158</v>
      </c>
    </row>
    <row r="72" spans="1:10" ht="125" customHeight="1" x14ac:dyDescent="0.2">
      <c r="A72" s="28" t="s">
        <v>5281</v>
      </c>
      <c r="B72" s="28" t="s">
        <v>5082</v>
      </c>
      <c r="C72" s="28" t="s">
        <v>5282</v>
      </c>
      <c r="D72" s="28" t="s">
        <v>5283</v>
      </c>
      <c r="E72" s="28" t="s">
        <v>5283</v>
      </c>
      <c r="F72" s="28" t="s">
        <v>5247</v>
      </c>
      <c r="G72" s="28" t="s">
        <v>5248</v>
      </c>
      <c r="H72" s="28" t="s">
        <v>5249</v>
      </c>
      <c r="I72" s="28" t="s">
        <v>5250</v>
      </c>
      <c r="J72" s="28" t="s">
        <v>4158</v>
      </c>
    </row>
    <row r="73" spans="1:10" ht="125" customHeight="1" x14ac:dyDescent="0.2">
      <c r="A73" s="28" t="s">
        <v>5284</v>
      </c>
      <c r="B73" s="28" t="s">
        <v>5101</v>
      </c>
      <c r="C73" s="28" t="s">
        <v>5285</v>
      </c>
      <c r="D73" s="28" t="s">
        <v>5286</v>
      </c>
      <c r="E73" s="28" t="s">
        <v>5286</v>
      </c>
      <c r="F73" s="28" t="s">
        <v>5247</v>
      </c>
      <c r="G73" s="28" t="s">
        <v>5248</v>
      </c>
      <c r="H73" s="28" t="s">
        <v>5249</v>
      </c>
      <c r="I73" s="28" t="s">
        <v>5250</v>
      </c>
      <c r="J73" s="28" t="s">
        <v>4158</v>
      </c>
    </row>
    <row r="74" spans="1:10" ht="125" customHeight="1" x14ac:dyDescent="0.2">
      <c r="A74" s="28" t="s">
        <v>5287</v>
      </c>
      <c r="B74" s="28" t="s">
        <v>5101</v>
      </c>
      <c r="C74" s="28" t="s">
        <v>5288</v>
      </c>
      <c r="D74" s="28" t="s">
        <v>5289</v>
      </c>
      <c r="E74" s="28" t="s">
        <v>5289</v>
      </c>
      <c r="F74" s="28" t="s">
        <v>5247</v>
      </c>
      <c r="G74" s="28" t="s">
        <v>5248</v>
      </c>
      <c r="H74" s="28" t="s">
        <v>5249</v>
      </c>
      <c r="I74" s="28" t="s">
        <v>5250</v>
      </c>
      <c r="J74" s="28" t="s">
        <v>4158</v>
      </c>
    </row>
    <row r="75" spans="1:10" ht="125" customHeight="1" x14ac:dyDescent="0.2">
      <c r="A75" s="28" t="s">
        <v>5290</v>
      </c>
      <c r="B75" s="28" t="s">
        <v>5082</v>
      </c>
      <c r="C75" s="28" t="s">
        <v>5291</v>
      </c>
      <c r="D75" s="28" t="s">
        <v>5292</v>
      </c>
      <c r="E75" s="28" t="s">
        <v>5292</v>
      </c>
      <c r="F75" s="28" t="s">
        <v>5247</v>
      </c>
      <c r="G75" s="28" t="s">
        <v>5248</v>
      </c>
      <c r="H75" s="28" t="s">
        <v>5249</v>
      </c>
      <c r="I75" s="28" t="s">
        <v>5250</v>
      </c>
      <c r="J75" s="28" t="s">
        <v>4158</v>
      </c>
    </row>
    <row r="76" spans="1:10" ht="125" customHeight="1" x14ac:dyDescent="0.2">
      <c r="A76" s="28" t="s">
        <v>5293</v>
      </c>
      <c r="B76" s="28" t="s">
        <v>5108</v>
      </c>
      <c r="C76" s="28" t="s">
        <v>5294</v>
      </c>
      <c r="D76" s="28" t="s">
        <v>5295</v>
      </c>
      <c r="E76" s="28" t="s">
        <v>5295</v>
      </c>
      <c r="F76" s="28" t="s">
        <v>5247</v>
      </c>
      <c r="G76" s="28" t="s">
        <v>5248</v>
      </c>
      <c r="H76" s="28" t="s">
        <v>5249</v>
      </c>
      <c r="I76" s="28" t="s">
        <v>5250</v>
      </c>
      <c r="J76" s="28" t="s">
        <v>4158</v>
      </c>
    </row>
    <row r="77" spans="1:10" ht="125" customHeight="1" x14ac:dyDescent="0.2">
      <c r="A77" s="28" t="s">
        <v>5296</v>
      </c>
      <c r="B77" s="28" t="s">
        <v>5108</v>
      </c>
      <c r="C77" s="28" t="s">
        <v>5297</v>
      </c>
      <c r="D77" s="28" t="s">
        <v>5298</v>
      </c>
      <c r="E77" s="28" t="s">
        <v>5298</v>
      </c>
      <c r="F77" s="28" t="s">
        <v>5247</v>
      </c>
      <c r="G77" s="28" t="s">
        <v>5248</v>
      </c>
      <c r="H77" s="28" t="s">
        <v>5249</v>
      </c>
      <c r="I77" s="28" t="s">
        <v>5250</v>
      </c>
      <c r="J77" s="28" t="s">
        <v>4158</v>
      </c>
    </row>
    <row r="78" spans="1:10" ht="125" customHeight="1" x14ac:dyDescent="0.2">
      <c r="A78" s="28" t="s">
        <v>5299</v>
      </c>
      <c r="B78" s="28" t="s">
        <v>5115</v>
      </c>
      <c r="C78" s="28" t="s">
        <v>5300</v>
      </c>
      <c r="D78" s="28" t="s">
        <v>5301</v>
      </c>
      <c r="E78" s="28" t="s">
        <v>5301</v>
      </c>
      <c r="F78" s="28" t="s">
        <v>5247</v>
      </c>
      <c r="G78" s="28" t="s">
        <v>5248</v>
      </c>
      <c r="H78" s="28" t="s">
        <v>5249</v>
      </c>
      <c r="I78" s="28" t="s">
        <v>5250</v>
      </c>
      <c r="J78" s="28" t="s">
        <v>4158</v>
      </c>
    </row>
    <row r="79" spans="1:10" ht="125" customHeight="1" x14ac:dyDescent="0.2">
      <c r="A79" s="28" t="s">
        <v>5302</v>
      </c>
      <c r="B79" s="28" t="s">
        <v>5122</v>
      </c>
      <c r="C79" s="28" t="s">
        <v>5303</v>
      </c>
      <c r="D79" s="28" t="s">
        <v>5304</v>
      </c>
      <c r="E79" s="28" t="s">
        <v>5304</v>
      </c>
      <c r="F79" s="28" t="s">
        <v>5247</v>
      </c>
      <c r="G79" s="28" t="s">
        <v>5248</v>
      </c>
      <c r="H79" s="28" t="s">
        <v>5249</v>
      </c>
      <c r="I79" s="28" t="s">
        <v>5250</v>
      </c>
      <c r="J79" s="28" t="s">
        <v>4158</v>
      </c>
    </row>
    <row r="80" spans="1:10" ht="125" customHeight="1" x14ac:dyDescent="0.2">
      <c r="A80" s="28" t="s">
        <v>5305</v>
      </c>
      <c r="B80" s="28" t="s">
        <v>5122</v>
      </c>
      <c r="C80" s="28" t="s">
        <v>5306</v>
      </c>
      <c r="D80" s="28" t="s">
        <v>5307</v>
      </c>
      <c r="E80" s="28" t="s">
        <v>5307</v>
      </c>
      <c r="F80" s="28" t="s">
        <v>5247</v>
      </c>
      <c r="G80" s="28" t="s">
        <v>5248</v>
      </c>
      <c r="H80" s="28" t="s">
        <v>5249</v>
      </c>
      <c r="I80" s="28" t="s">
        <v>5250</v>
      </c>
      <c r="J80" s="28" t="s">
        <v>4158</v>
      </c>
    </row>
    <row r="81" spans="1:10" ht="125" customHeight="1" x14ac:dyDescent="0.2">
      <c r="A81" s="28" t="s">
        <v>5308</v>
      </c>
      <c r="B81" s="28" t="s">
        <v>5122</v>
      </c>
      <c r="C81" s="28" t="s">
        <v>5309</v>
      </c>
      <c r="D81" s="28" t="s">
        <v>5310</v>
      </c>
      <c r="E81" s="28" t="s">
        <v>5310</v>
      </c>
      <c r="F81" s="28" t="s">
        <v>5247</v>
      </c>
      <c r="G81" s="28" t="s">
        <v>5248</v>
      </c>
      <c r="H81" s="28" t="s">
        <v>5249</v>
      </c>
      <c r="I81" s="28" t="s">
        <v>5250</v>
      </c>
      <c r="J81" s="28" t="s">
        <v>4158</v>
      </c>
    </row>
    <row r="82" spans="1:10" ht="125" customHeight="1" x14ac:dyDescent="0.2">
      <c r="A82" s="28" t="s">
        <v>5311</v>
      </c>
      <c r="B82" s="28" t="s">
        <v>5122</v>
      </c>
      <c r="C82" s="28" t="s">
        <v>5312</v>
      </c>
      <c r="D82" s="28" t="s">
        <v>5304</v>
      </c>
      <c r="E82" s="28" t="s">
        <v>5304</v>
      </c>
      <c r="F82" s="28" t="s">
        <v>5247</v>
      </c>
      <c r="G82" s="28" t="s">
        <v>5248</v>
      </c>
      <c r="H82" s="28" t="s">
        <v>5249</v>
      </c>
      <c r="I82" s="28" t="s">
        <v>5250</v>
      </c>
      <c r="J82" s="28" t="s">
        <v>4158</v>
      </c>
    </row>
    <row r="83" spans="1:10" ht="125" customHeight="1" x14ac:dyDescent="0.2">
      <c r="A83" s="28" t="s">
        <v>5313</v>
      </c>
      <c r="B83" s="28" t="s">
        <v>5068</v>
      </c>
      <c r="C83" s="28" t="s">
        <v>5314</v>
      </c>
      <c r="D83" s="28" t="s">
        <v>5315</v>
      </c>
      <c r="E83" s="28" t="s">
        <v>5315</v>
      </c>
      <c r="F83" s="28" t="s">
        <v>5247</v>
      </c>
      <c r="G83" s="28" t="s">
        <v>5248</v>
      </c>
      <c r="H83" s="28" t="s">
        <v>5249</v>
      </c>
      <c r="I83" s="28" t="s">
        <v>5250</v>
      </c>
      <c r="J83" s="28" t="s">
        <v>4158</v>
      </c>
    </row>
    <row r="84" spans="1:10" ht="125" customHeight="1" x14ac:dyDescent="0.2">
      <c r="A84" s="28" t="s">
        <v>5316</v>
      </c>
      <c r="B84" s="28" t="s">
        <v>5129</v>
      </c>
      <c r="C84" s="28" t="s">
        <v>5317</v>
      </c>
      <c r="D84" s="28" t="s">
        <v>5318</v>
      </c>
      <c r="E84" s="28" t="s">
        <v>5318</v>
      </c>
      <c r="F84" s="28" t="s">
        <v>5247</v>
      </c>
      <c r="G84" s="28" t="s">
        <v>5248</v>
      </c>
      <c r="H84" s="28" t="s">
        <v>5249</v>
      </c>
      <c r="I84" s="28" t="s">
        <v>5250</v>
      </c>
      <c r="J84" s="28" t="s">
        <v>4158</v>
      </c>
    </row>
    <row r="85" spans="1:10" ht="125" customHeight="1" x14ac:dyDescent="0.2">
      <c r="A85" s="28" t="s">
        <v>5319</v>
      </c>
      <c r="B85" s="28" t="s">
        <v>5157</v>
      </c>
      <c r="C85" s="28" t="s">
        <v>5320</v>
      </c>
      <c r="D85" s="28" t="s">
        <v>5321</v>
      </c>
      <c r="E85" s="28" t="s">
        <v>5321</v>
      </c>
      <c r="F85" s="28" t="s">
        <v>5247</v>
      </c>
      <c r="G85" s="28" t="s">
        <v>5248</v>
      </c>
      <c r="H85" s="28" t="s">
        <v>5249</v>
      </c>
      <c r="I85" s="28" t="s">
        <v>5250</v>
      </c>
      <c r="J85" s="28" t="s">
        <v>4158</v>
      </c>
    </row>
    <row r="86" spans="1:10" ht="125" customHeight="1" x14ac:dyDescent="0.2">
      <c r="A86" s="28" t="s">
        <v>5322</v>
      </c>
      <c r="B86" s="28" t="s">
        <v>5136</v>
      </c>
      <c r="C86" s="28" t="s">
        <v>5323</v>
      </c>
      <c r="D86" s="28" t="s">
        <v>5324</v>
      </c>
      <c r="E86" s="28" t="s">
        <v>5324</v>
      </c>
      <c r="F86" s="28" t="s">
        <v>5247</v>
      </c>
      <c r="G86" s="28" t="s">
        <v>5248</v>
      </c>
      <c r="H86" s="28" t="s">
        <v>5249</v>
      </c>
      <c r="I86" s="28" t="s">
        <v>5250</v>
      </c>
      <c r="J86" s="28" t="s">
        <v>4158</v>
      </c>
    </row>
    <row r="87" spans="1:10" ht="125" customHeight="1" x14ac:dyDescent="0.2">
      <c r="A87" s="28" t="s">
        <v>5325</v>
      </c>
      <c r="B87" s="28" t="s">
        <v>5136</v>
      </c>
      <c r="C87" s="28" t="s">
        <v>5326</v>
      </c>
      <c r="D87" s="28" t="s">
        <v>5327</v>
      </c>
      <c r="E87" s="28" t="s">
        <v>5327</v>
      </c>
      <c r="F87" s="28" t="s">
        <v>5247</v>
      </c>
      <c r="G87" s="28" t="s">
        <v>5248</v>
      </c>
      <c r="H87" s="28" t="s">
        <v>5249</v>
      </c>
      <c r="I87" s="28" t="s">
        <v>5250</v>
      </c>
      <c r="J87" s="28" t="s">
        <v>4158</v>
      </c>
    </row>
    <row r="88" spans="1:10" ht="125" customHeight="1" x14ac:dyDescent="0.2">
      <c r="A88" s="28" t="s">
        <v>5328</v>
      </c>
      <c r="B88" s="28" t="s">
        <v>5136</v>
      </c>
      <c r="C88" s="28" t="s">
        <v>5329</v>
      </c>
      <c r="D88" s="28" t="s">
        <v>5330</v>
      </c>
      <c r="E88" s="28" t="s">
        <v>5330</v>
      </c>
      <c r="F88" s="28" t="s">
        <v>5247</v>
      </c>
      <c r="G88" s="28" t="s">
        <v>5248</v>
      </c>
      <c r="H88" s="28" t="s">
        <v>5249</v>
      </c>
      <c r="I88" s="28" t="s">
        <v>5250</v>
      </c>
      <c r="J88" s="28" t="s">
        <v>4158</v>
      </c>
    </row>
    <row r="89" spans="1:10" ht="125" customHeight="1" x14ac:dyDescent="0.2">
      <c r="A89" s="28" t="s">
        <v>5331</v>
      </c>
      <c r="B89" s="28" t="s">
        <v>5136</v>
      </c>
      <c r="C89" s="28" t="s">
        <v>5332</v>
      </c>
      <c r="D89" s="28" t="s">
        <v>5333</v>
      </c>
      <c r="E89" s="28" t="s">
        <v>5333</v>
      </c>
      <c r="F89" s="28" t="s">
        <v>5247</v>
      </c>
      <c r="G89" s="28" t="s">
        <v>5248</v>
      </c>
      <c r="H89" s="28" t="s">
        <v>5249</v>
      </c>
      <c r="I89" s="28" t="s">
        <v>5250</v>
      </c>
      <c r="J89" s="28" t="s">
        <v>4158</v>
      </c>
    </row>
    <row r="90" spans="1:10" ht="125" customHeight="1" x14ac:dyDescent="0.2">
      <c r="A90" s="28" t="s">
        <v>5334</v>
      </c>
      <c r="B90" s="28" t="s">
        <v>5136</v>
      </c>
      <c r="C90" s="28" t="s">
        <v>5335</v>
      </c>
      <c r="D90" s="28" t="s">
        <v>5336</v>
      </c>
      <c r="E90" s="28" t="s">
        <v>5336</v>
      </c>
      <c r="F90" s="28" t="s">
        <v>5247</v>
      </c>
      <c r="G90" s="28" t="s">
        <v>5248</v>
      </c>
      <c r="H90" s="28" t="s">
        <v>5249</v>
      </c>
      <c r="I90" s="28" t="s">
        <v>5250</v>
      </c>
      <c r="J90" s="28" t="s">
        <v>4158</v>
      </c>
    </row>
    <row r="91" spans="1:10" ht="125" customHeight="1" x14ac:dyDescent="0.2">
      <c r="A91" s="28" t="s">
        <v>5337</v>
      </c>
      <c r="B91" s="28" t="s">
        <v>5338</v>
      </c>
      <c r="C91" s="28" t="s">
        <v>5339</v>
      </c>
      <c r="D91" s="28" t="s">
        <v>5340</v>
      </c>
      <c r="E91" s="28" t="s">
        <v>5340</v>
      </c>
      <c r="F91" s="28" t="s">
        <v>5247</v>
      </c>
      <c r="G91" s="28" t="s">
        <v>5248</v>
      </c>
      <c r="H91" s="28" t="s">
        <v>5249</v>
      </c>
      <c r="I91" s="28" t="s">
        <v>5250</v>
      </c>
      <c r="J91" s="28" t="s">
        <v>4158</v>
      </c>
    </row>
    <row r="92" spans="1:10" ht="125" customHeight="1" x14ac:dyDescent="0.2">
      <c r="A92" s="28" t="s">
        <v>5341</v>
      </c>
      <c r="B92" s="28" t="s">
        <v>5039</v>
      </c>
      <c r="C92" s="28" t="s">
        <v>5342</v>
      </c>
      <c r="D92" s="28" t="s">
        <v>5343</v>
      </c>
      <c r="E92" s="28" t="s">
        <v>5343</v>
      </c>
      <c r="F92" s="28" t="s">
        <v>5247</v>
      </c>
      <c r="G92" s="28" t="s">
        <v>5248</v>
      </c>
      <c r="H92" s="28" t="s">
        <v>5249</v>
      </c>
      <c r="I92" s="28" t="s">
        <v>5250</v>
      </c>
      <c r="J92" s="28" t="s">
        <v>4158</v>
      </c>
    </row>
    <row r="93" spans="1:10" ht="125" customHeight="1" x14ac:dyDescent="0.2">
      <c r="A93" s="28" t="s">
        <v>5344</v>
      </c>
      <c r="B93" s="28" t="s">
        <v>5039</v>
      </c>
      <c r="C93" s="28" t="s">
        <v>5345</v>
      </c>
      <c r="D93" s="28" t="s">
        <v>5343</v>
      </c>
      <c r="E93" s="28" t="s">
        <v>5343</v>
      </c>
      <c r="F93" s="28" t="s">
        <v>5247</v>
      </c>
      <c r="G93" s="28" t="s">
        <v>5248</v>
      </c>
      <c r="H93" s="28" t="s">
        <v>5249</v>
      </c>
      <c r="I93" s="28" t="s">
        <v>5250</v>
      </c>
      <c r="J93" s="28" t="s">
        <v>4158</v>
      </c>
    </row>
    <row r="94" spans="1:10" ht="125" customHeight="1" x14ac:dyDescent="0.2">
      <c r="A94" s="28" t="s">
        <v>5346</v>
      </c>
      <c r="B94" s="28" t="s">
        <v>5347</v>
      </c>
      <c r="C94" s="28" t="s">
        <v>5348</v>
      </c>
      <c r="D94" s="28" t="s">
        <v>5349</v>
      </c>
      <c r="E94" s="28" t="s">
        <v>5349</v>
      </c>
      <c r="F94" s="28" t="s">
        <v>5247</v>
      </c>
      <c r="G94" s="28" t="s">
        <v>5248</v>
      </c>
      <c r="H94" s="28" t="s">
        <v>5249</v>
      </c>
      <c r="I94" s="28" t="s">
        <v>5250</v>
      </c>
      <c r="J94" s="28" t="s">
        <v>4158</v>
      </c>
    </row>
    <row r="95" spans="1:10" ht="125" customHeight="1" x14ac:dyDescent="0.2">
      <c r="A95" s="28" t="s">
        <v>5350</v>
      </c>
      <c r="B95" s="28" t="s">
        <v>5047</v>
      </c>
      <c r="C95" s="28" t="s">
        <v>5351</v>
      </c>
      <c r="D95" s="28" t="s">
        <v>5352</v>
      </c>
      <c r="E95" s="28" t="s">
        <v>5352</v>
      </c>
      <c r="F95" s="28" t="s">
        <v>5247</v>
      </c>
      <c r="G95" s="28" t="s">
        <v>5248</v>
      </c>
      <c r="H95" s="28" t="s">
        <v>5249</v>
      </c>
      <c r="I95" s="28" t="s">
        <v>5250</v>
      </c>
      <c r="J95" s="28" t="s">
        <v>4158</v>
      </c>
    </row>
    <row r="96" spans="1:10" ht="125" customHeight="1" x14ac:dyDescent="0.2">
      <c r="A96" s="28" t="s">
        <v>5353</v>
      </c>
      <c r="B96" s="28" t="s">
        <v>5047</v>
      </c>
      <c r="C96" s="28" t="s">
        <v>5354</v>
      </c>
      <c r="D96" s="28" t="s">
        <v>5355</v>
      </c>
      <c r="E96" s="28" t="s">
        <v>5355</v>
      </c>
      <c r="F96" s="28" t="s">
        <v>5247</v>
      </c>
      <c r="G96" s="28" t="s">
        <v>5248</v>
      </c>
      <c r="H96" s="28" t="s">
        <v>5249</v>
      </c>
      <c r="I96" s="28" t="s">
        <v>5250</v>
      </c>
      <c r="J96" s="28" t="s">
        <v>4158</v>
      </c>
    </row>
    <row r="97" spans="1:10" ht="125" customHeight="1" x14ac:dyDescent="0.2">
      <c r="A97" s="28" t="s">
        <v>5356</v>
      </c>
      <c r="B97" s="28" t="s">
        <v>5054</v>
      </c>
      <c r="C97" s="28" t="s">
        <v>5357</v>
      </c>
      <c r="D97" s="28" t="s">
        <v>5358</v>
      </c>
      <c r="E97" s="28" t="s">
        <v>5358</v>
      </c>
      <c r="F97" s="28" t="s">
        <v>5247</v>
      </c>
      <c r="G97" s="28" t="s">
        <v>5248</v>
      </c>
      <c r="H97" s="28" t="s">
        <v>5249</v>
      </c>
      <c r="I97" s="28" t="s">
        <v>5250</v>
      </c>
      <c r="J97" s="28" t="s">
        <v>4158</v>
      </c>
    </row>
    <row r="98" spans="1:10" ht="125" customHeight="1" x14ac:dyDescent="0.2">
      <c r="A98" s="28" t="s">
        <v>5359</v>
      </c>
      <c r="B98" s="28" t="s">
        <v>5061</v>
      </c>
      <c r="C98" s="28" t="s">
        <v>5360</v>
      </c>
      <c r="D98" s="28" t="s">
        <v>5361</v>
      </c>
      <c r="E98" s="28" t="s">
        <v>5361</v>
      </c>
      <c r="F98" s="28" t="s">
        <v>5247</v>
      </c>
      <c r="G98" s="28" t="s">
        <v>5248</v>
      </c>
      <c r="H98" s="28" t="s">
        <v>5249</v>
      </c>
      <c r="I98" s="28" t="s">
        <v>5250</v>
      </c>
      <c r="J98" s="28" t="s">
        <v>4158</v>
      </c>
    </row>
    <row r="99" spans="1:10" ht="125" customHeight="1" x14ac:dyDescent="0.2">
      <c r="A99" s="28" t="s">
        <v>5362</v>
      </c>
      <c r="B99" s="28" t="s">
        <v>5061</v>
      </c>
      <c r="C99" s="28" t="s">
        <v>5363</v>
      </c>
      <c r="D99" s="28" t="s">
        <v>5364</v>
      </c>
      <c r="E99" s="28" t="s">
        <v>5364</v>
      </c>
      <c r="F99" s="28" t="s">
        <v>5247</v>
      </c>
      <c r="G99" s="28" t="s">
        <v>5248</v>
      </c>
      <c r="H99" s="28" t="s">
        <v>5249</v>
      </c>
      <c r="I99" s="28" t="s">
        <v>5250</v>
      </c>
      <c r="J99" s="28" t="s">
        <v>4158</v>
      </c>
    </row>
    <row r="100" spans="1:10" ht="125" customHeight="1" x14ac:dyDescent="0.2">
      <c r="A100" s="28" t="s">
        <v>5365</v>
      </c>
      <c r="B100" s="28" t="s">
        <v>5157</v>
      </c>
      <c r="C100" s="28" t="s">
        <v>5366</v>
      </c>
      <c r="D100" s="28" t="s">
        <v>5367</v>
      </c>
      <c r="E100" s="28" t="s">
        <v>5367</v>
      </c>
      <c r="F100" s="28" t="s">
        <v>5247</v>
      </c>
      <c r="G100" s="28" t="s">
        <v>5248</v>
      </c>
      <c r="H100" s="28" t="s">
        <v>5249</v>
      </c>
      <c r="I100" s="28" t="s">
        <v>5250</v>
      </c>
      <c r="J100" s="28" t="s">
        <v>4158</v>
      </c>
    </row>
    <row r="101" spans="1:10" ht="125" customHeight="1" x14ac:dyDescent="0.2">
      <c r="A101" s="28" t="s">
        <v>5368</v>
      </c>
      <c r="B101" s="28" t="s">
        <v>5157</v>
      </c>
      <c r="C101" s="28" t="s">
        <v>5369</v>
      </c>
      <c r="D101" s="28" t="s">
        <v>5370</v>
      </c>
      <c r="E101" s="28" t="s">
        <v>5370</v>
      </c>
      <c r="F101" s="28" t="s">
        <v>5247</v>
      </c>
      <c r="G101" s="28" t="s">
        <v>5248</v>
      </c>
      <c r="H101" s="28" t="s">
        <v>5249</v>
      </c>
      <c r="I101" s="28" t="s">
        <v>5250</v>
      </c>
      <c r="J101" s="28" t="s">
        <v>4158</v>
      </c>
    </row>
    <row r="102" spans="1:10" ht="125" customHeight="1" x14ac:dyDescent="0.2">
      <c r="A102" s="28" t="s">
        <v>5371</v>
      </c>
      <c r="B102" s="28" t="s">
        <v>5178</v>
      </c>
      <c r="C102" s="28" t="s">
        <v>5372</v>
      </c>
      <c r="D102" s="28" t="s">
        <v>5373</v>
      </c>
      <c r="E102" s="28" t="s">
        <v>5373</v>
      </c>
      <c r="F102" s="28" t="s">
        <v>5247</v>
      </c>
      <c r="G102" s="28" t="s">
        <v>5248</v>
      </c>
      <c r="H102" s="28" t="s">
        <v>5249</v>
      </c>
      <c r="I102" s="28" t="s">
        <v>5250</v>
      </c>
      <c r="J102" s="28" t="s">
        <v>4158</v>
      </c>
    </row>
    <row r="103" spans="1:10" ht="125" customHeight="1" x14ac:dyDescent="0.2">
      <c r="A103" s="28" t="s">
        <v>5374</v>
      </c>
      <c r="B103" s="28" t="s">
        <v>5185</v>
      </c>
      <c r="C103" s="28" t="s">
        <v>5375</v>
      </c>
      <c r="D103" s="28" t="s">
        <v>5376</v>
      </c>
      <c r="E103" s="28" t="s">
        <v>5376</v>
      </c>
      <c r="F103" s="28" t="s">
        <v>5247</v>
      </c>
      <c r="G103" s="28" t="s">
        <v>5248</v>
      </c>
      <c r="H103" s="28" t="s">
        <v>5249</v>
      </c>
      <c r="I103" s="28" t="s">
        <v>5250</v>
      </c>
      <c r="J103" s="28" t="s">
        <v>4158</v>
      </c>
    </row>
    <row r="104" spans="1:10" ht="125" customHeight="1" x14ac:dyDescent="0.2">
      <c r="A104" s="28" t="s">
        <v>5377</v>
      </c>
      <c r="B104" s="28" t="s">
        <v>5185</v>
      </c>
      <c r="C104" s="28" t="s">
        <v>5378</v>
      </c>
      <c r="D104" s="28" t="s">
        <v>5379</v>
      </c>
      <c r="E104" s="28" t="s">
        <v>5379</v>
      </c>
      <c r="F104" s="28" t="s">
        <v>5247</v>
      </c>
      <c r="G104" s="28" t="s">
        <v>5248</v>
      </c>
      <c r="H104" s="28" t="s">
        <v>5249</v>
      </c>
      <c r="I104" s="28" t="s">
        <v>5250</v>
      </c>
      <c r="J104" s="28" t="s">
        <v>4158</v>
      </c>
    </row>
    <row r="105" spans="1:10" ht="125" customHeight="1" x14ac:dyDescent="0.2">
      <c r="A105" s="28" t="s">
        <v>5380</v>
      </c>
      <c r="B105" s="28" t="s">
        <v>5191</v>
      </c>
      <c r="C105" s="28" t="s">
        <v>5381</v>
      </c>
      <c r="D105" s="28" t="s">
        <v>5382</v>
      </c>
      <c r="E105" s="28" t="s">
        <v>5382</v>
      </c>
      <c r="F105" s="28" t="s">
        <v>5247</v>
      </c>
      <c r="G105" s="28" t="s">
        <v>5248</v>
      </c>
      <c r="H105" s="28" t="s">
        <v>5249</v>
      </c>
      <c r="I105" s="28" t="s">
        <v>5250</v>
      </c>
      <c r="J105" s="28" t="s">
        <v>4158</v>
      </c>
    </row>
    <row r="106" spans="1:10" ht="125" customHeight="1" x14ac:dyDescent="0.2">
      <c r="A106" s="28" t="s">
        <v>5383</v>
      </c>
      <c r="B106" s="28" t="s">
        <v>5191</v>
      </c>
      <c r="C106" s="28" t="s">
        <v>5384</v>
      </c>
      <c r="D106" s="28" t="s">
        <v>5385</v>
      </c>
      <c r="E106" s="28" t="s">
        <v>5385</v>
      </c>
      <c r="F106" s="28" t="s">
        <v>5247</v>
      </c>
      <c r="G106" s="28" t="s">
        <v>5248</v>
      </c>
      <c r="H106" s="28" t="s">
        <v>5249</v>
      </c>
      <c r="I106" s="28" t="s">
        <v>5250</v>
      </c>
      <c r="J106" s="28" t="s">
        <v>4158</v>
      </c>
    </row>
    <row r="107" spans="1:10" ht="125" customHeight="1" x14ac:dyDescent="0.2">
      <c r="A107" s="28" t="s">
        <v>5386</v>
      </c>
      <c r="B107" s="28" t="s">
        <v>5150</v>
      </c>
      <c r="C107" s="28" t="s">
        <v>5387</v>
      </c>
      <c r="D107" s="28" t="s">
        <v>5388</v>
      </c>
      <c r="E107" s="28" t="s">
        <v>5388</v>
      </c>
      <c r="F107" s="28" t="s">
        <v>5247</v>
      </c>
      <c r="G107" s="28" t="s">
        <v>5248</v>
      </c>
      <c r="H107" s="28" t="s">
        <v>5249</v>
      </c>
      <c r="I107" s="28" t="s">
        <v>5250</v>
      </c>
      <c r="J107" s="28" t="s">
        <v>4158</v>
      </c>
    </row>
    <row r="108" spans="1:10" ht="125" customHeight="1" x14ac:dyDescent="0.2">
      <c r="A108" s="28" t="s">
        <v>5389</v>
      </c>
      <c r="B108" s="28" t="s">
        <v>5150</v>
      </c>
      <c r="C108" s="28" t="s">
        <v>5390</v>
      </c>
      <c r="D108" s="28" t="s">
        <v>5391</v>
      </c>
      <c r="E108" s="28" t="s">
        <v>5391</v>
      </c>
      <c r="F108" s="28" t="s">
        <v>5247</v>
      </c>
      <c r="G108" s="28" t="s">
        <v>5248</v>
      </c>
      <c r="H108" s="28" t="s">
        <v>5249</v>
      </c>
      <c r="I108" s="28" t="s">
        <v>5250</v>
      </c>
      <c r="J108" s="28" t="s">
        <v>4158</v>
      </c>
    </row>
    <row r="109" spans="1:10" ht="125" customHeight="1" x14ac:dyDescent="0.2">
      <c r="A109" s="28" t="s">
        <v>5392</v>
      </c>
      <c r="B109" s="28" t="s">
        <v>5150</v>
      </c>
      <c r="C109" s="28" t="s">
        <v>5393</v>
      </c>
      <c r="D109" s="28" t="s">
        <v>5394</v>
      </c>
      <c r="E109" s="28" t="s">
        <v>5394</v>
      </c>
      <c r="F109" s="28" t="s">
        <v>5247</v>
      </c>
      <c r="G109" s="28" t="s">
        <v>5248</v>
      </c>
      <c r="H109" s="28" t="s">
        <v>5249</v>
      </c>
      <c r="I109" s="28" t="s">
        <v>5250</v>
      </c>
      <c r="J109" s="28" t="s">
        <v>4158</v>
      </c>
    </row>
    <row r="110" spans="1:10" ht="125" customHeight="1" x14ac:dyDescent="0.2">
      <c r="A110" s="28" t="s">
        <v>5395</v>
      </c>
      <c r="B110" s="28" t="s">
        <v>5150</v>
      </c>
      <c r="C110" s="28" t="s">
        <v>5396</v>
      </c>
      <c r="D110" s="28" t="s">
        <v>5397</v>
      </c>
      <c r="E110" s="28" t="s">
        <v>5397</v>
      </c>
      <c r="F110" s="28" t="s">
        <v>5247</v>
      </c>
      <c r="G110" s="28" t="s">
        <v>5248</v>
      </c>
      <c r="H110" s="28" t="s">
        <v>5249</v>
      </c>
      <c r="I110" s="28" t="s">
        <v>5250</v>
      </c>
      <c r="J110" s="28" t="s">
        <v>4158</v>
      </c>
    </row>
    <row r="111" spans="1:10" ht="125" customHeight="1" x14ac:dyDescent="0.2">
      <c r="A111" s="28" t="s">
        <v>5398</v>
      </c>
      <c r="B111" s="28" t="s">
        <v>5399</v>
      </c>
      <c r="C111" s="28" t="s">
        <v>5400</v>
      </c>
      <c r="D111" s="28" t="s">
        <v>5401</v>
      </c>
      <c r="E111" s="28" t="s">
        <v>5401</v>
      </c>
      <c r="F111" s="28" t="s">
        <v>5247</v>
      </c>
      <c r="G111" s="28" t="s">
        <v>5248</v>
      </c>
      <c r="H111" s="28" t="s">
        <v>5249</v>
      </c>
      <c r="I111" s="28" t="s">
        <v>5250</v>
      </c>
      <c r="J111" s="28" t="s">
        <v>4158</v>
      </c>
    </row>
    <row r="112" spans="1:10" ht="125" customHeight="1" x14ac:dyDescent="0.2">
      <c r="A112" s="28" t="s">
        <v>5402</v>
      </c>
      <c r="B112" s="28" t="s">
        <v>5136</v>
      </c>
      <c r="C112" s="28" t="s">
        <v>5403</v>
      </c>
      <c r="D112" s="28" t="s">
        <v>5404</v>
      </c>
      <c r="E112" s="28" t="s">
        <v>5404</v>
      </c>
      <c r="F112" s="28" t="s">
        <v>5247</v>
      </c>
      <c r="G112" s="28" t="s">
        <v>5248</v>
      </c>
      <c r="H112" s="28" t="s">
        <v>5249</v>
      </c>
      <c r="I112" s="28" t="s">
        <v>5250</v>
      </c>
      <c r="J112" s="28" t="s">
        <v>4158</v>
      </c>
    </row>
    <row r="113" spans="1:10" ht="125" customHeight="1" x14ac:dyDescent="0.2">
      <c r="A113" s="28" t="s">
        <v>5405</v>
      </c>
      <c r="B113" s="28" t="s">
        <v>5082</v>
      </c>
      <c r="C113" s="28" t="s">
        <v>5406</v>
      </c>
      <c r="D113" s="28" t="s">
        <v>5407</v>
      </c>
      <c r="E113" s="28" t="s">
        <v>5407</v>
      </c>
      <c r="F113" s="28" t="s">
        <v>5247</v>
      </c>
      <c r="G113" s="28" t="s">
        <v>5248</v>
      </c>
      <c r="H113" s="28" t="s">
        <v>5249</v>
      </c>
      <c r="I113" s="28" t="s">
        <v>5250</v>
      </c>
      <c r="J113" s="28" t="s">
        <v>4158</v>
      </c>
    </row>
    <row r="114" spans="1:10" ht="125" customHeight="1" x14ac:dyDescent="0.2">
      <c r="A114" s="28" t="s">
        <v>5408</v>
      </c>
      <c r="B114" s="28" t="s">
        <v>5171</v>
      </c>
      <c r="C114" s="28" t="s">
        <v>5409</v>
      </c>
      <c r="D114" s="28" t="s">
        <v>5410</v>
      </c>
      <c r="E114" s="28" t="s">
        <v>5410</v>
      </c>
      <c r="F114" s="28" t="s">
        <v>5247</v>
      </c>
      <c r="G114" s="28" t="s">
        <v>5248</v>
      </c>
      <c r="H114" s="28" t="s">
        <v>5249</v>
      </c>
      <c r="I114" s="28" t="s">
        <v>5250</v>
      </c>
      <c r="J114" s="28" t="s">
        <v>4158</v>
      </c>
    </row>
    <row r="115" spans="1:10" ht="125" customHeight="1" x14ac:dyDescent="0.2">
      <c r="A115" s="28" t="s">
        <v>5411</v>
      </c>
      <c r="B115" s="28" t="s">
        <v>5171</v>
      </c>
      <c r="C115" s="28" t="s">
        <v>5412</v>
      </c>
      <c r="D115" s="28" t="s">
        <v>5413</v>
      </c>
      <c r="E115" s="28" t="s">
        <v>5413</v>
      </c>
      <c r="F115" s="28" t="s">
        <v>5247</v>
      </c>
      <c r="G115" s="28" t="s">
        <v>5248</v>
      </c>
      <c r="H115" s="28" t="s">
        <v>5249</v>
      </c>
      <c r="I115" s="28" t="s">
        <v>5250</v>
      </c>
      <c r="J115" s="28" t="s">
        <v>4158</v>
      </c>
    </row>
    <row r="116" spans="1:10" ht="125" customHeight="1" x14ac:dyDescent="0.2">
      <c r="A116" s="28" t="s">
        <v>5414</v>
      </c>
      <c r="B116" s="28" t="s">
        <v>5136</v>
      </c>
      <c r="C116" s="28" t="s">
        <v>5415</v>
      </c>
      <c r="D116" s="28" t="s">
        <v>5416</v>
      </c>
      <c r="E116" s="28" t="s">
        <v>5416</v>
      </c>
      <c r="F116" s="28" t="s">
        <v>5247</v>
      </c>
      <c r="G116" s="28" t="s">
        <v>5248</v>
      </c>
      <c r="H116" s="28" t="s">
        <v>5249</v>
      </c>
      <c r="I116" s="28" t="s">
        <v>5250</v>
      </c>
      <c r="J116" s="28" t="s">
        <v>4158</v>
      </c>
    </row>
    <row r="117" spans="1:10" ht="110" customHeight="1" x14ac:dyDescent="0.2">
      <c r="A117" s="28" t="s">
        <v>5417</v>
      </c>
      <c r="B117" s="28" t="s">
        <v>5418</v>
      </c>
      <c r="C117" s="28" t="s">
        <v>5419</v>
      </c>
      <c r="D117" s="28" t="s">
        <v>5420</v>
      </c>
      <c r="E117" s="28" t="s">
        <v>5420</v>
      </c>
      <c r="F117" s="28" t="s">
        <v>5247</v>
      </c>
      <c r="G117" s="28" t="s">
        <v>5421</v>
      </c>
      <c r="H117" s="28" t="s">
        <v>5422</v>
      </c>
      <c r="I117" s="28" t="s">
        <v>5423</v>
      </c>
      <c r="J117" s="28" t="s">
        <v>4158</v>
      </c>
    </row>
    <row r="118" spans="1:10" ht="110" customHeight="1" x14ac:dyDescent="0.2">
      <c r="A118" s="28" t="s">
        <v>5424</v>
      </c>
      <c r="B118" s="28" t="s">
        <v>5418</v>
      </c>
      <c r="C118" s="28" t="s">
        <v>5425</v>
      </c>
      <c r="D118" s="28" t="s">
        <v>5426</v>
      </c>
      <c r="E118" s="28" t="s">
        <v>5426</v>
      </c>
      <c r="F118" s="28" t="s">
        <v>5247</v>
      </c>
      <c r="G118" s="28" t="s">
        <v>5421</v>
      </c>
      <c r="H118" s="28" t="s">
        <v>5422</v>
      </c>
      <c r="I118" s="28" t="s">
        <v>5423</v>
      </c>
      <c r="J118" s="28" t="s">
        <v>4158</v>
      </c>
    </row>
    <row r="119" spans="1:10" ht="110" customHeight="1" x14ac:dyDescent="0.2">
      <c r="A119" s="28" t="s">
        <v>5427</v>
      </c>
      <c r="B119" s="28" t="s">
        <v>5418</v>
      </c>
      <c r="C119" s="28" t="s">
        <v>5428</v>
      </c>
      <c r="D119" s="28" t="s">
        <v>5429</v>
      </c>
      <c r="E119" s="28" t="s">
        <v>5429</v>
      </c>
      <c r="F119" s="28" t="s">
        <v>5247</v>
      </c>
      <c r="G119" s="28" t="s">
        <v>5421</v>
      </c>
      <c r="H119" s="28" t="s">
        <v>5422</v>
      </c>
      <c r="I119" s="28" t="s">
        <v>5423</v>
      </c>
      <c r="J119" s="28" t="s">
        <v>4158</v>
      </c>
    </row>
    <row r="120" spans="1:10" ht="110" customHeight="1" x14ac:dyDescent="0.2">
      <c r="A120" s="28" t="s">
        <v>5430</v>
      </c>
      <c r="B120" s="28" t="s">
        <v>5418</v>
      </c>
      <c r="C120" s="28" t="s">
        <v>5431</v>
      </c>
      <c r="D120" s="28" t="s">
        <v>5429</v>
      </c>
      <c r="E120" s="28" t="s">
        <v>5429</v>
      </c>
      <c r="F120" s="28" t="s">
        <v>5247</v>
      </c>
      <c r="G120" s="28" t="s">
        <v>5421</v>
      </c>
      <c r="H120" s="28" t="s">
        <v>5422</v>
      </c>
      <c r="I120" s="28" t="s">
        <v>5423</v>
      </c>
      <c r="J120" s="28" t="s">
        <v>4158</v>
      </c>
    </row>
    <row r="121" spans="1:10" ht="110" customHeight="1" x14ac:dyDescent="0.2">
      <c r="A121" s="28" t="s">
        <v>5432</v>
      </c>
      <c r="B121" s="28" t="s">
        <v>5418</v>
      </c>
      <c r="C121" s="28" t="s">
        <v>5433</v>
      </c>
      <c r="D121" s="28" t="s">
        <v>5429</v>
      </c>
      <c r="E121" s="28" t="s">
        <v>5429</v>
      </c>
      <c r="F121" s="28" t="s">
        <v>5247</v>
      </c>
      <c r="G121" s="28" t="s">
        <v>5421</v>
      </c>
      <c r="H121" s="28" t="s">
        <v>5422</v>
      </c>
      <c r="I121" s="28" t="s">
        <v>5423</v>
      </c>
      <c r="J121" s="28" t="s">
        <v>4158</v>
      </c>
    </row>
    <row r="122" spans="1:10" ht="110" customHeight="1" x14ac:dyDescent="0.2">
      <c r="A122" s="28" t="s">
        <v>5434</v>
      </c>
      <c r="B122" s="28" t="s">
        <v>5418</v>
      </c>
      <c r="C122" s="28" t="s">
        <v>5435</v>
      </c>
      <c r="D122" s="28" t="s">
        <v>5429</v>
      </c>
      <c r="E122" s="28" t="s">
        <v>5429</v>
      </c>
      <c r="F122" s="28" t="s">
        <v>5247</v>
      </c>
      <c r="G122" s="28" t="s">
        <v>5421</v>
      </c>
      <c r="H122" s="28" t="s">
        <v>5422</v>
      </c>
      <c r="I122" s="28" t="s">
        <v>5423</v>
      </c>
      <c r="J122" s="28" t="s">
        <v>4158</v>
      </c>
    </row>
    <row r="123" spans="1:10" ht="110" customHeight="1" x14ac:dyDescent="0.2">
      <c r="A123" s="28" t="s">
        <v>5436</v>
      </c>
      <c r="B123" s="28" t="s">
        <v>5418</v>
      </c>
      <c r="C123" s="28" t="s">
        <v>5437</v>
      </c>
      <c r="D123" s="28" t="s">
        <v>5429</v>
      </c>
      <c r="E123" s="28" t="s">
        <v>5429</v>
      </c>
      <c r="F123" s="28" t="s">
        <v>5247</v>
      </c>
      <c r="G123" s="28" t="s">
        <v>5421</v>
      </c>
      <c r="H123" s="28" t="s">
        <v>5422</v>
      </c>
      <c r="I123" s="28" t="s">
        <v>5423</v>
      </c>
      <c r="J123" s="28" t="s">
        <v>4158</v>
      </c>
    </row>
    <row r="124" spans="1:10" ht="110" customHeight="1" x14ac:dyDescent="0.2">
      <c r="A124" s="28" t="s">
        <v>5438</v>
      </c>
      <c r="B124" s="28" t="s">
        <v>5418</v>
      </c>
      <c r="C124" s="28" t="s">
        <v>5439</v>
      </c>
      <c r="D124" s="28" t="s">
        <v>5440</v>
      </c>
      <c r="E124" s="28" t="s">
        <v>5440</v>
      </c>
      <c r="F124" s="28" t="s">
        <v>5247</v>
      </c>
      <c r="G124" s="28" t="s">
        <v>5421</v>
      </c>
      <c r="H124" s="28" t="s">
        <v>5422</v>
      </c>
      <c r="I124" s="28" t="s">
        <v>5423</v>
      </c>
      <c r="J124" s="28" t="s">
        <v>4158</v>
      </c>
    </row>
    <row r="125" spans="1:10" ht="110" customHeight="1" x14ac:dyDescent="0.2">
      <c r="A125" s="28" t="s">
        <v>5441</v>
      </c>
      <c r="B125" s="28" t="s">
        <v>5418</v>
      </c>
      <c r="C125" s="28" t="s">
        <v>5442</v>
      </c>
      <c r="D125" s="28" t="s">
        <v>5440</v>
      </c>
      <c r="E125" s="28" t="s">
        <v>5440</v>
      </c>
      <c r="F125" s="28" t="s">
        <v>5247</v>
      </c>
      <c r="G125" s="28" t="s">
        <v>5421</v>
      </c>
      <c r="H125" s="28" t="s">
        <v>5422</v>
      </c>
      <c r="I125" s="28" t="s">
        <v>5423</v>
      </c>
      <c r="J125" s="28" t="s">
        <v>4158</v>
      </c>
    </row>
    <row r="126" spans="1:10" ht="110" customHeight="1" x14ac:dyDescent="0.2">
      <c r="A126" s="28" t="s">
        <v>5443</v>
      </c>
      <c r="B126" s="28" t="s">
        <v>5418</v>
      </c>
      <c r="C126" s="28" t="s">
        <v>5444</v>
      </c>
      <c r="D126" s="28" t="s">
        <v>5440</v>
      </c>
      <c r="E126" s="28" t="s">
        <v>5440</v>
      </c>
      <c r="F126" s="28" t="s">
        <v>5247</v>
      </c>
      <c r="G126" s="28" t="s">
        <v>5421</v>
      </c>
      <c r="H126" s="28" t="s">
        <v>5422</v>
      </c>
      <c r="I126" s="28" t="s">
        <v>5423</v>
      </c>
      <c r="J126" s="28" t="s">
        <v>4158</v>
      </c>
    </row>
    <row r="127" spans="1:10" ht="110" customHeight="1" x14ac:dyDescent="0.2">
      <c r="A127" s="28" t="s">
        <v>5445</v>
      </c>
      <c r="B127" s="28" t="s">
        <v>5418</v>
      </c>
      <c r="C127" s="28" t="s">
        <v>5446</v>
      </c>
      <c r="D127" s="28" t="s">
        <v>5429</v>
      </c>
      <c r="E127" s="28" t="s">
        <v>5429</v>
      </c>
      <c r="F127" s="28" t="s">
        <v>5247</v>
      </c>
      <c r="G127" s="28" t="s">
        <v>5421</v>
      </c>
      <c r="H127" s="28" t="s">
        <v>5422</v>
      </c>
      <c r="I127" s="28" t="s">
        <v>5423</v>
      </c>
      <c r="J127" s="28" t="s">
        <v>4158</v>
      </c>
    </row>
    <row r="128" spans="1:10" ht="110" customHeight="1" x14ac:dyDescent="0.2">
      <c r="A128" s="28" t="s">
        <v>5447</v>
      </c>
      <c r="B128" s="28" t="s">
        <v>5418</v>
      </c>
      <c r="C128" s="28" t="s">
        <v>5448</v>
      </c>
      <c r="D128" s="28" t="s">
        <v>5429</v>
      </c>
      <c r="E128" s="28" t="s">
        <v>5429</v>
      </c>
      <c r="F128" s="28" t="s">
        <v>5247</v>
      </c>
      <c r="G128" s="28" t="s">
        <v>5421</v>
      </c>
      <c r="H128" s="28" t="s">
        <v>5422</v>
      </c>
      <c r="I128" s="28" t="s">
        <v>5423</v>
      </c>
      <c r="J128" s="28" t="s">
        <v>4158</v>
      </c>
    </row>
  </sheetData>
  <autoFilter ref="A3:J30" xr:uid="{00000000-0009-0000-0000-000021000000}"/>
  <mergeCells count="10">
    <mergeCell ref="D38:F38"/>
    <mergeCell ref="A53:J54"/>
    <mergeCell ref="A2:I2"/>
    <mergeCell ref="A1:G1"/>
    <mergeCell ref="D37:F37"/>
    <mergeCell ref="D41:F41"/>
    <mergeCell ref="D40:F40"/>
    <mergeCell ref="D35:F35"/>
    <mergeCell ref="D36:F36"/>
    <mergeCell ref="D39:F39"/>
  </mergeCells>
  <phoneticPr fontId="12"/>
  <pageMargins left="0.75" right="0.75" top="1" bottom="1" header="0.5" footer="0.5"/>
  <pageSetup paperSize="8" fitToHeight="0"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4B5E"/>
    <outlinePr summaryRight="0"/>
    <pageSetUpPr fitToPage="1"/>
  </sheetPr>
  <dimension ref="A1:U98"/>
  <sheetViews>
    <sheetView showGridLines="0" zoomScale="80" workbookViewId="0">
      <pane xSplit="3" ySplit="3" topLeftCell="D4" activePane="bottomRight" state="frozen"/>
      <selection pane="topRight"/>
      <selection pane="bottomLeft"/>
      <selection pane="bottomRight"/>
    </sheetView>
  </sheetViews>
  <sheetFormatPr defaultRowHeight="13" x14ac:dyDescent="0.2"/>
  <cols>
    <col min="1" max="8" width="22" customWidth="1"/>
    <col min="9" max="10" width="23" customWidth="1"/>
    <col min="11" max="12" width="34" customWidth="1"/>
    <col min="13" max="15" width="23" customWidth="1"/>
    <col min="16" max="16" width="34" customWidth="1"/>
    <col min="17" max="21" width="23" customWidth="1"/>
  </cols>
  <sheetData>
    <row r="1" spans="1:21" ht="36" customHeight="1" x14ac:dyDescent="0.55000000000000004">
      <c r="A1" s="44" t="s">
        <v>5449</v>
      </c>
      <c r="B1" s="45"/>
      <c r="C1" s="45"/>
      <c r="D1" s="45"/>
      <c r="E1" s="45"/>
      <c r="F1" s="45"/>
      <c r="G1" s="45"/>
    </row>
    <row r="2" spans="1:21" ht="42" customHeight="1" x14ac:dyDescent="0.2">
      <c r="A2" s="47" t="s">
        <v>5450</v>
      </c>
      <c r="B2" s="45"/>
      <c r="C2" s="45"/>
      <c r="D2" s="45"/>
      <c r="E2" s="45"/>
      <c r="F2" s="45"/>
      <c r="G2" s="45"/>
      <c r="H2" s="45"/>
      <c r="I2" s="45"/>
    </row>
    <row r="3" spans="1:21" ht="42" customHeight="1" x14ac:dyDescent="0.2">
      <c r="A3" s="1" t="s">
        <v>5451</v>
      </c>
      <c r="B3" s="1" t="s">
        <v>2894</v>
      </c>
      <c r="C3" s="1" t="s">
        <v>5452</v>
      </c>
      <c r="D3" s="1" t="s">
        <v>3618</v>
      </c>
      <c r="E3" s="1" t="s">
        <v>5453</v>
      </c>
      <c r="F3" s="1" t="s">
        <v>3570</v>
      </c>
      <c r="G3" s="1" t="s">
        <v>4909</v>
      </c>
      <c r="H3" s="1" t="s">
        <v>5454</v>
      </c>
      <c r="I3" s="1" t="s">
        <v>5455</v>
      </c>
      <c r="J3" s="1" t="s">
        <v>5456</v>
      </c>
      <c r="K3" s="1" t="s">
        <v>5457</v>
      </c>
      <c r="L3" s="1" t="s">
        <v>3585</v>
      </c>
      <c r="M3" s="1" t="s">
        <v>4913</v>
      </c>
      <c r="N3" s="1" t="s">
        <v>3422</v>
      </c>
      <c r="O3" s="1" t="s">
        <v>3111</v>
      </c>
      <c r="P3" s="1" t="s">
        <v>5458</v>
      </c>
      <c r="Q3" s="1" t="s">
        <v>5459</v>
      </c>
      <c r="R3" s="1" t="s">
        <v>5460</v>
      </c>
      <c r="S3" s="1" t="s">
        <v>5461</v>
      </c>
      <c r="T3" s="1" t="s">
        <v>5462</v>
      </c>
      <c r="U3" s="1" t="s">
        <v>5463</v>
      </c>
    </row>
    <row r="4" spans="1:21" ht="64" customHeight="1" x14ac:dyDescent="0.2">
      <c r="A4" s="29"/>
      <c r="B4" s="29"/>
      <c r="C4" s="28" t="str">
        <f>IF(A4="","",IF(COUNTIF('02_工程タスク'!$A$4:$A$135,B4)&lt;&gt;1,"参照ID不正",IF(INDEX('02_工程タスク'!$D$4:$D$135,MATCH(B4,'02_工程タスク'!$A$4:$A$135,0))="","",INDEX('02_工程タスク'!$D$4:$D$135,MATCH(B4,'02_工程タスク'!$A$4:$A$135,0)))))</f>
        <v/>
      </c>
      <c r="D4" s="29"/>
      <c r="E4" s="29"/>
      <c r="F4" s="29"/>
      <c r="G4" s="29"/>
      <c r="H4" s="34"/>
      <c r="I4" s="34"/>
      <c r="J4" s="34"/>
      <c r="K4" s="29"/>
      <c r="L4" s="29"/>
      <c r="M4" s="29"/>
      <c r="N4" s="34"/>
      <c r="O4" s="29"/>
      <c r="P4" s="28" t="str">
        <f>IF(A4="","",IF(COUNTIF($A$4:$A$63,A4)&lt;&gt;1,"TaskRun ID重複",IF(COUNTIF(TaskIDs,B4)&lt;&gt;1,"Task ID不正",IF(OR(D4="",G4="",K4=""),"Run起票不足",IF(AND(D4="事故",OR(E4="",U4="")),"事故・レビュー参照不足",IF(AND(D4="早期Stop",OR(E4="",IFERROR(IF(COUNTIF('29_ゲート承認記録'!$F$4:$F$83,E4)&lt;&gt;1,"参照ID不正",IF(INDEX('29_ゲート承認記録'!$L$4:$L$83,MATCH(E4,'29_ゲート承認記録'!$F$4:$F$83,0))="","",INDEX('29_ゲート承認記録'!$L$4:$L$83,MATCH(E4,'29_ゲート承認記録'!$F$4:$F$83,0))))&lt;&gt;"Stop",TRUE))),"Stop判断参照不足",IF(OR(AND(I4&lt;&gt;"",OR(NOT(ISNUMBER(I4)),IFERROR(I4&lt;1,TRUE),IFERROR(INT(I4)&gt;INT(AsOfDate),TRUE))),AND(N4&lt;&gt;"",OR(NOT(ISNUMBER(N4)),IFERROR(N4&lt;1,TRUE),IFERROR(INT(N4)&gt;INT(AsOfDate),TRUE)))),"Run実績日不正",IF(O4&lt;&gt;"完了","Run進行中",IF(OR(F4="",L4="",M4="",COUNT(I4,N4)&lt;2),"Run完了証拠不足",IF(N4&lt;I4,"確認日逆転",IF(AND(D4="定期",NOT(ISNUMBER(J4))),"次回期限不足","Run記録あり・内容審査別")))))))))))</f>
        <v/>
      </c>
      <c r="Q4" s="29"/>
      <c r="R4" s="34"/>
      <c r="S4" s="29"/>
      <c r="T4" s="29"/>
      <c r="U4" s="29"/>
    </row>
    <row r="5" spans="1:21" ht="64" customHeight="1" x14ac:dyDescent="0.2">
      <c r="A5" s="29"/>
      <c r="B5" s="29"/>
      <c r="C5" s="28" t="str">
        <f>IF(A5="","",IF(COUNTIF('02_工程タスク'!$A$4:$A$135,B5)&lt;&gt;1,"参照ID不正",IF(INDEX('02_工程タスク'!$D$4:$D$135,MATCH(B5,'02_工程タスク'!$A$4:$A$135,0))="","",INDEX('02_工程タスク'!$D$4:$D$135,MATCH(B5,'02_工程タスク'!$A$4:$A$135,0)))))</f>
        <v/>
      </c>
      <c r="D5" s="29"/>
      <c r="E5" s="29"/>
      <c r="F5" s="29"/>
      <c r="G5" s="29"/>
      <c r="H5" s="34"/>
      <c r="I5" s="34"/>
      <c r="J5" s="34"/>
      <c r="K5" s="29"/>
      <c r="L5" s="29"/>
      <c r="M5" s="29"/>
      <c r="N5" s="34"/>
      <c r="O5" s="29"/>
      <c r="P5" s="28" t="str">
        <f>IF(A5="","",IF(COUNTIF($A$4:$A$63,A5)&lt;&gt;1,"TaskRun ID重複",IF(COUNTIF(TaskIDs,B5)&lt;&gt;1,"Task ID不正",IF(OR(D5="",G5="",K5=""),"Run起票不足",IF(AND(D5="事故",OR(E5="",U5="")),"事故・レビュー参照不足",IF(AND(D5="早期Stop",OR(E5="",IFERROR(IF(COUNTIF('29_ゲート承認記録'!$F$4:$F$83,E5)&lt;&gt;1,"参照ID不正",IF(INDEX('29_ゲート承認記録'!$L$4:$L$83,MATCH(E5,'29_ゲート承認記録'!$F$4:$F$83,0))="","",INDEX('29_ゲート承認記録'!$L$4:$L$83,MATCH(E5,'29_ゲート承認記録'!$F$4:$F$83,0))))&lt;&gt;"Stop",TRUE))),"Stop判断参照不足",IF(OR(AND(I5&lt;&gt;"",OR(NOT(ISNUMBER(I5)),IFERROR(I5&lt;1,TRUE),IFERROR(INT(I5)&gt;INT(AsOfDate),TRUE))),AND(N5&lt;&gt;"",OR(NOT(ISNUMBER(N5)),IFERROR(N5&lt;1,TRUE),IFERROR(INT(N5)&gt;INT(AsOfDate),TRUE)))),"Run実績日不正",IF(O5&lt;&gt;"完了","Run進行中",IF(OR(F5="",L5="",M5="",COUNT(I5,N5)&lt;2),"Run完了証拠不足",IF(N5&lt;I5,"確認日逆転",IF(AND(D5="定期",NOT(ISNUMBER(J5))),"次回期限不足","Run記録あり・内容審査別")))))))))))</f>
        <v/>
      </c>
      <c r="Q5" s="29"/>
      <c r="R5" s="34"/>
      <c r="S5" s="29"/>
      <c r="T5" s="29"/>
      <c r="U5" s="29"/>
    </row>
    <row r="6" spans="1:21" ht="64" customHeight="1" x14ac:dyDescent="0.2">
      <c r="A6" s="29"/>
      <c r="B6" s="29"/>
      <c r="C6" s="28" t="str">
        <f>IF(A6="","",IF(COUNTIF('02_工程タスク'!$A$4:$A$135,B6)&lt;&gt;1,"参照ID不正",IF(INDEX('02_工程タスク'!$D$4:$D$135,MATCH(B6,'02_工程タスク'!$A$4:$A$135,0))="","",INDEX('02_工程タスク'!$D$4:$D$135,MATCH(B6,'02_工程タスク'!$A$4:$A$135,0)))))</f>
        <v/>
      </c>
      <c r="D6" s="29"/>
      <c r="E6" s="29"/>
      <c r="F6" s="29"/>
      <c r="G6" s="29"/>
      <c r="H6" s="34"/>
      <c r="I6" s="34"/>
      <c r="J6" s="34"/>
      <c r="K6" s="29"/>
      <c r="L6" s="29"/>
      <c r="M6" s="29"/>
      <c r="N6" s="34"/>
      <c r="O6" s="29"/>
      <c r="P6" s="28" t="str">
        <f>IF(A6="","",IF(COUNTIF($A$4:$A$63,A6)&lt;&gt;1,"TaskRun ID重複",IF(COUNTIF(TaskIDs,B6)&lt;&gt;1,"Task ID不正",IF(OR(D6="",G6="",K6=""),"Run起票不足",IF(AND(D6="事故",OR(E6="",U6="")),"事故・レビュー参照不足",IF(AND(D6="早期Stop",OR(E6="",IFERROR(IF(COUNTIF('29_ゲート承認記録'!$F$4:$F$83,E6)&lt;&gt;1,"参照ID不正",IF(INDEX('29_ゲート承認記録'!$L$4:$L$83,MATCH(E6,'29_ゲート承認記録'!$F$4:$F$83,0))="","",INDEX('29_ゲート承認記録'!$L$4:$L$83,MATCH(E6,'29_ゲート承認記録'!$F$4:$F$83,0))))&lt;&gt;"Stop",TRUE))),"Stop判断参照不足",IF(OR(AND(I6&lt;&gt;"",OR(NOT(ISNUMBER(I6)),IFERROR(I6&lt;1,TRUE),IFERROR(INT(I6)&gt;INT(AsOfDate),TRUE))),AND(N6&lt;&gt;"",OR(NOT(ISNUMBER(N6)),IFERROR(N6&lt;1,TRUE),IFERROR(INT(N6)&gt;INT(AsOfDate),TRUE)))),"Run実績日不正",IF(O6&lt;&gt;"完了","Run進行中",IF(OR(F6="",L6="",M6="",COUNT(I6,N6)&lt;2),"Run完了証拠不足",IF(N6&lt;I6,"確認日逆転",IF(AND(D6="定期",NOT(ISNUMBER(J6))),"次回期限不足","Run記録あり・内容審査別")))))))))))</f>
        <v/>
      </c>
      <c r="Q6" s="29"/>
      <c r="R6" s="34"/>
      <c r="S6" s="29"/>
      <c r="T6" s="29"/>
      <c r="U6" s="29"/>
    </row>
    <row r="7" spans="1:21" ht="64" customHeight="1" x14ac:dyDescent="0.2">
      <c r="A7" s="29"/>
      <c r="B7" s="29"/>
      <c r="C7" s="28" t="str">
        <f>IF(A7="","",IF(COUNTIF('02_工程タスク'!$A$4:$A$135,B7)&lt;&gt;1,"参照ID不正",IF(INDEX('02_工程タスク'!$D$4:$D$135,MATCH(B7,'02_工程タスク'!$A$4:$A$135,0))="","",INDEX('02_工程タスク'!$D$4:$D$135,MATCH(B7,'02_工程タスク'!$A$4:$A$135,0)))))</f>
        <v/>
      </c>
      <c r="D7" s="29"/>
      <c r="E7" s="29"/>
      <c r="F7" s="29"/>
      <c r="G7" s="29"/>
      <c r="H7" s="34"/>
      <c r="I7" s="34"/>
      <c r="J7" s="34"/>
      <c r="K7" s="29"/>
      <c r="L7" s="29"/>
      <c r="M7" s="29"/>
      <c r="N7" s="34"/>
      <c r="O7" s="29"/>
      <c r="P7" s="28" t="str">
        <f>IF(A7="","",IF(COUNTIF($A$4:$A$63,A7)&lt;&gt;1,"TaskRun ID重複",IF(COUNTIF(TaskIDs,B7)&lt;&gt;1,"Task ID不正",IF(OR(D7="",G7="",K7=""),"Run起票不足",IF(AND(D7="事故",OR(E7="",U7="")),"事故・レビュー参照不足",IF(AND(D7="早期Stop",OR(E7="",IFERROR(IF(COUNTIF('29_ゲート承認記録'!$F$4:$F$83,E7)&lt;&gt;1,"参照ID不正",IF(INDEX('29_ゲート承認記録'!$L$4:$L$83,MATCH(E7,'29_ゲート承認記録'!$F$4:$F$83,0))="","",INDEX('29_ゲート承認記録'!$L$4:$L$83,MATCH(E7,'29_ゲート承認記録'!$F$4:$F$83,0))))&lt;&gt;"Stop",TRUE))),"Stop判断参照不足",IF(OR(AND(I7&lt;&gt;"",OR(NOT(ISNUMBER(I7)),IFERROR(I7&lt;1,TRUE),IFERROR(INT(I7)&gt;INT(AsOfDate),TRUE))),AND(N7&lt;&gt;"",OR(NOT(ISNUMBER(N7)),IFERROR(N7&lt;1,TRUE),IFERROR(INT(N7)&gt;INT(AsOfDate),TRUE)))),"Run実績日不正",IF(O7&lt;&gt;"完了","Run進行中",IF(OR(F7="",L7="",M7="",COUNT(I7,N7)&lt;2),"Run完了証拠不足",IF(N7&lt;I7,"確認日逆転",IF(AND(D7="定期",NOT(ISNUMBER(J7))),"次回期限不足","Run記録あり・内容審査別")))))))))))</f>
        <v/>
      </c>
      <c r="Q7" s="29"/>
      <c r="R7" s="34"/>
      <c r="S7" s="29"/>
      <c r="T7" s="29"/>
      <c r="U7" s="29"/>
    </row>
    <row r="8" spans="1:21" ht="64" customHeight="1" x14ac:dyDescent="0.2">
      <c r="A8" s="29"/>
      <c r="B8" s="29"/>
      <c r="C8" s="28" t="str">
        <f>IF(A8="","",IF(COUNTIF('02_工程タスク'!$A$4:$A$135,B8)&lt;&gt;1,"参照ID不正",IF(INDEX('02_工程タスク'!$D$4:$D$135,MATCH(B8,'02_工程タスク'!$A$4:$A$135,0))="","",INDEX('02_工程タスク'!$D$4:$D$135,MATCH(B8,'02_工程タスク'!$A$4:$A$135,0)))))</f>
        <v/>
      </c>
      <c r="D8" s="29"/>
      <c r="E8" s="29"/>
      <c r="F8" s="29"/>
      <c r="G8" s="29"/>
      <c r="H8" s="34"/>
      <c r="I8" s="34"/>
      <c r="J8" s="34"/>
      <c r="K8" s="29"/>
      <c r="L8" s="29"/>
      <c r="M8" s="29"/>
      <c r="N8" s="34"/>
      <c r="O8" s="29"/>
      <c r="P8" s="28" t="str">
        <f>IF(A8="","",IF(COUNTIF($A$4:$A$63,A8)&lt;&gt;1,"TaskRun ID重複",IF(COUNTIF(TaskIDs,B8)&lt;&gt;1,"Task ID不正",IF(OR(D8="",G8="",K8=""),"Run起票不足",IF(AND(D8="事故",OR(E8="",U8="")),"事故・レビュー参照不足",IF(AND(D8="早期Stop",OR(E8="",IFERROR(IF(COUNTIF('29_ゲート承認記録'!$F$4:$F$83,E8)&lt;&gt;1,"参照ID不正",IF(INDEX('29_ゲート承認記録'!$L$4:$L$83,MATCH(E8,'29_ゲート承認記録'!$F$4:$F$83,0))="","",INDEX('29_ゲート承認記録'!$L$4:$L$83,MATCH(E8,'29_ゲート承認記録'!$F$4:$F$83,0))))&lt;&gt;"Stop",TRUE))),"Stop判断参照不足",IF(OR(AND(I8&lt;&gt;"",OR(NOT(ISNUMBER(I8)),IFERROR(I8&lt;1,TRUE),IFERROR(INT(I8)&gt;INT(AsOfDate),TRUE))),AND(N8&lt;&gt;"",OR(NOT(ISNUMBER(N8)),IFERROR(N8&lt;1,TRUE),IFERROR(INT(N8)&gt;INT(AsOfDate),TRUE)))),"Run実績日不正",IF(O8&lt;&gt;"完了","Run進行中",IF(OR(F8="",L8="",M8="",COUNT(I8,N8)&lt;2),"Run完了証拠不足",IF(N8&lt;I8,"確認日逆転",IF(AND(D8="定期",NOT(ISNUMBER(J8))),"次回期限不足","Run記録あり・内容審査別")))))))))))</f>
        <v/>
      </c>
      <c r="Q8" s="29"/>
      <c r="R8" s="34"/>
      <c r="S8" s="29"/>
      <c r="T8" s="29"/>
      <c r="U8" s="29"/>
    </row>
    <row r="9" spans="1:21" ht="64" customHeight="1" x14ac:dyDescent="0.2">
      <c r="A9" s="29"/>
      <c r="B9" s="29"/>
      <c r="C9" s="28" t="str">
        <f>IF(A9="","",IF(COUNTIF('02_工程タスク'!$A$4:$A$135,B9)&lt;&gt;1,"参照ID不正",IF(INDEX('02_工程タスク'!$D$4:$D$135,MATCH(B9,'02_工程タスク'!$A$4:$A$135,0))="","",INDEX('02_工程タスク'!$D$4:$D$135,MATCH(B9,'02_工程タスク'!$A$4:$A$135,0)))))</f>
        <v/>
      </c>
      <c r="D9" s="29"/>
      <c r="E9" s="29"/>
      <c r="F9" s="29"/>
      <c r="G9" s="29"/>
      <c r="H9" s="34"/>
      <c r="I9" s="34"/>
      <c r="J9" s="34"/>
      <c r="K9" s="29"/>
      <c r="L9" s="29"/>
      <c r="M9" s="29"/>
      <c r="N9" s="34"/>
      <c r="O9" s="29"/>
      <c r="P9" s="28" t="str">
        <f>IF(A9="","",IF(COUNTIF($A$4:$A$63,A9)&lt;&gt;1,"TaskRun ID重複",IF(COUNTIF(TaskIDs,B9)&lt;&gt;1,"Task ID不正",IF(OR(D9="",G9="",K9=""),"Run起票不足",IF(AND(D9="事故",OR(E9="",U9="")),"事故・レビュー参照不足",IF(AND(D9="早期Stop",OR(E9="",IFERROR(IF(COUNTIF('29_ゲート承認記録'!$F$4:$F$83,E9)&lt;&gt;1,"参照ID不正",IF(INDEX('29_ゲート承認記録'!$L$4:$L$83,MATCH(E9,'29_ゲート承認記録'!$F$4:$F$83,0))="","",INDEX('29_ゲート承認記録'!$L$4:$L$83,MATCH(E9,'29_ゲート承認記録'!$F$4:$F$83,0))))&lt;&gt;"Stop",TRUE))),"Stop判断参照不足",IF(OR(AND(I9&lt;&gt;"",OR(NOT(ISNUMBER(I9)),IFERROR(I9&lt;1,TRUE),IFERROR(INT(I9)&gt;INT(AsOfDate),TRUE))),AND(N9&lt;&gt;"",OR(NOT(ISNUMBER(N9)),IFERROR(N9&lt;1,TRUE),IFERROR(INT(N9)&gt;INT(AsOfDate),TRUE)))),"Run実績日不正",IF(O9&lt;&gt;"完了","Run進行中",IF(OR(F9="",L9="",M9="",COUNT(I9,N9)&lt;2),"Run完了証拠不足",IF(N9&lt;I9,"確認日逆転",IF(AND(D9="定期",NOT(ISNUMBER(J9))),"次回期限不足","Run記録あり・内容審査別")))))))))))</f>
        <v/>
      </c>
      <c r="Q9" s="29"/>
      <c r="R9" s="34"/>
      <c r="S9" s="29"/>
      <c r="T9" s="29"/>
      <c r="U9" s="29"/>
    </row>
    <row r="10" spans="1:21" ht="64" customHeight="1" x14ac:dyDescent="0.2">
      <c r="A10" s="29"/>
      <c r="B10" s="29"/>
      <c r="C10" s="28" t="str">
        <f>IF(A10="","",IF(COUNTIF('02_工程タスク'!$A$4:$A$135,B10)&lt;&gt;1,"参照ID不正",IF(INDEX('02_工程タスク'!$D$4:$D$135,MATCH(B10,'02_工程タスク'!$A$4:$A$135,0))="","",INDEX('02_工程タスク'!$D$4:$D$135,MATCH(B10,'02_工程タスク'!$A$4:$A$135,0)))))</f>
        <v/>
      </c>
      <c r="D10" s="29"/>
      <c r="E10" s="29"/>
      <c r="F10" s="29"/>
      <c r="G10" s="29"/>
      <c r="H10" s="34"/>
      <c r="I10" s="34"/>
      <c r="J10" s="34"/>
      <c r="K10" s="29"/>
      <c r="L10" s="29"/>
      <c r="M10" s="29"/>
      <c r="N10" s="34"/>
      <c r="O10" s="29"/>
      <c r="P10" s="28" t="str">
        <f>IF(A10="","",IF(COUNTIF($A$4:$A$63,A10)&lt;&gt;1,"TaskRun ID重複",IF(COUNTIF(TaskIDs,B10)&lt;&gt;1,"Task ID不正",IF(OR(D10="",G10="",K10=""),"Run起票不足",IF(AND(D10="事故",OR(E10="",U10="")),"事故・レビュー参照不足",IF(AND(D10="早期Stop",OR(E10="",IFERROR(IF(COUNTIF('29_ゲート承認記録'!$F$4:$F$83,E10)&lt;&gt;1,"参照ID不正",IF(INDEX('29_ゲート承認記録'!$L$4:$L$83,MATCH(E10,'29_ゲート承認記録'!$F$4:$F$83,0))="","",INDEX('29_ゲート承認記録'!$L$4:$L$83,MATCH(E10,'29_ゲート承認記録'!$F$4:$F$83,0))))&lt;&gt;"Stop",TRUE))),"Stop判断参照不足",IF(OR(AND(I10&lt;&gt;"",OR(NOT(ISNUMBER(I10)),IFERROR(I10&lt;1,TRUE),IFERROR(INT(I10)&gt;INT(AsOfDate),TRUE))),AND(N10&lt;&gt;"",OR(NOT(ISNUMBER(N10)),IFERROR(N10&lt;1,TRUE),IFERROR(INT(N10)&gt;INT(AsOfDate),TRUE)))),"Run実績日不正",IF(O10&lt;&gt;"完了","Run進行中",IF(OR(F10="",L10="",M10="",COUNT(I10,N10)&lt;2),"Run完了証拠不足",IF(N10&lt;I10,"確認日逆転",IF(AND(D10="定期",NOT(ISNUMBER(J10))),"次回期限不足","Run記録あり・内容審査別")))))))))))</f>
        <v/>
      </c>
      <c r="Q10" s="29"/>
      <c r="R10" s="34"/>
      <c r="S10" s="29"/>
      <c r="T10" s="29"/>
      <c r="U10" s="29"/>
    </row>
    <row r="11" spans="1:21" ht="64" customHeight="1" x14ac:dyDescent="0.2">
      <c r="A11" s="29"/>
      <c r="B11" s="29"/>
      <c r="C11" s="28" t="str">
        <f>IF(A11="","",IF(COUNTIF('02_工程タスク'!$A$4:$A$135,B11)&lt;&gt;1,"参照ID不正",IF(INDEX('02_工程タスク'!$D$4:$D$135,MATCH(B11,'02_工程タスク'!$A$4:$A$135,0))="","",INDEX('02_工程タスク'!$D$4:$D$135,MATCH(B11,'02_工程タスク'!$A$4:$A$135,0)))))</f>
        <v/>
      </c>
      <c r="D11" s="29"/>
      <c r="E11" s="29"/>
      <c r="F11" s="29"/>
      <c r="G11" s="29"/>
      <c r="H11" s="34"/>
      <c r="I11" s="34"/>
      <c r="J11" s="34"/>
      <c r="K11" s="29"/>
      <c r="L11" s="29"/>
      <c r="M11" s="29"/>
      <c r="N11" s="34"/>
      <c r="O11" s="29"/>
      <c r="P11" s="28" t="str">
        <f>IF(A11="","",IF(COUNTIF($A$4:$A$63,A11)&lt;&gt;1,"TaskRun ID重複",IF(COUNTIF(TaskIDs,B11)&lt;&gt;1,"Task ID不正",IF(OR(D11="",G11="",K11=""),"Run起票不足",IF(AND(D11="事故",OR(E11="",U11="")),"事故・レビュー参照不足",IF(AND(D11="早期Stop",OR(E11="",IFERROR(IF(COUNTIF('29_ゲート承認記録'!$F$4:$F$83,E11)&lt;&gt;1,"参照ID不正",IF(INDEX('29_ゲート承認記録'!$L$4:$L$83,MATCH(E11,'29_ゲート承認記録'!$F$4:$F$83,0))="","",INDEX('29_ゲート承認記録'!$L$4:$L$83,MATCH(E11,'29_ゲート承認記録'!$F$4:$F$83,0))))&lt;&gt;"Stop",TRUE))),"Stop判断参照不足",IF(OR(AND(I11&lt;&gt;"",OR(NOT(ISNUMBER(I11)),IFERROR(I11&lt;1,TRUE),IFERROR(INT(I11)&gt;INT(AsOfDate),TRUE))),AND(N11&lt;&gt;"",OR(NOT(ISNUMBER(N11)),IFERROR(N11&lt;1,TRUE),IFERROR(INT(N11)&gt;INT(AsOfDate),TRUE)))),"Run実績日不正",IF(O11&lt;&gt;"完了","Run進行中",IF(OR(F11="",L11="",M11="",COUNT(I11,N11)&lt;2),"Run完了証拠不足",IF(N11&lt;I11,"確認日逆転",IF(AND(D11="定期",NOT(ISNUMBER(J11))),"次回期限不足","Run記録あり・内容審査別")))))))))))</f>
        <v/>
      </c>
      <c r="Q11" s="29"/>
      <c r="R11" s="34"/>
      <c r="S11" s="29"/>
      <c r="T11" s="29"/>
      <c r="U11" s="29"/>
    </row>
    <row r="12" spans="1:21" ht="64" customHeight="1" x14ac:dyDescent="0.2">
      <c r="A12" s="29"/>
      <c r="B12" s="29"/>
      <c r="C12" s="28" t="str">
        <f>IF(A12="","",IF(COUNTIF('02_工程タスク'!$A$4:$A$135,B12)&lt;&gt;1,"参照ID不正",IF(INDEX('02_工程タスク'!$D$4:$D$135,MATCH(B12,'02_工程タスク'!$A$4:$A$135,0))="","",INDEX('02_工程タスク'!$D$4:$D$135,MATCH(B12,'02_工程タスク'!$A$4:$A$135,0)))))</f>
        <v/>
      </c>
      <c r="D12" s="29"/>
      <c r="E12" s="29"/>
      <c r="F12" s="29"/>
      <c r="G12" s="29"/>
      <c r="H12" s="34"/>
      <c r="I12" s="34"/>
      <c r="J12" s="34"/>
      <c r="K12" s="29"/>
      <c r="L12" s="29"/>
      <c r="M12" s="29"/>
      <c r="N12" s="34"/>
      <c r="O12" s="29"/>
      <c r="P12" s="28" t="str">
        <f>IF(A12="","",IF(COUNTIF($A$4:$A$63,A12)&lt;&gt;1,"TaskRun ID重複",IF(COUNTIF(TaskIDs,B12)&lt;&gt;1,"Task ID不正",IF(OR(D12="",G12="",K12=""),"Run起票不足",IF(AND(D12="事故",OR(E12="",U12="")),"事故・レビュー参照不足",IF(AND(D12="早期Stop",OR(E12="",IFERROR(IF(COUNTIF('29_ゲート承認記録'!$F$4:$F$83,E12)&lt;&gt;1,"参照ID不正",IF(INDEX('29_ゲート承認記録'!$L$4:$L$83,MATCH(E12,'29_ゲート承認記録'!$F$4:$F$83,0))="","",INDEX('29_ゲート承認記録'!$L$4:$L$83,MATCH(E12,'29_ゲート承認記録'!$F$4:$F$83,0))))&lt;&gt;"Stop",TRUE))),"Stop判断参照不足",IF(OR(AND(I12&lt;&gt;"",OR(NOT(ISNUMBER(I12)),IFERROR(I12&lt;1,TRUE),IFERROR(INT(I12)&gt;INT(AsOfDate),TRUE))),AND(N12&lt;&gt;"",OR(NOT(ISNUMBER(N12)),IFERROR(N12&lt;1,TRUE),IFERROR(INT(N12)&gt;INT(AsOfDate),TRUE)))),"Run実績日不正",IF(O12&lt;&gt;"完了","Run進行中",IF(OR(F12="",L12="",M12="",COUNT(I12,N12)&lt;2),"Run完了証拠不足",IF(N12&lt;I12,"確認日逆転",IF(AND(D12="定期",NOT(ISNUMBER(J12))),"次回期限不足","Run記録あり・内容審査別")))))))))))</f>
        <v/>
      </c>
      <c r="Q12" s="29"/>
      <c r="R12" s="34"/>
      <c r="S12" s="29"/>
      <c r="T12" s="29"/>
      <c r="U12" s="29"/>
    </row>
    <row r="13" spans="1:21" ht="64" customHeight="1" x14ac:dyDescent="0.2">
      <c r="A13" s="29"/>
      <c r="B13" s="29"/>
      <c r="C13" s="28" t="str">
        <f>IF(A13="","",IF(COUNTIF('02_工程タスク'!$A$4:$A$135,B13)&lt;&gt;1,"参照ID不正",IF(INDEX('02_工程タスク'!$D$4:$D$135,MATCH(B13,'02_工程タスク'!$A$4:$A$135,0))="","",INDEX('02_工程タスク'!$D$4:$D$135,MATCH(B13,'02_工程タスク'!$A$4:$A$135,0)))))</f>
        <v/>
      </c>
      <c r="D13" s="29"/>
      <c r="E13" s="29"/>
      <c r="F13" s="29"/>
      <c r="G13" s="29"/>
      <c r="H13" s="34"/>
      <c r="I13" s="34"/>
      <c r="J13" s="34"/>
      <c r="K13" s="29"/>
      <c r="L13" s="29"/>
      <c r="M13" s="29"/>
      <c r="N13" s="34"/>
      <c r="O13" s="29"/>
      <c r="P13" s="28" t="str">
        <f>IF(A13="","",IF(COUNTIF($A$4:$A$63,A13)&lt;&gt;1,"TaskRun ID重複",IF(COUNTIF(TaskIDs,B13)&lt;&gt;1,"Task ID不正",IF(OR(D13="",G13="",K13=""),"Run起票不足",IF(AND(D13="事故",OR(E13="",U13="")),"事故・レビュー参照不足",IF(AND(D13="早期Stop",OR(E13="",IFERROR(IF(COUNTIF('29_ゲート承認記録'!$F$4:$F$83,E13)&lt;&gt;1,"参照ID不正",IF(INDEX('29_ゲート承認記録'!$L$4:$L$83,MATCH(E13,'29_ゲート承認記録'!$F$4:$F$83,0))="","",INDEX('29_ゲート承認記録'!$L$4:$L$83,MATCH(E13,'29_ゲート承認記録'!$F$4:$F$83,0))))&lt;&gt;"Stop",TRUE))),"Stop判断参照不足",IF(OR(AND(I13&lt;&gt;"",OR(NOT(ISNUMBER(I13)),IFERROR(I13&lt;1,TRUE),IFERROR(INT(I13)&gt;INT(AsOfDate),TRUE))),AND(N13&lt;&gt;"",OR(NOT(ISNUMBER(N13)),IFERROR(N13&lt;1,TRUE),IFERROR(INT(N13)&gt;INT(AsOfDate),TRUE)))),"Run実績日不正",IF(O13&lt;&gt;"完了","Run進行中",IF(OR(F13="",L13="",M13="",COUNT(I13,N13)&lt;2),"Run完了証拠不足",IF(N13&lt;I13,"確認日逆転",IF(AND(D13="定期",NOT(ISNUMBER(J13))),"次回期限不足","Run記録あり・内容審査別")))))))))))</f>
        <v/>
      </c>
      <c r="Q13" s="29"/>
      <c r="R13" s="34"/>
      <c r="S13" s="29"/>
      <c r="T13" s="29"/>
      <c r="U13" s="29"/>
    </row>
    <row r="14" spans="1:21" ht="64" customHeight="1" x14ac:dyDescent="0.2">
      <c r="A14" s="29"/>
      <c r="B14" s="29"/>
      <c r="C14" s="28" t="str">
        <f>IF(A14="","",IF(COUNTIF('02_工程タスク'!$A$4:$A$135,B14)&lt;&gt;1,"参照ID不正",IF(INDEX('02_工程タスク'!$D$4:$D$135,MATCH(B14,'02_工程タスク'!$A$4:$A$135,0))="","",INDEX('02_工程タスク'!$D$4:$D$135,MATCH(B14,'02_工程タスク'!$A$4:$A$135,0)))))</f>
        <v/>
      </c>
      <c r="D14" s="29"/>
      <c r="E14" s="29"/>
      <c r="F14" s="29"/>
      <c r="G14" s="29"/>
      <c r="H14" s="34"/>
      <c r="I14" s="34"/>
      <c r="J14" s="34"/>
      <c r="K14" s="29"/>
      <c r="L14" s="29"/>
      <c r="M14" s="29"/>
      <c r="N14" s="34"/>
      <c r="O14" s="29"/>
      <c r="P14" s="28" t="str">
        <f>IF(A14="","",IF(COUNTIF($A$4:$A$63,A14)&lt;&gt;1,"TaskRun ID重複",IF(COUNTIF(TaskIDs,B14)&lt;&gt;1,"Task ID不正",IF(OR(D14="",G14="",K14=""),"Run起票不足",IF(AND(D14="事故",OR(E14="",U14="")),"事故・レビュー参照不足",IF(AND(D14="早期Stop",OR(E14="",IFERROR(IF(COUNTIF('29_ゲート承認記録'!$F$4:$F$83,E14)&lt;&gt;1,"参照ID不正",IF(INDEX('29_ゲート承認記録'!$L$4:$L$83,MATCH(E14,'29_ゲート承認記録'!$F$4:$F$83,0))="","",INDEX('29_ゲート承認記録'!$L$4:$L$83,MATCH(E14,'29_ゲート承認記録'!$F$4:$F$83,0))))&lt;&gt;"Stop",TRUE))),"Stop判断参照不足",IF(OR(AND(I14&lt;&gt;"",OR(NOT(ISNUMBER(I14)),IFERROR(I14&lt;1,TRUE),IFERROR(INT(I14)&gt;INT(AsOfDate),TRUE))),AND(N14&lt;&gt;"",OR(NOT(ISNUMBER(N14)),IFERROR(N14&lt;1,TRUE),IFERROR(INT(N14)&gt;INT(AsOfDate),TRUE)))),"Run実績日不正",IF(O14&lt;&gt;"完了","Run進行中",IF(OR(F14="",L14="",M14="",COUNT(I14,N14)&lt;2),"Run完了証拠不足",IF(N14&lt;I14,"確認日逆転",IF(AND(D14="定期",NOT(ISNUMBER(J14))),"次回期限不足","Run記録あり・内容審査別")))))))))))</f>
        <v/>
      </c>
      <c r="Q14" s="29"/>
      <c r="R14" s="34"/>
      <c r="S14" s="29"/>
      <c r="T14" s="29"/>
      <c r="U14" s="29"/>
    </row>
    <row r="15" spans="1:21" ht="64" customHeight="1" x14ac:dyDescent="0.2">
      <c r="A15" s="29"/>
      <c r="B15" s="29"/>
      <c r="C15" s="28" t="str">
        <f>IF(A15="","",IF(COUNTIF('02_工程タスク'!$A$4:$A$135,B15)&lt;&gt;1,"参照ID不正",IF(INDEX('02_工程タスク'!$D$4:$D$135,MATCH(B15,'02_工程タスク'!$A$4:$A$135,0))="","",INDEX('02_工程タスク'!$D$4:$D$135,MATCH(B15,'02_工程タスク'!$A$4:$A$135,0)))))</f>
        <v/>
      </c>
      <c r="D15" s="29"/>
      <c r="E15" s="29"/>
      <c r="F15" s="29"/>
      <c r="G15" s="29"/>
      <c r="H15" s="34"/>
      <c r="I15" s="34"/>
      <c r="J15" s="34"/>
      <c r="K15" s="29"/>
      <c r="L15" s="29"/>
      <c r="M15" s="29"/>
      <c r="N15" s="34"/>
      <c r="O15" s="29"/>
      <c r="P15" s="28" t="str">
        <f>IF(A15="","",IF(COUNTIF($A$4:$A$63,A15)&lt;&gt;1,"TaskRun ID重複",IF(COUNTIF(TaskIDs,B15)&lt;&gt;1,"Task ID不正",IF(OR(D15="",G15="",K15=""),"Run起票不足",IF(AND(D15="事故",OR(E15="",U15="")),"事故・レビュー参照不足",IF(AND(D15="早期Stop",OR(E15="",IFERROR(IF(COUNTIF('29_ゲート承認記録'!$F$4:$F$83,E15)&lt;&gt;1,"参照ID不正",IF(INDEX('29_ゲート承認記録'!$L$4:$L$83,MATCH(E15,'29_ゲート承認記録'!$F$4:$F$83,0))="","",INDEX('29_ゲート承認記録'!$L$4:$L$83,MATCH(E15,'29_ゲート承認記録'!$F$4:$F$83,0))))&lt;&gt;"Stop",TRUE))),"Stop判断参照不足",IF(OR(AND(I15&lt;&gt;"",OR(NOT(ISNUMBER(I15)),IFERROR(I15&lt;1,TRUE),IFERROR(INT(I15)&gt;INT(AsOfDate),TRUE))),AND(N15&lt;&gt;"",OR(NOT(ISNUMBER(N15)),IFERROR(N15&lt;1,TRUE),IFERROR(INT(N15)&gt;INT(AsOfDate),TRUE)))),"Run実績日不正",IF(O15&lt;&gt;"完了","Run進行中",IF(OR(F15="",L15="",M15="",COUNT(I15,N15)&lt;2),"Run完了証拠不足",IF(N15&lt;I15,"確認日逆転",IF(AND(D15="定期",NOT(ISNUMBER(J15))),"次回期限不足","Run記録あり・内容審査別")))))))))))</f>
        <v/>
      </c>
      <c r="Q15" s="29"/>
      <c r="R15" s="34"/>
      <c r="S15" s="29"/>
      <c r="T15" s="29"/>
      <c r="U15" s="29"/>
    </row>
    <row r="16" spans="1:21" ht="64" customHeight="1" x14ac:dyDescent="0.2">
      <c r="A16" s="29"/>
      <c r="B16" s="29"/>
      <c r="C16" s="28" t="str">
        <f>IF(A16="","",IF(COUNTIF('02_工程タスク'!$A$4:$A$135,B16)&lt;&gt;1,"参照ID不正",IF(INDEX('02_工程タスク'!$D$4:$D$135,MATCH(B16,'02_工程タスク'!$A$4:$A$135,0))="","",INDEX('02_工程タスク'!$D$4:$D$135,MATCH(B16,'02_工程タスク'!$A$4:$A$135,0)))))</f>
        <v/>
      </c>
      <c r="D16" s="29"/>
      <c r="E16" s="29"/>
      <c r="F16" s="29"/>
      <c r="G16" s="29"/>
      <c r="H16" s="34"/>
      <c r="I16" s="34"/>
      <c r="J16" s="34"/>
      <c r="K16" s="29"/>
      <c r="L16" s="29"/>
      <c r="M16" s="29"/>
      <c r="N16" s="34"/>
      <c r="O16" s="29"/>
      <c r="P16" s="28" t="str">
        <f>IF(A16="","",IF(COUNTIF($A$4:$A$63,A16)&lt;&gt;1,"TaskRun ID重複",IF(COUNTIF(TaskIDs,B16)&lt;&gt;1,"Task ID不正",IF(OR(D16="",G16="",K16=""),"Run起票不足",IF(AND(D16="事故",OR(E16="",U16="")),"事故・レビュー参照不足",IF(AND(D16="早期Stop",OR(E16="",IFERROR(IF(COUNTIF('29_ゲート承認記録'!$F$4:$F$83,E16)&lt;&gt;1,"参照ID不正",IF(INDEX('29_ゲート承認記録'!$L$4:$L$83,MATCH(E16,'29_ゲート承認記録'!$F$4:$F$83,0))="","",INDEX('29_ゲート承認記録'!$L$4:$L$83,MATCH(E16,'29_ゲート承認記録'!$F$4:$F$83,0))))&lt;&gt;"Stop",TRUE))),"Stop判断参照不足",IF(OR(AND(I16&lt;&gt;"",OR(NOT(ISNUMBER(I16)),IFERROR(I16&lt;1,TRUE),IFERROR(INT(I16)&gt;INT(AsOfDate),TRUE))),AND(N16&lt;&gt;"",OR(NOT(ISNUMBER(N16)),IFERROR(N16&lt;1,TRUE),IFERROR(INT(N16)&gt;INT(AsOfDate),TRUE)))),"Run実績日不正",IF(O16&lt;&gt;"完了","Run進行中",IF(OR(F16="",L16="",M16="",COUNT(I16,N16)&lt;2),"Run完了証拠不足",IF(N16&lt;I16,"確認日逆転",IF(AND(D16="定期",NOT(ISNUMBER(J16))),"次回期限不足","Run記録あり・内容審査別")))))))))))</f>
        <v/>
      </c>
      <c r="Q16" s="29"/>
      <c r="R16" s="34"/>
      <c r="S16" s="29"/>
      <c r="T16" s="29"/>
      <c r="U16" s="29"/>
    </row>
    <row r="17" spans="1:21" ht="64" customHeight="1" x14ac:dyDescent="0.2">
      <c r="A17" s="29"/>
      <c r="B17" s="29"/>
      <c r="C17" s="28" t="str">
        <f>IF(A17="","",IF(COUNTIF('02_工程タスク'!$A$4:$A$135,B17)&lt;&gt;1,"参照ID不正",IF(INDEX('02_工程タスク'!$D$4:$D$135,MATCH(B17,'02_工程タスク'!$A$4:$A$135,0))="","",INDEX('02_工程タスク'!$D$4:$D$135,MATCH(B17,'02_工程タスク'!$A$4:$A$135,0)))))</f>
        <v/>
      </c>
      <c r="D17" s="29"/>
      <c r="E17" s="29"/>
      <c r="F17" s="29"/>
      <c r="G17" s="29"/>
      <c r="H17" s="34"/>
      <c r="I17" s="34"/>
      <c r="J17" s="34"/>
      <c r="K17" s="29"/>
      <c r="L17" s="29"/>
      <c r="M17" s="29"/>
      <c r="N17" s="34"/>
      <c r="O17" s="29"/>
      <c r="P17" s="28" t="str">
        <f>IF(A17="","",IF(COUNTIF($A$4:$A$63,A17)&lt;&gt;1,"TaskRun ID重複",IF(COUNTIF(TaskIDs,B17)&lt;&gt;1,"Task ID不正",IF(OR(D17="",G17="",K17=""),"Run起票不足",IF(AND(D17="事故",OR(E17="",U17="")),"事故・レビュー参照不足",IF(AND(D17="早期Stop",OR(E17="",IFERROR(IF(COUNTIF('29_ゲート承認記録'!$F$4:$F$83,E17)&lt;&gt;1,"参照ID不正",IF(INDEX('29_ゲート承認記録'!$L$4:$L$83,MATCH(E17,'29_ゲート承認記録'!$F$4:$F$83,0))="","",INDEX('29_ゲート承認記録'!$L$4:$L$83,MATCH(E17,'29_ゲート承認記録'!$F$4:$F$83,0))))&lt;&gt;"Stop",TRUE))),"Stop判断参照不足",IF(OR(AND(I17&lt;&gt;"",OR(NOT(ISNUMBER(I17)),IFERROR(I17&lt;1,TRUE),IFERROR(INT(I17)&gt;INT(AsOfDate),TRUE))),AND(N17&lt;&gt;"",OR(NOT(ISNUMBER(N17)),IFERROR(N17&lt;1,TRUE),IFERROR(INT(N17)&gt;INT(AsOfDate),TRUE)))),"Run実績日不正",IF(O17&lt;&gt;"完了","Run進行中",IF(OR(F17="",L17="",M17="",COUNT(I17,N17)&lt;2),"Run完了証拠不足",IF(N17&lt;I17,"確認日逆転",IF(AND(D17="定期",NOT(ISNUMBER(J17))),"次回期限不足","Run記録あり・内容審査別")))))))))))</f>
        <v/>
      </c>
      <c r="Q17" s="29"/>
      <c r="R17" s="34"/>
      <c r="S17" s="29"/>
      <c r="T17" s="29"/>
      <c r="U17" s="29"/>
    </row>
    <row r="18" spans="1:21" ht="64" customHeight="1" x14ac:dyDescent="0.2">
      <c r="A18" s="29"/>
      <c r="B18" s="29"/>
      <c r="C18" s="28" t="str">
        <f>IF(A18="","",IF(COUNTIF('02_工程タスク'!$A$4:$A$135,B18)&lt;&gt;1,"参照ID不正",IF(INDEX('02_工程タスク'!$D$4:$D$135,MATCH(B18,'02_工程タスク'!$A$4:$A$135,0))="","",INDEX('02_工程タスク'!$D$4:$D$135,MATCH(B18,'02_工程タスク'!$A$4:$A$135,0)))))</f>
        <v/>
      </c>
      <c r="D18" s="29"/>
      <c r="E18" s="29"/>
      <c r="F18" s="29"/>
      <c r="G18" s="29"/>
      <c r="H18" s="34"/>
      <c r="I18" s="34"/>
      <c r="J18" s="34"/>
      <c r="K18" s="29"/>
      <c r="L18" s="29"/>
      <c r="M18" s="29"/>
      <c r="N18" s="34"/>
      <c r="O18" s="29"/>
      <c r="P18" s="28" t="str">
        <f>IF(A18="","",IF(COUNTIF($A$4:$A$63,A18)&lt;&gt;1,"TaskRun ID重複",IF(COUNTIF(TaskIDs,B18)&lt;&gt;1,"Task ID不正",IF(OR(D18="",G18="",K18=""),"Run起票不足",IF(AND(D18="事故",OR(E18="",U18="")),"事故・レビュー参照不足",IF(AND(D18="早期Stop",OR(E18="",IFERROR(IF(COUNTIF('29_ゲート承認記録'!$F$4:$F$83,E18)&lt;&gt;1,"参照ID不正",IF(INDEX('29_ゲート承認記録'!$L$4:$L$83,MATCH(E18,'29_ゲート承認記録'!$F$4:$F$83,0))="","",INDEX('29_ゲート承認記録'!$L$4:$L$83,MATCH(E18,'29_ゲート承認記録'!$F$4:$F$83,0))))&lt;&gt;"Stop",TRUE))),"Stop判断参照不足",IF(OR(AND(I18&lt;&gt;"",OR(NOT(ISNUMBER(I18)),IFERROR(I18&lt;1,TRUE),IFERROR(INT(I18)&gt;INT(AsOfDate),TRUE))),AND(N18&lt;&gt;"",OR(NOT(ISNUMBER(N18)),IFERROR(N18&lt;1,TRUE),IFERROR(INT(N18)&gt;INT(AsOfDate),TRUE)))),"Run実績日不正",IF(O18&lt;&gt;"完了","Run進行中",IF(OR(F18="",L18="",M18="",COUNT(I18,N18)&lt;2),"Run完了証拠不足",IF(N18&lt;I18,"確認日逆転",IF(AND(D18="定期",NOT(ISNUMBER(J18))),"次回期限不足","Run記録あり・内容審査別")))))))))))</f>
        <v/>
      </c>
      <c r="Q18" s="29"/>
      <c r="R18" s="34"/>
      <c r="S18" s="29"/>
      <c r="T18" s="29"/>
      <c r="U18" s="29"/>
    </row>
    <row r="19" spans="1:21" ht="64" customHeight="1" x14ac:dyDescent="0.2">
      <c r="A19" s="29"/>
      <c r="B19" s="29"/>
      <c r="C19" s="28" t="str">
        <f>IF(A19="","",IF(COUNTIF('02_工程タスク'!$A$4:$A$135,B19)&lt;&gt;1,"参照ID不正",IF(INDEX('02_工程タスク'!$D$4:$D$135,MATCH(B19,'02_工程タスク'!$A$4:$A$135,0))="","",INDEX('02_工程タスク'!$D$4:$D$135,MATCH(B19,'02_工程タスク'!$A$4:$A$135,0)))))</f>
        <v/>
      </c>
      <c r="D19" s="29"/>
      <c r="E19" s="29"/>
      <c r="F19" s="29"/>
      <c r="G19" s="29"/>
      <c r="H19" s="34"/>
      <c r="I19" s="34"/>
      <c r="J19" s="34"/>
      <c r="K19" s="29"/>
      <c r="L19" s="29"/>
      <c r="M19" s="29"/>
      <c r="N19" s="34"/>
      <c r="O19" s="29"/>
      <c r="P19" s="28" t="str">
        <f>IF(A19="","",IF(COUNTIF($A$4:$A$63,A19)&lt;&gt;1,"TaskRun ID重複",IF(COUNTIF(TaskIDs,B19)&lt;&gt;1,"Task ID不正",IF(OR(D19="",G19="",K19=""),"Run起票不足",IF(AND(D19="事故",OR(E19="",U19="")),"事故・レビュー参照不足",IF(AND(D19="早期Stop",OR(E19="",IFERROR(IF(COUNTIF('29_ゲート承認記録'!$F$4:$F$83,E19)&lt;&gt;1,"参照ID不正",IF(INDEX('29_ゲート承認記録'!$L$4:$L$83,MATCH(E19,'29_ゲート承認記録'!$F$4:$F$83,0))="","",INDEX('29_ゲート承認記録'!$L$4:$L$83,MATCH(E19,'29_ゲート承認記録'!$F$4:$F$83,0))))&lt;&gt;"Stop",TRUE))),"Stop判断参照不足",IF(OR(AND(I19&lt;&gt;"",OR(NOT(ISNUMBER(I19)),IFERROR(I19&lt;1,TRUE),IFERROR(INT(I19)&gt;INT(AsOfDate),TRUE))),AND(N19&lt;&gt;"",OR(NOT(ISNUMBER(N19)),IFERROR(N19&lt;1,TRUE),IFERROR(INT(N19)&gt;INT(AsOfDate),TRUE)))),"Run実績日不正",IF(O19&lt;&gt;"完了","Run進行中",IF(OR(F19="",L19="",M19="",COUNT(I19,N19)&lt;2),"Run完了証拠不足",IF(N19&lt;I19,"確認日逆転",IF(AND(D19="定期",NOT(ISNUMBER(J19))),"次回期限不足","Run記録あり・内容審査別")))))))))))</f>
        <v/>
      </c>
      <c r="Q19" s="29"/>
      <c r="R19" s="34"/>
      <c r="S19" s="29"/>
      <c r="T19" s="29"/>
      <c r="U19" s="29"/>
    </row>
    <row r="20" spans="1:21" ht="64" customHeight="1" x14ac:dyDescent="0.2">
      <c r="A20" s="29"/>
      <c r="B20" s="29"/>
      <c r="C20" s="28" t="str">
        <f>IF(A20="","",IF(COUNTIF('02_工程タスク'!$A$4:$A$135,B20)&lt;&gt;1,"参照ID不正",IF(INDEX('02_工程タスク'!$D$4:$D$135,MATCH(B20,'02_工程タスク'!$A$4:$A$135,0))="","",INDEX('02_工程タスク'!$D$4:$D$135,MATCH(B20,'02_工程タスク'!$A$4:$A$135,0)))))</f>
        <v/>
      </c>
      <c r="D20" s="29"/>
      <c r="E20" s="29"/>
      <c r="F20" s="29"/>
      <c r="G20" s="29"/>
      <c r="H20" s="34"/>
      <c r="I20" s="34"/>
      <c r="J20" s="34"/>
      <c r="K20" s="29"/>
      <c r="L20" s="29"/>
      <c r="M20" s="29"/>
      <c r="N20" s="34"/>
      <c r="O20" s="29"/>
      <c r="P20" s="28" t="str">
        <f>IF(A20="","",IF(COUNTIF($A$4:$A$63,A20)&lt;&gt;1,"TaskRun ID重複",IF(COUNTIF(TaskIDs,B20)&lt;&gt;1,"Task ID不正",IF(OR(D20="",G20="",K20=""),"Run起票不足",IF(AND(D20="事故",OR(E20="",U20="")),"事故・レビュー参照不足",IF(AND(D20="早期Stop",OR(E20="",IFERROR(IF(COUNTIF('29_ゲート承認記録'!$F$4:$F$83,E20)&lt;&gt;1,"参照ID不正",IF(INDEX('29_ゲート承認記録'!$L$4:$L$83,MATCH(E20,'29_ゲート承認記録'!$F$4:$F$83,0))="","",INDEX('29_ゲート承認記録'!$L$4:$L$83,MATCH(E20,'29_ゲート承認記録'!$F$4:$F$83,0))))&lt;&gt;"Stop",TRUE))),"Stop判断参照不足",IF(OR(AND(I20&lt;&gt;"",OR(NOT(ISNUMBER(I20)),IFERROR(I20&lt;1,TRUE),IFERROR(INT(I20)&gt;INT(AsOfDate),TRUE))),AND(N20&lt;&gt;"",OR(NOT(ISNUMBER(N20)),IFERROR(N20&lt;1,TRUE),IFERROR(INT(N20)&gt;INT(AsOfDate),TRUE)))),"Run実績日不正",IF(O20&lt;&gt;"完了","Run進行中",IF(OR(F20="",L20="",M20="",COUNT(I20,N20)&lt;2),"Run完了証拠不足",IF(N20&lt;I20,"確認日逆転",IF(AND(D20="定期",NOT(ISNUMBER(J20))),"次回期限不足","Run記録あり・内容審査別")))))))))))</f>
        <v/>
      </c>
      <c r="Q20" s="29"/>
      <c r="R20" s="34"/>
      <c r="S20" s="29"/>
      <c r="T20" s="29"/>
      <c r="U20" s="29"/>
    </row>
    <row r="21" spans="1:21" ht="64" customHeight="1" x14ac:dyDescent="0.2">
      <c r="A21" s="29"/>
      <c r="B21" s="29"/>
      <c r="C21" s="28" t="str">
        <f>IF(A21="","",IF(COUNTIF('02_工程タスク'!$A$4:$A$135,B21)&lt;&gt;1,"参照ID不正",IF(INDEX('02_工程タスク'!$D$4:$D$135,MATCH(B21,'02_工程タスク'!$A$4:$A$135,0))="","",INDEX('02_工程タスク'!$D$4:$D$135,MATCH(B21,'02_工程タスク'!$A$4:$A$135,0)))))</f>
        <v/>
      </c>
      <c r="D21" s="29"/>
      <c r="E21" s="29"/>
      <c r="F21" s="29"/>
      <c r="G21" s="29"/>
      <c r="H21" s="34"/>
      <c r="I21" s="34"/>
      <c r="J21" s="34"/>
      <c r="K21" s="29"/>
      <c r="L21" s="29"/>
      <c r="M21" s="29"/>
      <c r="N21" s="34"/>
      <c r="O21" s="29"/>
      <c r="P21" s="28" t="str">
        <f>IF(A21="","",IF(COUNTIF($A$4:$A$63,A21)&lt;&gt;1,"TaskRun ID重複",IF(COUNTIF(TaskIDs,B21)&lt;&gt;1,"Task ID不正",IF(OR(D21="",G21="",K21=""),"Run起票不足",IF(AND(D21="事故",OR(E21="",U21="")),"事故・レビュー参照不足",IF(AND(D21="早期Stop",OR(E21="",IFERROR(IF(COUNTIF('29_ゲート承認記録'!$F$4:$F$83,E21)&lt;&gt;1,"参照ID不正",IF(INDEX('29_ゲート承認記録'!$L$4:$L$83,MATCH(E21,'29_ゲート承認記録'!$F$4:$F$83,0))="","",INDEX('29_ゲート承認記録'!$L$4:$L$83,MATCH(E21,'29_ゲート承認記録'!$F$4:$F$83,0))))&lt;&gt;"Stop",TRUE))),"Stop判断参照不足",IF(OR(AND(I21&lt;&gt;"",OR(NOT(ISNUMBER(I21)),IFERROR(I21&lt;1,TRUE),IFERROR(INT(I21)&gt;INT(AsOfDate),TRUE))),AND(N21&lt;&gt;"",OR(NOT(ISNUMBER(N21)),IFERROR(N21&lt;1,TRUE),IFERROR(INT(N21)&gt;INT(AsOfDate),TRUE)))),"Run実績日不正",IF(O21&lt;&gt;"完了","Run進行中",IF(OR(F21="",L21="",M21="",COUNT(I21,N21)&lt;2),"Run完了証拠不足",IF(N21&lt;I21,"確認日逆転",IF(AND(D21="定期",NOT(ISNUMBER(J21))),"次回期限不足","Run記録あり・内容審査別")))))))))))</f>
        <v/>
      </c>
      <c r="Q21" s="29"/>
      <c r="R21" s="34"/>
      <c r="S21" s="29"/>
      <c r="T21" s="29"/>
      <c r="U21" s="29"/>
    </row>
    <row r="22" spans="1:21" ht="64" customHeight="1" x14ac:dyDescent="0.2">
      <c r="A22" s="29"/>
      <c r="B22" s="29"/>
      <c r="C22" s="28" t="str">
        <f>IF(A22="","",IF(COUNTIF('02_工程タスク'!$A$4:$A$135,B22)&lt;&gt;1,"参照ID不正",IF(INDEX('02_工程タスク'!$D$4:$D$135,MATCH(B22,'02_工程タスク'!$A$4:$A$135,0))="","",INDEX('02_工程タスク'!$D$4:$D$135,MATCH(B22,'02_工程タスク'!$A$4:$A$135,0)))))</f>
        <v/>
      </c>
      <c r="D22" s="29"/>
      <c r="E22" s="29"/>
      <c r="F22" s="29"/>
      <c r="G22" s="29"/>
      <c r="H22" s="34"/>
      <c r="I22" s="34"/>
      <c r="J22" s="34"/>
      <c r="K22" s="29"/>
      <c r="L22" s="29"/>
      <c r="M22" s="29"/>
      <c r="N22" s="34"/>
      <c r="O22" s="29"/>
      <c r="P22" s="28" t="str">
        <f>IF(A22="","",IF(COUNTIF($A$4:$A$63,A22)&lt;&gt;1,"TaskRun ID重複",IF(COUNTIF(TaskIDs,B22)&lt;&gt;1,"Task ID不正",IF(OR(D22="",G22="",K22=""),"Run起票不足",IF(AND(D22="事故",OR(E22="",U22="")),"事故・レビュー参照不足",IF(AND(D22="早期Stop",OR(E22="",IFERROR(IF(COUNTIF('29_ゲート承認記録'!$F$4:$F$83,E22)&lt;&gt;1,"参照ID不正",IF(INDEX('29_ゲート承認記録'!$L$4:$L$83,MATCH(E22,'29_ゲート承認記録'!$F$4:$F$83,0))="","",INDEX('29_ゲート承認記録'!$L$4:$L$83,MATCH(E22,'29_ゲート承認記録'!$F$4:$F$83,0))))&lt;&gt;"Stop",TRUE))),"Stop判断参照不足",IF(OR(AND(I22&lt;&gt;"",OR(NOT(ISNUMBER(I22)),IFERROR(I22&lt;1,TRUE),IFERROR(INT(I22)&gt;INT(AsOfDate),TRUE))),AND(N22&lt;&gt;"",OR(NOT(ISNUMBER(N22)),IFERROR(N22&lt;1,TRUE),IFERROR(INT(N22)&gt;INT(AsOfDate),TRUE)))),"Run実績日不正",IF(O22&lt;&gt;"完了","Run進行中",IF(OR(F22="",L22="",M22="",COUNT(I22,N22)&lt;2),"Run完了証拠不足",IF(N22&lt;I22,"確認日逆転",IF(AND(D22="定期",NOT(ISNUMBER(J22))),"次回期限不足","Run記録あり・内容審査別")))))))))))</f>
        <v/>
      </c>
      <c r="Q22" s="29"/>
      <c r="R22" s="34"/>
      <c r="S22" s="29"/>
      <c r="T22" s="29"/>
      <c r="U22" s="29"/>
    </row>
    <row r="23" spans="1:21" ht="64" customHeight="1" x14ac:dyDescent="0.2">
      <c r="A23" s="29"/>
      <c r="B23" s="29"/>
      <c r="C23" s="28" t="str">
        <f>IF(A23="","",IF(COUNTIF('02_工程タスク'!$A$4:$A$135,B23)&lt;&gt;1,"参照ID不正",IF(INDEX('02_工程タスク'!$D$4:$D$135,MATCH(B23,'02_工程タスク'!$A$4:$A$135,0))="","",INDEX('02_工程タスク'!$D$4:$D$135,MATCH(B23,'02_工程タスク'!$A$4:$A$135,0)))))</f>
        <v/>
      </c>
      <c r="D23" s="29"/>
      <c r="E23" s="29"/>
      <c r="F23" s="29"/>
      <c r="G23" s="29"/>
      <c r="H23" s="34"/>
      <c r="I23" s="34"/>
      <c r="J23" s="34"/>
      <c r="K23" s="29"/>
      <c r="L23" s="29"/>
      <c r="M23" s="29"/>
      <c r="N23" s="34"/>
      <c r="O23" s="29"/>
      <c r="P23" s="28" t="str">
        <f>IF(A23="","",IF(COUNTIF($A$4:$A$63,A23)&lt;&gt;1,"TaskRun ID重複",IF(COUNTIF(TaskIDs,B23)&lt;&gt;1,"Task ID不正",IF(OR(D23="",G23="",K23=""),"Run起票不足",IF(AND(D23="事故",OR(E23="",U23="")),"事故・レビュー参照不足",IF(AND(D23="早期Stop",OR(E23="",IFERROR(IF(COUNTIF('29_ゲート承認記録'!$F$4:$F$83,E23)&lt;&gt;1,"参照ID不正",IF(INDEX('29_ゲート承認記録'!$L$4:$L$83,MATCH(E23,'29_ゲート承認記録'!$F$4:$F$83,0))="","",INDEX('29_ゲート承認記録'!$L$4:$L$83,MATCH(E23,'29_ゲート承認記録'!$F$4:$F$83,0))))&lt;&gt;"Stop",TRUE))),"Stop判断参照不足",IF(OR(AND(I23&lt;&gt;"",OR(NOT(ISNUMBER(I23)),IFERROR(I23&lt;1,TRUE),IFERROR(INT(I23)&gt;INT(AsOfDate),TRUE))),AND(N23&lt;&gt;"",OR(NOT(ISNUMBER(N23)),IFERROR(N23&lt;1,TRUE),IFERROR(INT(N23)&gt;INT(AsOfDate),TRUE)))),"Run実績日不正",IF(O23&lt;&gt;"完了","Run進行中",IF(OR(F23="",L23="",M23="",COUNT(I23,N23)&lt;2),"Run完了証拠不足",IF(N23&lt;I23,"確認日逆転",IF(AND(D23="定期",NOT(ISNUMBER(J23))),"次回期限不足","Run記録あり・内容審査別")))))))))))</f>
        <v/>
      </c>
      <c r="Q23" s="29"/>
      <c r="R23" s="34"/>
      <c r="S23" s="29"/>
      <c r="T23" s="29"/>
      <c r="U23" s="29"/>
    </row>
    <row r="24" spans="1:21" ht="64" customHeight="1" x14ac:dyDescent="0.2">
      <c r="A24" s="29"/>
      <c r="B24" s="29"/>
      <c r="C24" s="28" t="str">
        <f>IF(A24="","",IF(COUNTIF('02_工程タスク'!$A$4:$A$135,B24)&lt;&gt;1,"参照ID不正",IF(INDEX('02_工程タスク'!$D$4:$D$135,MATCH(B24,'02_工程タスク'!$A$4:$A$135,0))="","",INDEX('02_工程タスク'!$D$4:$D$135,MATCH(B24,'02_工程タスク'!$A$4:$A$135,0)))))</f>
        <v/>
      </c>
      <c r="D24" s="29"/>
      <c r="E24" s="29"/>
      <c r="F24" s="29"/>
      <c r="G24" s="29"/>
      <c r="H24" s="34"/>
      <c r="I24" s="34"/>
      <c r="J24" s="34"/>
      <c r="K24" s="29"/>
      <c r="L24" s="29"/>
      <c r="M24" s="29"/>
      <c r="N24" s="34"/>
      <c r="O24" s="29"/>
      <c r="P24" s="28" t="str">
        <f>IF(A24="","",IF(COUNTIF($A$4:$A$63,A24)&lt;&gt;1,"TaskRun ID重複",IF(COUNTIF(TaskIDs,B24)&lt;&gt;1,"Task ID不正",IF(OR(D24="",G24="",K24=""),"Run起票不足",IF(AND(D24="事故",OR(E24="",U24="")),"事故・レビュー参照不足",IF(AND(D24="早期Stop",OR(E24="",IFERROR(IF(COUNTIF('29_ゲート承認記録'!$F$4:$F$83,E24)&lt;&gt;1,"参照ID不正",IF(INDEX('29_ゲート承認記録'!$L$4:$L$83,MATCH(E24,'29_ゲート承認記録'!$F$4:$F$83,0))="","",INDEX('29_ゲート承認記録'!$L$4:$L$83,MATCH(E24,'29_ゲート承認記録'!$F$4:$F$83,0))))&lt;&gt;"Stop",TRUE))),"Stop判断参照不足",IF(OR(AND(I24&lt;&gt;"",OR(NOT(ISNUMBER(I24)),IFERROR(I24&lt;1,TRUE),IFERROR(INT(I24)&gt;INT(AsOfDate),TRUE))),AND(N24&lt;&gt;"",OR(NOT(ISNUMBER(N24)),IFERROR(N24&lt;1,TRUE),IFERROR(INT(N24)&gt;INT(AsOfDate),TRUE)))),"Run実績日不正",IF(O24&lt;&gt;"完了","Run進行中",IF(OR(F24="",L24="",M24="",COUNT(I24,N24)&lt;2),"Run完了証拠不足",IF(N24&lt;I24,"確認日逆転",IF(AND(D24="定期",NOT(ISNUMBER(J24))),"次回期限不足","Run記録あり・内容審査別")))))))))))</f>
        <v/>
      </c>
      <c r="Q24" s="29"/>
      <c r="R24" s="34"/>
      <c r="S24" s="29"/>
      <c r="T24" s="29"/>
      <c r="U24" s="29"/>
    </row>
    <row r="25" spans="1:21" ht="64" customHeight="1" x14ac:dyDescent="0.2">
      <c r="A25" s="29"/>
      <c r="B25" s="29"/>
      <c r="C25" s="28" t="str">
        <f>IF(A25="","",IF(COUNTIF('02_工程タスク'!$A$4:$A$135,B25)&lt;&gt;1,"参照ID不正",IF(INDEX('02_工程タスク'!$D$4:$D$135,MATCH(B25,'02_工程タスク'!$A$4:$A$135,0))="","",INDEX('02_工程タスク'!$D$4:$D$135,MATCH(B25,'02_工程タスク'!$A$4:$A$135,0)))))</f>
        <v/>
      </c>
      <c r="D25" s="29"/>
      <c r="E25" s="29"/>
      <c r="F25" s="29"/>
      <c r="G25" s="29"/>
      <c r="H25" s="34"/>
      <c r="I25" s="34"/>
      <c r="J25" s="34"/>
      <c r="K25" s="29"/>
      <c r="L25" s="29"/>
      <c r="M25" s="29"/>
      <c r="N25" s="34"/>
      <c r="O25" s="29"/>
      <c r="P25" s="28" t="str">
        <f>IF(A25="","",IF(COUNTIF($A$4:$A$63,A25)&lt;&gt;1,"TaskRun ID重複",IF(COUNTIF(TaskIDs,B25)&lt;&gt;1,"Task ID不正",IF(OR(D25="",G25="",K25=""),"Run起票不足",IF(AND(D25="事故",OR(E25="",U25="")),"事故・レビュー参照不足",IF(AND(D25="早期Stop",OR(E25="",IFERROR(IF(COUNTIF('29_ゲート承認記録'!$F$4:$F$83,E25)&lt;&gt;1,"参照ID不正",IF(INDEX('29_ゲート承認記録'!$L$4:$L$83,MATCH(E25,'29_ゲート承認記録'!$F$4:$F$83,0))="","",INDEX('29_ゲート承認記録'!$L$4:$L$83,MATCH(E25,'29_ゲート承認記録'!$F$4:$F$83,0))))&lt;&gt;"Stop",TRUE))),"Stop判断参照不足",IF(OR(AND(I25&lt;&gt;"",OR(NOT(ISNUMBER(I25)),IFERROR(I25&lt;1,TRUE),IFERROR(INT(I25)&gt;INT(AsOfDate),TRUE))),AND(N25&lt;&gt;"",OR(NOT(ISNUMBER(N25)),IFERROR(N25&lt;1,TRUE),IFERROR(INT(N25)&gt;INT(AsOfDate),TRUE)))),"Run実績日不正",IF(O25&lt;&gt;"完了","Run進行中",IF(OR(F25="",L25="",M25="",COUNT(I25,N25)&lt;2),"Run完了証拠不足",IF(N25&lt;I25,"確認日逆転",IF(AND(D25="定期",NOT(ISNUMBER(J25))),"次回期限不足","Run記録あり・内容審査別")))))))))))</f>
        <v/>
      </c>
      <c r="Q25" s="29"/>
      <c r="R25" s="34"/>
      <c r="S25" s="29"/>
      <c r="T25" s="29"/>
      <c r="U25" s="29"/>
    </row>
    <row r="26" spans="1:21" ht="64" customHeight="1" x14ac:dyDescent="0.2">
      <c r="A26" s="29"/>
      <c r="B26" s="29"/>
      <c r="C26" s="28" t="str">
        <f>IF(A26="","",IF(COUNTIF('02_工程タスク'!$A$4:$A$135,B26)&lt;&gt;1,"参照ID不正",IF(INDEX('02_工程タスク'!$D$4:$D$135,MATCH(B26,'02_工程タスク'!$A$4:$A$135,0))="","",INDEX('02_工程タスク'!$D$4:$D$135,MATCH(B26,'02_工程タスク'!$A$4:$A$135,0)))))</f>
        <v/>
      </c>
      <c r="D26" s="29"/>
      <c r="E26" s="29"/>
      <c r="F26" s="29"/>
      <c r="G26" s="29"/>
      <c r="H26" s="34"/>
      <c r="I26" s="34"/>
      <c r="J26" s="34"/>
      <c r="K26" s="29"/>
      <c r="L26" s="29"/>
      <c r="M26" s="29"/>
      <c r="N26" s="34"/>
      <c r="O26" s="29"/>
      <c r="P26" s="28" t="str">
        <f>IF(A26="","",IF(COUNTIF($A$4:$A$63,A26)&lt;&gt;1,"TaskRun ID重複",IF(COUNTIF(TaskIDs,B26)&lt;&gt;1,"Task ID不正",IF(OR(D26="",G26="",K26=""),"Run起票不足",IF(AND(D26="事故",OR(E26="",U26="")),"事故・レビュー参照不足",IF(AND(D26="早期Stop",OR(E26="",IFERROR(IF(COUNTIF('29_ゲート承認記録'!$F$4:$F$83,E26)&lt;&gt;1,"参照ID不正",IF(INDEX('29_ゲート承認記録'!$L$4:$L$83,MATCH(E26,'29_ゲート承認記録'!$F$4:$F$83,0))="","",INDEX('29_ゲート承認記録'!$L$4:$L$83,MATCH(E26,'29_ゲート承認記録'!$F$4:$F$83,0))))&lt;&gt;"Stop",TRUE))),"Stop判断参照不足",IF(OR(AND(I26&lt;&gt;"",OR(NOT(ISNUMBER(I26)),IFERROR(I26&lt;1,TRUE),IFERROR(INT(I26)&gt;INT(AsOfDate),TRUE))),AND(N26&lt;&gt;"",OR(NOT(ISNUMBER(N26)),IFERROR(N26&lt;1,TRUE),IFERROR(INT(N26)&gt;INT(AsOfDate),TRUE)))),"Run実績日不正",IF(O26&lt;&gt;"完了","Run進行中",IF(OR(F26="",L26="",M26="",COUNT(I26,N26)&lt;2),"Run完了証拠不足",IF(N26&lt;I26,"確認日逆転",IF(AND(D26="定期",NOT(ISNUMBER(J26))),"次回期限不足","Run記録あり・内容審査別")))))))))))</f>
        <v/>
      </c>
      <c r="Q26" s="29"/>
      <c r="R26" s="34"/>
      <c r="S26" s="29"/>
      <c r="T26" s="29"/>
      <c r="U26" s="29"/>
    </row>
    <row r="27" spans="1:21" ht="64" customHeight="1" x14ac:dyDescent="0.2">
      <c r="A27" s="29"/>
      <c r="B27" s="29"/>
      <c r="C27" s="28" t="str">
        <f>IF(A27="","",IF(COUNTIF('02_工程タスク'!$A$4:$A$135,B27)&lt;&gt;1,"参照ID不正",IF(INDEX('02_工程タスク'!$D$4:$D$135,MATCH(B27,'02_工程タスク'!$A$4:$A$135,0))="","",INDEX('02_工程タスク'!$D$4:$D$135,MATCH(B27,'02_工程タスク'!$A$4:$A$135,0)))))</f>
        <v/>
      </c>
      <c r="D27" s="29"/>
      <c r="E27" s="29"/>
      <c r="F27" s="29"/>
      <c r="G27" s="29"/>
      <c r="H27" s="34"/>
      <c r="I27" s="34"/>
      <c r="J27" s="34"/>
      <c r="K27" s="29"/>
      <c r="L27" s="29"/>
      <c r="M27" s="29"/>
      <c r="N27" s="34"/>
      <c r="O27" s="29"/>
      <c r="P27" s="28" t="str">
        <f>IF(A27="","",IF(COUNTIF($A$4:$A$63,A27)&lt;&gt;1,"TaskRun ID重複",IF(COUNTIF(TaskIDs,B27)&lt;&gt;1,"Task ID不正",IF(OR(D27="",G27="",K27=""),"Run起票不足",IF(AND(D27="事故",OR(E27="",U27="")),"事故・レビュー参照不足",IF(AND(D27="早期Stop",OR(E27="",IFERROR(IF(COUNTIF('29_ゲート承認記録'!$F$4:$F$83,E27)&lt;&gt;1,"参照ID不正",IF(INDEX('29_ゲート承認記録'!$L$4:$L$83,MATCH(E27,'29_ゲート承認記録'!$F$4:$F$83,0))="","",INDEX('29_ゲート承認記録'!$L$4:$L$83,MATCH(E27,'29_ゲート承認記録'!$F$4:$F$83,0))))&lt;&gt;"Stop",TRUE))),"Stop判断参照不足",IF(OR(AND(I27&lt;&gt;"",OR(NOT(ISNUMBER(I27)),IFERROR(I27&lt;1,TRUE),IFERROR(INT(I27)&gt;INT(AsOfDate),TRUE))),AND(N27&lt;&gt;"",OR(NOT(ISNUMBER(N27)),IFERROR(N27&lt;1,TRUE),IFERROR(INT(N27)&gt;INT(AsOfDate),TRUE)))),"Run実績日不正",IF(O27&lt;&gt;"完了","Run進行中",IF(OR(F27="",L27="",M27="",COUNT(I27,N27)&lt;2),"Run完了証拠不足",IF(N27&lt;I27,"確認日逆転",IF(AND(D27="定期",NOT(ISNUMBER(J27))),"次回期限不足","Run記録あり・内容審査別")))))))))))</f>
        <v/>
      </c>
      <c r="Q27" s="29"/>
      <c r="R27" s="34"/>
      <c r="S27" s="29"/>
      <c r="T27" s="29"/>
      <c r="U27" s="29"/>
    </row>
    <row r="28" spans="1:21" ht="64" customHeight="1" x14ac:dyDescent="0.2">
      <c r="A28" s="29"/>
      <c r="B28" s="29"/>
      <c r="C28" s="28" t="str">
        <f>IF(A28="","",IF(COUNTIF('02_工程タスク'!$A$4:$A$135,B28)&lt;&gt;1,"参照ID不正",IF(INDEX('02_工程タスク'!$D$4:$D$135,MATCH(B28,'02_工程タスク'!$A$4:$A$135,0))="","",INDEX('02_工程タスク'!$D$4:$D$135,MATCH(B28,'02_工程タスク'!$A$4:$A$135,0)))))</f>
        <v/>
      </c>
      <c r="D28" s="29"/>
      <c r="E28" s="29"/>
      <c r="F28" s="29"/>
      <c r="G28" s="29"/>
      <c r="H28" s="34"/>
      <c r="I28" s="34"/>
      <c r="J28" s="34"/>
      <c r="K28" s="29"/>
      <c r="L28" s="29"/>
      <c r="M28" s="29"/>
      <c r="N28" s="34"/>
      <c r="O28" s="29"/>
      <c r="P28" s="28" t="str">
        <f>IF(A28="","",IF(COUNTIF($A$4:$A$63,A28)&lt;&gt;1,"TaskRun ID重複",IF(COUNTIF(TaskIDs,B28)&lt;&gt;1,"Task ID不正",IF(OR(D28="",G28="",K28=""),"Run起票不足",IF(AND(D28="事故",OR(E28="",U28="")),"事故・レビュー参照不足",IF(AND(D28="早期Stop",OR(E28="",IFERROR(IF(COUNTIF('29_ゲート承認記録'!$F$4:$F$83,E28)&lt;&gt;1,"参照ID不正",IF(INDEX('29_ゲート承認記録'!$L$4:$L$83,MATCH(E28,'29_ゲート承認記録'!$F$4:$F$83,0))="","",INDEX('29_ゲート承認記録'!$L$4:$L$83,MATCH(E28,'29_ゲート承認記録'!$F$4:$F$83,0))))&lt;&gt;"Stop",TRUE))),"Stop判断参照不足",IF(OR(AND(I28&lt;&gt;"",OR(NOT(ISNUMBER(I28)),IFERROR(I28&lt;1,TRUE),IFERROR(INT(I28)&gt;INT(AsOfDate),TRUE))),AND(N28&lt;&gt;"",OR(NOT(ISNUMBER(N28)),IFERROR(N28&lt;1,TRUE),IFERROR(INT(N28)&gt;INT(AsOfDate),TRUE)))),"Run実績日不正",IF(O28&lt;&gt;"完了","Run進行中",IF(OR(F28="",L28="",M28="",COUNT(I28,N28)&lt;2),"Run完了証拠不足",IF(N28&lt;I28,"確認日逆転",IF(AND(D28="定期",NOT(ISNUMBER(J28))),"次回期限不足","Run記録あり・内容審査別")))))))))))</f>
        <v/>
      </c>
      <c r="Q28" s="29"/>
      <c r="R28" s="34"/>
      <c r="S28" s="29"/>
      <c r="T28" s="29"/>
      <c r="U28" s="29"/>
    </row>
    <row r="29" spans="1:21" ht="64" customHeight="1" x14ac:dyDescent="0.2">
      <c r="A29" s="29"/>
      <c r="B29" s="29"/>
      <c r="C29" s="28" t="str">
        <f>IF(A29="","",IF(COUNTIF('02_工程タスク'!$A$4:$A$135,B29)&lt;&gt;1,"参照ID不正",IF(INDEX('02_工程タスク'!$D$4:$D$135,MATCH(B29,'02_工程タスク'!$A$4:$A$135,0))="","",INDEX('02_工程タスク'!$D$4:$D$135,MATCH(B29,'02_工程タスク'!$A$4:$A$135,0)))))</f>
        <v/>
      </c>
      <c r="D29" s="29"/>
      <c r="E29" s="29"/>
      <c r="F29" s="29"/>
      <c r="G29" s="29"/>
      <c r="H29" s="34"/>
      <c r="I29" s="34"/>
      <c r="J29" s="34"/>
      <c r="K29" s="29"/>
      <c r="L29" s="29"/>
      <c r="M29" s="29"/>
      <c r="N29" s="34"/>
      <c r="O29" s="29"/>
      <c r="P29" s="28" t="str">
        <f>IF(A29="","",IF(COUNTIF($A$4:$A$63,A29)&lt;&gt;1,"TaskRun ID重複",IF(COUNTIF(TaskIDs,B29)&lt;&gt;1,"Task ID不正",IF(OR(D29="",G29="",K29=""),"Run起票不足",IF(AND(D29="事故",OR(E29="",U29="")),"事故・レビュー参照不足",IF(AND(D29="早期Stop",OR(E29="",IFERROR(IF(COUNTIF('29_ゲート承認記録'!$F$4:$F$83,E29)&lt;&gt;1,"参照ID不正",IF(INDEX('29_ゲート承認記録'!$L$4:$L$83,MATCH(E29,'29_ゲート承認記録'!$F$4:$F$83,0))="","",INDEX('29_ゲート承認記録'!$L$4:$L$83,MATCH(E29,'29_ゲート承認記録'!$F$4:$F$83,0))))&lt;&gt;"Stop",TRUE))),"Stop判断参照不足",IF(OR(AND(I29&lt;&gt;"",OR(NOT(ISNUMBER(I29)),IFERROR(I29&lt;1,TRUE),IFERROR(INT(I29)&gt;INT(AsOfDate),TRUE))),AND(N29&lt;&gt;"",OR(NOT(ISNUMBER(N29)),IFERROR(N29&lt;1,TRUE),IFERROR(INT(N29)&gt;INT(AsOfDate),TRUE)))),"Run実績日不正",IF(O29&lt;&gt;"完了","Run進行中",IF(OR(F29="",L29="",M29="",COUNT(I29,N29)&lt;2),"Run完了証拠不足",IF(N29&lt;I29,"確認日逆転",IF(AND(D29="定期",NOT(ISNUMBER(J29))),"次回期限不足","Run記録あり・内容審査別")))))))))))</f>
        <v/>
      </c>
      <c r="Q29" s="29"/>
      <c r="R29" s="34"/>
      <c r="S29" s="29"/>
      <c r="T29" s="29"/>
      <c r="U29" s="29"/>
    </row>
    <row r="30" spans="1:21" ht="64" customHeight="1" x14ac:dyDescent="0.2">
      <c r="A30" s="29"/>
      <c r="B30" s="29"/>
      <c r="C30" s="28" t="str">
        <f>IF(A30="","",IF(COUNTIF('02_工程タスク'!$A$4:$A$135,B30)&lt;&gt;1,"参照ID不正",IF(INDEX('02_工程タスク'!$D$4:$D$135,MATCH(B30,'02_工程タスク'!$A$4:$A$135,0))="","",INDEX('02_工程タスク'!$D$4:$D$135,MATCH(B30,'02_工程タスク'!$A$4:$A$135,0)))))</f>
        <v/>
      </c>
      <c r="D30" s="29"/>
      <c r="E30" s="29"/>
      <c r="F30" s="29"/>
      <c r="G30" s="29"/>
      <c r="H30" s="34"/>
      <c r="I30" s="34"/>
      <c r="J30" s="34"/>
      <c r="K30" s="29"/>
      <c r="L30" s="29"/>
      <c r="M30" s="29"/>
      <c r="N30" s="34"/>
      <c r="O30" s="29"/>
      <c r="P30" s="28" t="str">
        <f>IF(A30="","",IF(COUNTIF($A$4:$A$63,A30)&lt;&gt;1,"TaskRun ID重複",IF(COUNTIF(TaskIDs,B30)&lt;&gt;1,"Task ID不正",IF(OR(D30="",G30="",K30=""),"Run起票不足",IF(AND(D30="事故",OR(E30="",U30="")),"事故・レビュー参照不足",IF(AND(D30="早期Stop",OR(E30="",IFERROR(IF(COUNTIF('29_ゲート承認記録'!$F$4:$F$83,E30)&lt;&gt;1,"参照ID不正",IF(INDEX('29_ゲート承認記録'!$L$4:$L$83,MATCH(E30,'29_ゲート承認記録'!$F$4:$F$83,0))="","",INDEX('29_ゲート承認記録'!$L$4:$L$83,MATCH(E30,'29_ゲート承認記録'!$F$4:$F$83,0))))&lt;&gt;"Stop",TRUE))),"Stop判断参照不足",IF(OR(AND(I30&lt;&gt;"",OR(NOT(ISNUMBER(I30)),IFERROR(I30&lt;1,TRUE),IFERROR(INT(I30)&gt;INT(AsOfDate),TRUE))),AND(N30&lt;&gt;"",OR(NOT(ISNUMBER(N30)),IFERROR(N30&lt;1,TRUE),IFERROR(INT(N30)&gt;INT(AsOfDate),TRUE)))),"Run実績日不正",IF(O30&lt;&gt;"完了","Run進行中",IF(OR(F30="",L30="",M30="",COUNT(I30,N30)&lt;2),"Run完了証拠不足",IF(N30&lt;I30,"確認日逆転",IF(AND(D30="定期",NOT(ISNUMBER(J30))),"次回期限不足","Run記録あり・内容審査別")))))))))))</f>
        <v/>
      </c>
      <c r="Q30" s="29"/>
      <c r="R30" s="34"/>
      <c r="S30" s="29"/>
      <c r="T30" s="29"/>
      <c r="U30" s="29"/>
    </row>
    <row r="31" spans="1:21" ht="64" customHeight="1" x14ac:dyDescent="0.2">
      <c r="A31" s="29"/>
      <c r="B31" s="29"/>
      <c r="C31" s="28" t="str">
        <f>IF(A31="","",IF(COUNTIF('02_工程タスク'!$A$4:$A$135,B31)&lt;&gt;1,"参照ID不正",IF(INDEX('02_工程タスク'!$D$4:$D$135,MATCH(B31,'02_工程タスク'!$A$4:$A$135,0))="","",INDEX('02_工程タスク'!$D$4:$D$135,MATCH(B31,'02_工程タスク'!$A$4:$A$135,0)))))</f>
        <v/>
      </c>
      <c r="D31" s="29"/>
      <c r="E31" s="29"/>
      <c r="F31" s="29"/>
      <c r="G31" s="29"/>
      <c r="H31" s="34"/>
      <c r="I31" s="34"/>
      <c r="J31" s="34"/>
      <c r="K31" s="29"/>
      <c r="L31" s="29"/>
      <c r="M31" s="29"/>
      <c r="N31" s="34"/>
      <c r="O31" s="29"/>
      <c r="P31" s="28" t="str">
        <f>IF(A31="","",IF(COUNTIF($A$4:$A$63,A31)&lt;&gt;1,"TaskRun ID重複",IF(COUNTIF(TaskIDs,B31)&lt;&gt;1,"Task ID不正",IF(OR(D31="",G31="",K31=""),"Run起票不足",IF(AND(D31="事故",OR(E31="",U31="")),"事故・レビュー参照不足",IF(AND(D31="早期Stop",OR(E31="",IFERROR(IF(COUNTIF('29_ゲート承認記録'!$F$4:$F$83,E31)&lt;&gt;1,"参照ID不正",IF(INDEX('29_ゲート承認記録'!$L$4:$L$83,MATCH(E31,'29_ゲート承認記録'!$F$4:$F$83,0))="","",INDEX('29_ゲート承認記録'!$L$4:$L$83,MATCH(E31,'29_ゲート承認記録'!$F$4:$F$83,0))))&lt;&gt;"Stop",TRUE))),"Stop判断参照不足",IF(OR(AND(I31&lt;&gt;"",OR(NOT(ISNUMBER(I31)),IFERROR(I31&lt;1,TRUE),IFERROR(INT(I31)&gt;INT(AsOfDate),TRUE))),AND(N31&lt;&gt;"",OR(NOT(ISNUMBER(N31)),IFERROR(N31&lt;1,TRUE),IFERROR(INT(N31)&gt;INT(AsOfDate),TRUE)))),"Run実績日不正",IF(O31&lt;&gt;"完了","Run進行中",IF(OR(F31="",L31="",M31="",COUNT(I31,N31)&lt;2),"Run完了証拠不足",IF(N31&lt;I31,"確認日逆転",IF(AND(D31="定期",NOT(ISNUMBER(J31))),"次回期限不足","Run記録あり・内容審査別")))))))))))</f>
        <v/>
      </c>
      <c r="Q31" s="29"/>
      <c r="R31" s="34"/>
      <c r="S31" s="29"/>
      <c r="T31" s="29"/>
      <c r="U31" s="29"/>
    </row>
    <row r="32" spans="1:21" ht="64" customHeight="1" x14ac:dyDescent="0.2">
      <c r="A32" s="29"/>
      <c r="B32" s="29"/>
      <c r="C32" s="28" t="str">
        <f>IF(A32="","",IF(COUNTIF('02_工程タスク'!$A$4:$A$135,B32)&lt;&gt;1,"参照ID不正",IF(INDEX('02_工程タスク'!$D$4:$D$135,MATCH(B32,'02_工程タスク'!$A$4:$A$135,0))="","",INDEX('02_工程タスク'!$D$4:$D$135,MATCH(B32,'02_工程タスク'!$A$4:$A$135,0)))))</f>
        <v/>
      </c>
      <c r="D32" s="29"/>
      <c r="E32" s="29"/>
      <c r="F32" s="29"/>
      <c r="G32" s="29"/>
      <c r="H32" s="34"/>
      <c r="I32" s="34"/>
      <c r="J32" s="34"/>
      <c r="K32" s="29"/>
      <c r="L32" s="29"/>
      <c r="M32" s="29"/>
      <c r="N32" s="34"/>
      <c r="O32" s="29"/>
      <c r="P32" s="28" t="str">
        <f>IF(A32="","",IF(COUNTIF($A$4:$A$63,A32)&lt;&gt;1,"TaskRun ID重複",IF(COUNTIF(TaskIDs,B32)&lt;&gt;1,"Task ID不正",IF(OR(D32="",G32="",K32=""),"Run起票不足",IF(AND(D32="事故",OR(E32="",U32="")),"事故・レビュー参照不足",IF(AND(D32="早期Stop",OR(E32="",IFERROR(IF(COUNTIF('29_ゲート承認記録'!$F$4:$F$83,E32)&lt;&gt;1,"参照ID不正",IF(INDEX('29_ゲート承認記録'!$L$4:$L$83,MATCH(E32,'29_ゲート承認記録'!$F$4:$F$83,0))="","",INDEX('29_ゲート承認記録'!$L$4:$L$83,MATCH(E32,'29_ゲート承認記録'!$F$4:$F$83,0))))&lt;&gt;"Stop",TRUE))),"Stop判断参照不足",IF(OR(AND(I32&lt;&gt;"",OR(NOT(ISNUMBER(I32)),IFERROR(I32&lt;1,TRUE),IFERROR(INT(I32)&gt;INT(AsOfDate),TRUE))),AND(N32&lt;&gt;"",OR(NOT(ISNUMBER(N32)),IFERROR(N32&lt;1,TRUE),IFERROR(INT(N32)&gt;INT(AsOfDate),TRUE)))),"Run実績日不正",IF(O32&lt;&gt;"完了","Run進行中",IF(OR(F32="",L32="",M32="",COUNT(I32,N32)&lt;2),"Run完了証拠不足",IF(N32&lt;I32,"確認日逆転",IF(AND(D32="定期",NOT(ISNUMBER(J32))),"次回期限不足","Run記録あり・内容審査別")))))))))))</f>
        <v/>
      </c>
      <c r="Q32" s="29"/>
      <c r="R32" s="34"/>
      <c r="S32" s="29"/>
      <c r="T32" s="29"/>
      <c r="U32" s="29"/>
    </row>
    <row r="33" spans="1:21" ht="64" customHeight="1" x14ac:dyDescent="0.2">
      <c r="A33" s="29"/>
      <c r="B33" s="29"/>
      <c r="C33" s="28" t="str">
        <f>IF(A33="","",IF(COUNTIF('02_工程タスク'!$A$4:$A$135,B33)&lt;&gt;1,"参照ID不正",IF(INDEX('02_工程タスク'!$D$4:$D$135,MATCH(B33,'02_工程タスク'!$A$4:$A$135,0))="","",INDEX('02_工程タスク'!$D$4:$D$135,MATCH(B33,'02_工程タスク'!$A$4:$A$135,0)))))</f>
        <v/>
      </c>
      <c r="D33" s="29"/>
      <c r="E33" s="29"/>
      <c r="F33" s="29"/>
      <c r="G33" s="29"/>
      <c r="H33" s="34"/>
      <c r="I33" s="34"/>
      <c r="J33" s="34"/>
      <c r="K33" s="29"/>
      <c r="L33" s="29"/>
      <c r="M33" s="29"/>
      <c r="N33" s="34"/>
      <c r="O33" s="29"/>
      <c r="P33" s="28" t="str">
        <f>IF(A33="","",IF(COUNTIF($A$4:$A$63,A33)&lt;&gt;1,"TaskRun ID重複",IF(COUNTIF(TaskIDs,B33)&lt;&gt;1,"Task ID不正",IF(OR(D33="",G33="",K33=""),"Run起票不足",IF(AND(D33="事故",OR(E33="",U33="")),"事故・レビュー参照不足",IF(AND(D33="早期Stop",OR(E33="",IFERROR(IF(COUNTIF('29_ゲート承認記録'!$F$4:$F$83,E33)&lt;&gt;1,"参照ID不正",IF(INDEX('29_ゲート承認記録'!$L$4:$L$83,MATCH(E33,'29_ゲート承認記録'!$F$4:$F$83,0))="","",INDEX('29_ゲート承認記録'!$L$4:$L$83,MATCH(E33,'29_ゲート承認記録'!$F$4:$F$83,0))))&lt;&gt;"Stop",TRUE))),"Stop判断参照不足",IF(OR(AND(I33&lt;&gt;"",OR(NOT(ISNUMBER(I33)),IFERROR(I33&lt;1,TRUE),IFERROR(INT(I33)&gt;INT(AsOfDate),TRUE))),AND(N33&lt;&gt;"",OR(NOT(ISNUMBER(N33)),IFERROR(N33&lt;1,TRUE),IFERROR(INT(N33)&gt;INT(AsOfDate),TRUE)))),"Run実績日不正",IF(O33&lt;&gt;"完了","Run進行中",IF(OR(F33="",L33="",M33="",COUNT(I33,N33)&lt;2),"Run完了証拠不足",IF(N33&lt;I33,"確認日逆転",IF(AND(D33="定期",NOT(ISNUMBER(J33))),"次回期限不足","Run記録あり・内容審査別")))))))))))</f>
        <v/>
      </c>
      <c r="Q33" s="29"/>
      <c r="R33" s="34"/>
      <c r="S33" s="29"/>
      <c r="T33" s="29"/>
      <c r="U33" s="29"/>
    </row>
    <row r="34" spans="1:21" ht="64" customHeight="1" x14ac:dyDescent="0.2">
      <c r="A34" s="29"/>
      <c r="B34" s="29"/>
      <c r="C34" s="28" t="str">
        <f>IF(A34="","",IF(COUNTIF('02_工程タスク'!$A$4:$A$135,B34)&lt;&gt;1,"参照ID不正",IF(INDEX('02_工程タスク'!$D$4:$D$135,MATCH(B34,'02_工程タスク'!$A$4:$A$135,0))="","",INDEX('02_工程タスク'!$D$4:$D$135,MATCH(B34,'02_工程タスク'!$A$4:$A$135,0)))))</f>
        <v/>
      </c>
      <c r="D34" s="29"/>
      <c r="E34" s="29"/>
      <c r="F34" s="29"/>
      <c r="G34" s="29"/>
      <c r="H34" s="34"/>
      <c r="I34" s="34"/>
      <c r="J34" s="34"/>
      <c r="K34" s="29"/>
      <c r="L34" s="29"/>
      <c r="M34" s="29"/>
      <c r="N34" s="34"/>
      <c r="O34" s="29"/>
      <c r="P34" s="28" t="str">
        <f>IF(A34="","",IF(COUNTIF($A$4:$A$63,A34)&lt;&gt;1,"TaskRun ID重複",IF(COUNTIF(TaskIDs,B34)&lt;&gt;1,"Task ID不正",IF(OR(D34="",G34="",K34=""),"Run起票不足",IF(AND(D34="事故",OR(E34="",U34="")),"事故・レビュー参照不足",IF(AND(D34="早期Stop",OR(E34="",IFERROR(IF(COUNTIF('29_ゲート承認記録'!$F$4:$F$83,E34)&lt;&gt;1,"参照ID不正",IF(INDEX('29_ゲート承認記録'!$L$4:$L$83,MATCH(E34,'29_ゲート承認記録'!$F$4:$F$83,0))="","",INDEX('29_ゲート承認記録'!$L$4:$L$83,MATCH(E34,'29_ゲート承認記録'!$F$4:$F$83,0))))&lt;&gt;"Stop",TRUE))),"Stop判断参照不足",IF(OR(AND(I34&lt;&gt;"",OR(NOT(ISNUMBER(I34)),IFERROR(I34&lt;1,TRUE),IFERROR(INT(I34)&gt;INT(AsOfDate),TRUE))),AND(N34&lt;&gt;"",OR(NOT(ISNUMBER(N34)),IFERROR(N34&lt;1,TRUE),IFERROR(INT(N34)&gt;INT(AsOfDate),TRUE)))),"Run実績日不正",IF(O34&lt;&gt;"完了","Run進行中",IF(OR(F34="",L34="",M34="",COUNT(I34,N34)&lt;2),"Run完了証拠不足",IF(N34&lt;I34,"確認日逆転",IF(AND(D34="定期",NOT(ISNUMBER(J34))),"次回期限不足","Run記録あり・内容審査別")))))))))))</f>
        <v/>
      </c>
      <c r="Q34" s="29"/>
      <c r="R34" s="34"/>
      <c r="S34" s="29"/>
      <c r="T34" s="29"/>
      <c r="U34" s="29"/>
    </row>
    <row r="35" spans="1:21" ht="64" customHeight="1" x14ac:dyDescent="0.2">
      <c r="A35" s="29"/>
      <c r="B35" s="29"/>
      <c r="C35" s="28" t="str">
        <f>IF(A35="","",IF(COUNTIF('02_工程タスク'!$A$4:$A$135,B35)&lt;&gt;1,"参照ID不正",IF(INDEX('02_工程タスク'!$D$4:$D$135,MATCH(B35,'02_工程タスク'!$A$4:$A$135,0))="","",INDEX('02_工程タスク'!$D$4:$D$135,MATCH(B35,'02_工程タスク'!$A$4:$A$135,0)))))</f>
        <v/>
      </c>
      <c r="D35" s="29"/>
      <c r="E35" s="29"/>
      <c r="F35" s="29"/>
      <c r="G35" s="29"/>
      <c r="H35" s="34"/>
      <c r="I35" s="34"/>
      <c r="J35" s="34"/>
      <c r="K35" s="29"/>
      <c r="L35" s="29"/>
      <c r="M35" s="29"/>
      <c r="N35" s="34"/>
      <c r="O35" s="29"/>
      <c r="P35" s="28" t="str">
        <f>IF(A35="","",IF(COUNTIF($A$4:$A$63,A35)&lt;&gt;1,"TaskRun ID重複",IF(COUNTIF(TaskIDs,B35)&lt;&gt;1,"Task ID不正",IF(OR(D35="",G35="",K35=""),"Run起票不足",IF(AND(D35="事故",OR(E35="",U35="")),"事故・レビュー参照不足",IF(AND(D35="早期Stop",OR(E35="",IFERROR(IF(COUNTIF('29_ゲート承認記録'!$F$4:$F$83,E35)&lt;&gt;1,"参照ID不正",IF(INDEX('29_ゲート承認記録'!$L$4:$L$83,MATCH(E35,'29_ゲート承認記録'!$F$4:$F$83,0))="","",INDEX('29_ゲート承認記録'!$L$4:$L$83,MATCH(E35,'29_ゲート承認記録'!$F$4:$F$83,0))))&lt;&gt;"Stop",TRUE))),"Stop判断参照不足",IF(OR(AND(I35&lt;&gt;"",OR(NOT(ISNUMBER(I35)),IFERROR(I35&lt;1,TRUE),IFERROR(INT(I35)&gt;INT(AsOfDate),TRUE))),AND(N35&lt;&gt;"",OR(NOT(ISNUMBER(N35)),IFERROR(N35&lt;1,TRUE),IFERROR(INT(N35)&gt;INT(AsOfDate),TRUE)))),"Run実績日不正",IF(O35&lt;&gt;"完了","Run進行中",IF(OR(F35="",L35="",M35="",COUNT(I35,N35)&lt;2),"Run完了証拠不足",IF(N35&lt;I35,"確認日逆転",IF(AND(D35="定期",NOT(ISNUMBER(J35))),"次回期限不足","Run記録あり・内容審査別")))))))))))</f>
        <v/>
      </c>
      <c r="Q35" s="29"/>
      <c r="R35" s="34"/>
      <c r="S35" s="29"/>
      <c r="T35" s="29"/>
      <c r="U35" s="29"/>
    </row>
    <row r="36" spans="1:21" ht="64" customHeight="1" x14ac:dyDescent="0.2">
      <c r="A36" s="29"/>
      <c r="B36" s="29"/>
      <c r="C36" s="28" t="str">
        <f>IF(A36="","",IF(COUNTIF('02_工程タスク'!$A$4:$A$135,B36)&lt;&gt;1,"参照ID不正",IF(INDEX('02_工程タスク'!$D$4:$D$135,MATCH(B36,'02_工程タスク'!$A$4:$A$135,0))="","",INDEX('02_工程タスク'!$D$4:$D$135,MATCH(B36,'02_工程タスク'!$A$4:$A$135,0)))))</f>
        <v/>
      </c>
      <c r="D36" s="29"/>
      <c r="E36" s="29"/>
      <c r="F36" s="29"/>
      <c r="G36" s="29"/>
      <c r="H36" s="34"/>
      <c r="I36" s="34"/>
      <c r="J36" s="34"/>
      <c r="K36" s="29"/>
      <c r="L36" s="29"/>
      <c r="M36" s="29"/>
      <c r="N36" s="34"/>
      <c r="O36" s="29"/>
      <c r="P36" s="28" t="str">
        <f>IF(A36="","",IF(COUNTIF($A$4:$A$63,A36)&lt;&gt;1,"TaskRun ID重複",IF(COUNTIF(TaskIDs,B36)&lt;&gt;1,"Task ID不正",IF(OR(D36="",G36="",K36=""),"Run起票不足",IF(AND(D36="事故",OR(E36="",U36="")),"事故・レビュー参照不足",IF(AND(D36="早期Stop",OR(E36="",IFERROR(IF(COUNTIF('29_ゲート承認記録'!$F$4:$F$83,E36)&lt;&gt;1,"参照ID不正",IF(INDEX('29_ゲート承認記録'!$L$4:$L$83,MATCH(E36,'29_ゲート承認記録'!$F$4:$F$83,0))="","",INDEX('29_ゲート承認記録'!$L$4:$L$83,MATCH(E36,'29_ゲート承認記録'!$F$4:$F$83,0))))&lt;&gt;"Stop",TRUE))),"Stop判断参照不足",IF(OR(AND(I36&lt;&gt;"",OR(NOT(ISNUMBER(I36)),IFERROR(I36&lt;1,TRUE),IFERROR(INT(I36)&gt;INT(AsOfDate),TRUE))),AND(N36&lt;&gt;"",OR(NOT(ISNUMBER(N36)),IFERROR(N36&lt;1,TRUE),IFERROR(INT(N36)&gt;INT(AsOfDate),TRUE)))),"Run実績日不正",IF(O36&lt;&gt;"完了","Run進行中",IF(OR(F36="",L36="",M36="",COUNT(I36,N36)&lt;2),"Run完了証拠不足",IF(N36&lt;I36,"確認日逆転",IF(AND(D36="定期",NOT(ISNUMBER(J36))),"次回期限不足","Run記録あり・内容審査別")))))))))))</f>
        <v/>
      </c>
      <c r="Q36" s="29"/>
      <c r="R36" s="34"/>
      <c r="S36" s="29"/>
      <c r="T36" s="29"/>
      <c r="U36" s="29"/>
    </row>
    <row r="37" spans="1:21" ht="64" customHeight="1" x14ac:dyDescent="0.2">
      <c r="A37" s="29"/>
      <c r="B37" s="29"/>
      <c r="C37" s="28" t="str">
        <f>IF(A37="","",IF(COUNTIF('02_工程タスク'!$A$4:$A$135,B37)&lt;&gt;1,"参照ID不正",IF(INDEX('02_工程タスク'!$D$4:$D$135,MATCH(B37,'02_工程タスク'!$A$4:$A$135,0))="","",INDEX('02_工程タスク'!$D$4:$D$135,MATCH(B37,'02_工程タスク'!$A$4:$A$135,0)))))</f>
        <v/>
      </c>
      <c r="D37" s="29"/>
      <c r="E37" s="29"/>
      <c r="F37" s="29"/>
      <c r="G37" s="29"/>
      <c r="H37" s="34"/>
      <c r="I37" s="34"/>
      <c r="J37" s="34"/>
      <c r="K37" s="29"/>
      <c r="L37" s="29"/>
      <c r="M37" s="29"/>
      <c r="N37" s="34"/>
      <c r="O37" s="29"/>
      <c r="P37" s="28" t="str">
        <f>IF(A37="","",IF(COUNTIF($A$4:$A$63,A37)&lt;&gt;1,"TaskRun ID重複",IF(COUNTIF(TaskIDs,B37)&lt;&gt;1,"Task ID不正",IF(OR(D37="",G37="",K37=""),"Run起票不足",IF(AND(D37="事故",OR(E37="",U37="")),"事故・レビュー参照不足",IF(AND(D37="早期Stop",OR(E37="",IFERROR(IF(COUNTIF('29_ゲート承認記録'!$F$4:$F$83,E37)&lt;&gt;1,"参照ID不正",IF(INDEX('29_ゲート承認記録'!$L$4:$L$83,MATCH(E37,'29_ゲート承認記録'!$F$4:$F$83,0))="","",INDEX('29_ゲート承認記録'!$L$4:$L$83,MATCH(E37,'29_ゲート承認記録'!$F$4:$F$83,0))))&lt;&gt;"Stop",TRUE))),"Stop判断参照不足",IF(OR(AND(I37&lt;&gt;"",OR(NOT(ISNUMBER(I37)),IFERROR(I37&lt;1,TRUE),IFERROR(INT(I37)&gt;INT(AsOfDate),TRUE))),AND(N37&lt;&gt;"",OR(NOT(ISNUMBER(N37)),IFERROR(N37&lt;1,TRUE),IFERROR(INT(N37)&gt;INT(AsOfDate),TRUE)))),"Run実績日不正",IF(O37&lt;&gt;"完了","Run進行中",IF(OR(F37="",L37="",M37="",COUNT(I37,N37)&lt;2),"Run完了証拠不足",IF(N37&lt;I37,"確認日逆転",IF(AND(D37="定期",NOT(ISNUMBER(J37))),"次回期限不足","Run記録あり・内容審査別")))))))))))</f>
        <v/>
      </c>
      <c r="Q37" s="29"/>
      <c r="R37" s="34"/>
      <c r="S37" s="29"/>
      <c r="T37" s="29"/>
      <c r="U37" s="29"/>
    </row>
    <row r="38" spans="1:21" ht="64" customHeight="1" x14ac:dyDescent="0.2">
      <c r="A38" s="29"/>
      <c r="B38" s="29"/>
      <c r="C38" s="28" t="str">
        <f>IF(A38="","",IF(COUNTIF('02_工程タスク'!$A$4:$A$135,B38)&lt;&gt;1,"参照ID不正",IF(INDEX('02_工程タスク'!$D$4:$D$135,MATCH(B38,'02_工程タスク'!$A$4:$A$135,0))="","",INDEX('02_工程タスク'!$D$4:$D$135,MATCH(B38,'02_工程タスク'!$A$4:$A$135,0)))))</f>
        <v/>
      </c>
      <c r="D38" s="29"/>
      <c r="E38" s="29"/>
      <c r="F38" s="29"/>
      <c r="G38" s="29"/>
      <c r="H38" s="34"/>
      <c r="I38" s="34"/>
      <c r="J38" s="34"/>
      <c r="K38" s="29"/>
      <c r="L38" s="29"/>
      <c r="M38" s="29"/>
      <c r="N38" s="34"/>
      <c r="O38" s="29"/>
      <c r="P38" s="28" t="str">
        <f>IF(A38="","",IF(COUNTIF($A$4:$A$63,A38)&lt;&gt;1,"TaskRun ID重複",IF(COUNTIF(TaskIDs,B38)&lt;&gt;1,"Task ID不正",IF(OR(D38="",G38="",K38=""),"Run起票不足",IF(AND(D38="事故",OR(E38="",U38="")),"事故・レビュー参照不足",IF(AND(D38="早期Stop",OR(E38="",IFERROR(IF(COUNTIF('29_ゲート承認記録'!$F$4:$F$83,E38)&lt;&gt;1,"参照ID不正",IF(INDEX('29_ゲート承認記録'!$L$4:$L$83,MATCH(E38,'29_ゲート承認記録'!$F$4:$F$83,0))="","",INDEX('29_ゲート承認記録'!$L$4:$L$83,MATCH(E38,'29_ゲート承認記録'!$F$4:$F$83,0))))&lt;&gt;"Stop",TRUE))),"Stop判断参照不足",IF(OR(AND(I38&lt;&gt;"",OR(NOT(ISNUMBER(I38)),IFERROR(I38&lt;1,TRUE),IFERROR(INT(I38)&gt;INT(AsOfDate),TRUE))),AND(N38&lt;&gt;"",OR(NOT(ISNUMBER(N38)),IFERROR(N38&lt;1,TRUE),IFERROR(INT(N38)&gt;INT(AsOfDate),TRUE)))),"Run実績日不正",IF(O38&lt;&gt;"完了","Run進行中",IF(OR(F38="",L38="",M38="",COUNT(I38,N38)&lt;2),"Run完了証拠不足",IF(N38&lt;I38,"確認日逆転",IF(AND(D38="定期",NOT(ISNUMBER(J38))),"次回期限不足","Run記録あり・内容審査別")))))))))))</f>
        <v/>
      </c>
      <c r="Q38" s="29"/>
      <c r="R38" s="34"/>
      <c r="S38" s="29"/>
      <c r="T38" s="29"/>
      <c r="U38" s="29"/>
    </row>
    <row r="39" spans="1:21" ht="64" customHeight="1" x14ac:dyDescent="0.2">
      <c r="A39" s="29"/>
      <c r="B39" s="29"/>
      <c r="C39" s="28" t="str">
        <f>IF(A39="","",IF(COUNTIF('02_工程タスク'!$A$4:$A$135,B39)&lt;&gt;1,"参照ID不正",IF(INDEX('02_工程タスク'!$D$4:$D$135,MATCH(B39,'02_工程タスク'!$A$4:$A$135,0))="","",INDEX('02_工程タスク'!$D$4:$D$135,MATCH(B39,'02_工程タスク'!$A$4:$A$135,0)))))</f>
        <v/>
      </c>
      <c r="D39" s="29"/>
      <c r="E39" s="29"/>
      <c r="F39" s="29"/>
      <c r="G39" s="29"/>
      <c r="H39" s="34"/>
      <c r="I39" s="34"/>
      <c r="J39" s="34"/>
      <c r="K39" s="29"/>
      <c r="L39" s="29"/>
      <c r="M39" s="29"/>
      <c r="N39" s="34"/>
      <c r="O39" s="29"/>
      <c r="P39" s="28" t="str">
        <f>IF(A39="","",IF(COUNTIF($A$4:$A$63,A39)&lt;&gt;1,"TaskRun ID重複",IF(COUNTIF(TaskIDs,B39)&lt;&gt;1,"Task ID不正",IF(OR(D39="",G39="",K39=""),"Run起票不足",IF(AND(D39="事故",OR(E39="",U39="")),"事故・レビュー参照不足",IF(AND(D39="早期Stop",OR(E39="",IFERROR(IF(COUNTIF('29_ゲート承認記録'!$F$4:$F$83,E39)&lt;&gt;1,"参照ID不正",IF(INDEX('29_ゲート承認記録'!$L$4:$L$83,MATCH(E39,'29_ゲート承認記録'!$F$4:$F$83,0))="","",INDEX('29_ゲート承認記録'!$L$4:$L$83,MATCH(E39,'29_ゲート承認記録'!$F$4:$F$83,0))))&lt;&gt;"Stop",TRUE))),"Stop判断参照不足",IF(OR(AND(I39&lt;&gt;"",OR(NOT(ISNUMBER(I39)),IFERROR(I39&lt;1,TRUE),IFERROR(INT(I39)&gt;INT(AsOfDate),TRUE))),AND(N39&lt;&gt;"",OR(NOT(ISNUMBER(N39)),IFERROR(N39&lt;1,TRUE),IFERROR(INT(N39)&gt;INT(AsOfDate),TRUE)))),"Run実績日不正",IF(O39&lt;&gt;"完了","Run進行中",IF(OR(F39="",L39="",M39="",COUNT(I39,N39)&lt;2),"Run完了証拠不足",IF(N39&lt;I39,"確認日逆転",IF(AND(D39="定期",NOT(ISNUMBER(J39))),"次回期限不足","Run記録あり・内容審査別")))))))))))</f>
        <v/>
      </c>
      <c r="Q39" s="29"/>
      <c r="R39" s="34"/>
      <c r="S39" s="29"/>
      <c r="T39" s="29"/>
      <c r="U39" s="29"/>
    </row>
    <row r="40" spans="1:21" ht="64" customHeight="1" x14ac:dyDescent="0.2">
      <c r="A40" s="29"/>
      <c r="B40" s="29"/>
      <c r="C40" s="28" t="str">
        <f>IF(A40="","",IF(COUNTIF('02_工程タスク'!$A$4:$A$135,B40)&lt;&gt;1,"参照ID不正",IF(INDEX('02_工程タスク'!$D$4:$D$135,MATCH(B40,'02_工程タスク'!$A$4:$A$135,0))="","",INDEX('02_工程タスク'!$D$4:$D$135,MATCH(B40,'02_工程タスク'!$A$4:$A$135,0)))))</f>
        <v/>
      </c>
      <c r="D40" s="29"/>
      <c r="E40" s="29"/>
      <c r="F40" s="29"/>
      <c r="G40" s="29"/>
      <c r="H40" s="34"/>
      <c r="I40" s="34"/>
      <c r="J40" s="34"/>
      <c r="K40" s="29"/>
      <c r="L40" s="29"/>
      <c r="M40" s="29"/>
      <c r="N40" s="34"/>
      <c r="O40" s="29"/>
      <c r="P40" s="28" t="str">
        <f>IF(A40="","",IF(COUNTIF($A$4:$A$63,A40)&lt;&gt;1,"TaskRun ID重複",IF(COUNTIF(TaskIDs,B40)&lt;&gt;1,"Task ID不正",IF(OR(D40="",G40="",K40=""),"Run起票不足",IF(AND(D40="事故",OR(E40="",U40="")),"事故・レビュー参照不足",IF(AND(D40="早期Stop",OR(E40="",IFERROR(IF(COUNTIF('29_ゲート承認記録'!$F$4:$F$83,E40)&lt;&gt;1,"参照ID不正",IF(INDEX('29_ゲート承認記録'!$L$4:$L$83,MATCH(E40,'29_ゲート承認記録'!$F$4:$F$83,0))="","",INDEX('29_ゲート承認記録'!$L$4:$L$83,MATCH(E40,'29_ゲート承認記録'!$F$4:$F$83,0))))&lt;&gt;"Stop",TRUE))),"Stop判断参照不足",IF(OR(AND(I40&lt;&gt;"",OR(NOT(ISNUMBER(I40)),IFERROR(I40&lt;1,TRUE),IFERROR(INT(I40)&gt;INT(AsOfDate),TRUE))),AND(N40&lt;&gt;"",OR(NOT(ISNUMBER(N40)),IFERROR(N40&lt;1,TRUE),IFERROR(INT(N40)&gt;INT(AsOfDate),TRUE)))),"Run実績日不正",IF(O40&lt;&gt;"完了","Run進行中",IF(OR(F40="",L40="",M40="",COUNT(I40,N40)&lt;2),"Run完了証拠不足",IF(N40&lt;I40,"確認日逆転",IF(AND(D40="定期",NOT(ISNUMBER(J40))),"次回期限不足","Run記録あり・内容審査別")))))))))))</f>
        <v/>
      </c>
      <c r="Q40" s="29"/>
      <c r="R40" s="34"/>
      <c r="S40" s="29"/>
      <c r="T40" s="29"/>
      <c r="U40" s="29"/>
    </row>
    <row r="41" spans="1:21" ht="64" customHeight="1" x14ac:dyDescent="0.2">
      <c r="A41" s="29"/>
      <c r="B41" s="29"/>
      <c r="C41" s="28" t="str">
        <f>IF(A41="","",IF(COUNTIF('02_工程タスク'!$A$4:$A$135,B41)&lt;&gt;1,"参照ID不正",IF(INDEX('02_工程タスク'!$D$4:$D$135,MATCH(B41,'02_工程タスク'!$A$4:$A$135,0))="","",INDEX('02_工程タスク'!$D$4:$D$135,MATCH(B41,'02_工程タスク'!$A$4:$A$135,0)))))</f>
        <v/>
      </c>
      <c r="D41" s="29"/>
      <c r="E41" s="29"/>
      <c r="F41" s="29"/>
      <c r="G41" s="29"/>
      <c r="H41" s="34"/>
      <c r="I41" s="34"/>
      <c r="J41" s="34"/>
      <c r="K41" s="29"/>
      <c r="L41" s="29"/>
      <c r="M41" s="29"/>
      <c r="N41" s="34"/>
      <c r="O41" s="29"/>
      <c r="P41" s="28" t="str">
        <f>IF(A41="","",IF(COUNTIF($A$4:$A$63,A41)&lt;&gt;1,"TaskRun ID重複",IF(COUNTIF(TaskIDs,B41)&lt;&gt;1,"Task ID不正",IF(OR(D41="",G41="",K41=""),"Run起票不足",IF(AND(D41="事故",OR(E41="",U41="")),"事故・レビュー参照不足",IF(AND(D41="早期Stop",OR(E41="",IFERROR(IF(COUNTIF('29_ゲート承認記録'!$F$4:$F$83,E41)&lt;&gt;1,"参照ID不正",IF(INDEX('29_ゲート承認記録'!$L$4:$L$83,MATCH(E41,'29_ゲート承認記録'!$F$4:$F$83,0))="","",INDEX('29_ゲート承認記録'!$L$4:$L$83,MATCH(E41,'29_ゲート承認記録'!$F$4:$F$83,0))))&lt;&gt;"Stop",TRUE))),"Stop判断参照不足",IF(OR(AND(I41&lt;&gt;"",OR(NOT(ISNUMBER(I41)),IFERROR(I41&lt;1,TRUE),IFERROR(INT(I41)&gt;INT(AsOfDate),TRUE))),AND(N41&lt;&gt;"",OR(NOT(ISNUMBER(N41)),IFERROR(N41&lt;1,TRUE),IFERROR(INT(N41)&gt;INT(AsOfDate),TRUE)))),"Run実績日不正",IF(O41&lt;&gt;"完了","Run進行中",IF(OR(F41="",L41="",M41="",COUNT(I41,N41)&lt;2),"Run完了証拠不足",IF(N41&lt;I41,"確認日逆転",IF(AND(D41="定期",NOT(ISNUMBER(J41))),"次回期限不足","Run記録あり・内容審査別")))))))))))</f>
        <v/>
      </c>
      <c r="Q41" s="29"/>
      <c r="R41" s="34"/>
      <c r="S41" s="29"/>
      <c r="T41" s="29"/>
      <c r="U41" s="29"/>
    </row>
    <row r="42" spans="1:21" ht="64" customHeight="1" x14ac:dyDescent="0.2">
      <c r="A42" s="29"/>
      <c r="B42" s="29"/>
      <c r="C42" s="28" t="str">
        <f>IF(A42="","",IF(COUNTIF('02_工程タスク'!$A$4:$A$135,B42)&lt;&gt;1,"参照ID不正",IF(INDEX('02_工程タスク'!$D$4:$D$135,MATCH(B42,'02_工程タスク'!$A$4:$A$135,0))="","",INDEX('02_工程タスク'!$D$4:$D$135,MATCH(B42,'02_工程タスク'!$A$4:$A$135,0)))))</f>
        <v/>
      </c>
      <c r="D42" s="29"/>
      <c r="E42" s="29"/>
      <c r="F42" s="29"/>
      <c r="G42" s="29"/>
      <c r="H42" s="34"/>
      <c r="I42" s="34"/>
      <c r="J42" s="34"/>
      <c r="K42" s="29"/>
      <c r="L42" s="29"/>
      <c r="M42" s="29"/>
      <c r="N42" s="34"/>
      <c r="O42" s="29"/>
      <c r="P42" s="28" t="str">
        <f>IF(A42="","",IF(COUNTIF($A$4:$A$63,A42)&lt;&gt;1,"TaskRun ID重複",IF(COUNTIF(TaskIDs,B42)&lt;&gt;1,"Task ID不正",IF(OR(D42="",G42="",K42=""),"Run起票不足",IF(AND(D42="事故",OR(E42="",U42="")),"事故・レビュー参照不足",IF(AND(D42="早期Stop",OR(E42="",IFERROR(IF(COUNTIF('29_ゲート承認記録'!$F$4:$F$83,E42)&lt;&gt;1,"参照ID不正",IF(INDEX('29_ゲート承認記録'!$L$4:$L$83,MATCH(E42,'29_ゲート承認記録'!$F$4:$F$83,0))="","",INDEX('29_ゲート承認記録'!$L$4:$L$83,MATCH(E42,'29_ゲート承認記録'!$F$4:$F$83,0))))&lt;&gt;"Stop",TRUE))),"Stop判断参照不足",IF(OR(AND(I42&lt;&gt;"",OR(NOT(ISNUMBER(I42)),IFERROR(I42&lt;1,TRUE),IFERROR(INT(I42)&gt;INT(AsOfDate),TRUE))),AND(N42&lt;&gt;"",OR(NOT(ISNUMBER(N42)),IFERROR(N42&lt;1,TRUE),IFERROR(INT(N42)&gt;INT(AsOfDate),TRUE)))),"Run実績日不正",IF(O42&lt;&gt;"完了","Run進行中",IF(OR(F42="",L42="",M42="",COUNT(I42,N42)&lt;2),"Run完了証拠不足",IF(N42&lt;I42,"確認日逆転",IF(AND(D42="定期",NOT(ISNUMBER(J42))),"次回期限不足","Run記録あり・内容審査別")))))))))))</f>
        <v/>
      </c>
      <c r="Q42" s="29"/>
      <c r="R42" s="34"/>
      <c r="S42" s="29"/>
      <c r="T42" s="29"/>
      <c r="U42" s="29"/>
    </row>
    <row r="43" spans="1:21" ht="64" customHeight="1" x14ac:dyDescent="0.2">
      <c r="A43" s="29"/>
      <c r="B43" s="29"/>
      <c r="C43" s="28" t="str">
        <f>IF(A43="","",IF(COUNTIF('02_工程タスク'!$A$4:$A$135,B43)&lt;&gt;1,"参照ID不正",IF(INDEX('02_工程タスク'!$D$4:$D$135,MATCH(B43,'02_工程タスク'!$A$4:$A$135,0))="","",INDEX('02_工程タスク'!$D$4:$D$135,MATCH(B43,'02_工程タスク'!$A$4:$A$135,0)))))</f>
        <v/>
      </c>
      <c r="D43" s="29"/>
      <c r="E43" s="29"/>
      <c r="F43" s="29"/>
      <c r="G43" s="29"/>
      <c r="H43" s="34"/>
      <c r="I43" s="34"/>
      <c r="J43" s="34"/>
      <c r="K43" s="29"/>
      <c r="L43" s="29"/>
      <c r="M43" s="29"/>
      <c r="N43" s="34"/>
      <c r="O43" s="29"/>
      <c r="P43" s="28" t="str">
        <f>IF(A43="","",IF(COUNTIF($A$4:$A$63,A43)&lt;&gt;1,"TaskRun ID重複",IF(COUNTIF(TaskIDs,B43)&lt;&gt;1,"Task ID不正",IF(OR(D43="",G43="",K43=""),"Run起票不足",IF(AND(D43="事故",OR(E43="",U43="")),"事故・レビュー参照不足",IF(AND(D43="早期Stop",OR(E43="",IFERROR(IF(COUNTIF('29_ゲート承認記録'!$F$4:$F$83,E43)&lt;&gt;1,"参照ID不正",IF(INDEX('29_ゲート承認記録'!$L$4:$L$83,MATCH(E43,'29_ゲート承認記録'!$F$4:$F$83,0))="","",INDEX('29_ゲート承認記録'!$L$4:$L$83,MATCH(E43,'29_ゲート承認記録'!$F$4:$F$83,0))))&lt;&gt;"Stop",TRUE))),"Stop判断参照不足",IF(OR(AND(I43&lt;&gt;"",OR(NOT(ISNUMBER(I43)),IFERROR(I43&lt;1,TRUE),IFERROR(INT(I43)&gt;INT(AsOfDate),TRUE))),AND(N43&lt;&gt;"",OR(NOT(ISNUMBER(N43)),IFERROR(N43&lt;1,TRUE),IFERROR(INT(N43)&gt;INT(AsOfDate),TRUE)))),"Run実績日不正",IF(O43&lt;&gt;"完了","Run進行中",IF(OR(F43="",L43="",M43="",COUNT(I43,N43)&lt;2),"Run完了証拠不足",IF(N43&lt;I43,"確認日逆転",IF(AND(D43="定期",NOT(ISNUMBER(J43))),"次回期限不足","Run記録あり・内容審査別")))))))))))</f>
        <v/>
      </c>
      <c r="Q43" s="29"/>
      <c r="R43" s="34"/>
      <c r="S43" s="29"/>
      <c r="T43" s="29"/>
      <c r="U43" s="29"/>
    </row>
    <row r="44" spans="1:21" ht="64" customHeight="1" x14ac:dyDescent="0.2">
      <c r="A44" s="29"/>
      <c r="B44" s="29"/>
      <c r="C44" s="28" t="str">
        <f>IF(A44="","",IF(COUNTIF('02_工程タスク'!$A$4:$A$135,B44)&lt;&gt;1,"参照ID不正",IF(INDEX('02_工程タスク'!$D$4:$D$135,MATCH(B44,'02_工程タスク'!$A$4:$A$135,0))="","",INDEX('02_工程タスク'!$D$4:$D$135,MATCH(B44,'02_工程タスク'!$A$4:$A$135,0)))))</f>
        <v/>
      </c>
      <c r="D44" s="29"/>
      <c r="E44" s="29"/>
      <c r="F44" s="29"/>
      <c r="G44" s="29"/>
      <c r="H44" s="34"/>
      <c r="I44" s="34"/>
      <c r="J44" s="34"/>
      <c r="K44" s="29"/>
      <c r="L44" s="29"/>
      <c r="M44" s="29"/>
      <c r="N44" s="34"/>
      <c r="O44" s="29"/>
      <c r="P44" s="28" t="str">
        <f>IF(A44="","",IF(COUNTIF($A$4:$A$63,A44)&lt;&gt;1,"TaskRun ID重複",IF(COUNTIF(TaskIDs,B44)&lt;&gt;1,"Task ID不正",IF(OR(D44="",G44="",K44=""),"Run起票不足",IF(AND(D44="事故",OR(E44="",U44="")),"事故・レビュー参照不足",IF(AND(D44="早期Stop",OR(E44="",IFERROR(IF(COUNTIF('29_ゲート承認記録'!$F$4:$F$83,E44)&lt;&gt;1,"参照ID不正",IF(INDEX('29_ゲート承認記録'!$L$4:$L$83,MATCH(E44,'29_ゲート承認記録'!$F$4:$F$83,0))="","",INDEX('29_ゲート承認記録'!$L$4:$L$83,MATCH(E44,'29_ゲート承認記録'!$F$4:$F$83,0))))&lt;&gt;"Stop",TRUE))),"Stop判断参照不足",IF(OR(AND(I44&lt;&gt;"",OR(NOT(ISNUMBER(I44)),IFERROR(I44&lt;1,TRUE),IFERROR(INT(I44)&gt;INT(AsOfDate),TRUE))),AND(N44&lt;&gt;"",OR(NOT(ISNUMBER(N44)),IFERROR(N44&lt;1,TRUE),IFERROR(INT(N44)&gt;INT(AsOfDate),TRUE)))),"Run実績日不正",IF(O44&lt;&gt;"完了","Run進行中",IF(OR(F44="",L44="",M44="",COUNT(I44,N44)&lt;2),"Run完了証拠不足",IF(N44&lt;I44,"確認日逆転",IF(AND(D44="定期",NOT(ISNUMBER(J44))),"次回期限不足","Run記録あり・内容審査別")))))))))))</f>
        <v/>
      </c>
      <c r="Q44" s="29"/>
      <c r="R44" s="34"/>
      <c r="S44" s="29"/>
      <c r="T44" s="29"/>
      <c r="U44" s="29"/>
    </row>
    <row r="45" spans="1:21" ht="64" customHeight="1" x14ac:dyDescent="0.2">
      <c r="A45" s="29"/>
      <c r="B45" s="29"/>
      <c r="C45" s="28" t="str">
        <f>IF(A45="","",IF(COUNTIF('02_工程タスク'!$A$4:$A$135,B45)&lt;&gt;1,"参照ID不正",IF(INDEX('02_工程タスク'!$D$4:$D$135,MATCH(B45,'02_工程タスク'!$A$4:$A$135,0))="","",INDEX('02_工程タスク'!$D$4:$D$135,MATCH(B45,'02_工程タスク'!$A$4:$A$135,0)))))</f>
        <v/>
      </c>
      <c r="D45" s="29"/>
      <c r="E45" s="29"/>
      <c r="F45" s="29"/>
      <c r="G45" s="29"/>
      <c r="H45" s="34"/>
      <c r="I45" s="34"/>
      <c r="J45" s="34"/>
      <c r="K45" s="29"/>
      <c r="L45" s="29"/>
      <c r="M45" s="29"/>
      <c r="N45" s="34"/>
      <c r="O45" s="29"/>
      <c r="P45" s="28" t="str">
        <f>IF(A45="","",IF(COUNTIF($A$4:$A$63,A45)&lt;&gt;1,"TaskRun ID重複",IF(COUNTIF(TaskIDs,B45)&lt;&gt;1,"Task ID不正",IF(OR(D45="",G45="",K45=""),"Run起票不足",IF(AND(D45="事故",OR(E45="",U45="")),"事故・レビュー参照不足",IF(AND(D45="早期Stop",OR(E45="",IFERROR(IF(COUNTIF('29_ゲート承認記録'!$F$4:$F$83,E45)&lt;&gt;1,"参照ID不正",IF(INDEX('29_ゲート承認記録'!$L$4:$L$83,MATCH(E45,'29_ゲート承認記録'!$F$4:$F$83,0))="","",INDEX('29_ゲート承認記録'!$L$4:$L$83,MATCH(E45,'29_ゲート承認記録'!$F$4:$F$83,0))))&lt;&gt;"Stop",TRUE))),"Stop判断参照不足",IF(OR(AND(I45&lt;&gt;"",OR(NOT(ISNUMBER(I45)),IFERROR(I45&lt;1,TRUE),IFERROR(INT(I45)&gt;INT(AsOfDate),TRUE))),AND(N45&lt;&gt;"",OR(NOT(ISNUMBER(N45)),IFERROR(N45&lt;1,TRUE),IFERROR(INT(N45)&gt;INT(AsOfDate),TRUE)))),"Run実績日不正",IF(O45&lt;&gt;"完了","Run進行中",IF(OR(F45="",L45="",M45="",COUNT(I45,N45)&lt;2),"Run完了証拠不足",IF(N45&lt;I45,"確認日逆転",IF(AND(D45="定期",NOT(ISNUMBER(J45))),"次回期限不足","Run記録あり・内容審査別")))))))))))</f>
        <v/>
      </c>
      <c r="Q45" s="29"/>
      <c r="R45" s="34"/>
      <c r="S45" s="29"/>
      <c r="T45" s="29"/>
      <c r="U45" s="29"/>
    </row>
    <row r="46" spans="1:21" ht="64" customHeight="1" x14ac:dyDescent="0.2">
      <c r="A46" s="29"/>
      <c r="B46" s="29"/>
      <c r="C46" s="28" t="str">
        <f>IF(A46="","",IF(COUNTIF('02_工程タスク'!$A$4:$A$135,B46)&lt;&gt;1,"参照ID不正",IF(INDEX('02_工程タスク'!$D$4:$D$135,MATCH(B46,'02_工程タスク'!$A$4:$A$135,0))="","",INDEX('02_工程タスク'!$D$4:$D$135,MATCH(B46,'02_工程タスク'!$A$4:$A$135,0)))))</f>
        <v/>
      </c>
      <c r="D46" s="29"/>
      <c r="E46" s="29"/>
      <c r="F46" s="29"/>
      <c r="G46" s="29"/>
      <c r="H46" s="34"/>
      <c r="I46" s="34"/>
      <c r="J46" s="34"/>
      <c r="K46" s="29"/>
      <c r="L46" s="29"/>
      <c r="M46" s="29"/>
      <c r="N46" s="34"/>
      <c r="O46" s="29"/>
      <c r="P46" s="28" t="str">
        <f>IF(A46="","",IF(COUNTIF($A$4:$A$63,A46)&lt;&gt;1,"TaskRun ID重複",IF(COUNTIF(TaskIDs,B46)&lt;&gt;1,"Task ID不正",IF(OR(D46="",G46="",K46=""),"Run起票不足",IF(AND(D46="事故",OR(E46="",U46="")),"事故・レビュー参照不足",IF(AND(D46="早期Stop",OR(E46="",IFERROR(IF(COUNTIF('29_ゲート承認記録'!$F$4:$F$83,E46)&lt;&gt;1,"参照ID不正",IF(INDEX('29_ゲート承認記録'!$L$4:$L$83,MATCH(E46,'29_ゲート承認記録'!$F$4:$F$83,0))="","",INDEX('29_ゲート承認記録'!$L$4:$L$83,MATCH(E46,'29_ゲート承認記録'!$F$4:$F$83,0))))&lt;&gt;"Stop",TRUE))),"Stop判断参照不足",IF(OR(AND(I46&lt;&gt;"",OR(NOT(ISNUMBER(I46)),IFERROR(I46&lt;1,TRUE),IFERROR(INT(I46)&gt;INT(AsOfDate),TRUE))),AND(N46&lt;&gt;"",OR(NOT(ISNUMBER(N46)),IFERROR(N46&lt;1,TRUE),IFERROR(INT(N46)&gt;INT(AsOfDate),TRUE)))),"Run実績日不正",IF(O46&lt;&gt;"完了","Run進行中",IF(OR(F46="",L46="",M46="",COUNT(I46,N46)&lt;2),"Run完了証拠不足",IF(N46&lt;I46,"確認日逆転",IF(AND(D46="定期",NOT(ISNUMBER(J46))),"次回期限不足","Run記録あり・内容審査別")))))))))))</f>
        <v/>
      </c>
      <c r="Q46" s="29"/>
      <c r="R46" s="34"/>
      <c r="S46" s="29"/>
      <c r="T46" s="29"/>
      <c r="U46" s="29"/>
    </row>
    <row r="47" spans="1:21" ht="64" customHeight="1" x14ac:dyDescent="0.2">
      <c r="A47" s="29"/>
      <c r="B47" s="29"/>
      <c r="C47" s="28" t="str">
        <f>IF(A47="","",IF(COUNTIF('02_工程タスク'!$A$4:$A$135,B47)&lt;&gt;1,"参照ID不正",IF(INDEX('02_工程タスク'!$D$4:$D$135,MATCH(B47,'02_工程タスク'!$A$4:$A$135,0))="","",INDEX('02_工程タスク'!$D$4:$D$135,MATCH(B47,'02_工程タスク'!$A$4:$A$135,0)))))</f>
        <v/>
      </c>
      <c r="D47" s="29"/>
      <c r="E47" s="29"/>
      <c r="F47" s="29"/>
      <c r="G47" s="29"/>
      <c r="H47" s="34"/>
      <c r="I47" s="34"/>
      <c r="J47" s="34"/>
      <c r="K47" s="29"/>
      <c r="L47" s="29"/>
      <c r="M47" s="29"/>
      <c r="N47" s="34"/>
      <c r="O47" s="29"/>
      <c r="P47" s="28" t="str">
        <f>IF(A47="","",IF(COUNTIF($A$4:$A$63,A47)&lt;&gt;1,"TaskRun ID重複",IF(COUNTIF(TaskIDs,B47)&lt;&gt;1,"Task ID不正",IF(OR(D47="",G47="",K47=""),"Run起票不足",IF(AND(D47="事故",OR(E47="",U47="")),"事故・レビュー参照不足",IF(AND(D47="早期Stop",OR(E47="",IFERROR(IF(COUNTIF('29_ゲート承認記録'!$F$4:$F$83,E47)&lt;&gt;1,"参照ID不正",IF(INDEX('29_ゲート承認記録'!$L$4:$L$83,MATCH(E47,'29_ゲート承認記録'!$F$4:$F$83,0))="","",INDEX('29_ゲート承認記録'!$L$4:$L$83,MATCH(E47,'29_ゲート承認記録'!$F$4:$F$83,0))))&lt;&gt;"Stop",TRUE))),"Stop判断参照不足",IF(OR(AND(I47&lt;&gt;"",OR(NOT(ISNUMBER(I47)),IFERROR(I47&lt;1,TRUE),IFERROR(INT(I47)&gt;INT(AsOfDate),TRUE))),AND(N47&lt;&gt;"",OR(NOT(ISNUMBER(N47)),IFERROR(N47&lt;1,TRUE),IFERROR(INT(N47)&gt;INT(AsOfDate),TRUE)))),"Run実績日不正",IF(O47&lt;&gt;"完了","Run進行中",IF(OR(F47="",L47="",M47="",COUNT(I47,N47)&lt;2),"Run完了証拠不足",IF(N47&lt;I47,"確認日逆転",IF(AND(D47="定期",NOT(ISNUMBER(J47))),"次回期限不足","Run記録あり・内容審査別")))))))))))</f>
        <v/>
      </c>
      <c r="Q47" s="29"/>
      <c r="R47" s="34"/>
      <c r="S47" s="29"/>
      <c r="T47" s="29"/>
      <c r="U47" s="29"/>
    </row>
    <row r="48" spans="1:21" ht="64" customHeight="1" x14ac:dyDescent="0.2">
      <c r="A48" s="29"/>
      <c r="B48" s="29"/>
      <c r="C48" s="28" t="str">
        <f>IF(A48="","",IF(COUNTIF('02_工程タスク'!$A$4:$A$135,B48)&lt;&gt;1,"参照ID不正",IF(INDEX('02_工程タスク'!$D$4:$D$135,MATCH(B48,'02_工程タスク'!$A$4:$A$135,0))="","",INDEX('02_工程タスク'!$D$4:$D$135,MATCH(B48,'02_工程タスク'!$A$4:$A$135,0)))))</f>
        <v/>
      </c>
      <c r="D48" s="29"/>
      <c r="E48" s="29"/>
      <c r="F48" s="29"/>
      <c r="G48" s="29"/>
      <c r="H48" s="34"/>
      <c r="I48" s="34"/>
      <c r="J48" s="34"/>
      <c r="K48" s="29"/>
      <c r="L48" s="29"/>
      <c r="M48" s="29"/>
      <c r="N48" s="34"/>
      <c r="O48" s="29"/>
      <c r="P48" s="28" t="str">
        <f>IF(A48="","",IF(COUNTIF($A$4:$A$63,A48)&lt;&gt;1,"TaskRun ID重複",IF(COUNTIF(TaskIDs,B48)&lt;&gt;1,"Task ID不正",IF(OR(D48="",G48="",K48=""),"Run起票不足",IF(AND(D48="事故",OR(E48="",U48="")),"事故・レビュー参照不足",IF(AND(D48="早期Stop",OR(E48="",IFERROR(IF(COUNTIF('29_ゲート承認記録'!$F$4:$F$83,E48)&lt;&gt;1,"参照ID不正",IF(INDEX('29_ゲート承認記録'!$L$4:$L$83,MATCH(E48,'29_ゲート承認記録'!$F$4:$F$83,0))="","",INDEX('29_ゲート承認記録'!$L$4:$L$83,MATCH(E48,'29_ゲート承認記録'!$F$4:$F$83,0))))&lt;&gt;"Stop",TRUE))),"Stop判断参照不足",IF(OR(AND(I48&lt;&gt;"",OR(NOT(ISNUMBER(I48)),IFERROR(I48&lt;1,TRUE),IFERROR(INT(I48)&gt;INT(AsOfDate),TRUE))),AND(N48&lt;&gt;"",OR(NOT(ISNUMBER(N48)),IFERROR(N48&lt;1,TRUE),IFERROR(INT(N48)&gt;INT(AsOfDate),TRUE)))),"Run実績日不正",IF(O48&lt;&gt;"完了","Run進行中",IF(OR(F48="",L48="",M48="",COUNT(I48,N48)&lt;2),"Run完了証拠不足",IF(N48&lt;I48,"確認日逆転",IF(AND(D48="定期",NOT(ISNUMBER(J48))),"次回期限不足","Run記録あり・内容審査別")))))))))))</f>
        <v/>
      </c>
      <c r="Q48" s="29"/>
      <c r="R48" s="34"/>
      <c r="S48" s="29"/>
      <c r="T48" s="29"/>
      <c r="U48" s="29"/>
    </row>
    <row r="49" spans="1:21" ht="64" customHeight="1" x14ac:dyDescent="0.2">
      <c r="A49" s="29"/>
      <c r="B49" s="29"/>
      <c r="C49" s="28" t="str">
        <f>IF(A49="","",IF(COUNTIF('02_工程タスク'!$A$4:$A$135,B49)&lt;&gt;1,"参照ID不正",IF(INDEX('02_工程タスク'!$D$4:$D$135,MATCH(B49,'02_工程タスク'!$A$4:$A$135,0))="","",INDEX('02_工程タスク'!$D$4:$D$135,MATCH(B49,'02_工程タスク'!$A$4:$A$135,0)))))</f>
        <v/>
      </c>
      <c r="D49" s="29"/>
      <c r="E49" s="29"/>
      <c r="F49" s="29"/>
      <c r="G49" s="29"/>
      <c r="H49" s="34"/>
      <c r="I49" s="34"/>
      <c r="J49" s="34"/>
      <c r="K49" s="29"/>
      <c r="L49" s="29"/>
      <c r="M49" s="29"/>
      <c r="N49" s="34"/>
      <c r="O49" s="29"/>
      <c r="P49" s="28" t="str">
        <f>IF(A49="","",IF(COUNTIF($A$4:$A$63,A49)&lt;&gt;1,"TaskRun ID重複",IF(COUNTIF(TaskIDs,B49)&lt;&gt;1,"Task ID不正",IF(OR(D49="",G49="",K49=""),"Run起票不足",IF(AND(D49="事故",OR(E49="",U49="")),"事故・レビュー参照不足",IF(AND(D49="早期Stop",OR(E49="",IFERROR(IF(COUNTIF('29_ゲート承認記録'!$F$4:$F$83,E49)&lt;&gt;1,"参照ID不正",IF(INDEX('29_ゲート承認記録'!$L$4:$L$83,MATCH(E49,'29_ゲート承認記録'!$F$4:$F$83,0))="","",INDEX('29_ゲート承認記録'!$L$4:$L$83,MATCH(E49,'29_ゲート承認記録'!$F$4:$F$83,0))))&lt;&gt;"Stop",TRUE))),"Stop判断参照不足",IF(OR(AND(I49&lt;&gt;"",OR(NOT(ISNUMBER(I49)),IFERROR(I49&lt;1,TRUE),IFERROR(INT(I49)&gt;INT(AsOfDate),TRUE))),AND(N49&lt;&gt;"",OR(NOT(ISNUMBER(N49)),IFERROR(N49&lt;1,TRUE),IFERROR(INT(N49)&gt;INT(AsOfDate),TRUE)))),"Run実績日不正",IF(O49&lt;&gt;"完了","Run進行中",IF(OR(F49="",L49="",M49="",COUNT(I49,N49)&lt;2),"Run完了証拠不足",IF(N49&lt;I49,"確認日逆転",IF(AND(D49="定期",NOT(ISNUMBER(J49))),"次回期限不足","Run記録あり・内容審査別")))))))))))</f>
        <v/>
      </c>
      <c r="Q49" s="29"/>
      <c r="R49" s="34"/>
      <c r="S49" s="29"/>
      <c r="T49" s="29"/>
      <c r="U49" s="29"/>
    </row>
    <row r="50" spans="1:21" ht="64" customHeight="1" x14ac:dyDescent="0.2">
      <c r="A50" s="29"/>
      <c r="B50" s="29"/>
      <c r="C50" s="28" t="str">
        <f>IF(A50="","",IF(COUNTIF('02_工程タスク'!$A$4:$A$135,B50)&lt;&gt;1,"参照ID不正",IF(INDEX('02_工程タスク'!$D$4:$D$135,MATCH(B50,'02_工程タスク'!$A$4:$A$135,0))="","",INDEX('02_工程タスク'!$D$4:$D$135,MATCH(B50,'02_工程タスク'!$A$4:$A$135,0)))))</f>
        <v/>
      </c>
      <c r="D50" s="29"/>
      <c r="E50" s="29"/>
      <c r="F50" s="29"/>
      <c r="G50" s="29"/>
      <c r="H50" s="34"/>
      <c r="I50" s="34"/>
      <c r="J50" s="34"/>
      <c r="K50" s="29"/>
      <c r="L50" s="29"/>
      <c r="M50" s="29"/>
      <c r="N50" s="34"/>
      <c r="O50" s="29"/>
      <c r="P50" s="28" t="str">
        <f>IF(A50="","",IF(COUNTIF($A$4:$A$63,A50)&lt;&gt;1,"TaskRun ID重複",IF(COUNTIF(TaskIDs,B50)&lt;&gt;1,"Task ID不正",IF(OR(D50="",G50="",K50=""),"Run起票不足",IF(AND(D50="事故",OR(E50="",U50="")),"事故・レビュー参照不足",IF(AND(D50="早期Stop",OR(E50="",IFERROR(IF(COUNTIF('29_ゲート承認記録'!$F$4:$F$83,E50)&lt;&gt;1,"参照ID不正",IF(INDEX('29_ゲート承認記録'!$L$4:$L$83,MATCH(E50,'29_ゲート承認記録'!$F$4:$F$83,0))="","",INDEX('29_ゲート承認記録'!$L$4:$L$83,MATCH(E50,'29_ゲート承認記録'!$F$4:$F$83,0))))&lt;&gt;"Stop",TRUE))),"Stop判断参照不足",IF(OR(AND(I50&lt;&gt;"",OR(NOT(ISNUMBER(I50)),IFERROR(I50&lt;1,TRUE),IFERROR(INT(I50)&gt;INT(AsOfDate),TRUE))),AND(N50&lt;&gt;"",OR(NOT(ISNUMBER(N50)),IFERROR(N50&lt;1,TRUE),IFERROR(INT(N50)&gt;INT(AsOfDate),TRUE)))),"Run実績日不正",IF(O50&lt;&gt;"完了","Run進行中",IF(OR(F50="",L50="",M50="",COUNT(I50,N50)&lt;2),"Run完了証拠不足",IF(N50&lt;I50,"確認日逆転",IF(AND(D50="定期",NOT(ISNUMBER(J50))),"次回期限不足","Run記録あり・内容審査別")))))))))))</f>
        <v/>
      </c>
      <c r="Q50" s="29"/>
      <c r="R50" s="34"/>
      <c r="S50" s="29"/>
      <c r="T50" s="29"/>
      <c r="U50" s="29"/>
    </row>
    <row r="51" spans="1:21" ht="64" customHeight="1" x14ac:dyDescent="0.2">
      <c r="A51" s="29"/>
      <c r="B51" s="29"/>
      <c r="C51" s="28" t="str">
        <f>IF(A51="","",IF(COUNTIF('02_工程タスク'!$A$4:$A$135,B51)&lt;&gt;1,"参照ID不正",IF(INDEX('02_工程タスク'!$D$4:$D$135,MATCH(B51,'02_工程タスク'!$A$4:$A$135,0))="","",INDEX('02_工程タスク'!$D$4:$D$135,MATCH(B51,'02_工程タスク'!$A$4:$A$135,0)))))</f>
        <v/>
      </c>
      <c r="D51" s="29"/>
      <c r="E51" s="29"/>
      <c r="F51" s="29"/>
      <c r="G51" s="29"/>
      <c r="H51" s="34"/>
      <c r="I51" s="34"/>
      <c r="J51" s="34"/>
      <c r="K51" s="29"/>
      <c r="L51" s="29"/>
      <c r="M51" s="29"/>
      <c r="N51" s="34"/>
      <c r="O51" s="29"/>
      <c r="P51" s="28" t="str">
        <f>IF(A51="","",IF(COUNTIF($A$4:$A$63,A51)&lt;&gt;1,"TaskRun ID重複",IF(COUNTIF(TaskIDs,B51)&lt;&gt;1,"Task ID不正",IF(OR(D51="",G51="",K51=""),"Run起票不足",IF(AND(D51="事故",OR(E51="",U51="")),"事故・レビュー参照不足",IF(AND(D51="早期Stop",OR(E51="",IFERROR(IF(COUNTIF('29_ゲート承認記録'!$F$4:$F$83,E51)&lt;&gt;1,"参照ID不正",IF(INDEX('29_ゲート承認記録'!$L$4:$L$83,MATCH(E51,'29_ゲート承認記録'!$F$4:$F$83,0))="","",INDEX('29_ゲート承認記録'!$L$4:$L$83,MATCH(E51,'29_ゲート承認記録'!$F$4:$F$83,0))))&lt;&gt;"Stop",TRUE))),"Stop判断参照不足",IF(OR(AND(I51&lt;&gt;"",OR(NOT(ISNUMBER(I51)),IFERROR(I51&lt;1,TRUE),IFERROR(INT(I51)&gt;INT(AsOfDate),TRUE))),AND(N51&lt;&gt;"",OR(NOT(ISNUMBER(N51)),IFERROR(N51&lt;1,TRUE),IFERROR(INT(N51)&gt;INT(AsOfDate),TRUE)))),"Run実績日不正",IF(O51&lt;&gt;"完了","Run進行中",IF(OR(F51="",L51="",M51="",COUNT(I51,N51)&lt;2),"Run完了証拠不足",IF(N51&lt;I51,"確認日逆転",IF(AND(D51="定期",NOT(ISNUMBER(J51))),"次回期限不足","Run記録あり・内容審査別")))))))))))</f>
        <v/>
      </c>
      <c r="Q51" s="29"/>
      <c r="R51" s="34"/>
      <c r="S51" s="29"/>
      <c r="T51" s="29"/>
      <c r="U51" s="29"/>
    </row>
    <row r="52" spans="1:21" ht="64" customHeight="1" x14ac:dyDescent="0.2">
      <c r="A52" s="29"/>
      <c r="B52" s="29"/>
      <c r="C52" s="28" t="str">
        <f>IF(A52="","",IF(COUNTIF('02_工程タスク'!$A$4:$A$135,B52)&lt;&gt;1,"参照ID不正",IF(INDEX('02_工程タスク'!$D$4:$D$135,MATCH(B52,'02_工程タスク'!$A$4:$A$135,0))="","",INDEX('02_工程タスク'!$D$4:$D$135,MATCH(B52,'02_工程タスク'!$A$4:$A$135,0)))))</f>
        <v/>
      </c>
      <c r="D52" s="29"/>
      <c r="E52" s="29"/>
      <c r="F52" s="29"/>
      <c r="G52" s="29"/>
      <c r="H52" s="34"/>
      <c r="I52" s="34"/>
      <c r="J52" s="34"/>
      <c r="K52" s="29"/>
      <c r="L52" s="29"/>
      <c r="M52" s="29"/>
      <c r="N52" s="34"/>
      <c r="O52" s="29"/>
      <c r="P52" s="28" t="str">
        <f>IF(A52="","",IF(COUNTIF($A$4:$A$63,A52)&lt;&gt;1,"TaskRun ID重複",IF(COUNTIF(TaskIDs,B52)&lt;&gt;1,"Task ID不正",IF(OR(D52="",G52="",K52=""),"Run起票不足",IF(AND(D52="事故",OR(E52="",U52="")),"事故・レビュー参照不足",IF(AND(D52="早期Stop",OR(E52="",IFERROR(IF(COUNTIF('29_ゲート承認記録'!$F$4:$F$83,E52)&lt;&gt;1,"参照ID不正",IF(INDEX('29_ゲート承認記録'!$L$4:$L$83,MATCH(E52,'29_ゲート承認記録'!$F$4:$F$83,0))="","",INDEX('29_ゲート承認記録'!$L$4:$L$83,MATCH(E52,'29_ゲート承認記録'!$F$4:$F$83,0))))&lt;&gt;"Stop",TRUE))),"Stop判断参照不足",IF(OR(AND(I52&lt;&gt;"",OR(NOT(ISNUMBER(I52)),IFERROR(I52&lt;1,TRUE),IFERROR(INT(I52)&gt;INT(AsOfDate),TRUE))),AND(N52&lt;&gt;"",OR(NOT(ISNUMBER(N52)),IFERROR(N52&lt;1,TRUE),IFERROR(INT(N52)&gt;INT(AsOfDate),TRUE)))),"Run実績日不正",IF(O52&lt;&gt;"完了","Run進行中",IF(OR(F52="",L52="",M52="",COUNT(I52,N52)&lt;2),"Run完了証拠不足",IF(N52&lt;I52,"確認日逆転",IF(AND(D52="定期",NOT(ISNUMBER(J52))),"次回期限不足","Run記録あり・内容審査別")))))))))))</f>
        <v/>
      </c>
      <c r="Q52" s="29"/>
      <c r="R52" s="34"/>
      <c r="S52" s="29"/>
      <c r="T52" s="29"/>
      <c r="U52" s="29"/>
    </row>
    <row r="53" spans="1:21" ht="64" customHeight="1" x14ac:dyDescent="0.2">
      <c r="A53" s="29"/>
      <c r="B53" s="29"/>
      <c r="C53" s="28" t="str">
        <f>IF(A53="","",IF(COUNTIF('02_工程タスク'!$A$4:$A$135,B53)&lt;&gt;1,"参照ID不正",IF(INDEX('02_工程タスク'!$D$4:$D$135,MATCH(B53,'02_工程タスク'!$A$4:$A$135,0))="","",INDEX('02_工程タスク'!$D$4:$D$135,MATCH(B53,'02_工程タスク'!$A$4:$A$135,0)))))</f>
        <v/>
      </c>
      <c r="D53" s="29"/>
      <c r="E53" s="29"/>
      <c r="F53" s="29"/>
      <c r="G53" s="29"/>
      <c r="H53" s="34"/>
      <c r="I53" s="34"/>
      <c r="J53" s="34"/>
      <c r="K53" s="29"/>
      <c r="L53" s="29"/>
      <c r="M53" s="29"/>
      <c r="N53" s="34"/>
      <c r="O53" s="29"/>
      <c r="P53" s="28" t="str">
        <f>IF(A53="","",IF(COUNTIF($A$4:$A$63,A53)&lt;&gt;1,"TaskRun ID重複",IF(COUNTIF(TaskIDs,B53)&lt;&gt;1,"Task ID不正",IF(OR(D53="",G53="",K53=""),"Run起票不足",IF(AND(D53="事故",OR(E53="",U53="")),"事故・レビュー参照不足",IF(AND(D53="早期Stop",OR(E53="",IFERROR(IF(COUNTIF('29_ゲート承認記録'!$F$4:$F$83,E53)&lt;&gt;1,"参照ID不正",IF(INDEX('29_ゲート承認記録'!$L$4:$L$83,MATCH(E53,'29_ゲート承認記録'!$F$4:$F$83,0))="","",INDEX('29_ゲート承認記録'!$L$4:$L$83,MATCH(E53,'29_ゲート承認記録'!$F$4:$F$83,0))))&lt;&gt;"Stop",TRUE))),"Stop判断参照不足",IF(OR(AND(I53&lt;&gt;"",OR(NOT(ISNUMBER(I53)),IFERROR(I53&lt;1,TRUE),IFERROR(INT(I53)&gt;INT(AsOfDate),TRUE))),AND(N53&lt;&gt;"",OR(NOT(ISNUMBER(N53)),IFERROR(N53&lt;1,TRUE),IFERROR(INT(N53)&gt;INT(AsOfDate),TRUE)))),"Run実績日不正",IF(O53&lt;&gt;"完了","Run進行中",IF(OR(F53="",L53="",M53="",COUNT(I53,N53)&lt;2),"Run完了証拠不足",IF(N53&lt;I53,"確認日逆転",IF(AND(D53="定期",NOT(ISNUMBER(J53))),"次回期限不足","Run記録あり・内容審査別")))))))))))</f>
        <v/>
      </c>
      <c r="Q53" s="29"/>
      <c r="R53" s="34"/>
      <c r="S53" s="29"/>
      <c r="T53" s="29"/>
      <c r="U53" s="29"/>
    </row>
    <row r="54" spans="1:21" ht="64" customHeight="1" x14ac:dyDescent="0.2">
      <c r="A54" s="29"/>
      <c r="B54" s="29"/>
      <c r="C54" s="28" t="str">
        <f>IF(A54="","",IF(COUNTIF('02_工程タスク'!$A$4:$A$135,B54)&lt;&gt;1,"参照ID不正",IF(INDEX('02_工程タスク'!$D$4:$D$135,MATCH(B54,'02_工程タスク'!$A$4:$A$135,0))="","",INDEX('02_工程タスク'!$D$4:$D$135,MATCH(B54,'02_工程タスク'!$A$4:$A$135,0)))))</f>
        <v/>
      </c>
      <c r="D54" s="29"/>
      <c r="E54" s="29"/>
      <c r="F54" s="29"/>
      <c r="G54" s="29"/>
      <c r="H54" s="34"/>
      <c r="I54" s="34"/>
      <c r="J54" s="34"/>
      <c r="K54" s="29"/>
      <c r="L54" s="29"/>
      <c r="M54" s="29"/>
      <c r="N54" s="34"/>
      <c r="O54" s="29"/>
      <c r="P54" s="28" t="str">
        <f>IF(A54="","",IF(COUNTIF($A$4:$A$63,A54)&lt;&gt;1,"TaskRun ID重複",IF(COUNTIF(TaskIDs,B54)&lt;&gt;1,"Task ID不正",IF(OR(D54="",G54="",K54=""),"Run起票不足",IF(AND(D54="事故",OR(E54="",U54="")),"事故・レビュー参照不足",IF(AND(D54="早期Stop",OR(E54="",IFERROR(IF(COUNTIF('29_ゲート承認記録'!$F$4:$F$83,E54)&lt;&gt;1,"参照ID不正",IF(INDEX('29_ゲート承認記録'!$L$4:$L$83,MATCH(E54,'29_ゲート承認記録'!$F$4:$F$83,0))="","",INDEX('29_ゲート承認記録'!$L$4:$L$83,MATCH(E54,'29_ゲート承認記録'!$F$4:$F$83,0))))&lt;&gt;"Stop",TRUE))),"Stop判断参照不足",IF(OR(AND(I54&lt;&gt;"",OR(NOT(ISNUMBER(I54)),IFERROR(I54&lt;1,TRUE),IFERROR(INT(I54)&gt;INT(AsOfDate),TRUE))),AND(N54&lt;&gt;"",OR(NOT(ISNUMBER(N54)),IFERROR(N54&lt;1,TRUE),IFERROR(INT(N54)&gt;INT(AsOfDate),TRUE)))),"Run実績日不正",IF(O54&lt;&gt;"完了","Run進行中",IF(OR(F54="",L54="",M54="",COUNT(I54,N54)&lt;2),"Run完了証拠不足",IF(N54&lt;I54,"確認日逆転",IF(AND(D54="定期",NOT(ISNUMBER(J54))),"次回期限不足","Run記録あり・内容審査別")))))))))))</f>
        <v/>
      </c>
      <c r="Q54" s="29"/>
      <c r="R54" s="34"/>
      <c r="S54" s="29"/>
      <c r="T54" s="29"/>
      <c r="U54" s="29"/>
    </row>
    <row r="55" spans="1:21" ht="64" customHeight="1" x14ac:dyDescent="0.2">
      <c r="A55" s="29"/>
      <c r="B55" s="29"/>
      <c r="C55" s="28" t="str">
        <f>IF(A55="","",IF(COUNTIF('02_工程タスク'!$A$4:$A$135,B55)&lt;&gt;1,"参照ID不正",IF(INDEX('02_工程タスク'!$D$4:$D$135,MATCH(B55,'02_工程タスク'!$A$4:$A$135,0))="","",INDEX('02_工程タスク'!$D$4:$D$135,MATCH(B55,'02_工程タスク'!$A$4:$A$135,0)))))</f>
        <v/>
      </c>
      <c r="D55" s="29"/>
      <c r="E55" s="29"/>
      <c r="F55" s="29"/>
      <c r="G55" s="29"/>
      <c r="H55" s="34"/>
      <c r="I55" s="34"/>
      <c r="J55" s="34"/>
      <c r="K55" s="29"/>
      <c r="L55" s="29"/>
      <c r="M55" s="29"/>
      <c r="N55" s="34"/>
      <c r="O55" s="29"/>
      <c r="P55" s="28" t="str">
        <f>IF(A55="","",IF(COUNTIF($A$4:$A$63,A55)&lt;&gt;1,"TaskRun ID重複",IF(COUNTIF(TaskIDs,B55)&lt;&gt;1,"Task ID不正",IF(OR(D55="",G55="",K55=""),"Run起票不足",IF(AND(D55="事故",OR(E55="",U55="")),"事故・レビュー参照不足",IF(AND(D55="早期Stop",OR(E55="",IFERROR(IF(COUNTIF('29_ゲート承認記録'!$F$4:$F$83,E55)&lt;&gt;1,"参照ID不正",IF(INDEX('29_ゲート承認記録'!$L$4:$L$83,MATCH(E55,'29_ゲート承認記録'!$F$4:$F$83,0))="","",INDEX('29_ゲート承認記録'!$L$4:$L$83,MATCH(E55,'29_ゲート承認記録'!$F$4:$F$83,0))))&lt;&gt;"Stop",TRUE))),"Stop判断参照不足",IF(OR(AND(I55&lt;&gt;"",OR(NOT(ISNUMBER(I55)),IFERROR(I55&lt;1,TRUE),IFERROR(INT(I55)&gt;INT(AsOfDate),TRUE))),AND(N55&lt;&gt;"",OR(NOT(ISNUMBER(N55)),IFERROR(N55&lt;1,TRUE),IFERROR(INT(N55)&gt;INT(AsOfDate),TRUE)))),"Run実績日不正",IF(O55&lt;&gt;"完了","Run進行中",IF(OR(F55="",L55="",M55="",COUNT(I55,N55)&lt;2),"Run完了証拠不足",IF(N55&lt;I55,"確認日逆転",IF(AND(D55="定期",NOT(ISNUMBER(J55))),"次回期限不足","Run記録あり・内容審査別")))))))))))</f>
        <v/>
      </c>
      <c r="Q55" s="29"/>
      <c r="R55" s="34"/>
      <c r="S55" s="29"/>
      <c r="T55" s="29"/>
      <c r="U55" s="29"/>
    </row>
    <row r="56" spans="1:21" ht="64" customHeight="1" x14ac:dyDescent="0.2">
      <c r="A56" s="29"/>
      <c r="B56" s="29"/>
      <c r="C56" s="28" t="str">
        <f>IF(A56="","",IF(COUNTIF('02_工程タスク'!$A$4:$A$135,B56)&lt;&gt;1,"参照ID不正",IF(INDEX('02_工程タスク'!$D$4:$D$135,MATCH(B56,'02_工程タスク'!$A$4:$A$135,0))="","",INDEX('02_工程タスク'!$D$4:$D$135,MATCH(B56,'02_工程タスク'!$A$4:$A$135,0)))))</f>
        <v/>
      </c>
      <c r="D56" s="29"/>
      <c r="E56" s="29"/>
      <c r="F56" s="29"/>
      <c r="G56" s="29"/>
      <c r="H56" s="34"/>
      <c r="I56" s="34"/>
      <c r="J56" s="34"/>
      <c r="K56" s="29"/>
      <c r="L56" s="29"/>
      <c r="M56" s="29"/>
      <c r="N56" s="34"/>
      <c r="O56" s="29"/>
      <c r="P56" s="28" t="str">
        <f>IF(A56="","",IF(COUNTIF($A$4:$A$63,A56)&lt;&gt;1,"TaskRun ID重複",IF(COUNTIF(TaskIDs,B56)&lt;&gt;1,"Task ID不正",IF(OR(D56="",G56="",K56=""),"Run起票不足",IF(AND(D56="事故",OR(E56="",U56="")),"事故・レビュー参照不足",IF(AND(D56="早期Stop",OR(E56="",IFERROR(IF(COUNTIF('29_ゲート承認記録'!$F$4:$F$83,E56)&lt;&gt;1,"参照ID不正",IF(INDEX('29_ゲート承認記録'!$L$4:$L$83,MATCH(E56,'29_ゲート承認記録'!$F$4:$F$83,0))="","",INDEX('29_ゲート承認記録'!$L$4:$L$83,MATCH(E56,'29_ゲート承認記録'!$F$4:$F$83,0))))&lt;&gt;"Stop",TRUE))),"Stop判断参照不足",IF(OR(AND(I56&lt;&gt;"",OR(NOT(ISNUMBER(I56)),IFERROR(I56&lt;1,TRUE),IFERROR(INT(I56)&gt;INT(AsOfDate),TRUE))),AND(N56&lt;&gt;"",OR(NOT(ISNUMBER(N56)),IFERROR(N56&lt;1,TRUE),IFERROR(INT(N56)&gt;INT(AsOfDate),TRUE)))),"Run実績日不正",IF(O56&lt;&gt;"完了","Run進行中",IF(OR(F56="",L56="",M56="",COUNT(I56,N56)&lt;2),"Run完了証拠不足",IF(N56&lt;I56,"確認日逆転",IF(AND(D56="定期",NOT(ISNUMBER(J56))),"次回期限不足","Run記録あり・内容審査別")))))))))))</f>
        <v/>
      </c>
      <c r="Q56" s="29"/>
      <c r="R56" s="34"/>
      <c r="S56" s="29"/>
      <c r="T56" s="29"/>
      <c r="U56" s="29"/>
    </row>
    <row r="57" spans="1:21" ht="64" customHeight="1" x14ac:dyDescent="0.2">
      <c r="A57" s="29"/>
      <c r="B57" s="29"/>
      <c r="C57" s="28" t="str">
        <f>IF(A57="","",IF(COUNTIF('02_工程タスク'!$A$4:$A$135,B57)&lt;&gt;1,"参照ID不正",IF(INDEX('02_工程タスク'!$D$4:$D$135,MATCH(B57,'02_工程タスク'!$A$4:$A$135,0))="","",INDEX('02_工程タスク'!$D$4:$D$135,MATCH(B57,'02_工程タスク'!$A$4:$A$135,0)))))</f>
        <v/>
      </c>
      <c r="D57" s="29"/>
      <c r="E57" s="29"/>
      <c r="F57" s="29"/>
      <c r="G57" s="29"/>
      <c r="H57" s="34"/>
      <c r="I57" s="34"/>
      <c r="J57" s="34"/>
      <c r="K57" s="29"/>
      <c r="L57" s="29"/>
      <c r="M57" s="29"/>
      <c r="N57" s="34"/>
      <c r="O57" s="29"/>
      <c r="P57" s="28" t="str">
        <f>IF(A57="","",IF(COUNTIF($A$4:$A$63,A57)&lt;&gt;1,"TaskRun ID重複",IF(COUNTIF(TaskIDs,B57)&lt;&gt;1,"Task ID不正",IF(OR(D57="",G57="",K57=""),"Run起票不足",IF(AND(D57="事故",OR(E57="",U57="")),"事故・レビュー参照不足",IF(AND(D57="早期Stop",OR(E57="",IFERROR(IF(COUNTIF('29_ゲート承認記録'!$F$4:$F$83,E57)&lt;&gt;1,"参照ID不正",IF(INDEX('29_ゲート承認記録'!$L$4:$L$83,MATCH(E57,'29_ゲート承認記録'!$F$4:$F$83,0))="","",INDEX('29_ゲート承認記録'!$L$4:$L$83,MATCH(E57,'29_ゲート承認記録'!$F$4:$F$83,0))))&lt;&gt;"Stop",TRUE))),"Stop判断参照不足",IF(OR(AND(I57&lt;&gt;"",OR(NOT(ISNUMBER(I57)),IFERROR(I57&lt;1,TRUE),IFERROR(INT(I57)&gt;INT(AsOfDate),TRUE))),AND(N57&lt;&gt;"",OR(NOT(ISNUMBER(N57)),IFERROR(N57&lt;1,TRUE),IFERROR(INT(N57)&gt;INT(AsOfDate),TRUE)))),"Run実績日不正",IF(O57&lt;&gt;"完了","Run進行中",IF(OR(F57="",L57="",M57="",COUNT(I57,N57)&lt;2),"Run完了証拠不足",IF(N57&lt;I57,"確認日逆転",IF(AND(D57="定期",NOT(ISNUMBER(J57))),"次回期限不足","Run記録あり・内容審査別")))))))))))</f>
        <v/>
      </c>
      <c r="Q57" s="29"/>
      <c r="R57" s="34"/>
      <c r="S57" s="29"/>
      <c r="T57" s="29"/>
      <c r="U57" s="29"/>
    </row>
    <row r="58" spans="1:21" ht="64" customHeight="1" x14ac:dyDescent="0.2">
      <c r="A58" s="29"/>
      <c r="B58" s="29"/>
      <c r="C58" s="28" t="str">
        <f>IF(A58="","",IF(COUNTIF('02_工程タスク'!$A$4:$A$135,B58)&lt;&gt;1,"参照ID不正",IF(INDEX('02_工程タスク'!$D$4:$D$135,MATCH(B58,'02_工程タスク'!$A$4:$A$135,0))="","",INDEX('02_工程タスク'!$D$4:$D$135,MATCH(B58,'02_工程タスク'!$A$4:$A$135,0)))))</f>
        <v/>
      </c>
      <c r="D58" s="29"/>
      <c r="E58" s="29"/>
      <c r="F58" s="29"/>
      <c r="G58" s="29"/>
      <c r="H58" s="34"/>
      <c r="I58" s="34"/>
      <c r="J58" s="34"/>
      <c r="K58" s="29"/>
      <c r="L58" s="29"/>
      <c r="M58" s="29"/>
      <c r="N58" s="34"/>
      <c r="O58" s="29"/>
      <c r="P58" s="28" t="str">
        <f>IF(A58="","",IF(COUNTIF($A$4:$A$63,A58)&lt;&gt;1,"TaskRun ID重複",IF(COUNTIF(TaskIDs,B58)&lt;&gt;1,"Task ID不正",IF(OR(D58="",G58="",K58=""),"Run起票不足",IF(AND(D58="事故",OR(E58="",U58="")),"事故・レビュー参照不足",IF(AND(D58="早期Stop",OR(E58="",IFERROR(IF(COUNTIF('29_ゲート承認記録'!$F$4:$F$83,E58)&lt;&gt;1,"参照ID不正",IF(INDEX('29_ゲート承認記録'!$L$4:$L$83,MATCH(E58,'29_ゲート承認記録'!$F$4:$F$83,0))="","",INDEX('29_ゲート承認記録'!$L$4:$L$83,MATCH(E58,'29_ゲート承認記録'!$F$4:$F$83,0))))&lt;&gt;"Stop",TRUE))),"Stop判断参照不足",IF(OR(AND(I58&lt;&gt;"",OR(NOT(ISNUMBER(I58)),IFERROR(I58&lt;1,TRUE),IFERROR(INT(I58)&gt;INT(AsOfDate),TRUE))),AND(N58&lt;&gt;"",OR(NOT(ISNUMBER(N58)),IFERROR(N58&lt;1,TRUE),IFERROR(INT(N58)&gt;INT(AsOfDate),TRUE)))),"Run実績日不正",IF(O58&lt;&gt;"完了","Run進行中",IF(OR(F58="",L58="",M58="",COUNT(I58,N58)&lt;2),"Run完了証拠不足",IF(N58&lt;I58,"確認日逆転",IF(AND(D58="定期",NOT(ISNUMBER(J58))),"次回期限不足","Run記録あり・内容審査別")))))))))))</f>
        <v/>
      </c>
      <c r="Q58" s="29"/>
      <c r="R58" s="34"/>
      <c r="S58" s="29"/>
      <c r="T58" s="29"/>
      <c r="U58" s="29"/>
    </row>
    <row r="59" spans="1:21" ht="64" customHeight="1" x14ac:dyDescent="0.2">
      <c r="A59" s="29"/>
      <c r="B59" s="29"/>
      <c r="C59" s="28" t="str">
        <f>IF(A59="","",IF(COUNTIF('02_工程タスク'!$A$4:$A$135,B59)&lt;&gt;1,"参照ID不正",IF(INDEX('02_工程タスク'!$D$4:$D$135,MATCH(B59,'02_工程タスク'!$A$4:$A$135,0))="","",INDEX('02_工程タスク'!$D$4:$D$135,MATCH(B59,'02_工程タスク'!$A$4:$A$135,0)))))</f>
        <v/>
      </c>
      <c r="D59" s="29"/>
      <c r="E59" s="29"/>
      <c r="F59" s="29"/>
      <c r="G59" s="29"/>
      <c r="H59" s="34"/>
      <c r="I59" s="34"/>
      <c r="J59" s="34"/>
      <c r="K59" s="29"/>
      <c r="L59" s="29"/>
      <c r="M59" s="29"/>
      <c r="N59" s="34"/>
      <c r="O59" s="29"/>
      <c r="P59" s="28" t="str">
        <f>IF(A59="","",IF(COUNTIF($A$4:$A$63,A59)&lt;&gt;1,"TaskRun ID重複",IF(COUNTIF(TaskIDs,B59)&lt;&gt;1,"Task ID不正",IF(OR(D59="",G59="",K59=""),"Run起票不足",IF(AND(D59="事故",OR(E59="",U59="")),"事故・レビュー参照不足",IF(AND(D59="早期Stop",OR(E59="",IFERROR(IF(COUNTIF('29_ゲート承認記録'!$F$4:$F$83,E59)&lt;&gt;1,"参照ID不正",IF(INDEX('29_ゲート承認記録'!$L$4:$L$83,MATCH(E59,'29_ゲート承認記録'!$F$4:$F$83,0))="","",INDEX('29_ゲート承認記録'!$L$4:$L$83,MATCH(E59,'29_ゲート承認記録'!$F$4:$F$83,0))))&lt;&gt;"Stop",TRUE))),"Stop判断参照不足",IF(OR(AND(I59&lt;&gt;"",OR(NOT(ISNUMBER(I59)),IFERROR(I59&lt;1,TRUE),IFERROR(INT(I59)&gt;INT(AsOfDate),TRUE))),AND(N59&lt;&gt;"",OR(NOT(ISNUMBER(N59)),IFERROR(N59&lt;1,TRUE),IFERROR(INT(N59)&gt;INT(AsOfDate),TRUE)))),"Run実績日不正",IF(O59&lt;&gt;"完了","Run進行中",IF(OR(F59="",L59="",M59="",COUNT(I59,N59)&lt;2),"Run完了証拠不足",IF(N59&lt;I59,"確認日逆転",IF(AND(D59="定期",NOT(ISNUMBER(J59))),"次回期限不足","Run記録あり・内容審査別")))))))))))</f>
        <v/>
      </c>
      <c r="Q59" s="29"/>
      <c r="R59" s="34"/>
      <c r="S59" s="29"/>
      <c r="T59" s="29"/>
      <c r="U59" s="29"/>
    </row>
    <row r="60" spans="1:21" ht="64" customHeight="1" x14ac:dyDescent="0.2">
      <c r="A60" s="29"/>
      <c r="B60" s="29"/>
      <c r="C60" s="28" t="str">
        <f>IF(A60="","",IF(COUNTIF('02_工程タスク'!$A$4:$A$135,B60)&lt;&gt;1,"参照ID不正",IF(INDEX('02_工程タスク'!$D$4:$D$135,MATCH(B60,'02_工程タスク'!$A$4:$A$135,0))="","",INDEX('02_工程タスク'!$D$4:$D$135,MATCH(B60,'02_工程タスク'!$A$4:$A$135,0)))))</f>
        <v/>
      </c>
      <c r="D60" s="29"/>
      <c r="E60" s="29"/>
      <c r="F60" s="29"/>
      <c r="G60" s="29"/>
      <c r="H60" s="34"/>
      <c r="I60" s="34"/>
      <c r="J60" s="34"/>
      <c r="K60" s="29"/>
      <c r="L60" s="29"/>
      <c r="M60" s="29"/>
      <c r="N60" s="34"/>
      <c r="O60" s="29"/>
      <c r="P60" s="28" t="str">
        <f>IF(A60="","",IF(COUNTIF($A$4:$A$63,A60)&lt;&gt;1,"TaskRun ID重複",IF(COUNTIF(TaskIDs,B60)&lt;&gt;1,"Task ID不正",IF(OR(D60="",G60="",K60=""),"Run起票不足",IF(AND(D60="事故",OR(E60="",U60="")),"事故・レビュー参照不足",IF(AND(D60="早期Stop",OR(E60="",IFERROR(IF(COUNTIF('29_ゲート承認記録'!$F$4:$F$83,E60)&lt;&gt;1,"参照ID不正",IF(INDEX('29_ゲート承認記録'!$L$4:$L$83,MATCH(E60,'29_ゲート承認記録'!$F$4:$F$83,0))="","",INDEX('29_ゲート承認記録'!$L$4:$L$83,MATCH(E60,'29_ゲート承認記録'!$F$4:$F$83,0))))&lt;&gt;"Stop",TRUE))),"Stop判断参照不足",IF(OR(AND(I60&lt;&gt;"",OR(NOT(ISNUMBER(I60)),IFERROR(I60&lt;1,TRUE),IFERROR(INT(I60)&gt;INT(AsOfDate),TRUE))),AND(N60&lt;&gt;"",OR(NOT(ISNUMBER(N60)),IFERROR(N60&lt;1,TRUE),IFERROR(INT(N60)&gt;INT(AsOfDate),TRUE)))),"Run実績日不正",IF(O60&lt;&gt;"完了","Run進行中",IF(OR(F60="",L60="",M60="",COUNT(I60,N60)&lt;2),"Run完了証拠不足",IF(N60&lt;I60,"確認日逆転",IF(AND(D60="定期",NOT(ISNUMBER(J60))),"次回期限不足","Run記録あり・内容審査別")))))))))))</f>
        <v/>
      </c>
      <c r="Q60" s="29"/>
      <c r="R60" s="34"/>
      <c r="S60" s="29"/>
      <c r="T60" s="29"/>
      <c r="U60" s="29"/>
    </row>
    <row r="61" spans="1:21" ht="64" customHeight="1" x14ac:dyDescent="0.2">
      <c r="A61" s="29"/>
      <c r="B61" s="29"/>
      <c r="C61" s="28" t="str">
        <f>IF(A61="","",IF(COUNTIF('02_工程タスク'!$A$4:$A$135,B61)&lt;&gt;1,"参照ID不正",IF(INDEX('02_工程タスク'!$D$4:$D$135,MATCH(B61,'02_工程タスク'!$A$4:$A$135,0))="","",INDEX('02_工程タスク'!$D$4:$D$135,MATCH(B61,'02_工程タスク'!$A$4:$A$135,0)))))</f>
        <v/>
      </c>
      <c r="D61" s="29"/>
      <c r="E61" s="29"/>
      <c r="F61" s="29"/>
      <c r="G61" s="29"/>
      <c r="H61" s="34"/>
      <c r="I61" s="34"/>
      <c r="J61" s="34"/>
      <c r="K61" s="29"/>
      <c r="L61" s="29"/>
      <c r="M61" s="29"/>
      <c r="N61" s="34"/>
      <c r="O61" s="29"/>
      <c r="P61" s="28" t="str">
        <f>IF(A61="","",IF(COUNTIF($A$4:$A$63,A61)&lt;&gt;1,"TaskRun ID重複",IF(COUNTIF(TaskIDs,B61)&lt;&gt;1,"Task ID不正",IF(OR(D61="",G61="",K61=""),"Run起票不足",IF(AND(D61="事故",OR(E61="",U61="")),"事故・レビュー参照不足",IF(AND(D61="早期Stop",OR(E61="",IFERROR(IF(COUNTIF('29_ゲート承認記録'!$F$4:$F$83,E61)&lt;&gt;1,"参照ID不正",IF(INDEX('29_ゲート承認記録'!$L$4:$L$83,MATCH(E61,'29_ゲート承認記録'!$F$4:$F$83,0))="","",INDEX('29_ゲート承認記録'!$L$4:$L$83,MATCH(E61,'29_ゲート承認記録'!$F$4:$F$83,0))))&lt;&gt;"Stop",TRUE))),"Stop判断参照不足",IF(OR(AND(I61&lt;&gt;"",OR(NOT(ISNUMBER(I61)),IFERROR(I61&lt;1,TRUE),IFERROR(INT(I61)&gt;INT(AsOfDate),TRUE))),AND(N61&lt;&gt;"",OR(NOT(ISNUMBER(N61)),IFERROR(N61&lt;1,TRUE),IFERROR(INT(N61)&gt;INT(AsOfDate),TRUE)))),"Run実績日不正",IF(O61&lt;&gt;"完了","Run進行中",IF(OR(F61="",L61="",M61="",COUNT(I61,N61)&lt;2),"Run完了証拠不足",IF(N61&lt;I61,"確認日逆転",IF(AND(D61="定期",NOT(ISNUMBER(J61))),"次回期限不足","Run記録あり・内容審査別")))))))))))</f>
        <v/>
      </c>
      <c r="Q61" s="29"/>
      <c r="R61" s="34"/>
      <c r="S61" s="29"/>
      <c r="T61" s="29"/>
      <c r="U61" s="29"/>
    </row>
    <row r="62" spans="1:21" ht="64" customHeight="1" x14ac:dyDescent="0.2">
      <c r="A62" s="29"/>
      <c r="B62" s="29"/>
      <c r="C62" s="28" t="str">
        <f>IF(A62="","",IF(COUNTIF('02_工程タスク'!$A$4:$A$135,B62)&lt;&gt;1,"参照ID不正",IF(INDEX('02_工程タスク'!$D$4:$D$135,MATCH(B62,'02_工程タスク'!$A$4:$A$135,0))="","",INDEX('02_工程タスク'!$D$4:$D$135,MATCH(B62,'02_工程タスク'!$A$4:$A$135,0)))))</f>
        <v/>
      </c>
      <c r="D62" s="29"/>
      <c r="E62" s="29"/>
      <c r="F62" s="29"/>
      <c r="G62" s="29"/>
      <c r="H62" s="34"/>
      <c r="I62" s="34"/>
      <c r="J62" s="34"/>
      <c r="K62" s="29"/>
      <c r="L62" s="29"/>
      <c r="M62" s="29"/>
      <c r="N62" s="34"/>
      <c r="O62" s="29"/>
      <c r="P62" s="28" t="str">
        <f>IF(A62="","",IF(COUNTIF($A$4:$A$63,A62)&lt;&gt;1,"TaskRun ID重複",IF(COUNTIF(TaskIDs,B62)&lt;&gt;1,"Task ID不正",IF(OR(D62="",G62="",K62=""),"Run起票不足",IF(AND(D62="事故",OR(E62="",U62="")),"事故・レビュー参照不足",IF(AND(D62="早期Stop",OR(E62="",IFERROR(IF(COUNTIF('29_ゲート承認記録'!$F$4:$F$83,E62)&lt;&gt;1,"参照ID不正",IF(INDEX('29_ゲート承認記録'!$L$4:$L$83,MATCH(E62,'29_ゲート承認記録'!$F$4:$F$83,0))="","",INDEX('29_ゲート承認記録'!$L$4:$L$83,MATCH(E62,'29_ゲート承認記録'!$F$4:$F$83,0))))&lt;&gt;"Stop",TRUE))),"Stop判断参照不足",IF(OR(AND(I62&lt;&gt;"",OR(NOT(ISNUMBER(I62)),IFERROR(I62&lt;1,TRUE),IFERROR(INT(I62)&gt;INT(AsOfDate),TRUE))),AND(N62&lt;&gt;"",OR(NOT(ISNUMBER(N62)),IFERROR(N62&lt;1,TRUE),IFERROR(INT(N62)&gt;INT(AsOfDate),TRUE)))),"Run実績日不正",IF(O62&lt;&gt;"完了","Run進行中",IF(OR(F62="",L62="",M62="",COUNT(I62,N62)&lt;2),"Run完了証拠不足",IF(N62&lt;I62,"確認日逆転",IF(AND(D62="定期",NOT(ISNUMBER(J62))),"次回期限不足","Run記録あり・内容審査別")))))))))))</f>
        <v/>
      </c>
      <c r="Q62" s="29"/>
      <c r="R62" s="34"/>
      <c r="S62" s="29"/>
      <c r="T62" s="29"/>
      <c r="U62" s="29"/>
    </row>
    <row r="63" spans="1:21" ht="64" customHeight="1" x14ac:dyDescent="0.2">
      <c r="A63" s="29"/>
      <c r="B63" s="29"/>
      <c r="C63" s="28" t="str">
        <f>IF(A63="","",IF(COUNTIF('02_工程タスク'!$A$4:$A$135,B63)&lt;&gt;1,"参照ID不正",IF(INDEX('02_工程タスク'!$D$4:$D$135,MATCH(B63,'02_工程タスク'!$A$4:$A$135,0))="","",INDEX('02_工程タスク'!$D$4:$D$135,MATCH(B63,'02_工程タスク'!$A$4:$A$135,0)))))</f>
        <v/>
      </c>
      <c r="D63" s="29"/>
      <c r="E63" s="29"/>
      <c r="F63" s="29"/>
      <c r="G63" s="29"/>
      <c r="H63" s="34"/>
      <c r="I63" s="34"/>
      <c r="J63" s="34"/>
      <c r="K63" s="29"/>
      <c r="L63" s="29"/>
      <c r="M63" s="29"/>
      <c r="N63" s="34"/>
      <c r="O63" s="29"/>
      <c r="P63" s="28" t="str">
        <f>IF(A63="","",IF(COUNTIF($A$4:$A$63,A63)&lt;&gt;1,"TaskRun ID重複",IF(COUNTIF(TaskIDs,B63)&lt;&gt;1,"Task ID不正",IF(OR(D63="",G63="",K63=""),"Run起票不足",IF(AND(D63="事故",OR(E63="",U63="")),"事故・レビュー参照不足",IF(AND(D63="早期Stop",OR(E63="",IFERROR(IF(COUNTIF('29_ゲート承認記録'!$F$4:$F$83,E63)&lt;&gt;1,"参照ID不正",IF(INDEX('29_ゲート承認記録'!$L$4:$L$83,MATCH(E63,'29_ゲート承認記録'!$F$4:$F$83,0))="","",INDEX('29_ゲート承認記録'!$L$4:$L$83,MATCH(E63,'29_ゲート承認記録'!$F$4:$F$83,0))))&lt;&gt;"Stop",TRUE))),"Stop判断参照不足",IF(OR(AND(I63&lt;&gt;"",OR(NOT(ISNUMBER(I63)),IFERROR(I63&lt;1,TRUE),IFERROR(INT(I63)&gt;INT(AsOfDate),TRUE))),AND(N63&lt;&gt;"",OR(NOT(ISNUMBER(N63)),IFERROR(N63&lt;1,TRUE),IFERROR(INT(N63)&gt;INT(AsOfDate),TRUE)))),"Run実績日不正",IF(O63&lt;&gt;"完了","Run進行中",IF(OR(F63="",L63="",M63="",COUNT(I63,N63)&lt;2),"Run完了証拠不足",IF(N63&lt;I63,"確認日逆転",IF(AND(D63="定期",NOT(ISNUMBER(J63))),"次回期限不足","Run記録あり・内容審査別")))))))))))</f>
        <v/>
      </c>
      <c r="Q63" s="29"/>
      <c r="R63" s="34"/>
      <c r="S63" s="29"/>
      <c r="T63" s="29"/>
      <c r="U63" s="29"/>
    </row>
    <row r="67" spans="1:8" ht="22" customHeight="1" x14ac:dyDescent="0.2">
      <c r="A67" s="1" t="s">
        <v>5464</v>
      </c>
      <c r="B67" s="1" t="s">
        <v>5465</v>
      </c>
      <c r="C67" s="1" t="s">
        <v>5461</v>
      </c>
      <c r="D67" s="1" t="s">
        <v>5466</v>
      </c>
      <c r="E67" s="1" t="s">
        <v>5467</v>
      </c>
      <c r="F67" s="1" t="s">
        <v>5468</v>
      </c>
      <c r="G67" s="1" t="s">
        <v>5469</v>
      </c>
      <c r="H67" s="1" t="s">
        <v>1568</v>
      </c>
    </row>
    <row r="68" spans="1:8" ht="84" customHeight="1" x14ac:dyDescent="0.2">
      <c r="A68" s="28" t="s">
        <v>5470</v>
      </c>
      <c r="B68" s="28" t="s">
        <v>5471</v>
      </c>
      <c r="C68" s="28" t="s">
        <v>5472</v>
      </c>
      <c r="D68" s="28" t="s">
        <v>5473</v>
      </c>
      <c r="E68" s="28" t="s">
        <v>5474</v>
      </c>
      <c r="F68" s="28" t="s">
        <v>5475</v>
      </c>
      <c r="G68" s="28" t="s">
        <v>5476</v>
      </c>
      <c r="H68" s="28" t="s">
        <v>5477</v>
      </c>
    </row>
    <row r="69" spans="1:8" ht="84" customHeight="1" x14ac:dyDescent="0.2">
      <c r="A69" s="28" t="s">
        <v>5478</v>
      </c>
      <c r="B69" s="28" t="s">
        <v>5479</v>
      </c>
      <c r="C69" s="28" t="s">
        <v>5480</v>
      </c>
      <c r="D69" s="28" t="s">
        <v>5473</v>
      </c>
      <c r="E69" s="28" t="s">
        <v>5481</v>
      </c>
      <c r="F69" s="28" t="s">
        <v>5482</v>
      </c>
      <c r="G69" s="28" t="s">
        <v>5483</v>
      </c>
      <c r="H69" s="28" t="s">
        <v>5484</v>
      </c>
    </row>
    <row r="70" spans="1:8" ht="84" customHeight="1" x14ac:dyDescent="0.2">
      <c r="A70" s="28" t="s">
        <v>5485</v>
      </c>
      <c r="B70" s="28" t="s">
        <v>5486</v>
      </c>
      <c r="C70" s="28" t="s">
        <v>5487</v>
      </c>
      <c r="D70" s="28" t="s">
        <v>5473</v>
      </c>
      <c r="E70" s="28" t="s">
        <v>5488</v>
      </c>
      <c r="F70" s="28" t="s">
        <v>5489</v>
      </c>
      <c r="G70" s="28" t="s">
        <v>5490</v>
      </c>
      <c r="H70" s="28" t="s">
        <v>5491</v>
      </c>
    </row>
    <row r="71" spans="1:8" ht="84" customHeight="1" x14ac:dyDescent="0.2">
      <c r="A71" s="28" t="s">
        <v>5492</v>
      </c>
      <c r="B71" s="28" t="s">
        <v>5493</v>
      </c>
      <c r="C71" s="28" t="s">
        <v>5494</v>
      </c>
      <c r="D71" s="28" t="s">
        <v>5473</v>
      </c>
      <c r="E71" s="28" t="s">
        <v>5495</v>
      </c>
      <c r="F71" s="28" t="s">
        <v>5496</v>
      </c>
      <c r="G71" s="28" t="s">
        <v>5497</v>
      </c>
      <c r="H71" s="28" t="s">
        <v>5498</v>
      </c>
    </row>
    <row r="72" spans="1:8" ht="84" customHeight="1" x14ac:dyDescent="0.2">
      <c r="A72" s="28" t="s">
        <v>5499</v>
      </c>
      <c r="B72" s="28" t="s">
        <v>5500</v>
      </c>
      <c r="C72" s="28" t="s">
        <v>5501</v>
      </c>
      <c r="D72" s="28" t="s">
        <v>5473</v>
      </c>
      <c r="E72" s="28" t="s">
        <v>5502</v>
      </c>
      <c r="F72" s="28" t="s">
        <v>5503</v>
      </c>
      <c r="G72" s="28" t="s">
        <v>5504</v>
      </c>
      <c r="H72" s="28" t="s">
        <v>5505</v>
      </c>
    </row>
    <row r="73" spans="1:8" ht="84" customHeight="1" x14ac:dyDescent="0.2">
      <c r="A73" s="28" t="s">
        <v>5506</v>
      </c>
      <c r="B73" s="28" t="s">
        <v>5507</v>
      </c>
      <c r="C73" s="28" t="s">
        <v>5508</v>
      </c>
      <c r="D73" s="28" t="s">
        <v>5473</v>
      </c>
      <c r="E73" s="28" t="s">
        <v>5509</v>
      </c>
      <c r="F73" s="28" t="s">
        <v>5510</v>
      </c>
      <c r="G73" s="28" t="s">
        <v>5511</v>
      </c>
      <c r="H73" s="28" t="s">
        <v>5512</v>
      </c>
    </row>
    <row r="75" spans="1:8" x14ac:dyDescent="0.2">
      <c r="A75" s="49" t="s">
        <v>5513</v>
      </c>
      <c r="B75" s="45"/>
      <c r="C75" s="45"/>
      <c r="D75" s="45"/>
      <c r="E75" s="45"/>
      <c r="F75" s="45"/>
      <c r="G75" s="45"/>
      <c r="H75" s="45"/>
    </row>
    <row r="76" spans="1:8" x14ac:dyDescent="0.2">
      <c r="A76" s="45"/>
      <c r="B76" s="45"/>
      <c r="C76" s="45"/>
      <c r="D76" s="45"/>
      <c r="E76" s="45"/>
      <c r="F76" s="45"/>
      <c r="G76" s="45"/>
      <c r="H76" s="45"/>
    </row>
    <row r="78" spans="1:8" ht="22" customHeight="1" x14ac:dyDescent="0.2">
      <c r="A78" s="1" t="s">
        <v>5514</v>
      </c>
      <c r="B78" s="1" t="s">
        <v>5515</v>
      </c>
      <c r="C78" s="1" t="s">
        <v>5516</v>
      </c>
      <c r="D78" s="1" t="s">
        <v>5517</v>
      </c>
      <c r="E78" s="1" t="s">
        <v>5518</v>
      </c>
      <c r="F78" s="1" t="s">
        <v>5519</v>
      </c>
      <c r="G78" s="1" t="s">
        <v>5520</v>
      </c>
      <c r="H78" s="1" t="s">
        <v>5521</v>
      </c>
    </row>
    <row r="79" spans="1:8" ht="64" customHeight="1" x14ac:dyDescent="0.2">
      <c r="A79" s="29"/>
      <c r="B79" s="29"/>
      <c r="C79" s="29"/>
      <c r="D79" s="29"/>
      <c r="E79" s="29"/>
      <c r="F79" s="29"/>
      <c r="G79" s="29"/>
      <c r="H79" s="29"/>
    </row>
    <row r="80" spans="1:8" ht="64" customHeight="1" x14ac:dyDescent="0.2">
      <c r="A80" s="29"/>
      <c r="B80" s="29"/>
      <c r="C80" s="29"/>
      <c r="D80" s="29"/>
      <c r="E80" s="29"/>
      <c r="F80" s="29"/>
      <c r="G80" s="29"/>
      <c r="H80" s="29"/>
    </row>
    <row r="81" spans="1:8" ht="64" customHeight="1" x14ac:dyDescent="0.2">
      <c r="A81" s="29"/>
      <c r="B81" s="29"/>
      <c r="C81" s="29"/>
      <c r="D81" s="29"/>
      <c r="E81" s="29"/>
      <c r="F81" s="29"/>
      <c r="G81" s="29"/>
      <c r="H81" s="29"/>
    </row>
    <row r="82" spans="1:8" ht="64" customHeight="1" x14ac:dyDescent="0.2">
      <c r="A82" s="29"/>
      <c r="B82" s="29"/>
      <c r="C82" s="29"/>
      <c r="D82" s="29"/>
      <c r="E82" s="29"/>
      <c r="F82" s="29"/>
      <c r="G82" s="29"/>
      <c r="H82" s="29"/>
    </row>
    <row r="83" spans="1:8" ht="64" customHeight="1" x14ac:dyDescent="0.2">
      <c r="A83" s="29"/>
      <c r="B83" s="29"/>
      <c r="C83" s="29"/>
      <c r="D83" s="29"/>
      <c r="E83" s="29"/>
      <c r="F83" s="29"/>
      <c r="G83" s="29"/>
      <c r="H83" s="29"/>
    </row>
    <row r="84" spans="1:8" ht="64" customHeight="1" x14ac:dyDescent="0.2">
      <c r="A84" s="29"/>
      <c r="B84" s="29"/>
      <c r="C84" s="29"/>
      <c r="D84" s="29"/>
      <c r="E84" s="29"/>
      <c r="F84" s="29"/>
      <c r="G84" s="29"/>
      <c r="H84" s="29"/>
    </row>
    <row r="85" spans="1:8" ht="64" customHeight="1" x14ac:dyDescent="0.2">
      <c r="A85" s="29"/>
      <c r="B85" s="29"/>
      <c r="C85" s="29"/>
      <c r="D85" s="29"/>
      <c r="E85" s="29"/>
      <c r="F85" s="29"/>
      <c r="G85" s="29"/>
      <c r="H85" s="29"/>
    </row>
    <row r="86" spans="1:8" ht="64" customHeight="1" x14ac:dyDescent="0.2">
      <c r="A86" s="29"/>
      <c r="B86" s="29"/>
      <c r="C86" s="29"/>
      <c r="D86" s="29"/>
      <c r="E86" s="29"/>
      <c r="F86" s="29"/>
      <c r="G86" s="29"/>
      <c r="H86" s="29"/>
    </row>
    <row r="87" spans="1:8" ht="64" customHeight="1" x14ac:dyDescent="0.2">
      <c r="A87" s="29"/>
      <c r="B87" s="29"/>
      <c r="C87" s="29"/>
      <c r="D87" s="29"/>
      <c r="E87" s="29"/>
      <c r="F87" s="29"/>
      <c r="G87" s="29"/>
      <c r="H87" s="29"/>
    </row>
    <row r="88" spans="1:8" ht="64" customHeight="1" x14ac:dyDescent="0.2">
      <c r="A88" s="29"/>
      <c r="B88" s="29"/>
      <c r="C88" s="29"/>
      <c r="D88" s="29"/>
      <c r="E88" s="29"/>
      <c r="F88" s="29"/>
      <c r="G88" s="29"/>
      <c r="H88" s="29"/>
    </row>
    <row r="89" spans="1:8" ht="64" customHeight="1" x14ac:dyDescent="0.2">
      <c r="A89" s="29"/>
      <c r="B89" s="29"/>
      <c r="C89" s="29"/>
      <c r="D89" s="29"/>
      <c r="E89" s="29"/>
      <c r="F89" s="29"/>
      <c r="G89" s="29"/>
      <c r="H89" s="29"/>
    </row>
    <row r="90" spans="1:8" ht="64" customHeight="1" x14ac:dyDescent="0.2">
      <c r="A90" s="29"/>
      <c r="B90" s="29"/>
      <c r="C90" s="29"/>
      <c r="D90" s="29"/>
      <c r="E90" s="29"/>
      <c r="F90" s="29"/>
      <c r="G90" s="29"/>
      <c r="H90" s="29"/>
    </row>
    <row r="91" spans="1:8" ht="64" customHeight="1" x14ac:dyDescent="0.2">
      <c r="A91" s="29"/>
      <c r="B91" s="29"/>
      <c r="C91" s="29"/>
      <c r="D91" s="29"/>
      <c r="E91" s="29"/>
      <c r="F91" s="29"/>
      <c r="G91" s="29"/>
      <c r="H91" s="29"/>
    </row>
    <row r="92" spans="1:8" ht="64" customHeight="1" x14ac:dyDescent="0.2">
      <c r="A92" s="29"/>
      <c r="B92" s="29"/>
      <c r="C92" s="29"/>
      <c r="D92" s="29"/>
      <c r="E92" s="29"/>
      <c r="F92" s="29"/>
      <c r="G92" s="29"/>
      <c r="H92" s="29"/>
    </row>
    <row r="93" spans="1:8" ht="64" customHeight="1" x14ac:dyDescent="0.2">
      <c r="A93" s="29"/>
      <c r="B93" s="29"/>
      <c r="C93" s="29"/>
      <c r="D93" s="29"/>
      <c r="E93" s="29"/>
      <c r="F93" s="29"/>
      <c r="G93" s="29"/>
      <c r="H93" s="29"/>
    </row>
    <row r="94" spans="1:8" ht="64" customHeight="1" x14ac:dyDescent="0.2">
      <c r="A94" s="29"/>
      <c r="B94" s="29"/>
      <c r="C94" s="29"/>
      <c r="D94" s="29"/>
      <c r="E94" s="29"/>
      <c r="F94" s="29"/>
      <c r="G94" s="29"/>
      <c r="H94" s="29"/>
    </row>
    <row r="95" spans="1:8" ht="64" customHeight="1" x14ac:dyDescent="0.2">
      <c r="A95" s="29"/>
      <c r="B95" s="29"/>
      <c r="C95" s="29"/>
      <c r="D95" s="29"/>
      <c r="E95" s="29"/>
      <c r="F95" s="29"/>
      <c r="G95" s="29"/>
      <c r="H95" s="29"/>
    </row>
    <row r="96" spans="1:8" ht="64" customHeight="1" x14ac:dyDescent="0.2">
      <c r="A96" s="29"/>
      <c r="B96" s="29"/>
      <c r="C96" s="29"/>
      <c r="D96" s="29"/>
      <c r="E96" s="29"/>
      <c r="F96" s="29"/>
      <c r="G96" s="29"/>
      <c r="H96" s="29"/>
    </row>
    <row r="97" spans="1:8" ht="64" customHeight="1" x14ac:dyDescent="0.2">
      <c r="A97" s="29"/>
      <c r="B97" s="29"/>
      <c r="C97" s="29"/>
      <c r="D97" s="29"/>
      <c r="E97" s="29"/>
      <c r="F97" s="29"/>
      <c r="G97" s="29"/>
      <c r="H97" s="29"/>
    </row>
    <row r="98" spans="1:8" ht="64" customHeight="1" x14ac:dyDescent="0.2">
      <c r="A98" s="29"/>
      <c r="B98" s="29"/>
      <c r="C98" s="29"/>
      <c r="D98" s="29"/>
      <c r="E98" s="29"/>
      <c r="F98" s="29"/>
      <c r="G98" s="29"/>
      <c r="H98" s="29"/>
    </row>
  </sheetData>
  <autoFilter ref="A3:U63" xr:uid="{00000000-0009-0000-0000-000022000000}"/>
  <mergeCells count="3">
    <mergeCell ref="A2:I2"/>
    <mergeCell ref="A75:H76"/>
    <mergeCell ref="A1:G1"/>
  </mergeCells>
  <phoneticPr fontId="12"/>
  <conditionalFormatting sqref="P4:P63">
    <cfRule type="expression" dxfId="1" priority="1">
      <formula>OR(ISNUMBER(SEARCH("不正",P4)),ISNUMBER(SEARCH("不足",P4)),ISNUMBER(SEARCH("超過",P4)),ISNUMBER(SEARCH("不一致",P4)),ISNUMBER(SEARCH("失効",P4)),ISNUMBER(SEARCH("矛盾",P4)))</formula>
    </cfRule>
  </conditionalFormatting>
  <dataValidations count="2">
    <dataValidation type="list" allowBlank="1" showErrorMessage="1" errorTitle="入力値を確認" error="候補・値域を確認してください。貼付や外部取込後も点検が必要です。" sqref="D4:D63" xr:uid="{00000000-0002-0000-2200-000000000000}">
      <formula1>"定期,変更通知,事故,評価劣化,早期Stop,再検証"</formula1>
    </dataValidation>
    <dataValidation type="list" allowBlank="1" showErrorMessage="1" errorTitle="入力値を確認" error="候補・値域を確認してください。貼付や外部取込後も点検が必要です。" sqref="O4:O63" xr:uid="{00000000-0002-0000-2200-000001000000}">
      <formula1>"起票,進行中,保留,完了,中止"</formula1>
    </dataValidation>
  </dataValidations>
  <pageMargins left="0.75" right="0.75" top="1" bottom="1" header="0.5" footer="0.5"/>
  <pageSetup paperSize="8" fitToHeight="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1F4B5E"/>
    <outlinePr summaryRight="0"/>
    <pageSetUpPr fitToPage="1"/>
  </sheetPr>
  <dimension ref="A1:R103"/>
  <sheetViews>
    <sheetView showGridLines="0" zoomScale="80" workbookViewId="0">
      <pane xSplit="3" ySplit="3" topLeftCell="D4" activePane="bottomRight" state="frozen"/>
      <selection pane="topRight"/>
      <selection pane="bottomLeft"/>
      <selection pane="bottomRight"/>
    </sheetView>
  </sheetViews>
  <sheetFormatPr defaultRowHeight="13" x14ac:dyDescent="0.2"/>
  <cols>
    <col min="1" max="7" width="23" customWidth="1"/>
    <col min="8" max="8" width="40" customWidth="1"/>
    <col min="9" max="11" width="23" customWidth="1"/>
    <col min="12" max="12" width="33" customWidth="1"/>
    <col min="13" max="13" width="34" customWidth="1"/>
    <col min="14" max="17" width="23" customWidth="1"/>
    <col min="18" max="18" width="37" customWidth="1"/>
  </cols>
  <sheetData>
    <row r="1" spans="1:18" ht="36" customHeight="1" x14ac:dyDescent="0.55000000000000004">
      <c r="A1" s="44" t="s">
        <v>5522</v>
      </c>
      <c r="B1" s="45"/>
      <c r="C1" s="45"/>
      <c r="D1" s="45"/>
      <c r="E1" s="45"/>
      <c r="F1" s="45"/>
      <c r="G1" s="45"/>
    </row>
    <row r="2" spans="1:18" ht="42" customHeight="1" x14ac:dyDescent="0.2">
      <c r="A2" s="47" t="s">
        <v>5523</v>
      </c>
      <c r="B2" s="45"/>
      <c r="C2" s="45"/>
      <c r="D2" s="45"/>
      <c r="E2" s="45"/>
      <c r="F2" s="45"/>
      <c r="G2" s="45"/>
      <c r="H2" s="45"/>
      <c r="I2" s="45"/>
    </row>
    <row r="3" spans="1:18" ht="42" customHeight="1" x14ac:dyDescent="0.2">
      <c r="A3" s="1" t="s">
        <v>5524</v>
      </c>
      <c r="B3" s="1" t="s">
        <v>2894</v>
      </c>
      <c r="C3" s="1" t="s">
        <v>1771</v>
      </c>
      <c r="D3" s="1" t="s">
        <v>1913</v>
      </c>
      <c r="E3" s="1" t="s">
        <v>2897</v>
      </c>
      <c r="F3" s="1" t="s">
        <v>1786</v>
      </c>
      <c r="G3" s="1" t="s">
        <v>5525</v>
      </c>
      <c r="H3" s="1" t="s">
        <v>5526</v>
      </c>
      <c r="I3" s="1" t="s">
        <v>5527</v>
      </c>
      <c r="J3" s="1" t="s">
        <v>3072</v>
      </c>
      <c r="K3" s="1" t="s">
        <v>5528</v>
      </c>
      <c r="L3" s="1" t="s">
        <v>5529</v>
      </c>
      <c r="M3" s="1" t="s">
        <v>5530</v>
      </c>
      <c r="N3" s="1" t="s">
        <v>5531</v>
      </c>
      <c r="O3" s="1" t="s">
        <v>5532</v>
      </c>
      <c r="P3" s="1" t="s">
        <v>5533</v>
      </c>
      <c r="Q3" s="1" t="s">
        <v>5534</v>
      </c>
      <c r="R3" s="1" t="s">
        <v>5535</v>
      </c>
    </row>
    <row r="4" spans="1:18" ht="64" customHeight="1" x14ac:dyDescent="0.2">
      <c r="A4" s="29"/>
      <c r="B4" s="29"/>
      <c r="C4" s="29"/>
      <c r="D4" s="29"/>
      <c r="E4" s="29"/>
      <c r="F4" s="29"/>
      <c r="G4" s="29"/>
      <c r="H4" s="29"/>
      <c r="I4" s="29"/>
      <c r="J4" s="32"/>
      <c r="K4" s="29"/>
      <c r="L4" s="28" t="str">
        <f>IF(A4="","",IF(COUNTIF('02_工程タスク'!$A$4:$A$135,B4)&lt;&gt;1,"参照ID不正",IF(INDEX('02_工程タスク'!$D$4:$D$135,MATCH(B4,'02_工程タスク'!$A$4:$A$135,0))="","",INDEX('02_工程タスク'!$D$4:$D$135,MATCH(B4,'02_工程タスク'!$A$4:$A$135,0)))))</f>
        <v/>
      </c>
      <c r="M4" s="28" t="str">
        <f>IF(A4="","",IF(COUNTIF('07_スキル辞書'!$A$4:$A$109,D4)&lt;&gt;1,"参照ID不正",IF(INDEX('07_スキル辞書'!$D$4:$D$109,MATCH(D4,'07_スキル辞書'!$A$4:$A$109,0))="","",INDEX('07_スキル辞書'!$D$4:$D$109,MATCH(D4,'07_スキル辞書'!$A$4:$A$109,0)))))</f>
        <v/>
      </c>
      <c r="N4" s="28" t="str">
        <f>IF(OR(A4="",G4=""),"",IF(COUNTIF('28_スキル評価・育成'!$A$4:$A$203,G4)&lt;&gt;1,"参照ID不正",IF(INDEX('28_スキル評価・育成'!$H$4:$H$203,MATCH(G4,'28_スキル評価・育成'!$A$4:$A$203,0))="","",INDEX('28_スキル評価・育成'!$H$4:$H$203,MATCH(G4,'28_スキル評価・育成'!$A$4:$A$203,0)))))</f>
        <v/>
      </c>
      <c r="O4" s="28" t="str">
        <f t="shared" ref="O4:O35" si="0">IF(COUNT(E4,N4)&lt;2,"",MAX(0,E4-N4))</f>
        <v/>
      </c>
      <c r="P4" s="29"/>
      <c r="Q4" s="29"/>
      <c r="R4" s="28" t="str">
        <f>IF(A4="","",IF(COUNTIF($A$4:$A$103,A4)&lt;&gt;1,"割当ID重複",IF(OR(COUNTIF(TaskIDs,B4)&lt;&gt;1,COUNTIF(RoleIDs,C4)&lt;&gt;1,COUNTIF(SkillIDs,D4)&lt;&gt;1),"定義ID不正",IF(OR(NOT(ISNUMBER(E4)),IFERROR(MOD(E4,1)&lt;&gt;0,TRUE),IFERROR(E4&lt;0,TRUE),IFERROR(E4&gt;3,TRUE)),"必要Lv不正",IF(OR(OR(F4="",G4="",H4="",I4="",K4="",P4=""),NOT(ISNUMBER(J4))),"割当承認不足",IF(OR(AND(J4&lt;&gt;"",OR(NOT(ISNUMBER(J4)),IFERROR(J4&lt;1,TRUE),IFERROR(INT(J4)&gt;INT(AsOfDate),TRUE)))),"割当承認日不正",IF(OR(COUNTIF('28_スキル評価・育成'!$A$4:$A$203,G4)&lt;&gt;1,IF(COUNTIF('28_スキル評価・育成'!$A$4:$A$203,G4)&lt;&gt;1,"参照ID不正",IF(INDEX('28_スキル評価・育成'!$B$4:$B$203,MATCH(G4,'28_スキル評価・育成'!$A$4:$A$203,0))="","",INDEX('28_スキル評価・育成'!$B$4:$B$203,MATCH(G4,'28_スキル評価・育成'!$A$4:$A$203,0))))&lt;&gt;D4,IF(COUNTIF('28_スキル評価・育成'!$A$4:$A$203,G4)&lt;&gt;1,"参照ID不正",IF(INDEX('28_スキル評価・育成'!$Q$4:$Q$203,MATCH(G4,'28_スキル評価・育成'!$A$4:$A$203,0))="","",INDEX('28_スキル評価・育成'!$Q$4:$Q$203,MATCH(G4,'28_スキル評価・育成'!$A$4:$A$203,0))))&lt;&gt;F4),"能力証拠の対象不一致",IF(IF(COUNTIF('28_スキル評価・育成'!$A$4:$A$203,G4)&lt;&gt;1,"参照ID不正",IF(INDEX('28_スキル評価・育成'!$P$4:$P$203,MATCH(G4,'28_スキル評価・育成'!$A$4:$A$203,0))="","",INDEX('28_スキル評価・育成'!$P$4:$P$203,MATCH(G4,'28_スキル評価・育成'!$A$4:$A$203,0))))&lt;&gt;"第三者評価記録あり","能力の第三者確認不足",IF(AND(OR(P4="独立評価",P4="品質決裁"),OR(Q4="",Q4=F4)),"実装との独立性不足",IF(O4&gt;0,"能力不足・育成又は支援要","割当記録整合"))))))))))</f>
        <v/>
      </c>
    </row>
    <row r="5" spans="1:18" ht="64" customHeight="1" x14ac:dyDescent="0.2">
      <c r="A5" s="29"/>
      <c r="B5" s="29"/>
      <c r="C5" s="29"/>
      <c r="D5" s="29"/>
      <c r="E5" s="29"/>
      <c r="F5" s="29"/>
      <c r="G5" s="29"/>
      <c r="H5" s="29"/>
      <c r="I5" s="29"/>
      <c r="J5" s="32"/>
      <c r="K5" s="29"/>
      <c r="L5" s="28" t="str">
        <f>IF(A5="","",IF(COUNTIF('02_工程タスク'!$A$4:$A$135,B5)&lt;&gt;1,"参照ID不正",IF(INDEX('02_工程タスク'!$D$4:$D$135,MATCH(B5,'02_工程タスク'!$A$4:$A$135,0))="","",INDEX('02_工程タスク'!$D$4:$D$135,MATCH(B5,'02_工程タスク'!$A$4:$A$135,0)))))</f>
        <v/>
      </c>
      <c r="M5" s="28" t="str">
        <f>IF(A5="","",IF(COUNTIF('07_スキル辞書'!$A$4:$A$109,D5)&lt;&gt;1,"参照ID不正",IF(INDEX('07_スキル辞書'!$D$4:$D$109,MATCH(D5,'07_スキル辞書'!$A$4:$A$109,0))="","",INDEX('07_スキル辞書'!$D$4:$D$109,MATCH(D5,'07_スキル辞書'!$A$4:$A$109,0)))))</f>
        <v/>
      </c>
      <c r="N5" s="28" t="str">
        <f>IF(OR(A5="",G5=""),"",IF(COUNTIF('28_スキル評価・育成'!$A$4:$A$203,G5)&lt;&gt;1,"参照ID不正",IF(INDEX('28_スキル評価・育成'!$H$4:$H$203,MATCH(G5,'28_スキル評価・育成'!$A$4:$A$203,0))="","",INDEX('28_スキル評価・育成'!$H$4:$H$203,MATCH(G5,'28_スキル評価・育成'!$A$4:$A$203,0)))))</f>
        <v/>
      </c>
      <c r="O5" s="28" t="str">
        <f t="shared" si="0"/>
        <v/>
      </c>
      <c r="P5" s="29"/>
      <c r="Q5" s="29"/>
      <c r="R5" s="28" t="str">
        <f>IF(A5="","",IF(COUNTIF($A$4:$A$103,A5)&lt;&gt;1,"割当ID重複",IF(OR(COUNTIF(TaskIDs,B5)&lt;&gt;1,COUNTIF(RoleIDs,C5)&lt;&gt;1,COUNTIF(SkillIDs,D5)&lt;&gt;1),"定義ID不正",IF(OR(NOT(ISNUMBER(E5)),IFERROR(MOD(E5,1)&lt;&gt;0,TRUE),IFERROR(E5&lt;0,TRUE),IFERROR(E5&gt;3,TRUE)),"必要Lv不正",IF(OR(OR(F5="",G5="",H5="",I5="",K5="",P5=""),NOT(ISNUMBER(J5))),"割当承認不足",IF(OR(AND(J5&lt;&gt;"",OR(NOT(ISNUMBER(J5)),IFERROR(J5&lt;1,TRUE),IFERROR(INT(J5)&gt;INT(AsOfDate),TRUE)))),"割当承認日不正",IF(OR(COUNTIF('28_スキル評価・育成'!$A$4:$A$203,G5)&lt;&gt;1,IF(COUNTIF('28_スキル評価・育成'!$A$4:$A$203,G5)&lt;&gt;1,"参照ID不正",IF(INDEX('28_スキル評価・育成'!$B$4:$B$203,MATCH(G5,'28_スキル評価・育成'!$A$4:$A$203,0))="","",INDEX('28_スキル評価・育成'!$B$4:$B$203,MATCH(G5,'28_スキル評価・育成'!$A$4:$A$203,0))))&lt;&gt;D5,IF(COUNTIF('28_スキル評価・育成'!$A$4:$A$203,G5)&lt;&gt;1,"参照ID不正",IF(INDEX('28_スキル評価・育成'!$Q$4:$Q$203,MATCH(G5,'28_スキル評価・育成'!$A$4:$A$203,0))="","",INDEX('28_スキル評価・育成'!$Q$4:$Q$203,MATCH(G5,'28_スキル評価・育成'!$A$4:$A$203,0))))&lt;&gt;F5),"能力証拠の対象不一致",IF(IF(COUNTIF('28_スキル評価・育成'!$A$4:$A$203,G5)&lt;&gt;1,"参照ID不正",IF(INDEX('28_スキル評価・育成'!$P$4:$P$203,MATCH(G5,'28_スキル評価・育成'!$A$4:$A$203,0))="","",INDEX('28_スキル評価・育成'!$P$4:$P$203,MATCH(G5,'28_スキル評価・育成'!$A$4:$A$203,0))))&lt;&gt;"第三者評価記録あり","能力の第三者確認不足",IF(AND(OR(P5="独立評価",P5="品質決裁"),OR(Q5="",Q5=F5)),"実装との独立性不足",IF(O5&gt;0,"能力不足・育成又は支援要","割当記録整合"))))))))))</f>
        <v/>
      </c>
    </row>
    <row r="6" spans="1:18" ht="64" customHeight="1" x14ac:dyDescent="0.2">
      <c r="A6" s="29"/>
      <c r="B6" s="29"/>
      <c r="C6" s="29"/>
      <c r="D6" s="29"/>
      <c r="E6" s="29"/>
      <c r="F6" s="29"/>
      <c r="G6" s="29"/>
      <c r="H6" s="29"/>
      <c r="I6" s="29"/>
      <c r="J6" s="32"/>
      <c r="K6" s="29"/>
      <c r="L6" s="28" t="str">
        <f>IF(A6="","",IF(COUNTIF('02_工程タスク'!$A$4:$A$135,B6)&lt;&gt;1,"参照ID不正",IF(INDEX('02_工程タスク'!$D$4:$D$135,MATCH(B6,'02_工程タスク'!$A$4:$A$135,0))="","",INDEX('02_工程タスク'!$D$4:$D$135,MATCH(B6,'02_工程タスク'!$A$4:$A$135,0)))))</f>
        <v/>
      </c>
      <c r="M6" s="28" t="str">
        <f>IF(A6="","",IF(COUNTIF('07_スキル辞書'!$A$4:$A$109,D6)&lt;&gt;1,"参照ID不正",IF(INDEX('07_スキル辞書'!$D$4:$D$109,MATCH(D6,'07_スキル辞書'!$A$4:$A$109,0))="","",INDEX('07_スキル辞書'!$D$4:$D$109,MATCH(D6,'07_スキル辞書'!$A$4:$A$109,0)))))</f>
        <v/>
      </c>
      <c r="N6" s="28" t="str">
        <f>IF(OR(A6="",G6=""),"",IF(COUNTIF('28_スキル評価・育成'!$A$4:$A$203,G6)&lt;&gt;1,"参照ID不正",IF(INDEX('28_スキル評価・育成'!$H$4:$H$203,MATCH(G6,'28_スキル評価・育成'!$A$4:$A$203,0))="","",INDEX('28_スキル評価・育成'!$H$4:$H$203,MATCH(G6,'28_スキル評価・育成'!$A$4:$A$203,0)))))</f>
        <v/>
      </c>
      <c r="O6" s="28" t="str">
        <f t="shared" si="0"/>
        <v/>
      </c>
      <c r="P6" s="29"/>
      <c r="Q6" s="29"/>
      <c r="R6" s="28" t="str">
        <f>IF(A6="","",IF(COUNTIF($A$4:$A$103,A6)&lt;&gt;1,"割当ID重複",IF(OR(COUNTIF(TaskIDs,B6)&lt;&gt;1,COUNTIF(RoleIDs,C6)&lt;&gt;1,COUNTIF(SkillIDs,D6)&lt;&gt;1),"定義ID不正",IF(OR(NOT(ISNUMBER(E6)),IFERROR(MOD(E6,1)&lt;&gt;0,TRUE),IFERROR(E6&lt;0,TRUE),IFERROR(E6&gt;3,TRUE)),"必要Lv不正",IF(OR(OR(F6="",G6="",H6="",I6="",K6="",P6=""),NOT(ISNUMBER(J6))),"割当承認不足",IF(OR(AND(J6&lt;&gt;"",OR(NOT(ISNUMBER(J6)),IFERROR(J6&lt;1,TRUE),IFERROR(INT(J6)&gt;INT(AsOfDate),TRUE)))),"割当承認日不正",IF(OR(COUNTIF('28_スキル評価・育成'!$A$4:$A$203,G6)&lt;&gt;1,IF(COUNTIF('28_スキル評価・育成'!$A$4:$A$203,G6)&lt;&gt;1,"参照ID不正",IF(INDEX('28_スキル評価・育成'!$B$4:$B$203,MATCH(G6,'28_スキル評価・育成'!$A$4:$A$203,0))="","",INDEX('28_スキル評価・育成'!$B$4:$B$203,MATCH(G6,'28_スキル評価・育成'!$A$4:$A$203,0))))&lt;&gt;D6,IF(COUNTIF('28_スキル評価・育成'!$A$4:$A$203,G6)&lt;&gt;1,"参照ID不正",IF(INDEX('28_スキル評価・育成'!$Q$4:$Q$203,MATCH(G6,'28_スキル評価・育成'!$A$4:$A$203,0))="","",INDEX('28_スキル評価・育成'!$Q$4:$Q$203,MATCH(G6,'28_スキル評価・育成'!$A$4:$A$203,0))))&lt;&gt;F6),"能力証拠の対象不一致",IF(IF(COUNTIF('28_スキル評価・育成'!$A$4:$A$203,G6)&lt;&gt;1,"参照ID不正",IF(INDEX('28_スキル評価・育成'!$P$4:$P$203,MATCH(G6,'28_スキル評価・育成'!$A$4:$A$203,0))="","",INDEX('28_スキル評価・育成'!$P$4:$P$203,MATCH(G6,'28_スキル評価・育成'!$A$4:$A$203,0))))&lt;&gt;"第三者評価記録あり","能力の第三者確認不足",IF(AND(OR(P6="独立評価",P6="品質決裁"),OR(Q6="",Q6=F6)),"実装との独立性不足",IF(O6&gt;0,"能力不足・育成又は支援要","割当記録整合"))))))))))</f>
        <v/>
      </c>
    </row>
    <row r="7" spans="1:18" ht="64" customHeight="1" x14ac:dyDescent="0.2">
      <c r="A7" s="29"/>
      <c r="B7" s="29"/>
      <c r="C7" s="29"/>
      <c r="D7" s="29"/>
      <c r="E7" s="29"/>
      <c r="F7" s="29"/>
      <c r="G7" s="29"/>
      <c r="H7" s="29"/>
      <c r="I7" s="29"/>
      <c r="J7" s="32"/>
      <c r="K7" s="29"/>
      <c r="L7" s="28" t="str">
        <f>IF(A7="","",IF(COUNTIF('02_工程タスク'!$A$4:$A$135,B7)&lt;&gt;1,"参照ID不正",IF(INDEX('02_工程タスク'!$D$4:$D$135,MATCH(B7,'02_工程タスク'!$A$4:$A$135,0))="","",INDEX('02_工程タスク'!$D$4:$D$135,MATCH(B7,'02_工程タスク'!$A$4:$A$135,0)))))</f>
        <v/>
      </c>
      <c r="M7" s="28" t="str">
        <f>IF(A7="","",IF(COUNTIF('07_スキル辞書'!$A$4:$A$109,D7)&lt;&gt;1,"参照ID不正",IF(INDEX('07_スキル辞書'!$D$4:$D$109,MATCH(D7,'07_スキル辞書'!$A$4:$A$109,0))="","",INDEX('07_スキル辞書'!$D$4:$D$109,MATCH(D7,'07_スキル辞書'!$A$4:$A$109,0)))))</f>
        <v/>
      </c>
      <c r="N7" s="28" t="str">
        <f>IF(OR(A7="",G7=""),"",IF(COUNTIF('28_スキル評価・育成'!$A$4:$A$203,G7)&lt;&gt;1,"参照ID不正",IF(INDEX('28_スキル評価・育成'!$H$4:$H$203,MATCH(G7,'28_スキル評価・育成'!$A$4:$A$203,0))="","",INDEX('28_スキル評価・育成'!$H$4:$H$203,MATCH(G7,'28_スキル評価・育成'!$A$4:$A$203,0)))))</f>
        <v/>
      </c>
      <c r="O7" s="28" t="str">
        <f t="shared" si="0"/>
        <v/>
      </c>
      <c r="P7" s="29"/>
      <c r="Q7" s="29"/>
      <c r="R7" s="28" t="str">
        <f>IF(A7="","",IF(COUNTIF($A$4:$A$103,A7)&lt;&gt;1,"割当ID重複",IF(OR(COUNTIF(TaskIDs,B7)&lt;&gt;1,COUNTIF(RoleIDs,C7)&lt;&gt;1,COUNTIF(SkillIDs,D7)&lt;&gt;1),"定義ID不正",IF(OR(NOT(ISNUMBER(E7)),IFERROR(MOD(E7,1)&lt;&gt;0,TRUE),IFERROR(E7&lt;0,TRUE),IFERROR(E7&gt;3,TRUE)),"必要Lv不正",IF(OR(OR(F7="",G7="",H7="",I7="",K7="",P7=""),NOT(ISNUMBER(J7))),"割当承認不足",IF(OR(AND(J7&lt;&gt;"",OR(NOT(ISNUMBER(J7)),IFERROR(J7&lt;1,TRUE),IFERROR(INT(J7)&gt;INT(AsOfDate),TRUE)))),"割当承認日不正",IF(OR(COUNTIF('28_スキル評価・育成'!$A$4:$A$203,G7)&lt;&gt;1,IF(COUNTIF('28_スキル評価・育成'!$A$4:$A$203,G7)&lt;&gt;1,"参照ID不正",IF(INDEX('28_スキル評価・育成'!$B$4:$B$203,MATCH(G7,'28_スキル評価・育成'!$A$4:$A$203,0))="","",INDEX('28_スキル評価・育成'!$B$4:$B$203,MATCH(G7,'28_スキル評価・育成'!$A$4:$A$203,0))))&lt;&gt;D7,IF(COUNTIF('28_スキル評価・育成'!$A$4:$A$203,G7)&lt;&gt;1,"参照ID不正",IF(INDEX('28_スキル評価・育成'!$Q$4:$Q$203,MATCH(G7,'28_スキル評価・育成'!$A$4:$A$203,0))="","",INDEX('28_スキル評価・育成'!$Q$4:$Q$203,MATCH(G7,'28_スキル評価・育成'!$A$4:$A$203,0))))&lt;&gt;F7),"能力証拠の対象不一致",IF(IF(COUNTIF('28_スキル評価・育成'!$A$4:$A$203,G7)&lt;&gt;1,"参照ID不正",IF(INDEX('28_スキル評価・育成'!$P$4:$P$203,MATCH(G7,'28_スキル評価・育成'!$A$4:$A$203,0))="","",INDEX('28_スキル評価・育成'!$P$4:$P$203,MATCH(G7,'28_スキル評価・育成'!$A$4:$A$203,0))))&lt;&gt;"第三者評価記録あり","能力の第三者確認不足",IF(AND(OR(P7="独立評価",P7="品質決裁"),OR(Q7="",Q7=F7)),"実装との独立性不足",IF(O7&gt;0,"能力不足・育成又は支援要","割当記録整合"))))))))))</f>
        <v/>
      </c>
    </row>
    <row r="8" spans="1:18" ht="64" customHeight="1" x14ac:dyDescent="0.2">
      <c r="A8" s="29"/>
      <c r="B8" s="29"/>
      <c r="C8" s="29"/>
      <c r="D8" s="29"/>
      <c r="E8" s="29"/>
      <c r="F8" s="29"/>
      <c r="G8" s="29"/>
      <c r="H8" s="29"/>
      <c r="I8" s="29"/>
      <c r="J8" s="32"/>
      <c r="K8" s="29"/>
      <c r="L8" s="28" t="str">
        <f>IF(A8="","",IF(COUNTIF('02_工程タスク'!$A$4:$A$135,B8)&lt;&gt;1,"参照ID不正",IF(INDEX('02_工程タスク'!$D$4:$D$135,MATCH(B8,'02_工程タスク'!$A$4:$A$135,0))="","",INDEX('02_工程タスク'!$D$4:$D$135,MATCH(B8,'02_工程タスク'!$A$4:$A$135,0)))))</f>
        <v/>
      </c>
      <c r="M8" s="28" t="str">
        <f>IF(A8="","",IF(COUNTIF('07_スキル辞書'!$A$4:$A$109,D8)&lt;&gt;1,"参照ID不正",IF(INDEX('07_スキル辞書'!$D$4:$D$109,MATCH(D8,'07_スキル辞書'!$A$4:$A$109,0))="","",INDEX('07_スキル辞書'!$D$4:$D$109,MATCH(D8,'07_スキル辞書'!$A$4:$A$109,0)))))</f>
        <v/>
      </c>
      <c r="N8" s="28" t="str">
        <f>IF(OR(A8="",G8=""),"",IF(COUNTIF('28_スキル評価・育成'!$A$4:$A$203,G8)&lt;&gt;1,"参照ID不正",IF(INDEX('28_スキル評価・育成'!$H$4:$H$203,MATCH(G8,'28_スキル評価・育成'!$A$4:$A$203,0))="","",INDEX('28_スキル評価・育成'!$H$4:$H$203,MATCH(G8,'28_スキル評価・育成'!$A$4:$A$203,0)))))</f>
        <v/>
      </c>
      <c r="O8" s="28" t="str">
        <f t="shared" si="0"/>
        <v/>
      </c>
      <c r="P8" s="29"/>
      <c r="Q8" s="29"/>
      <c r="R8" s="28" t="str">
        <f>IF(A8="","",IF(COUNTIF($A$4:$A$103,A8)&lt;&gt;1,"割当ID重複",IF(OR(COUNTIF(TaskIDs,B8)&lt;&gt;1,COUNTIF(RoleIDs,C8)&lt;&gt;1,COUNTIF(SkillIDs,D8)&lt;&gt;1),"定義ID不正",IF(OR(NOT(ISNUMBER(E8)),IFERROR(MOD(E8,1)&lt;&gt;0,TRUE),IFERROR(E8&lt;0,TRUE),IFERROR(E8&gt;3,TRUE)),"必要Lv不正",IF(OR(OR(F8="",G8="",H8="",I8="",K8="",P8=""),NOT(ISNUMBER(J8))),"割当承認不足",IF(OR(AND(J8&lt;&gt;"",OR(NOT(ISNUMBER(J8)),IFERROR(J8&lt;1,TRUE),IFERROR(INT(J8)&gt;INT(AsOfDate),TRUE)))),"割当承認日不正",IF(OR(COUNTIF('28_スキル評価・育成'!$A$4:$A$203,G8)&lt;&gt;1,IF(COUNTIF('28_スキル評価・育成'!$A$4:$A$203,G8)&lt;&gt;1,"参照ID不正",IF(INDEX('28_スキル評価・育成'!$B$4:$B$203,MATCH(G8,'28_スキル評価・育成'!$A$4:$A$203,0))="","",INDEX('28_スキル評価・育成'!$B$4:$B$203,MATCH(G8,'28_スキル評価・育成'!$A$4:$A$203,0))))&lt;&gt;D8,IF(COUNTIF('28_スキル評価・育成'!$A$4:$A$203,G8)&lt;&gt;1,"参照ID不正",IF(INDEX('28_スキル評価・育成'!$Q$4:$Q$203,MATCH(G8,'28_スキル評価・育成'!$A$4:$A$203,0))="","",INDEX('28_スキル評価・育成'!$Q$4:$Q$203,MATCH(G8,'28_スキル評価・育成'!$A$4:$A$203,0))))&lt;&gt;F8),"能力証拠の対象不一致",IF(IF(COUNTIF('28_スキル評価・育成'!$A$4:$A$203,G8)&lt;&gt;1,"参照ID不正",IF(INDEX('28_スキル評価・育成'!$P$4:$P$203,MATCH(G8,'28_スキル評価・育成'!$A$4:$A$203,0))="","",INDEX('28_スキル評価・育成'!$P$4:$P$203,MATCH(G8,'28_スキル評価・育成'!$A$4:$A$203,0))))&lt;&gt;"第三者評価記録あり","能力の第三者確認不足",IF(AND(OR(P8="独立評価",P8="品質決裁"),OR(Q8="",Q8=F8)),"実装との独立性不足",IF(O8&gt;0,"能力不足・育成又は支援要","割当記録整合"))))))))))</f>
        <v/>
      </c>
    </row>
    <row r="9" spans="1:18" ht="64" customHeight="1" x14ac:dyDescent="0.2">
      <c r="A9" s="29"/>
      <c r="B9" s="29"/>
      <c r="C9" s="29"/>
      <c r="D9" s="29"/>
      <c r="E9" s="29"/>
      <c r="F9" s="29"/>
      <c r="G9" s="29"/>
      <c r="H9" s="29"/>
      <c r="I9" s="29"/>
      <c r="J9" s="32"/>
      <c r="K9" s="29"/>
      <c r="L9" s="28" t="str">
        <f>IF(A9="","",IF(COUNTIF('02_工程タスク'!$A$4:$A$135,B9)&lt;&gt;1,"参照ID不正",IF(INDEX('02_工程タスク'!$D$4:$D$135,MATCH(B9,'02_工程タスク'!$A$4:$A$135,0))="","",INDEX('02_工程タスク'!$D$4:$D$135,MATCH(B9,'02_工程タスク'!$A$4:$A$135,0)))))</f>
        <v/>
      </c>
      <c r="M9" s="28" t="str">
        <f>IF(A9="","",IF(COUNTIF('07_スキル辞書'!$A$4:$A$109,D9)&lt;&gt;1,"参照ID不正",IF(INDEX('07_スキル辞書'!$D$4:$D$109,MATCH(D9,'07_スキル辞書'!$A$4:$A$109,0))="","",INDEX('07_スキル辞書'!$D$4:$D$109,MATCH(D9,'07_スキル辞書'!$A$4:$A$109,0)))))</f>
        <v/>
      </c>
      <c r="N9" s="28" t="str">
        <f>IF(OR(A9="",G9=""),"",IF(COUNTIF('28_スキル評価・育成'!$A$4:$A$203,G9)&lt;&gt;1,"参照ID不正",IF(INDEX('28_スキル評価・育成'!$H$4:$H$203,MATCH(G9,'28_スキル評価・育成'!$A$4:$A$203,0))="","",INDEX('28_スキル評価・育成'!$H$4:$H$203,MATCH(G9,'28_スキル評価・育成'!$A$4:$A$203,0)))))</f>
        <v/>
      </c>
      <c r="O9" s="28" t="str">
        <f t="shared" si="0"/>
        <v/>
      </c>
      <c r="P9" s="29"/>
      <c r="Q9" s="29"/>
      <c r="R9" s="28" t="str">
        <f>IF(A9="","",IF(COUNTIF($A$4:$A$103,A9)&lt;&gt;1,"割当ID重複",IF(OR(COUNTIF(TaskIDs,B9)&lt;&gt;1,COUNTIF(RoleIDs,C9)&lt;&gt;1,COUNTIF(SkillIDs,D9)&lt;&gt;1),"定義ID不正",IF(OR(NOT(ISNUMBER(E9)),IFERROR(MOD(E9,1)&lt;&gt;0,TRUE),IFERROR(E9&lt;0,TRUE),IFERROR(E9&gt;3,TRUE)),"必要Lv不正",IF(OR(OR(F9="",G9="",H9="",I9="",K9="",P9=""),NOT(ISNUMBER(J9))),"割当承認不足",IF(OR(AND(J9&lt;&gt;"",OR(NOT(ISNUMBER(J9)),IFERROR(J9&lt;1,TRUE),IFERROR(INT(J9)&gt;INT(AsOfDate),TRUE)))),"割当承認日不正",IF(OR(COUNTIF('28_スキル評価・育成'!$A$4:$A$203,G9)&lt;&gt;1,IF(COUNTIF('28_スキル評価・育成'!$A$4:$A$203,G9)&lt;&gt;1,"参照ID不正",IF(INDEX('28_スキル評価・育成'!$B$4:$B$203,MATCH(G9,'28_スキル評価・育成'!$A$4:$A$203,0))="","",INDEX('28_スキル評価・育成'!$B$4:$B$203,MATCH(G9,'28_スキル評価・育成'!$A$4:$A$203,0))))&lt;&gt;D9,IF(COUNTIF('28_スキル評価・育成'!$A$4:$A$203,G9)&lt;&gt;1,"参照ID不正",IF(INDEX('28_スキル評価・育成'!$Q$4:$Q$203,MATCH(G9,'28_スキル評価・育成'!$A$4:$A$203,0))="","",INDEX('28_スキル評価・育成'!$Q$4:$Q$203,MATCH(G9,'28_スキル評価・育成'!$A$4:$A$203,0))))&lt;&gt;F9),"能力証拠の対象不一致",IF(IF(COUNTIF('28_スキル評価・育成'!$A$4:$A$203,G9)&lt;&gt;1,"参照ID不正",IF(INDEX('28_スキル評価・育成'!$P$4:$P$203,MATCH(G9,'28_スキル評価・育成'!$A$4:$A$203,0))="","",INDEX('28_スキル評価・育成'!$P$4:$P$203,MATCH(G9,'28_スキル評価・育成'!$A$4:$A$203,0))))&lt;&gt;"第三者評価記録あり","能力の第三者確認不足",IF(AND(OR(P9="独立評価",P9="品質決裁"),OR(Q9="",Q9=F9)),"実装との独立性不足",IF(O9&gt;0,"能力不足・育成又は支援要","割当記録整合"))))))))))</f>
        <v/>
      </c>
    </row>
    <row r="10" spans="1:18" ht="64" customHeight="1" x14ac:dyDescent="0.2">
      <c r="A10" s="29"/>
      <c r="B10" s="29"/>
      <c r="C10" s="29"/>
      <c r="D10" s="29"/>
      <c r="E10" s="29"/>
      <c r="F10" s="29"/>
      <c r="G10" s="29"/>
      <c r="H10" s="29"/>
      <c r="I10" s="29"/>
      <c r="J10" s="32"/>
      <c r="K10" s="29"/>
      <c r="L10" s="28" t="str">
        <f>IF(A10="","",IF(COUNTIF('02_工程タスク'!$A$4:$A$135,B10)&lt;&gt;1,"参照ID不正",IF(INDEX('02_工程タスク'!$D$4:$D$135,MATCH(B10,'02_工程タスク'!$A$4:$A$135,0))="","",INDEX('02_工程タスク'!$D$4:$D$135,MATCH(B10,'02_工程タスク'!$A$4:$A$135,0)))))</f>
        <v/>
      </c>
      <c r="M10" s="28" t="str">
        <f>IF(A10="","",IF(COUNTIF('07_スキル辞書'!$A$4:$A$109,D10)&lt;&gt;1,"参照ID不正",IF(INDEX('07_スキル辞書'!$D$4:$D$109,MATCH(D10,'07_スキル辞書'!$A$4:$A$109,0))="","",INDEX('07_スキル辞書'!$D$4:$D$109,MATCH(D10,'07_スキル辞書'!$A$4:$A$109,0)))))</f>
        <v/>
      </c>
      <c r="N10" s="28" t="str">
        <f>IF(OR(A10="",G10=""),"",IF(COUNTIF('28_スキル評価・育成'!$A$4:$A$203,G10)&lt;&gt;1,"参照ID不正",IF(INDEX('28_スキル評価・育成'!$H$4:$H$203,MATCH(G10,'28_スキル評価・育成'!$A$4:$A$203,0))="","",INDEX('28_スキル評価・育成'!$H$4:$H$203,MATCH(G10,'28_スキル評価・育成'!$A$4:$A$203,0)))))</f>
        <v/>
      </c>
      <c r="O10" s="28" t="str">
        <f t="shared" si="0"/>
        <v/>
      </c>
      <c r="P10" s="29"/>
      <c r="Q10" s="29"/>
      <c r="R10" s="28" t="str">
        <f>IF(A10="","",IF(COUNTIF($A$4:$A$103,A10)&lt;&gt;1,"割当ID重複",IF(OR(COUNTIF(TaskIDs,B10)&lt;&gt;1,COUNTIF(RoleIDs,C10)&lt;&gt;1,COUNTIF(SkillIDs,D10)&lt;&gt;1),"定義ID不正",IF(OR(NOT(ISNUMBER(E10)),IFERROR(MOD(E10,1)&lt;&gt;0,TRUE),IFERROR(E10&lt;0,TRUE),IFERROR(E10&gt;3,TRUE)),"必要Lv不正",IF(OR(OR(F10="",G10="",H10="",I10="",K10="",P10=""),NOT(ISNUMBER(J10))),"割当承認不足",IF(OR(AND(J10&lt;&gt;"",OR(NOT(ISNUMBER(J10)),IFERROR(J10&lt;1,TRUE),IFERROR(INT(J10)&gt;INT(AsOfDate),TRUE)))),"割当承認日不正",IF(OR(COUNTIF('28_スキル評価・育成'!$A$4:$A$203,G10)&lt;&gt;1,IF(COUNTIF('28_スキル評価・育成'!$A$4:$A$203,G10)&lt;&gt;1,"参照ID不正",IF(INDEX('28_スキル評価・育成'!$B$4:$B$203,MATCH(G10,'28_スキル評価・育成'!$A$4:$A$203,0))="","",INDEX('28_スキル評価・育成'!$B$4:$B$203,MATCH(G10,'28_スキル評価・育成'!$A$4:$A$203,0))))&lt;&gt;D10,IF(COUNTIF('28_スキル評価・育成'!$A$4:$A$203,G10)&lt;&gt;1,"参照ID不正",IF(INDEX('28_スキル評価・育成'!$Q$4:$Q$203,MATCH(G10,'28_スキル評価・育成'!$A$4:$A$203,0))="","",INDEX('28_スキル評価・育成'!$Q$4:$Q$203,MATCH(G10,'28_スキル評価・育成'!$A$4:$A$203,0))))&lt;&gt;F10),"能力証拠の対象不一致",IF(IF(COUNTIF('28_スキル評価・育成'!$A$4:$A$203,G10)&lt;&gt;1,"参照ID不正",IF(INDEX('28_スキル評価・育成'!$P$4:$P$203,MATCH(G10,'28_スキル評価・育成'!$A$4:$A$203,0))="","",INDEX('28_スキル評価・育成'!$P$4:$P$203,MATCH(G10,'28_スキル評価・育成'!$A$4:$A$203,0))))&lt;&gt;"第三者評価記録あり","能力の第三者確認不足",IF(AND(OR(P10="独立評価",P10="品質決裁"),OR(Q10="",Q10=F10)),"実装との独立性不足",IF(O10&gt;0,"能力不足・育成又は支援要","割当記録整合"))))))))))</f>
        <v/>
      </c>
    </row>
    <row r="11" spans="1:18" ht="64" customHeight="1" x14ac:dyDescent="0.2">
      <c r="A11" s="29"/>
      <c r="B11" s="29"/>
      <c r="C11" s="29"/>
      <c r="D11" s="29"/>
      <c r="E11" s="29"/>
      <c r="F11" s="29"/>
      <c r="G11" s="29"/>
      <c r="H11" s="29"/>
      <c r="I11" s="29"/>
      <c r="J11" s="32"/>
      <c r="K11" s="29"/>
      <c r="L11" s="28" t="str">
        <f>IF(A11="","",IF(COUNTIF('02_工程タスク'!$A$4:$A$135,B11)&lt;&gt;1,"参照ID不正",IF(INDEX('02_工程タスク'!$D$4:$D$135,MATCH(B11,'02_工程タスク'!$A$4:$A$135,0))="","",INDEX('02_工程タスク'!$D$4:$D$135,MATCH(B11,'02_工程タスク'!$A$4:$A$135,0)))))</f>
        <v/>
      </c>
      <c r="M11" s="28" t="str">
        <f>IF(A11="","",IF(COUNTIF('07_スキル辞書'!$A$4:$A$109,D11)&lt;&gt;1,"参照ID不正",IF(INDEX('07_スキル辞書'!$D$4:$D$109,MATCH(D11,'07_スキル辞書'!$A$4:$A$109,0))="","",INDEX('07_スキル辞書'!$D$4:$D$109,MATCH(D11,'07_スキル辞書'!$A$4:$A$109,0)))))</f>
        <v/>
      </c>
      <c r="N11" s="28" t="str">
        <f>IF(OR(A11="",G11=""),"",IF(COUNTIF('28_スキル評価・育成'!$A$4:$A$203,G11)&lt;&gt;1,"参照ID不正",IF(INDEX('28_スキル評価・育成'!$H$4:$H$203,MATCH(G11,'28_スキル評価・育成'!$A$4:$A$203,0))="","",INDEX('28_スキル評価・育成'!$H$4:$H$203,MATCH(G11,'28_スキル評価・育成'!$A$4:$A$203,0)))))</f>
        <v/>
      </c>
      <c r="O11" s="28" t="str">
        <f t="shared" si="0"/>
        <v/>
      </c>
      <c r="P11" s="29"/>
      <c r="Q11" s="29"/>
      <c r="R11" s="28" t="str">
        <f>IF(A11="","",IF(COUNTIF($A$4:$A$103,A11)&lt;&gt;1,"割当ID重複",IF(OR(COUNTIF(TaskIDs,B11)&lt;&gt;1,COUNTIF(RoleIDs,C11)&lt;&gt;1,COUNTIF(SkillIDs,D11)&lt;&gt;1),"定義ID不正",IF(OR(NOT(ISNUMBER(E11)),IFERROR(MOD(E11,1)&lt;&gt;0,TRUE),IFERROR(E11&lt;0,TRUE),IFERROR(E11&gt;3,TRUE)),"必要Lv不正",IF(OR(OR(F11="",G11="",H11="",I11="",K11="",P11=""),NOT(ISNUMBER(J11))),"割当承認不足",IF(OR(AND(J11&lt;&gt;"",OR(NOT(ISNUMBER(J11)),IFERROR(J11&lt;1,TRUE),IFERROR(INT(J11)&gt;INT(AsOfDate),TRUE)))),"割当承認日不正",IF(OR(COUNTIF('28_スキル評価・育成'!$A$4:$A$203,G11)&lt;&gt;1,IF(COUNTIF('28_スキル評価・育成'!$A$4:$A$203,G11)&lt;&gt;1,"参照ID不正",IF(INDEX('28_スキル評価・育成'!$B$4:$B$203,MATCH(G11,'28_スキル評価・育成'!$A$4:$A$203,0))="","",INDEX('28_スキル評価・育成'!$B$4:$B$203,MATCH(G11,'28_スキル評価・育成'!$A$4:$A$203,0))))&lt;&gt;D11,IF(COUNTIF('28_スキル評価・育成'!$A$4:$A$203,G11)&lt;&gt;1,"参照ID不正",IF(INDEX('28_スキル評価・育成'!$Q$4:$Q$203,MATCH(G11,'28_スキル評価・育成'!$A$4:$A$203,0))="","",INDEX('28_スキル評価・育成'!$Q$4:$Q$203,MATCH(G11,'28_スキル評価・育成'!$A$4:$A$203,0))))&lt;&gt;F11),"能力証拠の対象不一致",IF(IF(COUNTIF('28_スキル評価・育成'!$A$4:$A$203,G11)&lt;&gt;1,"参照ID不正",IF(INDEX('28_スキル評価・育成'!$P$4:$P$203,MATCH(G11,'28_スキル評価・育成'!$A$4:$A$203,0))="","",INDEX('28_スキル評価・育成'!$P$4:$P$203,MATCH(G11,'28_スキル評価・育成'!$A$4:$A$203,0))))&lt;&gt;"第三者評価記録あり","能力の第三者確認不足",IF(AND(OR(P11="独立評価",P11="品質決裁"),OR(Q11="",Q11=F11)),"実装との独立性不足",IF(O11&gt;0,"能力不足・育成又は支援要","割当記録整合"))))))))))</f>
        <v/>
      </c>
    </row>
    <row r="12" spans="1:18" ht="64" customHeight="1" x14ac:dyDescent="0.2">
      <c r="A12" s="29"/>
      <c r="B12" s="29"/>
      <c r="C12" s="29"/>
      <c r="D12" s="29"/>
      <c r="E12" s="29"/>
      <c r="F12" s="29"/>
      <c r="G12" s="29"/>
      <c r="H12" s="29"/>
      <c r="I12" s="29"/>
      <c r="J12" s="32"/>
      <c r="K12" s="29"/>
      <c r="L12" s="28" t="str">
        <f>IF(A12="","",IF(COUNTIF('02_工程タスク'!$A$4:$A$135,B12)&lt;&gt;1,"参照ID不正",IF(INDEX('02_工程タスク'!$D$4:$D$135,MATCH(B12,'02_工程タスク'!$A$4:$A$135,0))="","",INDEX('02_工程タスク'!$D$4:$D$135,MATCH(B12,'02_工程タスク'!$A$4:$A$135,0)))))</f>
        <v/>
      </c>
      <c r="M12" s="28" t="str">
        <f>IF(A12="","",IF(COUNTIF('07_スキル辞書'!$A$4:$A$109,D12)&lt;&gt;1,"参照ID不正",IF(INDEX('07_スキル辞書'!$D$4:$D$109,MATCH(D12,'07_スキル辞書'!$A$4:$A$109,0))="","",INDEX('07_スキル辞書'!$D$4:$D$109,MATCH(D12,'07_スキル辞書'!$A$4:$A$109,0)))))</f>
        <v/>
      </c>
      <c r="N12" s="28" t="str">
        <f>IF(OR(A12="",G12=""),"",IF(COUNTIF('28_スキル評価・育成'!$A$4:$A$203,G12)&lt;&gt;1,"参照ID不正",IF(INDEX('28_スキル評価・育成'!$H$4:$H$203,MATCH(G12,'28_スキル評価・育成'!$A$4:$A$203,0))="","",INDEX('28_スキル評価・育成'!$H$4:$H$203,MATCH(G12,'28_スキル評価・育成'!$A$4:$A$203,0)))))</f>
        <v/>
      </c>
      <c r="O12" s="28" t="str">
        <f t="shared" si="0"/>
        <v/>
      </c>
      <c r="P12" s="29"/>
      <c r="Q12" s="29"/>
      <c r="R12" s="28" t="str">
        <f>IF(A12="","",IF(COUNTIF($A$4:$A$103,A12)&lt;&gt;1,"割当ID重複",IF(OR(COUNTIF(TaskIDs,B12)&lt;&gt;1,COUNTIF(RoleIDs,C12)&lt;&gt;1,COUNTIF(SkillIDs,D12)&lt;&gt;1),"定義ID不正",IF(OR(NOT(ISNUMBER(E12)),IFERROR(MOD(E12,1)&lt;&gt;0,TRUE),IFERROR(E12&lt;0,TRUE),IFERROR(E12&gt;3,TRUE)),"必要Lv不正",IF(OR(OR(F12="",G12="",H12="",I12="",K12="",P12=""),NOT(ISNUMBER(J12))),"割当承認不足",IF(OR(AND(J12&lt;&gt;"",OR(NOT(ISNUMBER(J12)),IFERROR(J12&lt;1,TRUE),IFERROR(INT(J12)&gt;INT(AsOfDate),TRUE)))),"割当承認日不正",IF(OR(COUNTIF('28_スキル評価・育成'!$A$4:$A$203,G12)&lt;&gt;1,IF(COUNTIF('28_スキル評価・育成'!$A$4:$A$203,G12)&lt;&gt;1,"参照ID不正",IF(INDEX('28_スキル評価・育成'!$B$4:$B$203,MATCH(G12,'28_スキル評価・育成'!$A$4:$A$203,0))="","",INDEX('28_スキル評価・育成'!$B$4:$B$203,MATCH(G12,'28_スキル評価・育成'!$A$4:$A$203,0))))&lt;&gt;D12,IF(COUNTIF('28_スキル評価・育成'!$A$4:$A$203,G12)&lt;&gt;1,"参照ID不正",IF(INDEX('28_スキル評価・育成'!$Q$4:$Q$203,MATCH(G12,'28_スキル評価・育成'!$A$4:$A$203,0))="","",INDEX('28_スキル評価・育成'!$Q$4:$Q$203,MATCH(G12,'28_スキル評価・育成'!$A$4:$A$203,0))))&lt;&gt;F12),"能力証拠の対象不一致",IF(IF(COUNTIF('28_スキル評価・育成'!$A$4:$A$203,G12)&lt;&gt;1,"参照ID不正",IF(INDEX('28_スキル評価・育成'!$P$4:$P$203,MATCH(G12,'28_スキル評価・育成'!$A$4:$A$203,0))="","",INDEX('28_スキル評価・育成'!$P$4:$P$203,MATCH(G12,'28_スキル評価・育成'!$A$4:$A$203,0))))&lt;&gt;"第三者評価記録あり","能力の第三者確認不足",IF(AND(OR(P12="独立評価",P12="品質決裁"),OR(Q12="",Q12=F12)),"実装との独立性不足",IF(O12&gt;0,"能力不足・育成又は支援要","割当記録整合"))))))))))</f>
        <v/>
      </c>
    </row>
    <row r="13" spans="1:18" ht="64" customHeight="1" x14ac:dyDescent="0.2">
      <c r="A13" s="29"/>
      <c r="B13" s="29"/>
      <c r="C13" s="29"/>
      <c r="D13" s="29"/>
      <c r="E13" s="29"/>
      <c r="F13" s="29"/>
      <c r="G13" s="29"/>
      <c r="H13" s="29"/>
      <c r="I13" s="29"/>
      <c r="J13" s="32"/>
      <c r="K13" s="29"/>
      <c r="L13" s="28" t="str">
        <f>IF(A13="","",IF(COUNTIF('02_工程タスク'!$A$4:$A$135,B13)&lt;&gt;1,"参照ID不正",IF(INDEX('02_工程タスク'!$D$4:$D$135,MATCH(B13,'02_工程タスク'!$A$4:$A$135,0))="","",INDEX('02_工程タスク'!$D$4:$D$135,MATCH(B13,'02_工程タスク'!$A$4:$A$135,0)))))</f>
        <v/>
      </c>
      <c r="M13" s="28" t="str">
        <f>IF(A13="","",IF(COUNTIF('07_スキル辞書'!$A$4:$A$109,D13)&lt;&gt;1,"参照ID不正",IF(INDEX('07_スキル辞書'!$D$4:$D$109,MATCH(D13,'07_スキル辞書'!$A$4:$A$109,0))="","",INDEX('07_スキル辞書'!$D$4:$D$109,MATCH(D13,'07_スキル辞書'!$A$4:$A$109,0)))))</f>
        <v/>
      </c>
      <c r="N13" s="28" t="str">
        <f>IF(OR(A13="",G13=""),"",IF(COUNTIF('28_スキル評価・育成'!$A$4:$A$203,G13)&lt;&gt;1,"参照ID不正",IF(INDEX('28_スキル評価・育成'!$H$4:$H$203,MATCH(G13,'28_スキル評価・育成'!$A$4:$A$203,0))="","",INDEX('28_スキル評価・育成'!$H$4:$H$203,MATCH(G13,'28_スキル評価・育成'!$A$4:$A$203,0)))))</f>
        <v/>
      </c>
      <c r="O13" s="28" t="str">
        <f t="shared" si="0"/>
        <v/>
      </c>
      <c r="P13" s="29"/>
      <c r="Q13" s="29"/>
      <c r="R13" s="28" t="str">
        <f>IF(A13="","",IF(COUNTIF($A$4:$A$103,A13)&lt;&gt;1,"割当ID重複",IF(OR(COUNTIF(TaskIDs,B13)&lt;&gt;1,COUNTIF(RoleIDs,C13)&lt;&gt;1,COUNTIF(SkillIDs,D13)&lt;&gt;1),"定義ID不正",IF(OR(NOT(ISNUMBER(E13)),IFERROR(MOD(E13,1)&lt;&gt;0,TRUE),IFERROR(E13&lt;0,TRUE),IFERROR(E13&gt;3,TRUE)),"必要Lv不正",IF(OR(OR(F13="",G13="",H13="",I13="",K13="",P13=""),NOT(ISNUMBER(J13))),"割当承認不足",IF(OR(AND(J13&lt;&gt;"",OR(NOT(ISNUMBER(J13)),IFERROR(J13&lt;1,TRUE),IFERROR(INT(J13)&gt;INT(AsOfDate),TRUE)))),"割当承認日不正",IF(OR(COUNTIF('28_スキル評価・育成'!$A$4:$A$203,G13)&lt;&gt;1,IF(COUNTIF('28_スキル評価・育成'!$A$4:$A$203,G13)&lt;&gt;1,"参照ID不正",IF(INDEX('28_スキル評価・育成'!$B$4:$B$203,MATCH(G13,'28_スキル評価・育成'!$A$4:$A$203,0))="","",INDEX('28_スキル評価・育成'!$B$4:$B$203,MATCH(G13,'28_スキル評価・育成'!$A$4:$A$203,0))))&lt;&gt;D13,IF(COUNTIF('28_スキル評価・育成'!$A$4:$A$203,G13)&lt;&gt;1,"参照ID不正",IF(INDEX('28_スキル評価・育成'!$Q$4:$Q$203,MATCH(G13,'28_スキル評価・育成'!$A$4:$A$203,0))="","",INDEX('28_スキル評価・育成'!$Q$4:$Q$203,MATCH(G13,'28_スキル評価・育成'!$A$4:$A$203,0))))&lt;&gt;F13),"能力証拠の対象不一致",IF(IF(COUNTIF('28_スキル評価・育成'!$A$4:$A$203,G13)&lt;&gt;1,"参照ID不正",IF(INDEX('28_スキル評価・育成'!$P$4:$P$203,MATCH(G13,'28_スキル評価・育成'!$A$4:$A$203,0))="","",INDEX('28_スキル評価・育成'!$P$4:$P$203,MATCH(G13,'28_スキル評価・育成'!$A$4:$A$203,0))))&lt;&gt;"第三者評価記録あり","能力の第三者確認不足",IF(AND(OR(P13="独立評価",P13="品質決裁"),OR(Q13="",Q13=F13)),"実装との独立性不足",IF(O13&gt;0,"能力不足・育成又は支援要","割当記録整合"))))))))))</f>
        <v/>
      </c>
    </row>
    <row r="14" spans="1:18" ht="64" customHeight="1" x14ac:dyDescent="0.2">
      <c r="A14" s="29"/>
      <c r="B14" s="29"/>
      <c r="C14" s="29"/>
      <c r="D14" s="29"/>
      <c r="E14" s="29"/>
      <c r="F14" s="29"/>
      <c r="G14" s="29"/>
      <c r="H14" s="29"/>
      <c r="I14" s="29"/>
      <c r="J14" s="32"/>
      <c r="K14" s="29"/>
      <c r="L14" s="28" t="str">
        <f>IF(A14="","",IF(COUNTIF('02_工程タスク'!$A$4:$A$135,B14)&lt;&gt;1,"参照ID不正",IF(INDEX('02_工程タスク'!$D$4:$D$135,MATCH(B14,'02_工程タスク'!$A$4:$A$135,0))="","",INDEX('02_工程タスク'!$D$4:$D$135,MATCH(B14,'02_工程タスク'!$A$4:$A$135,0)))))</f>
        <v/>
      </c>
      <c r="M14" s="28" t="str">
        <f>IF(A14="","",IF(COUNTIF('07_スキル辞書'!$A$4:$A$109,D14)&lt;&gt;1,"参照ID不正",IF(INDEX('07_スキル辞書'!$D$4:$D$109,MATCH(D14,'07_スキル辞書'!$A$4:$A$109,0))="","",INDEX('07_スキル辞書'!$D$4:$D$109,MATCH(D14,'07_スキル辞書'!$A$4:$A$109,0)))))</f>
        <v/>
      </c>
      <c r="N14" s="28" t="str">
        <f>IF(OR(A14="",G14=""),"",IF(COUNTIF('28_スキル評価・育成'!$A$4:$A$203,G14)&lt;&gt;1,"参照ID不正",IF(INDEX('28_スキル評価・育成'!$H$4:$H$203,MATCH(G14,'28_スキル評価・育成'!$A$4:$A$203,0))="","",INDEX('28_スキル評価・育成'!$H$4:$H$203,MATCH(G14,'28_スキル評価・育成'!$A$4:$A$203,0)))))</f>
        <v/>
      </c>
      <c r="O14" s="28" t="str">
        <f t="shared" si="0"/>
        <v/>
      </c>
      <c r="P14" s="29"/>
      <c r="Q14" s="29"/>
      <c r="R14" s="28" t="str">
        <f>IF(A14="","",IF(COUNTIF($A$4:$A$103,A14)&lt;&gt;1,"割当ID重複",IF(OR(COUNTIF(TaskIDs,B14)&lt;&gt;1,COUNTIF(RoleIDs,C14)&lt;&gt;1,COUNTIF(SkillIDs,D14)&lt;&gt;1),"定義ID不正",IF(OR(NOT(ISNUMBER(E14)),IFERROR(MOD(E14,1)&lt;&gt;0,TRUE),IFERROR(E14&lt;0,TRUE),IFERROR(E14&gt;3,TRUE)),"必要Lv不正",IF(OR(OR(F14="",G14="",H14="",I14="",K14="",P14=""),NOT(ISNUMBER(J14))),"割当承認不足",IF(OR(AND(J14&lt;&gt;"",OR(NOT(ISNUMBER(J14)),IFERROR(J14&lt;1,TRUE),IFERROR(INT(J14)&gt;INT(AsOfDate),TRUE)))),"割当承認日不正",IF(OR(COUNTIF('28_スキル評価・育成'!$A$4:$A$203,G14)&lt;&gt;1,IF(COUNTIF('28_スキル評価・育成'!$A$4:$A$203,G14)&lt;&gt;1,"参照ID不正",IF(INDEX('28_スキル評価・育成'!$B$4:$B$203,MATCH(G14,'28_スキル評価・育成'!$A$4:$A$203,0))="","",INDEX('28_スキル評価・育成'!$B$4:$B$203,MATCH(G14,'28_スキル評価・育成'!$A$4:$A$203,0))))&lt;&gt;D14,IF(COUNTIF('28_スキル評価・育成'!$A$4:$A$203,G14)&lt;&gt;1,"参照ID不正",IF(INDEX('28_スキル評価・育成'!$Q$4:$Q$203,MATCH(G14,'28_スキル評価・育成'!$A$4:$A$203,0))="","",INDEX('28_スキル評価・育成'!$Q$4:$Q$203,MATCH(G14,'28_スキル評価・育成'!$A$4:$A$203,0))))&lt;&gt;F14),"能力証拠の対象不一致",IF(IF(COUNTIF('28_スキル評価・育成'!$A$4:$A$203,G14)&lt;&gt;1,"参照ID不正",IF(INDEX('28_スキル評価・育成'!$P$4:$P$203,MATCH(G14,'28_スキル評価・育成'!$A$4:$A$203,0))="","",INDEX('28_スキル評価・育成'!$P$4:$P$203,MATCH(G14,'28_スキル評価・育成'!$A$4:$A$203,0))))&lt;&gt;"第三者評価記録あり","能力の第三者確認不足",IF(AND(OR(P14="独立評価",P14="品質決裁"),OR(Q14="",Q14=F14)),"実装との独立性不足",IF(O14&gt;0,"能力不足・育成又は支援要","割当記録整合"))))))))))</f>
        <v/>
      </c>
    </row>
    <row r="15" spans="1:18" ht="64" customHeight="1" x14ac:dyDescent="0.2">
      <c r="A15" s="29"/>
      <c r="B15" s="29"/>
      <c r="C15" s="29"/>
      <c r="D15" s="29"/>
      <c r="E15" s="29"/>
      <c r="F15" s="29"/>
      <c r="G15" s="29"/>
      <c r="H15" s="29"/>
      <c r="I15" s="29"/>
      <c r="J15" s="32"/>
      <c r="K15" s="29"/>
      <c r="L15" s="28" t="str">
        <f>IF(A15="","",IF(COUNTIF('02_工程タスク'!$A$4:$A$135,B15)&lt;&gt;1,"参照ID不正",IF(INDEX('02_工程タスク'!$D$4:$D$135,MATCH(B15,'02_工程タスク'!$A$4:$A$135,0))="","",INDEX('02_工程タスク'!$D$4:$D$135,MATCH(B15,'02_工程タスク'!$A$4:$A$135,0)))))</f>
        <v/>
      </c>
      <c r="M15" s="28" t="str">
        <f>IF(A15="","",IF(COUNTIF('07_スキル辞書'!$A$4:$A$109,D15)&lt;&gt;1,"参照ID不正",IF(INDEX('07_スキル辞書'!$D$4:$D$109,MATCH(D15,'07_スキル辞書'!$A$4:$A$109,0))="","",INDEX('07_スキル辞書'!$D$4:$D$109,MATCH(D15,'07_スキル辞書'!$A$4:$A$109,0)))))</f>
        <v/>
      </c>
      <c r="N15" s="28" t="str">
        <f>IF(OR(A15="",G15=""),"",IF(COUNTIF('28_スキル評価・育成'!$A$4:$A$203,G15)&lt;&gt;1,"参照ID不正",IF(INDEX('28_スキル評価・育成'!$H$4:$H$203,MATCH(G15,'28_スキル評価・育成'!$A$4:$A$203,0))="","",INDEX('28_スキル評価・育成'!$H$4:$H$203,MATCH(G15,'28_スキル評価・育成'!$A$4:$A$203,0)))))</f>
        <v/>
      </c>
      <c r="O15" s="28" t="str">
        <f t="shared" si="0"/>
        <v/>
      </c>
      <c r="P15" s="29"/>
      <c r="Q15" s="29"/>
      <c r="R15" s="28" t="str">
        <f>IF(A15="","",IF(COUNTIF($A$4:$A$103,A15)&lt;&gt;1,"割当ID重複",IF(OR(COUNTIF(TaskIDs,B15)&lt;&gt;1,COUNTIF(RoleIDs,C15)&lt;&gt;1,COUNTIF(SkillIDs,D15)&lt;&gt;1),"定義ID不正",IF(OR(NOT(ISNUMBER(E15)),IFERROR(MOD(E15,1)&lt;&gt;0,TRUE),IFERROR(E15&lt;0,TRUE),IFERROR(E15&gt;3,TRUE)),"必要Lv不正",IF(OR(OR(F15="",G15="",H15="",I15="",K15="",P15=""),NOT(ISNUMBER(J15))),"割当承認不足",IF(OR(AND(J15&lt;&gt;"",OR(NOT(ISNUMBER(J15)),IFERROR(J15&lt;1,TRUE),IFERROR(INT(J15)&gt;INT(AsOfDate),TRUE)))),"割当承認日不正",IF(OR(COUNTIF('28_スキル評価・育成'!$A$4:$A$203,G15)&lt;&gt;1,IF(COUNTIF('28_スキル評価・育成'!$A$4:$A$203,G15)&lt;&gt;1,"参照ID不正",IF(INDEX('28_スキル評価・育成'!$B$4:$B$203,MATCH(G15,'28_スキル評価・育成'!$A$4:$A$203,0))="","",INDEX('28_スキル評価・育成'!$B$4:$B$203,MATCH(G15,'28_スキル評価・育成'!$A$4:$A$203,0))))&lt;&gt;D15,IF(COUNTIF('28_スキル評価・育成'!$A$4:$A$203,G15)&lt;&gt;1,"参照ID不正",IF(INDEX('28_スキル評価・育成'!$Q$4:$Q$203,MATCH(G15,'28_スキル評価・育成'!$A$4:$A$203,0))="","",INDEX('28_スキル評価・育成'!$Q$4:$Q$203,MATCH(G15,'28_スキル評価・育成'!$A$4:$A$203,0))))&lt;&gt;F15),"能力証拠の対象不一致",IF(IF(COUNTIF('28_スキル評価・育成'!$A$4:$A$203,G15)&lt;&gt;1,"参照ID不正",IF(INDEX('28_スキル評価・育成'!$P$4:$P$203,MATCH(G15,'28_スキル評価・育成'!$A$4:$A$203,0))="","",INDEX('28_スキル評価・育成'!$P$4:$P$203,MATCH(G15,'28_スキル評価・育成'!$A$4:$A$203,0))))&lt;&gt;"第三者評価記録あり","能力の第三者確認不足",IF(AND(OR(P15="独立評価",P15="品質決裁"),OR(Q15="",Q15=F15)),"実装との独立性不足",IF(O15&gt;0,"能力不足・育成又は支援要","割当記録整合"))))))))))</f>
        <v/>
      </c>
    </row>
    <row r="16" spans="1:18" ht="64" customHeight="1" x14ac:dyDescent="0.2">
      <c r="A16" s="29"/>
      <c r="B16" s="29"/>
      <c r="C16" s="29"/>
      <c r="D16" s="29"/>
      <c r="E16" s="29"/>
      <c r="F16" s="29"/>
      <c r="G16" s="29"/>
      <c r="H16" s="29"/>
      <c r="I16" s="29"/>
      <c r="J16" s="32"/>
      <c r="K16" s="29"/>
      <c r="L16" s="28" t="str">
        <f>IF(A16="","",IF(COUNTIF('02_工程タスク'!$A$4:$A$135,B16)&lt;&gt;1,"参照ID不正",IF(INDEX('02_工程タスク'!$D$4:$D$135,MATCH(B16,'02_工程タスク'!$A$4:$A$135,0))="","",INDEX('02_工程タスク'!$D$4:$D$135,MATCH(B16,'02_工程タスク'!$A$4:$A$135,0)))))</f>
        <v/>
      </c>
      <c r="M16" s="28" t="str">
        <f>IF(A16="","",IF(COUNTIF('07_スキル辞書'!$A$4:$A$109,D16)&lt;&gt;1,"参照ID不正",IF(INDEX('07_スキル辞書'!$D$4:$D$109,MATCH(D16,'07_スキル辞書'!$A$4:$A$109,0))="","",INDEX('07_スキル辞書'!$D$4:$D$109,MATCH(D16,'07_スキル辞書'!$A$4:$A$109,0)))))</f>
        <v/>
      </c>
      <c r="N16" s="28" t="str">
        <f>IF(OR(A16="",G16=""),"",IF(COUNTIF('28_スキル評価・育成'!$A$4:$A$203,G16)&lt;&gt;1,"参照ID不正",IF(INDEX('28_スキル評価・育成'!$H$4:$H$203,MATCH(G16,'28_スキル評価・育成'!$A$4:$A$203,0))="","",INDEX('28_スキル評価・育成'!$H$4:$H$203,MATCH(G16,'28_スキル評価・育成'!$A$4:$A$203,0)))))</f>
        <v/>
      </c>
      <c r="O16" s="28" t="str">
        <f t="shared" si="0"/>
        <v/>
      </c>
      <c r="P16" s="29"/>
      <c r="Q16" s="29"/>
      <c r="R16" s="28" t="str">
        <f>IF(A16="","",IF(COUNTIF($A$4:$A$103,A16)&lt;&gt;1,"割当ID重複",IF(OR(COUNTIF(TaskIDs,B16)&lt;&gt;1,COUNTIF(RoleIDs,C16)&lt;&gt;1,COUNTIF(SkillIDs,D16)&lt;&gt;1),"定義ID不正",IF(OR(NOT(ISNUMBER(E16)),IFERROR(MOD(E16,1)&lt;&gt;0,TRUE),IFERROR(E16&lt;0,TRUE),IFERROR(E16&gt;3,TRUE)),"必要Lv不正",IF(OR(OR(F16="",G16="",H16="",I16="",K16="",P16=""),NOT(ISNUMBER(J16))),"割当承認不足",IF(OR(AND(J16&lt;&gt;"",OR(NOT(ISNUMBER(J16)),IFERROR(J16&lt;1,TRUE),IFERROR(INT(J16)&gt;INT(AsOfDate),TRUE)))),"割当承認日不正",IF(OR(COUNTIF('28_スキル評価・育成'!$A$4:$A$203,G16)&lt;&gt;1,IF(COUNTIF('28_スキル評価・育成'!$A$4:$A$203,G16)&lt;&gt;1,"参照ID不正",IF(INDEX('28_スキル評価・育成'!$B$4:$B$203,MATCH(G16,'28_スキル評価・育成'!$A$4:$A$203,0))="","",INDEX('28_スキル評価・育成'!$B$4:$B$203,MATCH(G16,'28_スキル評価・育成'!$A$4:$A$203,0))))&lt;&gt;D16,IF(COUNTIF('28_スキル評価・育成'!$A$4:$A$203,G16)&lt;&gt;1,"参照ID不正",IF(INDEX('28_スキル評価・育成'!$Q$4:$Q$203,MATCH(G16,'28_スキル評価・育成'!$A$4:$A$203,0))="","",INDEX('28_スキル評価・育成'!$Q$4:$Q$203,MATCH(G16,'28_スキル評価・育成'!$A$4:$A$203,0))))&lt;&gt;F16),"能力証拠の対象不一致",IF(IF(COUNTIF('28_スキル評価・育成'!$A$4:$A$203,G16)&lt;&gt;1,"参照ID不正",IF(INDEX('28_スキル評価・育成'!$P$4:$P$203,MATCH(G16,'28_スキル評価・育成'!$A$4:$A$203,0))="","",INDEX('28_スキル評価・育成'!$P$4:$P$203,MATCH(G16,'28_スキル評価・育成'!$A$4:$A$203,0))))&lt;&gt;"第三者評価記録あり","能力の第三者確認不足",IF(AND(OR(P16="独立評価",P16="品質決裁"),OR(Q16="",Q16=F16)),"実装との独立性不足",IF(O16&gt;0,"能力不足・育成又は支援要","割当記録整合"))))))))))</f>
        <v/>
      </c>
    </row>
    <row r="17" spans="1:18" ht="64" customHeight="1" x14ac:dyDescent="0.2">
      <c r="A17" s="29"/>
      <c r="B17" s="29"/>
      <c r="C17" s="29"/>
      <c r="D17" s="29"/>
      <c r="E17" s="29"/>
      <c r="F17" s="29"/>
      <c r="G17" s="29"/>
      <c r="H17" s="29"/>
      <c r="I17" s="29"/>
      <c r="J17" s="32"/>
      <c r="K17" s="29"/>
      <c r="L17" s="28" t="str">
        <f>IF(A17="","",IF(COUNTIF('02_工程タスク'!$A$4:$A$135,B17)&lt;&gt;1,"参照ID不正",IF(INDEX('02_工程タスク'!$D$4:$D$135,MATCH(B17,'02_工程タスク'!$A$4:$A$135,0))="","",INDEX('02_工程タスク'!$D$4:$D$135,MATCH(B17,'02_工程タスク'!$A$4:$A$135,0)))))</f>
        <v/>
      </c>
      <c r="M17" s="28" t="str">
        <f>IF(A17="","",IF(COUNTIF('07_スキル辞書'!$A$4:$A$109,D17)&lt;&gt;1,"参照ID不正",IF(INDEX('07_スキル辞書'!$D$4:$D$109,MATCH(D17,'07_スキル辞書'!$A$4:$A$109,0))="","",INDEX('07_スキル辞書'!$D$4:$D$109,MATCH(D17,'07_スキル辞書'!$A$4:$A$109,0)))))</f>
        <v/>
      </c>
      <c r="N17" s="28" t="str">
        <f>IF(OR(A17="",G17=""),"",IF(COUNTIF('28_スキル評価・育成'!$A$4:$A$203,G17)&lt;&gt;1,"参照ID不正",IF(INDEX('28_スキル評価・育成'!$H$4:$H$203,MATCH(G17,'28_スキル評価・育成'!$A$4:$A$203,0))="","",INDEX('28_スキル評価・育成'!$H$4:$H$203,MATCH(G17,'28_スキル評価・育成'!$A$4:$A$203,0)))))</f>
        <v/>
      </c>
      <c r="O17" s="28" t="str">
        <f t="shared" si="0"/>
        <v/>
      </c>
      <c r="P17" s="29"/>
      <c r="Q17" s="29"/>
      <c r="R17" s="28" t="str">
        <f>IF(A17="","",IF(COUNTIF($A$4:$A$103,A17)&lt;&gt;1,"割当ID重複",IF(OR(COUNTIF(TaskIDs,B17)&lt;&gt;1,COUNTIF(RoleIDs,C17)&lt;&gt;1,COUNTIF(SkillIDs,D17)&lt;&gt;1),"定義ID不正",IF(OR(NOT(ISNUMBER(E17)),IFERROR(MOD(E17,1)&lt;&gt;0,TRUE),IFERROR(E17&lt;0,TRUE),IFERROR(E17&gt;3,TRUE)),"必要Lv不正",IF(OR(OR(F17="",G17="",H17="",I17="",K17="",P17=""),NOT(ISNUMBER(J17))),"割当承認不足",IF(OR(AND(J17&lt;&gt;"",OR(NOT(ISNUMBER(J17)),IFERROR(J17&lt;1,TRUE),IFERROR(INT(J17)&gt;INT(AsOfDate),TRUE)))),"割当承認日不正",IF(OR(COUNTIF('28_スキル評価・育成'!$A$4:$A$203,G17)&lt;&gt;1,IF(COUNTIF('28_スキル評価・育成'!$A$4:$A$203,G17)&lt;&gt;1,"参照ID不正",IF(INDEX('28_スキル評価・育成'!$B$4:$B$203,MATCH(G17,'28_スキル評価・育成'!$A$4:$A$203,0))="","",INDEX('28_スキル評価・育成'!$B$4:$B$203,MATCH(G17,'28_スキル評価・育成'!$A$4:$A$203,0))))&lt;&gt;D17,IF(COUNTIF('28_スキル評価・育成'!$A$4:$A$203,G17)&lt;&gt;1,"参照ID不正",IF(INDEX('28_スキル評価・育成'!$Q$4:$Q$203,MATCH(G17,'28_スキル評価・育成'!$A$4:$A$203,0))="","",INDEX('28_スキル評価・育成'!$Q$4:$Q$203,MATCH(G17,'28_スキル評価・育成'!$A$4:$A$203,0))))&lt;&gt;F17),"能力証拠の対象不一致",IF(IF(COUNTIF('28_スキル評価・育成'!$A$4:$A$203,G17)&lt;&gt;1,"参照ID不正",IF(INDEX('28_スキル評価・育成'!$P$4:$P$203,MATCH(G17,'28_スキル評価・育成'!$A$4:$A$203,0))="","",INDEX('28_スキル評価・育成'!$P$4:$P$203,MATCH(G17,'28_スキル評価・育成'!$A$4:$A$203,0))))&lt;&gt;"第三者評価記録あり","能力の第三者確認不足",IF(AND(OR(P17="独立評価",P17="品質決裁"),OR(Q17="",Q17=F17)),"実装との独立性不足",IF(O17&gt;0,"能力不足・育成又は支援要","割当記録整合"))))))))))</f>
        <v/>
      </c>
    </row>
    <row r="18" spans="1:18" ht="64" customHeight="1" x14ac:dyDescent="0.2">
      <c r="A18" s="29"/>
      <c r="B18" s="29"/>
      <c r="C18" s="29"/>
      <c r="D18" s="29"/>
      <c r="E18" s="29"/>
      <c r="F18" s="29"/>
      <c r="G18" s="29"/>
      <c r="H18" s="29"/>
      <c r="I18" s="29"/>
      <c r="J18" s="32"/>
      <c r="K18" s="29"/>
      <c r="L18" s="28" t="str">
        <f>IF(A18="","",IF(COUNTIF('02_工程タスク'!$A$4:$A$135,B18)&lt;&gt;1,"参照ID不正",IF(INDEX('02_工程タスク'!$D$4:$D$135,MATCH(B18,'02_工程タスク'!$A$4:$A$135,0))="","",INDEX('02_工程タスク'!$D$4:$D$135,MATCH(B18,'02_工程タスク'!$A$4:$A$135,0)))))</f>
        <v/>
      </c>
      <c r="M18" s="28" t="str">
        <f>IF(A18="","",IF(COUNTIF('07_スキル辞書'!$A$4:$A$109,D18)&lt;&gt;1,"参照ID不正",IF(INDEX('07_スキル辞書'!$D$4:$D$109,MATCH(D18,'07_スキル辞書'!$A$4:$A$109,0))="","",INDEX('07_スキル辞書'!$D$4:$D$109,MATCH(D18,'07_スキル辞書'!$A$4:$A$109,0)))))</f>
        <v/>
      </c>
      <c r="N18" s="28" t="str">
        <f>IF(OR(A18="",G18=""),"",IF(COUNTIF('28_スキル評価・育成'!$A$4:$A$203,G18)&lt;&gt;1,"参照ID不正",IF(INDEX('28_スキル評価・育成'!$H$4:$H$203,MATCH(G18,'28_スキル評価・育成'!$A$4:$A$203,0))="","",INDEX('28_スキル評価・育成'!$H$4:$H$203,MATCH(G18,'28_スキル評価・育成'!$A$4:$A$203,0)))))</f>
        <v/>
      </c>
      <c r="O18" s="28" t="str">
        <f t="shared" si="0"/>
        <v/>
      </c>
      <c r="P18" s="29"/>
      <c r="Q18" s="29"/>
      <c r="R18" s="28" t="str">
        <f>IF(A18="","",IF(COUNTIF($A$4:$A$103,A18)&lt;&gt;1,"割当ID重複",IF(OR(COUNTIF(TaskIDs,B18)&lt;&gt;1,COUNTIF(RoleIDs,C18)&lt;&gt;1,COUNTIF(SkillIDs,D18)&lt;&gt;1),"定義ID不正",IF(OR(NOT(ISNUMBER(E18)),IFERROR(MOD(E18,1)&lt;&gt;0,TRUE),IFERROR(E18&lt;0,TRUE),IFERROR(E18&gt;3,TRUE)),"必要Lv不正",IF(OR(OR(F18="",G18="",H18="",I18="",K18="",P18=""),NOT(ISNUMBER(J18))),"割当承認不足",IF(OR(AND(J18&lt;&gt;"",OR(NOT(ISNUMBER(J18)),IFERROR(J18&lt;1,TRUE),IFERROR(INT(J18)&gt;INT(AsOfDate),TRUE)))),"割当承認日不正",IF(OR(COUNTIF('28_スキル評価・育成'!$A$4:$A$203,G18)&lt;&gt;1,IF(COUNTIF('28_スキル評価・育成'!$A$4:$A$203,G18)&lt;&gt;1,"参照ID不正",IF(INDEX('28_スキル評価・育成'!$B$4:$B$203,MATCH(G18,'28_スキル評価・育成'!$A$4:$A$203,0))="","",INDEX('28_スキル評価・育成'!$B$4:$B$203,MATCH(G18,'28_スキル評価・育成'!$A$4:$A$203,0))))&lt;&gt;D18,IF(COUNTIF('28_スキル評価・育成'!$A$4:$A$203,G18)&lt;&gt;1,"参照ID不正",IF(INDEX('28_スキル評価・育成'!$Q$4:$Q$203,MATCH(G18,'28_スキル評価・育成'!$A$4:$A$203,0))="","",INDEX('28_スキル評価・育成'!$Q$4:$Q$203,MATCH(G18,'28_スキル評価・育成'!$A$4:$A$203,0))))&lt;&gt;F18),"能力証拠の対象不一致",IF(IF(COUNTIF('28_スキル評価・育成'!$A$4:$A$203,G18)&lt;&gt;1,"参照ID不正",IF(INDEX('28_スキル評価・育成'!$P$4:$P$203,MATCH(G18,'28_スキル評価・育成'!$A$4:$A$203,0))="","",INDEX('28_スキル評価・育成'!$P$4:$P$203,MATCH(G18,'28_スキル評価・育成'!$A$4:$A$203,0))))&lt;&gt;"第三者評価記録あり","能力の第三者確認不足",IF(AND(OR(P18="独立評価",P18="品質決裁"),OR(Q18="",Q18=F18)),"実装との独立性不足",IF(O18&gt;0,"能力不足・育成又は支援要","割当記録整合"))))))))))</f>
        <v/>
      </c>
    </row>
    <row r="19" spans="1:18" ht="64" customHeight="1" x14ac:dyDescent="0.2">
      <c r="A19" s="29"/>
      <c r="B19" s="29"/>
      <c r="C19" s="29"/>
      <c r="D19" s="29"/>
      <c r="E19" s="29"/>
      <c r="F19" s="29"/>
      <c r="G19" s="29"/>
      <c r="H19" s="29"/>
      <c r="I19" s="29"/>
      <c r="J19" s="32"/>
      <c r="K19" s="29"/>
      <c r="L19" s="28" t="str">
        <f>IF(A19="","",IF(COUNTIF('02_工程タスク'!$A$4:$A$135,B19)&lt;&gt;1,"参照ID不正",IF(INDEX('02_工程タスク'!$D$4:$D$135,MATCH(B19,'02_工程タスク'!$A$4:$A$135,0))="","",INDEX('02_工程タスク'!$D$4:$D$135,MATCH(B19,'02_工程タスク'!$A$4:$A$135,0)))))</f>
        <v/>
      </c>
      <c r="M19" s="28" t="str">
        <f>IF(A19="","",IF(COUNTIF('07_スキル辞書'!$A$4:$A$109,D19)&lt;&gt;1,"参照ID不正",IF(INDEX('07_スキル辞書'!$D$4:$D$109,MATCH(D19,'07_スキル辞書'!$A$4:$A$109,0))="","",INDEX('07_スキル辞書'!$D$4:$D$109,MATCH(D19,'07_スキル辞書'!$A$4:$A$109,0)))))</f>
        <v/>
      </c>
      <c r="N19" s="28" t="str">
        <f>IF(OR(A19="",G19=""),"",IF(COUNTIF('28_スキル評価・育成'!$A$4:$A$203,G19)&lt;&gt;1,"参照ID不正",IF(INDEX('28_スキル評価・育成'!$H$4:$H$203,MATCH(G19,'28_スキル評価・育成'!$A$4:$A$203,0))="","",INDEX('28_スキル評価・育成'!$H$4:$H$203,MATCH(G19,'28_スキル評価・育成'!$A$4:$A$203,0)))))</f>
        <v/>
      </c>
      <c r="O19" s="28" t="str">
        <f t="shared" si="0"/>
        <v/>
      </c>
      <c r="P19" s="29"/>
      <c r="Q19" s="29"/>
      <c r="R19" s="28" t="str">
        <f>IF(A19="","",IF(COUNTIF($A$4:$A$103,A19)&lt;&gt;1,"割当ID重複",IF(OR(COUNTIF(TaskIDs,B19)&lt;&gt;1,COUNTIF(RoleIDs,C19)&lt;&gt;1,COUNTIF(SkillIDs,D19)&lt;&gt;1),"定義ID不正",IF(OR(NOT(ISNUMBER(E19)),IFERROR(MOD(E19,1)&lt;&gt;0,TRUE),IFERROR(E19&lt;0,TRUE),IFERROR(E19&gt;3,TRUE)),"必要Lv不正",IF(OR(OR(F19="",G19="",H19="",I19="",K19="",P19=""),NOT(ISNUMBER(J19))),"割当承認不足",IF(OR(AND(J19&lt;&gt;"",OR(NOT(ISNUMBER(J19)),IFERROR(J19&lt;1,TRUE),IFERROR(INT(J19)&gt;INT(AsOfDate),TRUE)))),"割当承認日不正",IF(OR(COUNTIF('28_スキル評価・育成'!$A$4:$A$203,G19)&lt;&gt;1,IF(COUNTIF('28_スキル評価・育成'!$A$4:$A$203,G19)&lt;&gt;1,"参照ID不正",IF(INDEX('28_スキル評価・育成'!$B$4:$B$203,MATCH(G19,'28_スキル評価・育成'!$A$4:$A$203,0))="","",INDEX('28_スキル評価・育成'!$B$4:$B$203,MATCH(G19,'28_スキル評価・育成'!$A$4:$A$203,0))))&lt;&gt;D19,IF(COUNTIF('28_スキル評価・育成'!$A$4:$A$203,G19)&lt;&gt;1,"参照ID不正",IF(INDEX('28_スキル評価・育成'!$Q$4:$Q$203,MATCH(G19,'28_スキル評価・育成'!$A$4:$A$203,0))="","",INDEX('28_スキル評価・育成'!$Q$4:$Q$203,MATCH(G19,'28_スキル評価・育成'!$A$4:$A$203,0))))&lt;&gt;F19),"能力証拠の対象不一致",IF(IF(COUNTIF('28_スキル評価・育成'!$A$4:$A$203,G19)&lt;&gt;1,"参照ID不正",IF(INDEX('28_スキル評価・育成'!$P$4:$P$203,MATCH(G19,'28_スキル評価・育成'!$A$4:$A$203,0))="","",INDEX('28_スキル評価・育成'!$P$4:$P$203,MATCH(G19,'28_スキル評価・育成'!$A$4:$A$203,0))))&lt;&gt;"第三者評価記録あり","能力の第三者確認不足",IF(AND(OR(P19="独立評価",P19="品質決裁"),OR(Q19="",Q19=F19)),"実装との独立性不足",IF(O19&gt;0,"能力不足・育成又は支援要","割当記録整合"))))))))))</f>
        <v/>
      </c>
    </row>
    <row r="20" spans="1:18" ht="64" customHeight="1" x14ac:dyDescent="0.2">
      <c r="A20" s="29"/>
      <c r="B20" s="29"/>
      <c r="C20" s="29"/>
      <c r="D20" s="29"/>
      <c r="E20" s="29"/>
      <c r="F20" s="29"/>
      <c r="G20" s="29"/>
      <c r="H20" s="29"/>
      <c r="I20" s="29"/>
      <c r="J20" s="32"/>
      <c r="K20" s="29"/>
      <c r="L20" s="28" t="str">
        <f>IF(A20="","",IF(COUNTIF('02_工程タスク'!$A$4:$A$135,B20)&lt;&gt;1,"参照ID不正",IF(INDEX('02_工程タスク'!$D$4:$D$135,MATCH(B20,'02_工程タスク'!$A$4:$A$135,0))="","",INDEX('02_工程タスク'!$D$4:$D$135,MATCH(B20,'02_工程タスク'!$A$4:$A$135,0)))))</f>
        <v/>
      </c>
      <c r="M20" s="28" t="str">
        <f>IF(A20="","",IF(COUNTIF('07_スキル辞書'!$A$4:$A$109,D20)&lt;&gt;1,"参照ID不正",IF(INDEX('07_スキル辞書'!$D$4:$D$109,MATCH(D20,'07_スキル辞書'!$A$4:$A$109,0))="","",INDEX('07_スキル辞書'!$D$4:$D$109,MATCH(D20,'07_スキル辞書'!$A$4:$A$109,0)))))</f>
        <v/>
      </c>
      <c r="N20" s="28" t="str">
        <f>IF(OR(A20="",G20=""),"",IF(COUNTIF('28_スキル評価・育成'!$A$4:$A$203,G20)&lt;&gt;1,"参照ID不正",IF(INDEX('28_スキル評価・育成'!$H$4:$H$203,MATCH(G20,'28_スキル評価・育成'!$A$4:$A$203,0))="","",INDEX('28_スキル評価・育成'!$H$4:$H$203,MATCH(G20,'28_スキル評価・育成'!$A$4:$A$203,0)))))</f>
        <v/>
      </c>
      <c r="O20" s="28" t="str">
        <f t="shared" si="0"/>
        <v/>
      </c>
      <c r="P20" s="29"/>
      <c r="Q20" s="29"/>
      <c r="R20" s="28" t="str">
        <f>IF(A20="","",IF(COUNTIF($A$4:$A$103,A20)&lt;&gt;1,"割当ID重複",IF(OR(COUNTIF(TaskIDs,B20)&lt;&gt;1,COUNTIF(RoleIDs,C20)&lt;&gt;1,COUNTIF(SkillIDs,D20)&lt;&gt;1),"定義ID不正",IF(OR(NOT(ISNUMBER(E20)),IFERROR(MOD(E20,1)&lt;&gt;0,TRUE),IFERROR(E20&lt;0,TRUE),IFERROR(E20&gt;3,TRUE)),"必要Lv不正",IF(OR(OR(F20="",G20="",H20="",I20="",K20="",P20=""),NOT(ISNUMBER(J20))),"割当承認不足",IF(OR(AND(J20&lt;&gt;"",OR(NOT(ISNUMBER(J20)),IFERROR(J20&lt;1,TRUE),IFERROR(INT(J20)&gt;INT(AsOfDate),TRUE)))),"割当承認日不正",IF(OR(COUNTIF('28_スキル評価・育成'!$A$4:$A$203,G20)&lt;&gt;1,IF(COUNTIF('28_スキル評価・育成'!$A$4:$A$203,G20)&lt;&gt;1,"参照ID不正",IF(INDEX('28_スキル評価・育成'!$B$4:$B$203,MATCH(G20,'28_スキル評価・育成'!$A$4:$A$203,0))="","",INDEX('28_スキル評価・育成'!$B$4:$B$203,MATCH(G20,'28_スキル評価・育成'!$A$4:$A$203,0))))&lt;&gt;D20,IF(COUNTIF('28_スキル評価・育成'!$A$4:$A$203,G20)&lt;&gt;1,"参照ID不正",IF(INDEX('28_スキル評価・育成'!$Q$4:$Q$203,MATCH(G20,'28_スキル評価・育成'!$A$4:$A$203,0))="","",INDEX('28_スキル評価・育成'!$Q$4:$Q$203,MATCH(G20,'28_スキル評価・育成'!$A$4:$A$203,0))))&lt;&gt;F20),"能力証拠の対象不一致",IF(IF(COUNTIF('28_スキル評価・育成'!$A$4:$A$203,G20)&lt;&gt;1,"参照ID不正",IF(INDEX('28_スキル評価・育成'!$P$4:$P$203,MATCH(G20,'28_スキル評価・育成'!$A$4:$A$203,0))="","",INDEX('28_スキル評価・育成'!$P$4:$P$203,MATCH(G20,'28_スキル評価・育成'!$A$4:$A$203,0))))&lt;&gt;"第三者評価記録あり","能力の第三者確認不足",IF(AND(OR(P20="独立評価",P20="品質決裁"),OR(Q20="",Q20=F20)),"実装との独立性不足",IF(O20&gt;0,"能力不足・育成又は支援要","割当記録整合"))))))))))</f>
        <v/>
      </c>
    </row>
    <row r="21" spans="1:18" ht="64" customHeight="1" x14ac:dyDescent="0.2">
      <c r="A21" s="29"/>
      <c r="B21" s="29"/>
      <c r="C21" s="29"/>
      <c r="D21" s="29"/>
      <c r="E21" s="29"/>
      <c r="F21" s="29"/>
      <c r="G21" s="29"/>
      <c r="H21" s="29"/>
      <c r="I21" s="29"/>
      <c r="J21" s="32"/>
      <c r="K21" s="29"/>
      <c r="L21" s="28" t="str">
        <f>IF(A21="","",IF(COUNTIF('02_工程タスク'!$A$4:$A$135,B21)&lt;&gt;1,"参照ID不正",IF(INDEX('02_工程タスク'!$D$4:$D$135,MATCH(B21,'02_工程タスク'!$A$4:$A$135,0))="","",INDEX('02_工程タスク'!$D$4:$D$135,MATCH(B21,'02_工程タスク'!$A$4:$A$135,0)))))</f>
        <v/>
      </c>
      <c r="M21" s="28" t="str">
        <f>IF(A21="","",IF(COUNTIF('07_スキル辞書'!$A$4:$A$109,D21)&lt;&gt;1,"参照ID不正",IF(INDEX('07_スキル辞書'!$D$4:$D$109,MATCH(D21,'07_スキル辞書'!$A$4:$A$109,0))="","",INDEX('07_スキル辞書'!$D$4:$D$109,MATCH(D21,'07_スキル辞書'!$A$4:$A$109,0)))))</f>
        <v/>
      </c>
      <c r="N21" s="28" t="str">
        <f>IF(OR(A21="",G21=""),"",IF(COUNTIF('28_スキル評価・育成'!$A$4:$A$203,G21)&lt;&gt;1,"参照ID不正",IF(INDEX('28_スキル評価・育成'!$H$4:$H$203,MATCH(G21,'28_スキル評価・育成'!$A$4:$A$203,0))="","",INDEX('28_スキル評価・育成'!$H$4:$H$203,MATCH(G21,'28_スキル評価・育成'!$A$4:$A$203,0)))))</f>
        <v/>
      </c>
      <c r="O21" s="28" t="str">
        <f t="shared" si="0"/>
        <v/>
      </c>
      <c r="P21" s="29"/>
      <c r="Q21" s="29"/>
      <c r="R21" s="28" t="str">
        <f>IF(A21="","",IF(COUNTIF($A$4:$A$103,A21)&lt;&gt;1,"割当ID重複",IF(OR(COUNTIF(TaskIDs,B21)&lt;&gt;1,COUNTIF(RoleIDs,C21)&lt;&gt;1,COUNTIF(SkillIDs,D21)&lt;&gt;1),"定義ID不正",IF(OR(NOT(ISNUMBER(E21)),IFERROR(MOD(E21,1)&lt;&gt;0,TRUE),IFERROR(E21&lt;0,TRUE),IFERROR(E21&gt;3,TRUE)),"必要Lv不正",IF(OR(OR(F21="",G21="",H21="",I21="",K21="",P21=""),NOT(ISNUMBER(J21))),"割当承認不足",IF(OR(AND(J21&lt;&gt;"",OR(NOT(ISNUMBER(J21)),IFERROR(J21&lt;1,TRUE),IFERROR(INT(J21)&gt;INT(AsOfDate),TRUE)))),"割当承認日不正",IF(OR(COUNTIF('28_スキル評価・育成'!$A$4:$A$203,G21)&lt;&gt;1,IF(COUNTIF('28_スキル評価・育成'!$A$4:$A$203,G21)&lt;&gt;1,"参照ID不正",IF(INDEX('28_スキル評価・育成'!$B$4:$B$203,MATCH(G21,'28_スキル評価・育成'!$A$4:$A$203,0))="","",INDEX('28_スキル評価・育成'!$B$4:$B$203,MATCH(G21,'28_スキル評価・育成'!$A$4:$A$203,0))))&lt;&gt;D21,IF(COUNTIF('28_スキル評価・育成'!$A$4:$A$203,G21)&lt;&gt;1,"参照ID不正",IF(INDEX('28_スキル評価・育成'!$Q$4:$Q$203,MATCH(G21,'28_スキル評価・育成'!$A$4:$A$203,0))="","",INDEX('28_スキル評価・育成'!$Q$4:$Q$203,MATCH(G21,'28_スキル評価・育成'!$A$4:$A$203,0))))&lt;&gt;F21),"能力証拠の対象不一致",IF(IF(COUNTIF('28_スキル評価・育成'!$A$4:$A$203,G21)&lt;&gt;1,"参照ID不正",IF(INDEX('28_スキル評価・育成'!$P$4:$P$203,MATCH(G21,'28_スキル評価・育成'!$A$4:$A$203,0))="","",INDEX('28_スキル評価・育成'!$P$4:$P$203,MATCH(G21,'28_スキル評価・育成'!$A$4:$A$203,0))))&lt;&gt;"第三者評価記録あり","能力の第三者確認不足",IF(AND(OR(P21="独立評価",P21="品質決裁"),OR(Q21="",Q21=F21)),"実装との独立性不足",IF(O21&gt;0,"能力不足・育成又は支援要","割当記録整合"))))))))))</f>
        <v/>
      </c>
    </row>
    <row r="22" spans="1:18" ht="64" customHeight="1" x14ac:dyDescent="0.2">
      <c r="A22" s="29"/>
      <c r="B22" s="29"/>
      <c r="C22" s="29"/>
      <c r="D22" s="29"/>
      <c r="E22" s="29"/>
      <c r="F22" s="29"/>
      <c r="G22" s="29"/>
      <c r="H22" s="29"/>
      <c r="I22" s="29"/>
      <c r="J22" s="32"/>
      <c r="K22" s="29"/>
      <c r="L22" s="28" t="str">
        <f>IF(A22="","",IF(COUNTIF('02_工程タスク'!$A$4:$A$135,B22)&lt;&gt;1,"参照ID不正",IF(INDEX('02_工程タスク'!$D$4:$D$135,MATCH(B22,'02_工程タスク'!$A$4:$A$135,0))="","",INDEX('02_工程タスク'!$D$4:$D$135,MATCH(B22,'02_工程タスク'!$A$4:$A$135,0)))))</f>
        <v/>
      </c>
      <c r="M22" s="28" t="str">
        <f>IF(A22="","",IF(COUNTIF('07_スキル辞書'!$A$4:$A$109,D22)&lt;&gt;1,"参照ID不正",IF(INDEX('07_スキル辞書'!$D$4:$D$109,MATCH(D22,'07_スキル辞書'!$A$4:$A$109,0))="","",INDEX('07_スキル辞書'!$D$4:$D$109,MATCH(D22,'07_スキル辞書'!$A$4:$A$109,0)))))</f>
        <v/>
      </c>
      <c r="N22" s="28" t="str">
        <f>IF(OR(A22="",G22=""),"",IF(COUNTIF('28_スキル評価・育成'!$A$4:$A$203,G22)&lt;&gt;1,"参照ID不正",IF(INDEX('28_スキル評価・育成'!$H$4:$H$203,MATCH(G22,'28_スキル評価・育成'!$A$4:$A$203,0))="","",INDEX('28_スキル評価・育成'!$H$4:$H$203,MATCH(G22,'28_スキル評価・育成'!$A$4:$A$203,0)))))</f>
        <v/>
      </c>
      <c r="O22" s="28" t="str">
        <f t="shared" si="0"/>
        <v/>
      </c>
      <c r="P22" s="29"/>
      <c r="Q22" s="29"/>
      <c r="R22" s="28" t="str">
        <f>IF(A22="","",IF(COUNTIF($A$4:$A$103,A22)&lt;&gt;1,"割当ID重複",IF(OR(COUNTIF(TaskIDs,B22)&lt;&gt;1,COUNTIF(RoleIDs,C22)&lt;&gt;1,COUNTIF(SkillIDs,D22)&lt;&gt;1),"定義ID不正",IF(OR(NOT(ISNUMBER(E22)),IFERROR(MOD(E22,1)&lt;&gt;0,TRUE),IFERROR(E22&lt;0,TRUE),IFERROR(E22&gt;3,TRUE)),"必要Lv不正",IF(OR(OR(F22="",G22="",H22="",I22="",K22="",P22=""),NOT(ISNUMBER(J22))),"割当承認不足",IF(OR(AND(J22&lt;&gt;"",OR(NOT(ISNUMBER(J22)),IFERROR(J22&lt;1,TRUE),IFERROR(INT(J22)&gt;INT(AsOfDate),TRUE)))),"割当承認日不正",IF(OR(COUNTIF('28_スキル評価・育成'!$A$4:$A$203,G22)&lt;&gt;1,IF(COUNTIF('28_スキル評価・育成'!$A$4:$A$203,G22)&lt;&gt;1,"参照ID不正",IF(INDEX('28_スキル評価・育成'!$B$4:$B$203,MATCH(G22,'28_スキル評価・育成'!$A$4:$A$203,0))="","",INDEX('28_スキル評価・育成'!$B$4:$B$203,MATCH(G22,'28_スキル評価・育成'!$A$4:$A$203,0))))&lt;&gt;D22,IF(COUNTIF('28_スキル評価・育成'!$A$4:$A$203,G22)&lt;&gt;1,"参照ID不正",IF(INDEX('28_スキル評価・育成'!$Q$4:$Q$203,MATCH(G22,'28_スキル評価・育成'!$A$4:$A$203,0))="","",INDEX('28_スキル評価・育成'!$Q$4:$Q$203,MATCH(G22,'28_スキル評価・育成'!$A$4:$A$203,0))))&lt;&gt;F22),"能力証拠の対象不一致",IF(IF(COUNTIF('28_スキル評価・育成'!$A$4:$A$203,G22)&lt;&gt;1,"参照ID不正",IF(INDEX('28_スキル評価・育成'!$P$4:$P$203,MATCH(G22,'28_スキル評価・育成'!$A$4:$A$203,0))="","",INDEX('28_スキル評価・育成'!$P$4:$P$203,MATCH(G22,'28_スキル評価・育成'!$A$4:$A$203,0))))&lt;&gt;"第三者評価記録あり","能力の第三者確認不足",IF(AND(OR(P22="独立評価",P22="品質決裁"),OR(Q22="",Q22=F22)),"実装との独立性不足",IF(O22&gt;0,"能力不足・育成又は支援要","割当記録整合"))))))))))</f>
        <v/>
      </c>
    </row>
    <row r="23" spans="1:18" ht="64" customHeight="1" x14ac:dyDescent="0.2">
      <c r="A23" s="29"/>
      <c r="B23" s="29"/>
      <c r="C23" s="29"/>
      <c r="D23" s="29"/>
      <c r="E23" s="29"/>
      <c r="F23" s="29"/>
      <c r="G23" s="29"/>
      <c r="H23" s="29"/>
      <c r="I23" s="29"/>
      <c r="J23" s="32"/>
      <c r="K23" s="29"/>
      <c r="L23" s="28" t="str">
        <f>IF(A23="","",IF(COUNTIF('02_工程タスク'!$A$4:$A$135,B23)&lt;&gt;1,"参照ID不正",IF(INDEX('02_工程タスク'!$D$4:$D$135,MATCH(B23,'02_工程タスク'!$A$4:$A$135,0))="","",INDEX('02_工程タスク'!$D$4:$D$135,MATCH(B23,'02_工程タスク'!$A$4:$A$135,0)))))</f>
        <v/>
      </c>
      <c r="M23" s="28" t="str">
        <f>IF(A23="","",IF(COUNTIF('07_スキル辞書'!$A$4:$A$109,D23)&lt;&gt;1,"参照ID不正",IF(INDEX('07_スキル辞書'!$D$4:$D$109,MATCH(D23,'07_スキル辞書'!$A$4:$A$109,0))="","",INDEX('07_スキル辞書'!$D$4:$D$109,MATCH(D23,'07_スキル辞書'!$A$4:$A$109,0)))))</f>
        <v/>
      </c>
      <c r="N23" s="28" t="str">
        <f>IF(OR(A23="",G23=""),"",IF(COUNTIF('28_スキル評価・育成'!$A$4:$A$203,G23)&lt;&gt;1,"参照ID不正",IF(INDEX('28_スキル評価・育成'!$H$4:$H$203,MATCH(G23,'28_スキル評価・育成'!$A$4:$A$203,0))="","",INDEX('28_スキル評価・育成'!$H$4:$H$203,MATCH(G23,'28_スキル評価・育成'!$A$4:$A$203,0)))))</f>
        <v/>
      </c>
      <c r="O23" s="28" t="str">
        <f t="shared" si="0"/>
        <v/>
      </c>
      <c r="P23" s="29"/>
      <c r="Q23" s="29"/>
      <c r="R23" s="28" t="str">
        <f>IF(A23="","",IF(COUNTIF($A$4:$A$103,A23)&lt;&gt;1,"割当ID重複",IF(OR(COUNTIF(TaskIDs,B23)&lt;&gt;1,COUNTIF(RoleIDs,C23)&lt;&gt;1,COUNTIF(SkillIDs,D23)&lt;&gt;1),"定義ID不正",IF(OR(NOT(ISNUMBER(E23)),IFERROR(MOD(E23,1)&lt;&gt;0,TRUE),IFERROR(E23&lt;0,TRUE),IFERROR(E23&gt;3,TRUE)),"必要Lv不正",IF(OR(OR(F23="",G23="",H23="",I23="",K23="",P23=""),NOT(ISNUMBER(J23))),"割当承認不足",IF(OR(AND(J23&lt;&gt;"",OR(NOT(ISNUMBER(J23)),IFERROR(J23&lt;1,TRUE),IFERROR(INT(J23)&gt;INT(AsOfDate),TRUE)))),"割当承認日不正",IF(OR(COUNTIF('28_スキル評価・育成'!$A$4:$A$203,G23)&lt;&gt;1,IF(COUNTIF('28_スキル評価・育成'!$A$4:$A$203,G23)&lt;&gt;1,"参照ID不正",IF(INDEX('28_スキル評価・育成'!$B$4:$B$203,MATCH(G23,'28_スキル評価・育成'!$A$4:$A$203,0))="","",INDEX('28_スキル評価・育成'!$B$4:$B$203,MATCH(G23,'28_スキル評価・育成'!$A$4:$A$203,0))))&lt;&gt;D23,IF(COUNTIF('28_スキル評価・育成'!$A$4:$A$203,G23)&lt;&gt;1,"参照ID不正",IF(INDEX('28_スキル評価・育成'!$Q$4:$Q$203,MATCH(G23,'28_スキル評価・育成'!$A$4:$A$203,0))="","",INDEX('28_スキル評価・育成'!$Q$4:$Q$203,MATCH(G23,'28_スキル評価・育成'!$A$4:$A$203,0))))&lt;&gt;F23),"能力証拠の対象不一致",IF(IF(COUNTIF('28_スキル評価・育成'!$A$4:$A$203,G23)&lt;&gt;1,"参照ID不正",IF(INDEX('28_スキル評価・育成'!$P$4:$P$203,MATCH(G23,'28_スキル評価・育成'!$A$4:$A$203,0))="","",INDEX('28_スキル評価・育成'!$P$4:$P$203,MATCH(G23,'28_スキル評価・育成'!$A$4:$A$203,0))))&lt;&gt;"第三者評価記録あり","能力の第三者確認不足",IF(AND(OR(P23="独立評価",P23="品質決裁"),OR(Q23="",Q23=F23)),"実装との独立性不足",IF(O23&gt;0,"能力不足・育成又は支援要","割当記録整合"))))))))))</f>
        <v/>
      </c>
    </row>
    <row r="24" spans="1:18" ht="64" customHeight="1" x14ac:dyDescent="0.2">
      <c r="A24" s="29"/>
      <c r="B24" s="29"/>
      <c r="C24" s="29"/>
      <c r="D24" s="29"/>
      <c r="E24" s="29"/>
      <c r="F24" s="29"/>
      <c r="G24" s="29"/>
      <c r="H24" s="29"/>
      <c r="I24" s="29"/>
      <c r="J24" s="32"/>
      <c r="K24" s="29"/>
      <c r="L24" s="28" t="str">
        <f>IF(A24="","",IF(COUNTIF('02_工程タスク'!$A$4:$A$135,B24)&lt;&gt;1,"参照ID不正",IF(INDEX('02_工程タスク'!$D$4:$D$135,MATCH(B24,'02_工程タスク'!$A$4:$A$135,0))="","",INDEX('02_工程タスク'!$D$4:$D$135,MATCH(B24,'02_工程タスク'!$A$4:$A$135,0)))))</f>
        <v/>
      </c>
      <c r="M24" s="28" t="str">
        <f>IF(A24="","",IF(COUNTIF('07_スキル辞書'!$A$4:$A$109,D24)&lt;&gt;1,"参照ID不正",IF(INDEX('07_スキル辞書'!$D$4:$D$109,MATCH(D24,'07_スキル辞書'!$A$4:$A$109,0))="","",INDEX('07_スキル辞書'!$D$4:$D$109,MATCH(D24,'07_スキル辞書'!$A$4:$A$109,0)))))</f>
        <v/>
      </c>
      <c r="N24" s="28" t="str">
        <f>IF(OR(A24="",G24=""),"",IF(COUNTIF('28_スキル評価・育成'!$A$4:$A$203,G24)&lt;&gt;1,"参照ID不正",IF(INDEX('28_スキル評価・育成'!$H$4:$H$203,MATCH(G24,'28_スキル評価・育成'!$A$4:$A$203,0))="","",INDEX('28_スキル評価・育成'!$H$4:$H$203,MATCH(G24,'28_スキル評価・育成'!$A$4:$A$203,0)))))</f>
        <v/>
      </c>
      <c r="O24" s="28" t="str">
        <f t="shared" si="0"/>
        <v/>
      </c>
      <c r="P24" s="29"/>
      <c r="Q24" s="29"/>
      <c r="R24" s="28" t="str">
        <f>IF(A24="","",IF(COUNTIF($A$4:$A$103,A24)&lt;&gt;1,"割当ID重複",IF(OR(COUNTIF(TaskIDs,B24)&lt;&gt;1,COUNTIF(RoleIDs,C24)&lt;&gt;1,COUNTIF(SkillIDs,D24)&lt;&gt;1),"定義ID不正",IF(OR(NOT(ISNUMBER(E24)),IFERROR(MOD(E24,1)&lt;&gt;0,TRUE),IFERROR(E24&lt;0,TRUE),IFERROR(E24&gt;3,TRUE)),"必要Lv不正",IF(OR(OR(F24="",G24="",H24="",I24="",K24="",P24=""),NOT(ISNUMBER(J24))),"割当承認不足",IF(OR(AND(J24&lt;&gt;"",OR(NOT(ISNUMBER(J24)),IFERROR(J24&lt;1,TRUE),IFERROR(INT(J24)&gt;INT(AsOfDate),TRUE)))),"割当承認日不正",IF(OR(COUNTIF('28_スキル評価・育成'!$A$4:$A$203,G24)&lt;&gt;1,IF(COUNTIF('28_スキル評価・育成'!$A$4:$A$203,G24)&lt;&gt;1,"参照ID不正",IF(INDEX('28_スキル評価・育成'!$B$4:$B$203,MATCH(G24,'28_スキル評価・育成'!$A$4:$A$203,0))="","",INDEX('28_スキル評価・育成'!$B$4:$B$203,MATCH(G24,'28_スキル評価・育成'!$A$4:$A$203,0))))&lt;&gt;D24,IF(COUNTIF('28_スキル評価・育成'!$A$4:$A$203,G24)&lt;&gt;1,"参照ID不正",IF(INDEX('28_スキル評価・育成'!$Q$4:$Q$203,MATCH(G24,'28_スキル評価・育成'!$A$4:$A$203,0))="","",INDEX('28_スキル評価・育成'!$Q$4:$Q$203,MATCH(G24,'28_スキル評価・育成'!$A$4:$A$203,0))))&lt;&gt;F24),"能力証拠の対象不一致",IF(IF(COUNTIF('28_スキル評価・育成'!$A$4:$A$203,G24)&lt;&gt;1,"参照ID不正",IF(INDEX('28_スキル評価・育成'!$P$4:$P$203,MATCH(G24,'28_スキル評価・育成'!$A$4:$A$203,0))="","",INDEX('28_スキル評価・育成'!$P$4:$P$203,MATCH(G24,'28_スキル評価・育成'!$A$4:$A$203,0))))&lt;&gt;"第三者評価記録あり","能力の第三者確認不足",IF(AND(OR(P24="独立評価",P24="品質決裁"),OR(Q24="",Q24=F24)),"実装との独立性不足",IF(O24&gt;0,"能力不足・育成又は支援要","割当記録整合"))))))))))</f>
        <v/>
      </c>
    </row>
    <row r="25" spans="1:18" ht="64" customHeight="1" x14ac:dyDescent="0.2">
      <c r="A25" s="29"/>
      <c r="B25" s="29"/>
      <c r="C25" s="29"/>
      <c r="D25" s="29"/>
      <c r="E25" s="29"/>
      <c r="F25" s="29"/>
      <c r="G25" s="29"/>
      <c r="H25" s="29"/>
      <c r="I25" s="29"/>
      <c r="J25" s="32"/>
      <c r="K25" s="29"/>
      <c r="L25" s="28" t="str">
        <f>IF(A25="","",IF(COUNTIF('02_工程タスク'!$A$4:$A$135,B25)&lt;&gt;1,"参照ID不正",IF(INDEX('02_工程タスク'!$D$4:$D$135,MATCH(B25,'02_工程タスク'!$A$4:$A$135,0))="","",INDEX('02_工程タスク'!$D$4:$D$135,MATCH(B25,'02_工程タスク'!$A$4:$A$135,0)))))</f>
        <v/>
      </c>
      <c r="M25" s="28" t="str">
        <f>IF(A25="","",IF(COUNTIF('07_スキル辞書'!$A$4:$A$109,D25)&lt;&gt;1,"参照ID不正",IF(INDEX('07_スキル辞書'!$D$4:$D$109,MATCH(D25,'07_スキル辞書'!$A$4:$A$109,0))="","",INDEX('07_スキル辞書'!$D$4:$D$109,MATCH(D25,'07_スキル辞書'!$A$4:$A$109,0)))))</f>
        <v/>
      </c>
      <c r="N25" s="28" t="str">
        <f>IF(OR(A25="",G25=""),"",IF(COUNTIF('28_スキル評価・育成'!$A$4:$A$203,G25)&lt;&gt;1,"参照ID不正",IF(INDEX('28_スキル評価・育成'!$H$4:$H$203,MATCH(G25,'28_スキル評価・育成'!$A$4:$A$203,0))="","",INDEX('28_スキル評価・育成'!$H$4:$H$203,MATCH(G25,'28_スキル評価・育成'!$A$4:$A$203,0)))))</f>
        <v/>
      </c>
      <c r="O25" s="28" t="str">
        <f t="shared" si="0"/>
        <v/>
      </c>
      <c r="P25" s="29"/>
      <c r="Q25" s="29"/>
      <c r="R25" s="28" t="str">
        <f>IF(A25="","",IF(COUNTIF($A$4:$A$103,A25)&lt;&gt;1,"割当ID重複",IF(OR(COUNTIF(TaskIDs,B25)&lt;&gt;1,COUNTIF(RoleIDs,C25)&lt;&gt;1,COUNTIF(SkillIDs,D25)&lt;&gt;1),"定義ID不正",IF(OR(NOT(ISNUMBER(E25)),IFERROR(MOD(E25,1)&lt;&gt;0,TRUE),IFERROR(E25&lt;0,TRUE),IFERROR(E25&gt;3,TRUE)),"必要Lv不正",IF(OR(OR(F25="",G25="",H25="",I25="",K25="",P25=""),NOT(ISNUMBER(J25))),"割当承認不足",IF(OR(AND(J25&lt;&gt;"",OR(NOT(ISNUMBER(J25)),IFERROR(J25&lt;1,TRUE),IFERROR(INT(J25)&gt;INT(AsOfDate),TRUE)))),"割当承認日不正",IF(OR(COUNTIF('28_スキル評価・育成'!$A$4:$A$203,G25)&lt;&gt;1,IF(COUNTIF('28_スキル評価・育成'!$A$4:$A$203,G25)&lt;&gt;1,"参照ID不正",IF(INDEX('28_スキル評価・育成'!$B$4:$B$203,MATCH(G25,'28_スキル評価・育成'!$A$4:$A$203,0))="","",INDEX('28_スキル評価・育成'!$B$4:$B$203,MATCH(G25,'28_スキル評価・育成'!$A$4:$A$203,0))))&lt;&gt;D25,IF(COUNTIF('28_スキル評価・育成'!$A$4:$A$203,G25)&lt;&gt;1,"参照ID不正",IF(INDEX('28_スキル評価・育成'!$Q$4:$Q$203,MATCH(G25,'28_スキル評価・育成'!$A$4:$A$203,0))="","",INDEX('28_スキル評価・育成'!$Q$4:$Q$203,MATCH(G25,'28_スキル評価・育成'!$A$4:$A$203,0))))&lt;&gt;F25),"能力証拠の対象不一致",IF(IF(COUNTIF('28_スキル評価・育成'!$A$4:$A$203,G25)&lt;&gt;1,"参照ID不正",IF(INDEX('28_スキル評価・育成'!$P$4:$P$203,MATCH(G25,'28_スキル評価・育成'!$A$4:$A$203,0))="","",INDEX('28_スキル評価・育成'!$P$4:$P$203,MATCH(G25,'28_スキル評価・育成'!$A$4:$A$203,0))))&lt;&gt;"第三者評価記録あり","能力の第三者確認不足",IF(AND(OR(P25="独立評価",P25="品質決裁"),OR(Q25="",Q25=F25)),"実装との独立性不足",IF(O25&gt;0,"能力不足・育成又は支援要","割当記録整合"))))))))))</f>
        <v/>
      </c>
    </row>
    <row r="26" spans="1:18" ht="64" customHeight="1" x14ac:dyDescent="0.2">
      <c r="A26" s="29"/>
      <c r="B26" s="29"/>
      <c r="C26" s="29"/>
      <c r="D26" s="29"/>
      <c r="E26" s="29"/>
      <c r="F26" s="29"/>
      <c r="G26" s="29"/>
      <c r="H26" s="29"/>
      <c r="I26" s="29"/>
      <c r="J26" s="32"/>
      <c r="K26" s="29"/>
      <c r="L26" s="28" t="str">
        <f>IF(A26="","",IF(COUNTIF('02_工程タスク'!$A$4:$A$135,B26)&lt;&gt;1,"参照ID不正",IF(INDEX('02_工程タスク'!$D$4:$D$135,MATCH(B26,'02_工程タスク'!$A$4:$A$135,0))="","",INDEX('02_工程タスク'!$D$4:$D$135,MATCH(B26,'02_工程タスク'!$A$4:$A$135,0)))))</f>
        <v/>
      </c>
      <c r="M26" s="28" t="str">
        <f>IF(A26="","",IF(COUNTIF('07_スキル辞書'!$A$4:$A$109,D26)&lt;&gt;1,"参照ID不正",IF(INDEX('07_スキル辞書'!$D$4:$D$109,MATCH(D26,'07_スキル辞書'!$A$4:$A$109,0))="","",INDEX('07_スキル辞書'!$D$4:$D$109,MATCH(D26,'07_スキル辞書'!$A$4:$A$109,0)))))</f>
        <v/>
      </c>
      <c r="N26" s="28" t="str">
        <f>IF(OR(A26="",G26=""),"",IF(COUNTIF('28_スキル評価・育成'!$A$4:$A$203,G26)&lt;&gt;1,"参照ID不正",IF(INDEX('28_スキル評価・育成'!$H$4:$H$203,MATCH(G26,'28_スキル評価・育成'!$A$4:$A$203,0))="","",INDEX('28_スキル評価・育成'!$H$4:$H$203,MATCH(G26,'28_スキル評価・育成'!$A$4:$A$203,0)))))</f>
        <v/>
      </c>
      <c r="O26" s="28" t="str">
        <f t="shared" si="0"/>
        <v/>
      </c>
      <c r="P26" s="29"/>
      <c r="Q26" s="29"/>
      <c r="R26" s="28" t="str">
        <f>IF(A26="","",IF(COUNTIF($A$4:$A$103,A26)&lt;&gt;1,"割当ID重複",IF(OR(COUNTIF(TaskIDs,B26)&lt;&gt;1,COUNTIF(RoleIDs,C26)&lt;&gt;1,COUNTIF(SkillIDs,D26)&lt;&gt;1),"定義ID不正",IF(OR(NOT(ISNUMBER(E26)),IFERROR(MOD(E26,1)&lt;&gt;0,TRUE),IFERROR(E26&lt;0,TRUE),IFERROR(E26&gt;3,TRUE)),"必要Lv不正",IF(OR(OR(F26="",G26="",H26="",I26="",K26="",P26=""),NOT(ISNUMBER(J26))),"割当承認不足",IF(OR(AND(J26&lt;&gt;"",OR(NOT(ISNUMBER(J26)),IFERROR(J26&lt;1,TRUE),IFERROR(INT(J26)&gt;INT(AsOfDate),TRUE)))),"割当承認日不正",IF(OR(COUNTIF('28_スキル評価・育成'!$A$4:$A$203,G26)&lt;&gt;1,IF(COUNTIF('28_スキル評価・育成'!$A$4:$A$203,G26)&lt;&gt;1,"参照ID不正",IF(INDEX('28_スキル評価・育成'!$B$4:$B$203,MATCH(G26,'28_スキル評価・育成'!$A$4:$A$203,0))="","",INDEX('28_スキル評価・育成'!$B$4:$B$203,MATCH(G26,'28_スキル評価・育成'!$A$4:$A$203,0))))&lt;&gt;D26,IF(COUNTIF('28_スキル評価・育成'!$A$4:$A$203,G26)&lt;&gt;1,"参照ID不正",IF(INDEX('28_スキル評価・育成'!$Q$4:$Q$203,MATCH(G26,'28_スキル評価・育成'!$A$4:$A$203,0))="","",INDEX('28_スキル評価・育成'!$Q$4:$Q$203,MATCH(G26,'28_スキル評価・育成'!$A$4:$A$203,0))))&lt;&gt;F26),"能力証拠の対象不一致",IF(IF(COUNTIF('28_スキル評価・育成'!$A$4:$A$203,G26)&lt;&gt;1,"参照ID不正",IF(INDEX('28_スキル評価・育成'!$P$4:$P$203,MATCH(G26,'28_スキル評価・育成'!$A$4:$A$203,0))="","",INDEX('28_スキル評価・育成'!$P$4:$P$203,MATCH(G26,'28_スキル評価・育成'!$A$4:$A$203,0))))&lt;&gt;"第三者評価記録あり","能力の第三者確認不足",IF(AND(OR(P26="独立評価",P26="品質決裁"),OR(Q26="",Q26=F26)),"実装との独立性不足",IF(O26&gt;0,"能力不足・育成又は支援要","割当記録整合"))))))))))</f>
        <v/>
      </c>
    </row>
    <row r="27" spans="1:18" ht="64" customHeight="1" x14ac:dyDescent="0.2">
      <c r="A27" s="29"/>
      <c r="B27" s="29"/>
      <c r="C27" s="29"/>
      <c r="D27" s="29"/>
      <c r="E27" s="29"/>
      <c r="F27" s="29"/>
      <c r="G27" s="29"/>
      <c r="H27" s="29"/>
      <c r="I27" s="29"/>
      <c r="J27" s="32"/>
      <c r="K27" s="29"/>
      <c r="L27" s="28" t="str">
        <f>IF(A27="","",IF(COUNTIF('02_工程タスク'!$A$4:$A$135,B27)&lt;&gt;1,"参照ID不正",IF(INDEX('02_工程タスク'!$D$4:$D$135,MATCH(B27,'02_工程タスク'!$A$4:$A$135,0))="","",INDEX('02_工程タスク'!$D$4:$D$135,MATCH(B27,'02_工程タスク'!$A$4:$A$135,0)))))</f>
        <v/>
      </c>
      <c r="M27" s="28" t="str">
        <f>IF(A27="","",IF(COUNTIF('07_スキル辞書'!$A$4:$A$109,D27)&lt;&gt;1,"参照ID不正",IF(INDEX('07_スキル辞書'!$D$4:$D$109,MATCH(D27,'07_スキル辞書'!$A$4:$A$109,0))="","",INDEX('07_スキル辞書'!$D$4:$D$109,MATCH(D27,'07_スキル辞書'!$A$4:$A$109,0)))))</f>
        <v/>
      </c>
      <c r="N27" s="28" t="str">
        <f>IF(OR(A27="",G27=""),"",IF(COUNTIF('28_スキル評価・育成'!$A$4:$A$203,G27)&lt;&gt;1,"参照ID不正",IF(INDEX('28_スキル評価・育成'!$H$4:$H$203,MATCH(G27,'28_スキル評価・育成'!$A$4:$A$203,0))="","",INDEX('28_スキル評価・育成'!$H$4:$H$203,MATCH(G27,'28_スキル評価・育成'!$A$4:$A$203,0)))))</f>
        <v/>
      </c>
      <c r="O27" s="28" t="str">
        <f t="shared" si="0"/>
        <v/>
      </c>
      <c r="P27" s="29"/>
      <c r="Q27" s="29"/>
      <c r="R27" s="28" t="str">
        <f>IF(A27="","",IF(COUNTIF($A$4:$A$103,A27)&lt;&gt;1,"割当ID重複",IF(OR(COUNTIF(TaskIDs,B27)&lt;&gt;1,COUNTIF(RoleIDs,C27)&lt;&gt;1,COUNTIF(SkillIDs,D27)&lt;&gt;1),"定義ID不正",IF(OR(NOT(ISNUMBER(E27)),IFERROR(MOD(E27,1)&lt;&gt;0,TRUE),IFERROR(E27&lt;0,TRUE),IFERROR(E27&gt;3,TRUE)),"必要Lv不正",IF(OR(OR(F27="",G27="",H27="",I27="",K27="",P27=""),NOT(ISNUMBER(J27))),"割当承認不足",IF(OR(AND(J27&lt;&gt;"",OR(NOT(ISNUMBER(J27)),IFERROR(J27&lt;1,TRUE),IFERROR(INT(J27)&gt;INT(AsOfDate),TRUE)))),"割当承認日不正",IF(OR(COUNTIF('28_スキル評価・育成'!$A$4:$A$203,G27)&lt;&gt;1,IF(COUNTIF('28_スキル評価・育成'!$A$4:$A$203,G27)&lt;&gt;1,"参照ID不正",IF(INDEX('28_スキル評価・育成'!$B$4:$B$203,MATCH(G27,'28_スキル評価・育成'!$A$4:$A$203,0))="","",INDEX('28_スキル評価・育成'!$B$4:$B$203,MATCH(G27,'28_スキル評価・育成'!$A$4:$A$203,0))))&lt;&gt;D27,IF(COUNTIF('28_スキル評価・育成'!$A$4:$A$203,G27)&lt;&gt;1,"参照ID不正",IF(INDEX('28_スキル評価・育成'!$Q$4:$Q$203,MATCH(G27,'28_スキル評価・育成'!$A$4:$A$203,0))="","",INDEX('28_スキル評価・育成'!$Q$4:$Q$203,MATCH(G27,'28_スキル評価・育成'!$A$4:$A$203,0))))&lt;&gt;F27),"能力証拠の対象不一致",IF(IF(COUNTIF('28_スキル評価・育成'!$A$4:$A$203,G27)&lt;&gt;1,"参照ID不正",IF(INDEX('28_スキル評価・育成'!$P$4:$P$203,MATCH(G27,'28_スキル評価・育成'!$A$4:$A$203,0))="","",INDEX('28_スキル評価・育成'!$P$4:$P$203,MATCH(G27,'28_スキル評価・育成'!$A$4:$A$203,0))))&lt;&gt;"第三者評価記録あり","能力の第三者確認不足",IF(AND(OR(P27="独立評価",P27="品質決裁"),OR(Q27="",Q27=F27)),"実装との独立性不足",IF(O27&gt;0,"能力不足・育成又は支援要","割当記録整合"))))))))))</f>
        <v/>
      </c>
    </row>
    <row r="28" spans="1:18" ht="64" customHeight="1" x14ac:dyDescent="0.2">
      <c r="A28" s="29"/>
      <c r="B28" s="29"/>
      <c r="C28" s="29"/>
      <c r="D28" s="29"/>
      <c r="E28" s="29"/>
      <c r="F28" s="29"/>
      <c r="G28" s="29"/>
      <c r="H28" s="29"/>
      <c r="I28" s="29"/>
      <c r="J28" s="32"/>
      <c r="K28" s="29"/>
      <c r="L28" s="28" t="str">
        <f>IF(A28="","",IF(COUNTIF('02_工程タスク'!$A$4:$A$135,B28)&lt;&gt;1,"参照ID不正",IF(INDEX('02_工程タスク'!$D$4:$D$135,MATCH(B28,'02_工程タスク'!$A$4:$A$135,0))="","",INDEX('02_工程タスク'!$D$4:$D$135,MATCH(B28,'02_工程タスク'!$A$4:$A$135,0)))))</f>
        <v/>
      </c>
      <c r="M28" s="28" t="str">
        <f>IF(A28="","",IF(COUNTIF('07_スキル辞書'!$A$4:$A$109,D28)&lt;&gt;1,"参照ID不正",IF(INDEX('07_スキル辞書'!$D$4:$D$109,MATCH(D28,'07_スキル辞書'!$A$4:$A$109,0))="","",INDEX('07_スキル辞書'!$D$4:$D$109,MATCH(D28,'07_スキル辞書'!$A$4:$A$109,0)))))</f>
        <v/>
      </c>
      <c r="N28" s="28" t="str">
        <f>IF(OR(A28="",G28=""),"",IF(COUNTIF('28_スキル評価・育成'!$A$4:$A$203,G28)&lt;&gt;1,"参照ID不正",IF(INDEX('28_スキル評価・育成'!$H$4:$H$203,MATCH(G28,'28_スキル評価・育成'!$A$4:$A$203,0))="","",INDEX('28_スキル評価・育成'!$H$4:$H$203,MATCH(G28,'28_スキル評価・育成'!$A$4:$A$203,0)))))</f>
        <v/>
      </c>
      <c r="O28" s="28" t="str">
        <f t="shared" si="0"/>
        <v/>
      </c>
      <c r="P28" s="29"/>
      <c r="Q28" s="29"/>
      <c r="R28" s="28" t="str">
        <f>IF(A28="","",IF(COUNTIF($A$4:$A$103,A28)&lt;&gt;1,"割当ID重複",IF(OR(COUNTIF(TaskIDs,B28)&lt;&gt;1,COUNTIF(RoleIDs,C28)&lt;&gt;1,COUNTIF(SkillIDs,D28)&lt;&gt;1),"定義ID不正",IF(OR(NOT(ISNUMBER(E28)),IFERROR(MOD(E28,1)&lt;&gt;0,TRUE),IFERROR(E28&lt;0,TRUE),IFERROR(E28&gt;3,TRUE)),"必要Lv不正",IF(OR(OR(F28="",G28="",H28="",I28="",K28="",P28=""),NOT(ISNUMBER(J28))),"割当承認不足",IF(OR(AND(J28&lt;&gt;"",OR(NOT(ISNUMBER(J28)),IFERROR(J28&lt;1,TRUE),IFERROR(INT(J28)&gt;INT(AsOfDate),TRUE)))),"割当承認日不正",IF(OR(COUNTIF('28_スキル評価・育成'!$A$4:$A$203,G28)&lt;&gt;1,IF(COUNTIF('28_スキル評価・育成'!$A$4:$A$203,G28)&lt;&gt;1,"参照ID不正",IF(INDEX('28_スキル評価・育成'!$B$4:$B$203,MATCH(G28,'28_スキル評価・育成'!$A$4:$A$203,0))="","",INDEX('28_スキル評価・育成'!$B$4:$B$203,MATCH(G28,'28_スキル評価・育成'!$A$4:$A$203,0))))&lt;&gt;D28,IF(COUNTIF('28_スキル評価・育成'!$A$4:$A$203,G28)&lt;&gt;1,"参照ID不正",IF(INDEX('28_スキル評価・育成'!$Q$4:$Q$203,MATCH(G28,'28_スキル評価・育成'!$A$4:$A$203,0))="","",INDEX('28_スキル評価・育成'!$Q$4:$Q$203,MATCH(G28,'28_スキル評価・育成'!$A$4:$A$203,0))))&lt;&gt;F28),"能力証拠の対象不一致",IF(IF(COUNTIF('28_スキル評価・育成'!$A$4:$A$203,G28)&lt;&gt;1,"参照ID不正",IF(INDEX('28_スキル評価・育成'!$P$4:$P$203,MATCH(G28,'28_スキル評価・育成'!$A$4:$A$203,0))="","",INDEX('28_スキル評価・育成'!$P$4:$P$203,MATCH(G28,'28_スキル評価・育成'!$A$4:$A$203,0))))&lt;&gt;"第三者評価記録あり","能力の第三者確認不足",IF(AND(OR(P28="独立評価",P28="品質決裁"),OR(Q28="",Q28=F28)),"実装との独立性不足",IF(O28&gt;0,"能力不足・育成又は支援要","割当記録整合"))))))))))</f>
        <v/>
      </c>
    </row>
    <row r="29" spans="1:18" ht="64" customHeight="1" x14ac:dyDescent="0.2">
      <c r="A29" s="29"/>
      <c r="B29" s="29"/>
      <c r="C29" s="29"/>
      <c r="D29" s="29"/>
      <c r="E29" s="29"/>
      <c r="F29" s="29"/>
      <c r="G29" s="29"/>
      <c r="H29" s="29"/>
      <c r="I29" s="29"/>
      <c r="J29" s="32"/>
      <c r="K29" s="29"/>
      <c r="L29" s="28" t="str">
        <f>IF(A29="","",IF(COUNTIF('02_工程タスク'!$A$4:$A$135,B29)&lt;&gt;1,"参照ID不正",IF(INDEX('02_工程タスク'!$D$4:$D$135,MATCH(B29,'02_工程タスク'!$A$4:$A$135,0))="","",INDEX('02_工程タスク'!$D$4:$D$135,MATCH(B29,'02_工程タスク'!$A$4:$A$135,0)))))</f>
        <v/>
      </c>
      <c r="M29" s="28" t="str">
        <f>IF(A29="","",IF(COUNTIF('07_スキル辞書'!$A$4:$A$109,D29)&lt;&gt;1,"参照ID不正",IF(INDEX('07_スキル辞書'!$D$4:$D$109,MATCH(D29,'07_スキル辞書'!$A$4:$A$109,0))="","",INDEX('07_スキル辞書'!$D$4:$D$109,MATCH(D29,'07_スキル辞書'!$A$4:$A$109,0)))))</f>
        <v/>
      </c>
      <c r="N29" s="28" t="str">
        <f>IF(OR(A29="",G29=""),"",IF(COUNTIF('28_スキル評価・育成'!$A$4:$A$203,G29)&lt;&gt;1,"参照ID不正",IF(INDEX('28_スキル評価・育成'!$H$4:$H$203,MATCH(G29,'28_スキル評価・育成'!$A$4:$A$203,0))="","",INDEX('28_スキル評価・育成'!$H$4:$H$203,MATCH(G29,'28_スキル評価・育成'!$A$4:$A$203,0)))))</f>
        <v/>
      </c>
      <c r="O29" s="28" t="str">
        <f t="shared" si="0"/>
        <v/>
      </c>
      <c r="P29" s="29"/>
      <c r="Q29" s="29"/>
      <c r="R29" s="28" t="str">
        <f>IF(A29="","",IF(COUNTIF($A$4:$A$103,A29)&lt;&gt;1,"割当ID重複",IF(OR(COUNTIF(TaskIDs,B29)&lt;&gt;1,COUNTIF(RoleIDs,C29)&lt;&gt;1,COUNTIF(SkillIDs,D29)&lt;&gt;1),"定義ID不正",IF(OR(NOT(ISNUMBER(E29)),IFERROR(MOD(E29,1)&lt;&gt;0,TRUE),IFERROR(E29&lt;0,TRUE),IFERROR(E29&gt;3,TRUE)),"必要Lv不正",IF(OR(OR(F29="",G29="",H29="",I29="",K29="",P29=""),NOT(ISNUMBER(J29))),"割当承認不足",IF(OR(AND(J29&lt;&gt;"",OR(NOT(ISNUMBER(J29)),IFERROR(J29&lt;1,TRUE),IFERROR(INT(J29)&gt;INT(AsOfDate),TRUE)))),"割当承認日不正",IF(OR(COUNTIF('28_スキル評価・育成'!$A$4:$A$203,G29)&lt;&gt;1,IF(COUNTIF('28_スキル評価・育成'!$A$4:$A$203,G29)&lt;&gt;1,"参照ID不正",IF(INDEX('28_スキル評価・育成'!$B$4:$B$203,MATCH(G29,'28_スキル評価・育成'!$A$4:$A$203,0))="","",INDEX('28_スキル評価・育成'!$B$4:$B$203,MATCH(G29,'28_スキル評価・育成'!$A$4:$A$203,0))))&lt;&gt;D29,IF(COUNTIF('28_スキル評価・育成'!$A$4:$A$203,G29)&lt;&gt;1,"参照ID不正",IF(INDEX('28_スキル評価・育成'!$Q$4:$Q$203,MATCH(G29,'28_スキル評価・育成'!$A$4:$A$203,0))="","",INDEX('28_スキル評価・育成'!$Q$4:$Q$203,MATCH(G29,'28_スキル評価・育成'!$A$4:$A$203,0))))&lt;&gt;F29),"能力証拠の対象不一致",IF(IF(COUNTIF('28_スキル評価・育成'!$A$4:$A$203,G29)&lt;&gt;1,"参照ID不正",IF(INDEX('28_スキル評価・育成'!$P$4:$P$203,MATCH(G29,'28_スキル評価・育成'!$A$4:$A$203,0))="","",INDEX('28_スキル評価・育成'!$P$4:$P$203,MATCH(G29,'28_スキル評価・育成'!$A$4:$A$203,0))))&lt;&gt;"第三者評価記録あり","能力の第三者確認不足",IF(AND(OR(P29="独立評価",P29="品質決裁"),OR(Q29="",Q29=F29)),"実装との独立性不足",IF(O29&gt;0,"能力不足・育成又は支援要","割当記録整合"))))))))))</f>
        <v/>
      </c>
    </row>
    <row r="30" spans="1:18" ht="64" customHeight="1" x14ac:dyDescent="0.2">
      <c r="A30" s="29"/>
      <c r="B30" s="29"/>
      <c r="C30" s="29"/>
      <c r="D30" s="29"/>
      <c r="E30" s="29"/>
      <c r="F30" s="29"/>
      <c r="G30" s="29"/>
      <c r="H30" s="29"/>
      <c r="I30" s="29"/>
      <c r="J30" s="32"/>
      <c r="K30" s="29"/>
      <c r="L30" s="28" t="str">
        <f>IF(A30="","",IF(COUNTIF('02_工程タスク'!$A$4:$A$135,B30)&lt;&gt;1,"参照ID不正",IF(INDEX('02_工程タスク'!$D$4:$D$135,MATCH(B30,'02_工程タスク'!$A$4:$A$135,0))="","",INDEX('02_工程タスク'!$D$4:$D$135,MATCH(B30,'02_工程タスク'!$A$4:$A$135,0)))))</f>
        <v/>
      </c>
      <c r="M30" s="28" t="str">
        <f>IF(A30="","",IF(COUNTIF('07_スキル辞書'!$A$4:$A$109,D30)&lt;&gt;1,"参照ID不正",IF(INDEX('07_スキル辞書'!$D$4:$D$109,MATCH(D30,'07_スキル辞書'!$A$4:$A$109,0))="","",INDEX('07_スキル辞書'!$D$4:$D$109,MATCH(D30,'07_スキル辞書'!$A$4:$A$109,0)))))</f>
        <v/>
      </c>
      <c r="N30" s="28" t="str">
        <f>IF(OR(A30="",G30=""),"",IF(COUNTIF('28_スキル評価・育成'!$A$4:$A$203,G30)&lt;&gt;1,"参照ID不正",IF(INDEX('28_スキル評価・育成'!$H$4:$H$203,MATCH(G30,'28_スキル評価・育成'!$A$4:$A$203,0))="","",INDEX('28_スキル評価・育成'!$H$4:$H$203,MATCH(G30,'28_スキル評価・育成'!$A$4:$A$203,0)))))</f>
        <v/>
      </c>
      <c r="O30" s="28" t="str">
        <f t="shared" si="0"/>
        <v/>
      </c>
      <c r="P30" s="29"/>
      <c r="Q30" s="29"/>
      <c r="R30" s="28" t="str">
        <f>IF(A30="","",IF(COUNTIF($A$4:$A$103,A30)&lt;&gt;1,"割当ID重複",IF(OR(COUNTIF(TaskIDs,B30)&lt;&gt;1,COUNTIF(RoleIDs,C30)&lt;&gt;1,COUNTIF(SkillIDs,D30)&lt;&gt;1),"定義ID不正",IF(OR(NOT(ISNUMBER(E30)),IFERROR(MOD(E30,1)&lt;&gt;0,TRUE),IFERROR(E30&lt;0,TRUE),IFERROR(E30&gt;3,TRUE)),"必要Lv不正",IF(OR(OR(F30="",G30="",H30="",I30="",K30="",P30=""),NOT(ISNUMBER(J30))),"割当承認不足",IF(OR(AND(J30&lt;&gt;"",OR(NOT(ISNUMBER(J30)),IFERROR(J30&lt;1,TRUE),IFERROR(INT(J30)&gt;INT(AsOfDate),TRUE)))),"割当承認日不正",IF(OR(COUNTIF('28_スキル評価・育成'!$A$4:$A$203,G30)&lt;&gt;1,IF(COUNTIF('28_スキル評価・育成'!$A$4:$A$203,G30)&lt;&gt;1,"参照ID不正",IF(INDEX('28_スキル評価・育成'!$B$4:$B$203,MATCH(G30,'28_スキル評価・育成'!$A$4:$A$203,0))="","",INDEX('28_スキル評価・育成'!$B$4:$B$203,MATCH(G30,'28_スキル評価・育成'!$A$4:$A$203,0))))&lt;&gt;D30,IF(COUNTIF('28_スキル評価・育成'!$A$4:$A$203,G30)&lt;&gt;1,"参照ID不正",IF(INDEX('28_スキル評価・育成'!$Q$4:$Q$203,MATCH(G30,'28_スキル評価・育成'!$A$4:$A$203,0))="","",INDEX('28_スキル評価・育成'!$Q$4:$Q$203,MATCH(G30,'28_スキル評価・育成'!$A$4:$A$203,0))))&lt;&gt;F30),"能力証拠の対象不一致",IF(IF(COUNTIF('28_スキル評価・育成'!$A$4:$A$203,G30)&lt;&gt;1,"参照ID不正",IF(INDEX('28_スキル評価・育成'!$P$4:$P$203,MATCH(G30,'28_スキル評価・育成'!$A$4:$A$203,0))="","",INDEX('28_スキル評価・育成'!$P$4:$P$203,MATCH(G30,'28_スキル評価・育成'!$A$4:$A$203,0))))&lt;&gt;"第三者評価記録あり","能力の第三者確認不足",IF(AND(OR(P30="独立評価",P30="品質決裁"),OR(Q30="",Q30=F30)),"実装との独立性不足",IF(O30&gt;0,"能力不足・育成又は支援要","割当記録整合"))))))))))</f>
        <v/>
      </c>
    </row>
    <row r="31" spans="1:18" ht="64" customHeight="1" x14ac:dyDescent="0.2">
      <c r="A31" s="29"/>
      <c r="B31" s="29"/>
      <c r="C31" s="29"/>
      <c r="D31" s="29"/>
      <c r="E31" s="29"/>
      <c r="F31" s="29"/>
      <c r="G31" s="29"/>
      <c r="H31" s="29"/>
      <c r="I31" s="29"/>
      <c r="J31" s="32"/>
      <c r="K31" s="29"/>
      <c r="L31" s="28" t="str">
        <f>IF(A31="","",IF(COUNTIF('02_工程タスク'!$A$4:$A$135,B31)&lt;&gt;1,"参照ID不正",IF(INDEX('02_工程タスク'!$D$4:$D$135,MATCH(B31,'02_工程タスク'!$A$4:$A$135,0))="","",INDEX('02_工程タスク'!$D$4:$D$135,MATCH(B31,'02_工程タスク'!$A$4:$A$135,0)))))</f>
        <v/>
      </c>
      <c r="M31" s="28" t="str">
        <f>IF(A31="","",IF(COUNTIF('07_スキル辞書'!$A$4:$A$109,D31)&lt;&gt;1,"参照ID不正",IF(INDEX('07_スキル辞書'!$D$4:$D$109,MATCH(D31,'07_スキル辞書'!$A$4:$A$109,0))="","",INDEX('07_スキル辞書'!$D$4:$D$109,MATCH(D31,'07_スキル辞書'!$A$4:$A$109,0)))))</f>
        <v/>
      </c>
      <c r="N31" s="28" t="str">
        <f>IF(OR(A31="",G31=""),"",IF(COUNTIF('28_スキル評価・育成'!$A$4:$A$203,G31)&lt;&gt;1,"参照ID不正",IF(INDEX('28_スキル評価・育成'!$H$4:$H$203,MATCH(G31,'28_スキル評価・育成'!$A$4:$A$203,0))="","",INDEX('28_スキル評価・育成'!$H$4:$H$203,MATCH(G31,'28_スキル評価・育成'!$A$4:$A$203,0)))))</f>
        <v/>
      </c>
      <c r="O31" s="28" t="str">
        <f t="shared" si="0"/>
        <v/>
      </c>
      <c r="P31" s="29"/>
      <c r="Q31" s="29"/>
      <c r="R31" s="28" t="str">
        <f>IF(A31="","",IF(COUNTIF($A$4:$A$103,A31)&lt;&gt;1,"割当ID重複",IF(OR(COUNTIF(TaskIDs,B31)&lt;&gt;1,COUNTIF(RoleIDs,C31)&lt;&gt;1,COUNTIF(SkillIDs,D31)&lt;&gt;1),"定義ID不正",IF(OR(NOT(ISNUMBER(E31)),IFERROR(MOD(E31,1)&lt;&gt;0,TRUE),IFERROR(E31&lt;0,TRUE),IFERROR(E31&gt;3,TRUE)),"必要Lv不正",IF(OR(OR(F31="",G31="",H31="",I31="",K31="",P31=""),NOT(ISNUMBER(J31))),"割当承認不足",IF(OR(AND(J31&lt;&gt;"",OR(NOT(ISNUMBER(J31)),IFERROR(J31&lt;1,TRUE),IFERROR(INT(J31)&gt;INT(AsOfDate),TRUE)))),"割当承認日不正",IF(OR(COUNTIF('28_スキル評価・育成'!$A$4:$A$203,G31)&lt;&gt;1,IF(COUNTIF('28_スキル評価・育成'!$A$4:$A$203,G31)&lt;&gt;1,"参照ID不正",IF(INDEX('28_スキル評価・育成'!$B$4:$B$203,MATCH(G31,'28_スキル評価・育成'!$A$4:$A$203,0))="","",INDEX('28_スキル評価・育成'!$B$4:$B$203,MATCH(G31,'28_スキル評価・育成'!$A$4:$A$203,0))))&lt;&gt;D31,IF(COUNTIF('28_スキル評価・育成'!$A$4:$A$203,G31)&lt;&gt;1,"参照ID不正",IF(INDEX('28_スキル評価・育成'!$Q$4:$Q$203,MATCH(G31,'28_スキル評価・育成'!$A$4:$A$203,0))="","",INDEX('28_スキル評価・育成'!$Q$4:$Q$203,MATCH(G31,'28_スキル評価・育成'!$A$4:$A$203,0))))&lt;&gt;F31),"能力証拠の対象不一致",IF(IF(COUNTIF('28_スキル評価・育成'!$A$4:$A$203,G31)&lt;&gt;1,"参照ID不正",IF(INDEX('28_スキル評価・育成'!$P$4:$P$203,MATCH(G31,'28_スキル評価・育成'!$A$4:$A$203,0))="","",INDEX('28_スキル評価・育成'!$P$4:$P$203,MATCH(G31,'28_スキル評価・育成'!$A$4:$A$203,0))))&lt;&gt;"第三者評価記録あり","能力の第三者確認不足",IF(AND(OR(P31="独立評価",P31="品質決裁"),OR(Q31="",Q31=F31)),"実装との独立性不足",IF(O31&gt;0,"能力不足・育成又は支援要","割当記録整合"))))))))))</f>
        <v/>
      </c>
    </row>
    <row r="32" spans="1:18" ht="64" customHeight="1" x14ac:dyDescent="0.2">
      <c r="A32" s="29"/>
      <c r="B32" s="29"/>
      <c r="C32" s="29"/>
      <c r="D32" s="29"/>
      <c r="E32" s="29"/>
      <c r="F32" s="29"/>
      <c r="G32" s="29"/>
      <c r="H32" s="29"/>
      <c r="I32" s="29"/>
      <c r="J32" s="32"/>
      <c r="K32" s="29"/>
      <c r="L32" s="28" t="str">
        <f>IF(A32="","",IF(COUNTIF('02_工程タスク'!$A$4:$A$135,B32)&lt;&gt;1,"参照ID不正",IF(INDEX('02_工程タスク'!$D$4:$D$135,MATCH(B32,'02_工程タスク'!$A$4:$A$135,0))="","",INDEX('02_工程タスク'!$D$4:$D$135,MATCH(B32,'02_工程タスク'!$A$4:$A$135,0)))))</f>
        <v/>
      </c>
      <c r="M32" s="28" t="str">
        <f>IF(A32="","",IF(COUNTIF('07_スキル辞書'!$A$4:$A$109,D32)&lt;&gt;1,"参照ID不正",IF(INDEX('07_スキル辞書'!$D$4:$D$109,MATCH(D32,'07_スキル辞書'!$A$4:$A$109,0))="","",INDEX('07_スキル辞書'!$D$4:$D$109,MATCH(D32,'07_スキル辞書'!$A$4:$A$109,0)))))</f>
        <v/>
      </c>
      <c r="N32" s="28" t="str">
        <f>IF(OR(A32="",G32=""),"",IF(COUNTIF('28_スキル評価・育成'!$A$4:$A$203,G32)&lt;&gt;1,"参照ID不正",IF(INDEX('28_スキル評価・育成'!$H$4:$H$203,MATCH(G32,'28_スキル評価・育成'!$A$4:$A$203,0))="","",INDEX('28_スキル評価・育成'!$H$4:$H$203,MATCH(G32,'28_スキル評価・育成'!$A$4:$A$203,0)))))</f>
        <v/>
      </c>
      <c r="O32" s="28" t="str">
        <f t="shared" si="0"/>
        <v/>
      </c>
      <c r="P32" s="29"/>
      <c r="Q32" s="29"/>
      <c r="R32" s="28" t="str">
        <f>IF(A32="","",IF(COUNTIF($A$4:$A$103,A32)&lt;&gt;1,"割当ID重複",IF(OR(COUNTIF(TaskIDs,B32)&lt;&gt;1,COUNTIF(RoleIDs,C32)&lt;&gt;1,COUNTIF(SkillIDs,D32)&lt;&gt;1),"定義ID不正",IF(OR(NOT(ISNUMBER(E32)),IFERROR(MOD(E32,1)&lt;&gt;0,TRUE),IFERROR(E32&lt;0,TRUE),IFERROR(E32&gt;3,TRUE)),"必要Lv不正",IF(OR(OR(F32="",G32="",H32="",I32="",K32="",P32=""),NOT(ISNUMBER(J32))),"割当承認不足",IF(OR(AND(J32&lt;&gt;"",OR(NOT(ISNUMBER(J32)),IFERROR(J32&lt;1,TRUE),IFERROR(INT(J32)&gt;INT(AsOfDate),TRUE)))),"割当承認日不正",IF(OR(COUNTIF('28_スキル評価・育成'!$A$4:$A$203,G32)&lt;&gt;1,IF(COUNTIF('28_スキル評価・育成'!$A$4:$A$203,G32)&lt;&gt;1,"参照ID不正",IF(INDEX('28_スキル評価・育成'!$B$4:$B$203,MATCH(G32,'28_スキル評価・育成'!$A$4:$A$203,0))="","",INDEX('28_スキル評価・育成'!$B$4:$B$203,MATCH(G32,'28_スキル評価・育成'!$A$4:$A$203,0))))&lt;&gt;D32,IF(COUNTIF('28_スキル評価・育成'!$A$4:$A$203,G32)&lt;&gt;1,"参照ID不正",IF(INDEX('28_スキル評価・育成'!$Q$4:$Q$203,MATCH(G32,'28_スキル評価・育成'!$A$4:$A$203,0))="","",INDEX('28_スキル評価・育成'!$Q$4:$Q$203,MATCH(G32,'28_スキル評価・育成'!$A$4:$A$203,0))))&lt;&gt;F32),"能力証拠の対象不一致",IF(IF(COUNTIF('28_スキル評価・育成'!$A$4:$A$203,G32)&lt;&gt;1,"参照ID不正",IF(INDEX('28_スキル評価・育成'!$P$4:$P$203,MATCH(G32,'28_スキル評価・育成'!$A$4:$A$203,0))="","",INDEX('28_スキル評価・育成'!$P$4:$P$203,MATCH(G32,'28_スキル評価・育成'!$A$4:$A$203,0))))&lt;&gt;"第三者評価記録あり","能力の第三者確認不足",IF(AND(OR(P32="独立評価",P32="品質決裁"),OR(Q32="",Q32=F32)),"実装との独立性不足",IF(O32&gt;0,"能力不足・育成又は支援要","割当記録整合"))))))))))</f>
        <v/>
      </c>
    </row>
    <row r="33" spans="1:18" ht="64" customHeight="1" x14ac:dyDescent="0.2">
      <c r="A33" s="29"/>
      <c r="B33" s="29"/>
      <c r="C33" s="29"/>
      <c r="D33" s="29"/>
      <c r="E33" s="29"/>
      <c r="F33" s="29"/>
      <c r="G33" s="29"/>
      <c r="H33" s="29"/>
      <c r="I33" s="29"/>
      <c r="J33" s="32"/>
      <c r="K33" s="29"/>
      <c r="L33" s="28" t="str">
        <f>IF(A33="","",IF(COUNTIF('02_工程タスク'!$A$4:$A$135,B33)&lt;&gt;1,"参照ID不正",IF(INDEX('02_工程タスク'!$D$4:$D$135,MATCH(B33,'02_工程タスク'!$A$4:$A$135,0))="","",INDEX('02_工程タスク'!$D$4:$D$135,MATCH(B33,'02_工程タスク'!$A$4:$A$135,0)))))</f>
        <v/>
      </c>
      <c r="M33" s="28" t="str">
        <f>IF(A33="","",IF(COUNTIF('07_スキル辞書'!$A$4:$A$109,D33)&lt;&gt;1,"参照ID不正",IF(INDEX('07_スキル辞書'!$D$4:$D$109,MATCH(D33,'07_スキル辞書'!$A$4:$A$109,0))="","",INDEX('07_スキル辞書'!$D$4:$D$109,MATCH(D33,'07_スキル辞書'!$A$4:$A$109,0)))))</f>
        <v/>
      </c>
      <c r="N33" s="28" t="str">
        <f>IF(OR(A33="",G33=""),"",IF(COUNTIF('28_スキル評価・育成'!$A$4:$A$203,G33)&lt;&gt;1,"参照ID不正",IF(INDEX('28_スキル評価・育成'!$H$4:$H$203,MATCH(G33,'28_スキル評価・育成'!$A$4:$A$203,0))="","",INDEX('28_スキル評価・育成'!$H$4:$H$203,MATCH(G33,'28_スキル評価・育成'!$A$4:$A$203,0)))))</f>
        <v/>
      </c>
      <c r="O33" s="28" t="str">
        <f t="shared" si="0"/>
        <v/>
      </c>
      <c r="P33" s="29"/>
      <c r="Q33" s="29"/>
      <c r="R33" s="28" t="str">
        <f>IF(A33="","",IF(COUNTIF($A$4:$A$103,A33)&lt;&gt;1,"割当ID重複",IF(OR(COUNTIF(TaskIDs,B33)&lt;&gt;1,COUNTIF(RoleIDs,C33)&lt;&gt;1,COUNTIF(SkillIDs,D33)&lt;&gt;1),"定義ID不正",IF(OR(NOT(ISNUMBER(E33)),IFERROR(MOD(E33,1)&lt;&gt;0,TRUE),IFERROR(E33&lt;0,TRUE),IFERROR(E33&gt;3,TRUE)),"必要Lv不正",IF(OR(OR(F33="",G33="",H33="",I33="",K33="",P33=""),NOT(ISNUMBER(J33))),"割当承認不足",IF(OR(AND(J33&lt;&gt;"",OR(NOT(ISNUMBER(J33)),IFERROR(J33&lt;1,TRUE),IFERROR(INT(J33)&gt;INT(AsOfDate),TRUE)))),"割当承認日不正",IF(OR(COUNTIF('28_スキル評価・育成'!$A$4:$A$203,G33)&lt;&gt;1,IF(COUNTIF('28_スキル評価・育成'!$A$4:$A$203,G33)&lt;&gt;1,"参照ID不正",IF(INDEX('28_スキル評価・育成'!$B$4:$B$203,MATCH(G33,'28_スキル評価・育成'!$A$4:$A$203,0))="","",INDEX('28_スキル評価・育成'!$B$4:$B$203,MATCH(G33,'28_スキル評価・育成'!$A$4:$A$203,0))))&lt;&gt;D33,IF(COUNTIF('28_スキル評価・育成'!$A$4:$A$203,G33)&lt;&gt;1,"参照ID不正",IF(INDEX('28_スキル評価・育成'!$Q$4:$Q$203,MATCH(G33,'28_スキル評価・育成'!$A$4:$A$203,0))="","",INDEX('28_スキル評価・育成'!$Q$4:$Q$203,MATCH(G33,'28_スキル評価・育成'!$A$4:$A$203,0))))&lt;&gt;F33),"能力証拠の対象不一致",IF(IF(COUNTIF('28_スキル評価・育成'!$A$4:$A$203,G33)&lt;&gt;1,"参照ID不正",IF(INDEX('28_スキル評価・育成'!$P$4:$P$203,MATCH(G33,'28_スキル評価・育成'!$A$4:$A$203,0))="","",INDEX('28_スキル評価・育成'!$P$4:$P$203,MATCH(G33,'28_スキル評価・育成'!$A$4:$A$203,0))))&lt;&gt;"第三者評価記録あり","能力の第三者確認不足",IF(AND(OR(P33="独立評価",P33="品質決裁"),OR(Q33="",Q33=F33)),"実装との独立性不足",IF(O33&gt;0,"能力不足・育成又は支援要","割当記録整合"))))))))))</f>
        <v/>
      </c>
    </row>
    <row r="34" spans="1:18" ht="64" customHeight="1" x14ac:dyDescent="0.2">
      <c r="A34" s="29"/>
      <c r="B34" s="29"/>
      <c r="C34" s="29"/>
      <c r="D34" s="29"/>
      <c r="E34" s="29"/>
      <c r="F34" s="29"/>
      <c r="G34" s="29"/>
      <c r="H34" s="29"/>
      <c r="I34" s="29"/>
      <c r="J34" s="32"/>
      <c r="K34" s="29"/>
      <c r="L34" s="28" t="str">
        <f>IF(A34="","",IF(COUNTIF('02_工程タスク'!$A$4:$A$135,B34)&lt;&gt;1,"参照ID不正",IF(INDEX('02_工程タスク'!$D$4:$D$135,MATCH(B34,'02_工程タスク'!$A$4:$A$135,0))="","",INDEX('02_工程タスク'!$D$4:$D$135,MATCH(B34,'02_工程タスク'!$A$4:$A$135,0)))))</f>
        <v/>
      </c>
      <c r="M34" s="28" t="str">
        <f>IF(A34="","",IF(COUNTIF('07_スキル辞書'!$A$4:$A$109,D34)&lt;&gt;1,"参照ID不正",IF(INDEX('07_スキル辞書'!$D$4:$D$109,MATCH(D34,'07_スキル辞書'!$A$4:$A$109,0))="","",INDEX('07_スキル辞書'!$D$4:$D$109,MATCH(D34,'07_スキル辞書'!$A$4:$A$109,0)))))</f>
        <v/>
      </c>
      <c r="N34" s="28" t="str">
        <f>IF(OR(A34="",G34=""),"",IF(COUNTIF('28_スキル評価・育成'!$A$4:$A$203,G34)&lt;&gt;1,"参照ID不正",IF(INDEX('28_スキル評価・育成'!$H$4:$H$203,MATCH(G34,'28_スキル評価・育成'!$A$4:$A$203,0))="","",INDEX('28_スキル評価・育成'!$H$4:$H$203,MATCH(G34,'28_スキル評価・育成'!$A$4:$A$203,0)))))</f>
        <v/>
      </c>
      <c r="O34" s="28" t="str">
        <f t="shared" si="0"/>
        <v/>
      </c>
      <c r="P34" s="29"/>
      <c r="Q34" s="29"/>
      <c r="R34" s="28" t="str">
        <f>IF(A34="","",IF(COUNTIF($A$4:$A$103,A34)&lt;&gt;1,"割当ID重複",IF(OR(COUNTIF(TaskIDs,B34)&lt;&gt;1,COUNTIF(RoleIDs,C34)&lt;&gt;1,COUNTIF(SkillIDs,D34)&lt;&gt;1),"定義ID不正",IF(OR(NOT(ISNUMBER(E34)),IFERROR(MOD(E34,1)&lt;&gt;0,TRUE),IFERROR(E34&lt;0,TRUE),IFERROR(E34&gt;3,TRUE)),"必要Lv不正",IF(OR(OR(F34="",G34="",H34="",I34="",K34="",P34=""),NOT(ISNUMBER(J34))),"割当承認不足",IF(OR(AND(J34&lt;&gt;"",OR(NOT(ISNUMBER(J34)),IFERROR(J34&lt;1,TRUE),IFERROR(INT(J34)&gt;INT(AsOfDate),TRUE)))),"割当承認日不正",IF(OR(COUNTIF('28_スキル評価・育成'!$A$4:$A$203,G34)&lt;&gt;1,IF(COUNTIF('28_スキル評価・育成'!$A$4:$A$203,G34)&lt;&gt;1,"参照ID不正",IF(INDEX('28_スキル評価・育成'!$B$4:$B$203,MATCH(G34,'28_スキル評価・育成'!$A$4:$A$203,0))="","",INDEX('28_スキル評価・育成'!$B$4:$B$203,MATCH(G34,'28_スキル評価・育成'!$A$4:$A$203,0))))&lt;&gt;D34,IF(COUNTIF('28_スキル評価・育成'!$A$4:$A$203,G34)&lt;&gt;1,"参照ID不正",IF(INDEX('28_スキル評価・育成'!$Q$4:$Q$203,MATCH(G34,'28_スキル評価・育成'!$A$4:$A$203,0))="","",INDEX('28_スキル評価・育成'!$Q$4:$Q$203,MATCH(G34,'28_スキル評価・育成'!$A$4:$A$203,0))))&lt;&gt;F34),"能力証拠の対象不一致",IF(IF(COUNTIF('28_スキル評価・育成'!$A$4:$A$203,G34)&lt;&gt;1,"参照ID不正",IF(INDEX('28_スキル評価・育成'!$P$4:$P$203,MATCH(G34,'28_スキル評価・育成'!$A$4:$A$203,0))="","",INDEX('28_スキル評価・育成'!$P$4:$P$203,MATCH(G34,'28_スキル評価・育成'!$A$4:$A$203,0))))&lt;&gt;"第三者評価記録あり","能力の第三者確認不足",IF(AND(OR(P34="独立評価",P34="品質決裁"),OR(Q34="",Q34=F34)),"実装との独立性不足",IF(O34&gt;0,"能力不足・育成又は支援要","割当記録整合"))))))))))</f>
        <v/>
      </c>
    </row>
    <row r="35" spans="1:18" ht="64" customHeight="1" x14ac:dyDescent="0.2">
      <c r="A35" s="29"/>
      <c r="B35" s="29"/>
      <c r="C35" s="29"/>
      <c r="D35" s="29"/>
      <c r="E35" s="29"/>
      <c r="F35" s="29"/>
      <c r="G35" s="29"/>
      <c r="H35" s="29"/>
      <c r="I35" s="29"/>
      <c r="J35" s="32"/>
      <c r="K35" s="29"/>
      <c r="L35" s="28" t="str">
        <f>IF(A35="","",IF(COUNTIF('02_工程タスク'!$A$4:$A$135,B35)&lt;&gt;1,"参照ID不正",IF(INDEX('02_工程タスク'!$D$4:$D$135,MATCH(B35,'02_工程タスク'!$A$4:$A$135,0))="","",INDEX('02_工程タスク'!$D$4:$D$135,MATCH(B35,'02_工程タスク'!$A$4:$A$135,0)))))</f>
        <v/>
      </c>
      <c r="M35" s="28" t="str">
        <f>IF(A35="","",IF(COUNTIF('07_スキル辞書'!$A$4:$A$109,D35)&lt;&gt;1,"参照ID不正",IF(INDEX('07_スキル辞書'!$D$4:$D$109,MATCH(D35,'07_スキル辞書'!$A$4:$A$109,0))="","",INDEX('07_スキル辞書'!$D$4:$D$109,MATCH(D35,'07_スキル辞書'!$A$4:$A$109,0)))))</f>
        <v/>
      </c>
      <c r="N35" s="28" t="str">
        <f>IF(OR(A35="",G35=""),"",IF(COUNTIF('28_スキル評価・育成'!$A$4:$A$203,G35)&lt;&gt;1,"参照ID不正",IF(INDEX('28_スキル評価・育成'!$H$4:$H$203,MATCH(G35,'28_スキル評価・育成'!$A$4:$A$203,0))="","",INDEX('28_スキル評価・育成'!$H$4:$H$203,MATCH(G35,'28_スキル評価・育成'!$A$4:$A$203,0)))))</f>
        <v/>
      </c>
      <c r="O35" s="28" t="str">
        <f t="shared" si="0"/>
        <v/>
      </c>
      <c r="P35" s="29"/>
      <c r="Q35" s="29"/>
      <c r="R35" s="28" t="str">
        <f>IF(A35="","",IF(COUNTIF($A$4:$A$103,A35)&lt;&gt;1,"割当ID重複",IF(OR(COUNTIF(TaskIDs,B35)&lt;&gt;1,COUNTIF(RoleIDs,C35)&lt;&gt;1,COUNTIF(SkillIDs,D35)&lt;&gt;1),"定義ID不正",IF(OR(NOT(ISNUMBER(E35)),IFERROR(MOD(E35,1)&lt;&gt;0,TRUE),IFERROR(E35&lt;0,TRUE),IFERROR(E35&gt;3,TRUE)),"必要Lv不正",IF(OR(OR(F35="",G35="",H35="",I35="",K35="",P35=""),NOT(ISNUMBER(J35))),"割当承認不足",IF(OR(AND(J35&lt;&gt;"",OR(NOT(ISNUMBER(J35)),IFERROR(J35&lt;1,TRUE),IFERROR(INT(J35)&gt;INT(AsOfDate),TRUE)))),"割当承認日不正",IF(OR(COUNTIF('28_スキル評価・育成'!$A$4:$A$203,G35)&lt;&gt;1,IF(COUNTIF('28_スキル評価・育成'!$A$4:$A$203,G35)&lt;&gt;1,"参照ID不正",IF(INDEX('28_スキル評価・育成'!$B$4:$B$203,MATCH(G35,'28_スキル評価・育成'!$A$4:$A$203,0))="","",INDEX('28_スキル評価・育成'!$B$4:$B$203,MATCH(G35,'28_スキル評価・育成'!$A$4:$A$203,0))))&lt;&gt;D35,IF(COUNTIF('28_スキル評価・育成'!$A$4:$A$203,G35)&lt;&gt;1,"参照ID不正",IF(INDEX('28_スキル評価・育成'!$Q$4:$Q$203,MATCH(G35,'28_スキル評価・育成'!$A$4:$A$203,0))="","",INDEX('28_スキル評価・育成'!$Q$4:$Q$203,MATCH(G35,'28_スキル評価・育成'!$A$4:$A$203,0))))&lt;&gt;F35),"能力証拠の対象不一致",IF(IF(COUNTIF('28_スキル評価・育成'!$A$4:$A$203,G35)&lt;&gt;1,"参照ID不正",IF(INDEX('28_スキル評価・育成'!$P$4:$P$203,MATCH(G35,'28_スキル評価・育成'!$A$4:$A$203,0))="","",INDEX('28_スキル評価・育成'!$P$4:$P$203,MATCH(G35,'28_スキル評価・育成'!$A$4:$A$203,0))))&lt;&gt;"第三者評価記録あり","能力の第三者確認不足",IF(AND(OR(P35="独立評価",P35="品質決裁"),OR(Q35="",Q35=F35)),"実装との独立性不足",IF(O35&gt;0,"能力不足・育成又は支援要","割当記録整合"))))))))))</f>
        <v/>
      </c>
    </row>
    <row r="36" spans="1:18" ht="64" customHeight="1" x14ac:dyDescent="0.2">
      <c r="A36" s="29"/>
      <c r="B36" s="29"/>
      <c r="C36" s="29"/>
      <c r="D36" s="29"/>
      <c r="E36" s="29"/>
      <c r="F36" s="29"/>
      <c r="G36" s="29"/>
      <c r="H36" s="29"/>
      <c r="I36" s="29"/>
      <c r="J36" s="32"/>
      <c r="K36" s="29"/>
      <c r="L36" s="28" t="str">
        <f>IF(A36="","",IF(COUNTIF('02_工程タスク'!$A$4:$A$135,B36)&lt;&gt;1,"参照ID不正",IF(INDEX('02_工程タスク'!$D$4:$D$135,MATCH(B36,'02_工程タスク'!$A$4:$A$135,0))="","",INDEX('02_工程タスク'!$D$4:$D$135,MATCH(B36,'02_工程タスク'!$A$4:$A$135,0)))))</f>
        <v/>
      </c>
      <c r="M36" s="28" t="str">
        <f>IF(A36="","",IF(COUNTIF('07_スキル辞書'!$A$4:$A$109,D36)&lt;&gt;1,"参照ID不正",IF(INDEX('07_スキル辞書'!$D$4:$D$109,MATCH(D36,'07_スキル辞書'!$A$4:$A$109,0))="","",INDEX('07_スキル辞書'!$D$4:$D$109,MATCH(D36,'07_スキル辞書'!$A$4:$A$109,0)))))</f>
        <v/>
      </c>
      <c r="N36" s="28" t="str">
        <f>IF(OR(A36="",G36=""),"",IF(COUNTIF('28_スキル評価・育成'!$A$4:$A$203,G36)&lt;&gt;1,"参照ID不正",IF(INDEX('28_スキル評価・育成'!$H$4:$H$203,MATCH(G36,'28_スキル評価・育成'!$A$4:$A$203,0))="","",INDEX('28_スキル評価・育成'!$H$4:$H$203,MATCH(G36,'28_スキル評価・育成'!$A$4:$A$203,0)))))</f>
        <v/>
      </c>
      <c r="O36" s="28" t="str">
        <f t="shared" ref="O36:O67" si="1">IF(COUNT(E36,N36)&lt;2,"",MAX(0,E36-N36))</f>
        <v/>
      </c>
      <c r="P36" s="29"/>
      <c r="Q36" s="29"/>
      <c r="R36" s="28" t="str">
        <f>IF(A36="","",IF(COUNTIF($A$4:$A$103,A36)&lt;&gt;1,"割当ID重複",IF(OR(COUNTIF(TaskIDs,B36)&lt;&gt;1,COUNTIF(RoleIDs,C36)&lt;&gt;1,COUNTIF(SkillIDs,D36)&lt;&gt;1),"定義ID不正",IF(OR(NOT(ISNUMBER(E36)),IFERROR(MOD(E36,1)&lt;&gt;0,TRUE),IFERROR(E36&lt;0,TRUE),IFERROR(E36&gt;3,TRUE)),"必要Lv不正",IF(OR(OR(F36="",G36="",H36="",I36="",K36="",P36=""),NOT(ISNUMBER(J36))),"割当承認不足",IF(OR(AND(J36&lt;&gt;"",OR(NOT(ISNUMBER(J36)),IFERROR(J36&lt;1,TRUE),IFERROR(INT(J36)&gt;INT(AsOfDate),TRUE)))),"割当承認日不正",IF(OR(COUNTIF('28_スキル評価・育成'!$A$4:$A$203,G36)&lt;&gt;1,IF(COUNTIF('28_スキル評価・育成'!$A$4:$A$203,G36)&lt;&gt;1,"参照ID不正",IF(INDEX('28_スキル評価・育成'!$B$4:$B$203,MATCH(G36,'28_スキル評価・育成'!$A$4:$A$203,0))="","",INDEX('28_スキル評価・育成'!$B$4:$B$203,MATCH(G36,'28_スキル評価・育成'!$A$4:$A$203,0))))&lt;&gt;D36,IF(COUNTIF('28_スキル評価・育成'!$A$4:$A$203,G36)&lt;&gt;1,"参照ID不正",IF(INDEX('28_スキル評価・育成'!$Q$4:$Q$203,MATCH(G36,'28_スキル評価・育成'!$A$4:$A$203,0))="","",INDEX('28_スキル評価・育成'!$Q$4:$Q$203,MATCH(G36,'28_スキル評価・育成'!$A$4:$A$203,0))))&lt;&gt;F36),"能力証拠の対象不一致",IF(IF(COUNTIF('28_スキル評価・育成'!$A$4:$A$203,G36)&lt;&gt;1,"参照ID不正",IF(INDEX('28_スキル評価・育成'!$P$4:$P$203,MATCH(G36,'28_スキル評価・育成'!$A$4:$A$203,0))="","",INDEX('28_スキル評価・育成'!$P$4:$P$203,MATCH(G36,'28_スキル評価・育成'!$A$4:$A$203,0))))&lt;&gt;"第三者評価記録あり","能力の第三者確認不足",IF(AND(OR(P36="独立評価",P36="品質決裁"),OR(Q36="",Q36=F36)),"実装との独立性不足",IF(O36&gt;0,"能力不足・育成又は支援要","割当記録整合"))))))))))</f>
        <v/>
      </c>
    </row>
    <row r="37" spans="1:18" ht="64" customHeight="1" x14ac:dyDescent="0.2">
      <c r="A37" s="29"/>
      <c r="B37" s="29"/>
      <c r="C37" s="29"/>
      <c r="D37" s="29"/>
      <c r="E37" s="29"/>
      <c r="F37" s="29"/>
      <c r="G37" s="29"/>
      <c r="H37" s="29"/>
      <c r="I37" s="29"/>
      <c r="J37" s="32"/>
      <c r="K37" s="29"/>
      <c r="L37" s="28" t="str">
        <f>IF(A37="","",IF(COUNTIF('02_工程タスク'!$A$4:$A$135,B37)&lt;&gt;1,"参照ID不正",IF(INDEX('02_工程タスク'!$D$4:$D$135,MATCH(B37,'02_工程タスク'!$A$4:$A$135,0))="","",INDEX('02_工程タスク'!$D$4:$D$135,MATCH(B37,'02_工程タスク'!$A$4:$A$135,0)))))</f>
        <v/>
      </c>
      <c r="M37" s="28" t="str">
        <f>IF(A37="","",IF(COUNTIF('07_スキル辞書'!$A$4:$A$109,D37)&lt;&gt;1,"参照ID不正",IF(INDEX('07_スキル辞書'!$D$4:$D$109,MATCH(D37,'07_スキル辞書'!$A$4:$A$109,0))="","",INDEX('07_スキル辞書'!$D$4:$D$109,MATCH(D37,'07_スキル辞書'!$A$4:$A$109,0)))))</f>
        <v/>
      </c>
      <c r="N37" s="28" t="str">
        <f>IF(OR(A37="",G37=""),"",IF(COUNTIF('28_スキル評価・育成'!$A$4:$A$203,G37)&lt;&gt;1,"参照ID不正",IF(INDEX('28_スキル評価・育成'!$H$4:$H$203,MATCH(G37,'28_スキル評価・育成'!$A$4:$A$203,0))="","",INDEX('28_スキル評価・育成'!$H$4:$H$203,MATCH(G37,'28_スキル評価・育成'!$A$4:$A$203,0)))))</f>
        <v/>
      </c>
      <c r="O37" s="28" t="str">
        <f t="shared" si="1"/>
        <v/>
      </c>
      <c r="P37" s="29"/>
      <c r="Q37" s="29"/>
      <c r="R37" s="28" t="str">
        <f>IF(A37="","",IF(COUNTIF($A$4:$A$103,A37)&lt;&gt;1,"割当ID重複",IF(OR(COUNTIF(TaskIDs,B37)&lt;&gt;1,COUNTIF(RoleIDs,C37)&lt;&gt;1,COUNTIF(SkillIDs,D37)&lt;&gt;1),"定義ID不正",IF(OR(NOT(ISNUMBER(E37)),IFERROR(MOD(E37,1)&lt;&gt;0,TRUE),IFERROR(E37&lt;0,TRUE),IFERROR(E37&gt;3,TRUE)),"必要Lv不正",IF(OR(OR(F37="",G37="",H37="",I37="",K37="",P37=""),NOT(ISNUMBER(J37))),"割当承認不足",IF(OR(AND(J37&lt;&gt;"",OR(NOT(ISNUMBER(J37)),IFERROR(J37&lt;1,TRUE),IFERROR(INT(J37)&gt;INT(AsOfDate),TRUE)))),"割当承認日不正",IF(OR(COUNTIF('28_スキル評価・育成'!$A$4:$A$203,G37)&lt;&gt;1,IF(COUNTIF('28_スキル評価・育成'!$A$4:$A$203,G37)&lt;&gt;1,"参照ID不正",IF(INDEX('28_スキル評価・育成'!$B$4:$B$203,MATCH(G37,'28_スキル評価・育成'!$A$4:$A$203,0))="","",INDEX('28_スキル評価・育成'!$B$4:$B$203,MATCH(G37,'28_スキル評価・育成'!$A$4:$A$203,0))))&lt;&gt;D37,IF(COUNTIF('28_スキル評価・育成'!$A$4:$A$203,G37)&lt;&gt;1,"参照ID不正",IF(INDEX('28_スキル評価・育成'!$Q$4:$Q$203,MATCH(G37,'28_スキル評価・育成'!$A$4:$A$203,0))="","",INDEX('28_スキル評価・育成'!$Q$4:$Q$203,MATCH(G37,'28_スキル評価・育成'!$A$4:$A$203,0))))&lt;&gt;F37),"能力証拠の対象不一致",IF(IF(COUNTIF('28_スキル評価・育成'!$A$4:$A$203,G37)&lt;&gt;1,"参照ID不正",IF(INDEX('28_スキル評価・育成'!$P$4:$P$203,MATCH(G37,'28_スキル評価・育成'!$A$4:$A$203,0))="","",INDEX('28_スキル評価・育成'!$P$4:$P$203,MATCH(G37,'28_スキル評価・育成'!$A$4:$A$203,0))))&lt;&gt;"第三者評価記録あり","能力の第三者確認不足",IF(AND(OR(P37="独立評価",P37="品質決裁"),OR(Q37="",Q37=F37)),"実装との独立性不足",IF(O37&gt;0,"能力不足・育成又は支援要","割当記録整合"))))))))))</f>
        <v/>
      </c>
    </row>
    <row r="38" spans="1:18" ht="64" customHeight="1" x14ac:dyDescent="0.2">
      <c r="A38" s="29"/>
      <c r="B38" s="29"/>
      <c r="C38" s="29"/>
      <c r="D38" s="29"/>
      <c r="E38" s="29"/>
      <c r="F38" s="29"/>
      <c r="G38" s="29"/>
      <c r="H38" s="29"/>
      <c r="I38" s="29"/>
      <c r="J38" s="32"/>
      <c r="K38" s="29"/>
      <c r="L38" s="28" t="str">
        <f>IF(A38="","",IF(COUNTIF('02_工程タスク'!$A$4:$A$135,B38)&lt;&gt;1,"参照ID不正",IF(INDEX('02_工程タスク'!$D$4:$D$135,MATCH(B38,'02_工程タスク'!$A$4:$A$135,0))="","",INDEX('02_工程タスク'!$D$4:$D$135,MATCH(B38,'02_工程タスク'!$A$4:$A$135,0)))))</f>
        <v/>
      </c>
      <c r="M38" s="28" t="str">
        <f>IF(A38="","",IF(COUNTIF('07_スキル辞書'!$A$4:$A$109,D38)&lt;&gt;1,"参照ID不正",IF(INDEX('07_スキル辞書'!$D$4:$D$109,MATCH(D38,'07_スキル辞書'!$A$4:$A$109,0))="","",INDEX('07_スキル辞書'!$D$4:$D$109,MATCH(D38,'07_スキル辞書'!$A$4:$A$109,0)))))</f>
        <v/>
      </c>
      <c r="N38" s="28" t="str">
        <f>IF(OR(A38="",G38=""),"",IF(COUNTIF('28_スキル評価・育成'!$A$4:$A$203,G38)&lt;&gt;1,"参照ID不正",IF(INDEX('28_スキル評価・育成'!$H$4:$H$203,MATCH(G38,'28_スキル評価・育成'!$A$4:$A$203,0))="","",INDEX('28_スキル評価・育成'!$H$4:$H$203,MATCH(G38,'28_スキル評価・育成'!$A$4:$A$203,0)))))</f>
        <v/>
      </c>
      <c r="O38" s="28" t="str">
        <f t="shared" si="1"/>
        <v/>
      </c>
      <c r="P38" s="29"/>
      <c r="Q38" s="29"/>
      <c r="R38" s="28" t="str">
        <f>IF(A38="","",IF(COUNTIF($A$4:$A$103,A38)&lt;&gt;1,"割当ID重複",IF(OR(COUNTIF(TaskIDs,B38)&lt;&gt;1,COUNTIF(RoleIDs,C38)&lt;&gt;1,COUNTIF(SkillIDs,D38)&lt;&gt;1),"定義ID不正",IF(OR(NOT(ISNUMBER(E38)),IFERROR(MOD(E38,1)&lt;&gt;0,TRUE),IFERROR(E38&lt;0,TRUE),IFERROR(E38&gt;3,TRUE)),"必要Lv不正",IF(OR(OR(F38="",G38="",H38="",I38="",K38="",P38=""),NOT(ISNUMBER(J38))),"割当承認不足",IF(OR(AND(J38&lt;&gt;"",OR(NOT(ISNUMBER(J38)),IFERROR(J38&lt;1,TRUE),IFERROR(INT(J38)&gt;INT(AsOfDate),TRUE)))),"割当承認日不正",IF(OR(COUNTIF('28_スキル評価・育成'!$A$4:$A$203,G38)&lt;&gt;1,IF(COUNTIF('28_スキル評価・育成'!$A$4:$A$203,G38)&lt;&gt;1,"参照ID不正",IF(INDEX('28_スキル評価・育成'!$B$4:$B$203,MATCH(G38,'28_スキル評価・育成'!$A$4:$A$203,0))="","",INDEX('28_スキル評価・育成'!$B$4:$B$203,MATCH(G38,'28_スキル評価・育成'!$A$4:$A$203,0))))&lt;&gt;D38,IF(COUNTIF('28_スキル評価・育成'!$A$4:$A$203,G38)&lt;&gt;1,"参照ID不正",IF(INDEX('28_スキル評価・育成'!$Q$4:$Q$203,MATCH(G38,'28_スキル評価・育成'!$A$4:$A$203,0))="","",INDEX('28_スキル評価・育成'!$Q$4:$Q$203,MATCH(G38,'28_スキル評価・育成'!$A$4:$A$203,0))))&lt;&gt;F38),"能力証拠の対象不一致",IF(IF(COUNTIF('28_スキル評価・育成'!$A$4:$A$203,G38)&lt;&gt;1,"参照ID不正",IF(INDEX('28_スキル評価・育成'!$P$4:$P$203,MATCH(G38,'28_スキル評価・育成'!$A$4:$A$203,0))="","",INDEX('28_スキル評価・育成'!$P$4:$P$203,MATCH(G38,'28_スキル評価・育成'!$A$4:$A$203,0))))&lt;&gt;"第三者評価記録あり","能力の第三者確認不足",IF(AND(OR(P38="独立評価",P38="品質決裁"),OR(Q38="",Q38=F38)),"実装との独立性不足",IF(O38&gt;0,"能力不足・育成又は支援要","割当記録整合"))))))))))</f>
        <v/>
      </c>
    </row>
    <row r="39" spans="1:18" ht="64" customHeight="1" x14ac:dyDescent="0.2">
      <c r="A39" s="29"/>
      <c r="B39" s="29"/>
      <c r="C39" s="29"/>
      <c r="D39" s="29"/>
      <c r="E39" s="29"/>
      <c r="F39" s="29"/>
      <c r="G39" s="29"/>
      <c r="H39" s="29"/>
      <c r="I39" s="29"/>
      <c r="J39" s="32"/>
      <c r="K39" s="29"/>
      <c r="L39" s="28" t="str">
        <f>IF(A39="","",IF(COUNTIF('02_工程タスク'!$A$4:$A$135,B39)&lt;&gt;1,"参照ID不正",IF(INDEX('02_工程タスク'!$D$4:$D$135,MATCH(B39,'02_工程タスク'!$A$4:$A$135,0))="","",INDEX('02_工程タスク'!$D$4:$D$135,MATCH(B39,'02_工程タスク'!$A$4:$A$135,0)))))</f>
        <v/>
      </c>
      <c r="M39" s="28" t="str">
        <f>IF(A39="","",IF(COUNTIF('07_スキル辞書'!$A$4:$A$109,D39)&lt;&gt;1,"参照ID不正",IF(INDEX('07_スキル辞書'!$D$4:$D$109,MATCH(D39,'07_スキル辞書'!$A$4:$A$109,0))="","",INDEX('07_スキル辞書'!$D$4:$D$109,MATCH(D39,'07_スキル辞書'!$A$4:$A$109,0)))))</f>
        <v/>
      </c>
      <c r="N39" s="28" t="str">
        <f>IF(OR(A39="",G39=""),"",IF(COUNTIF('28_スキル評価・育成'!$A$4:$A$203,G39)&lt;&gt;1,"参照ID不正",IF(INDEX('28_スキル評価・育成'!$H$4:$H$203,MATCH(G39,'28_スキル評価・育成'!$A$4:$A$203,0))="","",INDEX('28_スキル評価・育成'!$H$4:$H$203,MATCH(G39,'28_スキル評価・育成'!$A$4:$A$203,0)))))</f>
        <v/>
      </c>
      <c r="O39" s="28" t="str">
        <f t="shared" si="1"/>
        <v/>
      </c>
      <c r="P39" s="29"/>
      <c r="Q39" s="29"/>
      <c r="R39" s="28" t="str">
        <f>IF(A39="","",IF(COUNTIF($A$4:$A$103,A39)&lt;&gt;1,"割当ID重複",IF(OR(COUNTIF(TaskIDs,B39)&lt;&gt;1,COUNTIF(RoleIDs,C39)&lt;&gt;1,COUNTIF(SkillIDs,D39)&lt;&gt;1),"定義ID不正",IF(OR(NOT(ISNUMBER(E39)),IFERROR(MOD(E39,1)&lt;&gt;0,TRUE),IFERROR(E39&lt;0,TRUE),IFERROR(E39&gt;3,TRUE)),"必要Lv不正",IF(OR(OR(F39="",G39="",H39="",I39="",K39="",P39=""),NOT(ISNUMBER(J39))),"割当承認不足",IF(OR(AND(J39&lt;&gt;"",OR(NOT(ISNUMBER(J39)),IFERROR(J39&lt;1,TRUE),IFERROR(INT(J39)&gt;INT(AsOfDate),TRUE)))),"割当承認日不正",IF(OR(COUNTIF('28_スキル評価・育成'!$A$4:$A$203,G39)&lt;&gt;1,IF(COUNTIF('28_スキル評価・育成'!$A$4:$A$203,G39)&lt;&gt;1,"参照ID不正",IF(INDEX('28_スキル評価・育成'!$B$4:$B$203,MATCH(G39,'28_スキル評価・育成'!$A$4:$A$203,0))="","",INDEX('28_スキル評価・育成'!$B$4:$B$203,MATCH(G39,'28_スキル評価・育成'!$A$4:$A$203,0))))&lt;&gt;D39,IF(COUNTIF('28_スキル評価・育成'!$A$4:$A$203,G39)&lt;&gt;1,"参照ID不正",IF(INDEX('28_スキル評価・育成'!$Q$4:$Q$203,MATCH(G39,'28_スキル評価・育成'!$A$4:$A$203,0))="","",INDEX('28_スキル評価・育成'!$Q$4:$Q$203,MATCH(G39,'28_スキル評価・育成'!$A$4:$A$203,0))))&lt;&gt;F39),"能力証拠の対象不一致",IF(IF(COUNTIF('28_スキル評価・育成'!$A$4:$A$203,G39)&lt;&gt;1,"参照ID不正",IF(INDEX('28_スキル評価・育成'!$P$4:$P$203,MATCH(G39,'28_スキル評価・育成'!$A$4:$A$203,0))="","",INDEX('28_スキル評価・育成'!$P$4:$P$203,MATCH(G39,'28_スキル評価・育成'!$A$4:$A$203,0))))&lt;&gt;"第三者評価記録あり","能力の第三者確認不足",IF(AND(OR(P39="独立評価",P39="品質決裁"),OR(Q39="",Q39=F39)),"実装との独立性不足",IF(O39&gt;0,"能力不足・育成又は支援要","割当記録整合"))))))))))</f>
        <v/>
      </c>
    </row>
    <row r="40" spans="1:18" ht="64" customHeight="1" x14ac:dyDescent="0.2">
      <c r="A40" s="29"/>
      <c r="B40" s="29"/>
      <c r="C40" s="29"/>
      <c r="D40" s="29"/>
      <c r="E40" s="29"/>
      <c r="F40" s="29"/>
      <c r="G40" s="29"/>
      <c r="H40" s="29"/>
      <c r="I40" s="29"/>
      <c r="J40" s="32"/>
      <c r="K40" s="29"/>
      <c r="L40" s="28" t="str">
        <f>IF(A40="","",IF(COUNTIF('02_工程タスク'!$A$4:$A$135,B40)&lt;&gt;1,"参照ID不正",IF(INDEX('02_工程タスク'!$D$4:$D$135,MATCH(B40,'02_工程タスク'!$A$4:$A$135,0))="","",INDEX('02_工程タスク'!$D$4:$D$135,MATCH(B40,'02_工程タスク'!$A$4:$A$135,0)))))</f>
        <v/>
      </c>
      <c r="M40" s="28" t="str">
        <f>IF(A40="","",IF(COUNTIF('07_スキル辞書'!$A$4:$A$109,D40)&lt;&gt;1,"参照ID不正",IF(INDEX('07_スキル辞書'!$D$4:$D$109,MATCH(D40,'07_スキル辞書'!$A$4:$A$109,0))="","",INDEX('07_スキル辞書'!$D$4:$D$109,MATCH(D40,'07_スキル辞書'!$A$4:$A$109,0)))))</f>
        <v/>
      </c>
      <c r="N40" s="28" t="str">
        <f>IF(OR(A40="",G40=""),"",IF(COUNTIF('28_スキル評価・育成'!$A$4:$A$203,G40)&lt;&gt;1,"参照ID不正",IF(INDEX('28_スキル評価・育成'!$H$4:$H$203,MATCH(G40,'28_スキル評価・育成'!$A$4:$A$203,0))="","",INDEX('28_スキル評価・育成'!$H$4:$H$203,MATCH(G40,'28_スキル評価・育成'!$A$4:$A$203,0)))))</f>
        <v/>
      </c>
      <c r="O40" s="28" t="str">
        <f t="shared" si="1"/>
        <v/>
      </c>
      <c r="P40" s="29"/>
      <c r="Q40" s="29"/>
      <c r="R40" s="28" t="str">
        <f>IF(A40="","",IF(COUNTIF($A$4:$A$103,A40)&lt;&gt;1,"割当ID重複",IF(OR(COUNTIF(TaskIDs,B40)&lt;&gt;1,COUNTIF(RoleIDs,C40)&lt;&gt;1,COUNTIF(SkillIDs,D40)&lt;&gt;1),"定義ID不正",IF(OR(NOT(ISNUMBER(E40)),IFERROR(MOD(E40,1)&lt;&gt;0,TRUE),IFERROR(E40&lt;0,TRUE),IFERROR(E40&gt;3,TRUE)),"必要Lv不正",IF(OR(OR(F40="",G40="",H40="",I40="",K40="",P40=""),NOT(ISNUMBER(J40))),"割当承認不足",IF(OR(AND(J40&lt;&gt;"",OR(NOT(ISNUMBER(J40)),IFERROR(J40&lt;1,TRUE),IFERROR(INT(J40)&gt;INT(AsOfDate),TRUE)))),"割当承認日不正",IF(OR(COUNTIF('28_スキル評価・育成'!$A$4:$A$203,G40)&lt;&gt;1,IF(COUNTIF('28_スキル評価・育成'!$A$4:$A$203,G40)&lt;&gt;1,"参照ID不正",IF(INDEX('28_スキル評価・育成'!$B$4:$B$203,MATCH(G40,'28_スキル評価・育成'!$A$4:$A$203,0))="","",INDEX('28_スキル評価・育成'!$B$4:$B$203,MATCH(G40,'28_スキル評価・育成'!$A$4:$A$203,0))))&lt;&gt;D40,IF(COUNTIF('28_スキル評価・育成'!$A$4:$A$203,G40)&lt;&gt;1,"参照ID不正",IF(INDEX('28_スキル評価・育成'!$Q$4:$Q$203,MATCH(G40,'28_スキル評価・育成'!$A$4:$A$203,0))="","",INDEX('28_スキル評価・育成'!$Q$4:$Q$203,MATCH(G40,'28_スキル評価・育成'!$A$4:$A$203,0))))&lt;&gt;F40),"能力証拠の対象不一致",IF(IF(COUNTIF('28_スキル評価・育成'!$A$4:$A$203,G40)&lt;&gt;1,"参照ID不正",IF(INDEX('28_スキル評価・育成'!$P$4:$P$203,MATCH(G40,'28_スキル評価・育成'!$A$4:$A$203,0))="","",INDEX('28_スキル評価・育成'!$P$4:$P$203,MATCH(G40,'28_スキル評価・育成'!$A$4:$A$203,0))))&lt;&gt;"第三者評価記録あり","能力の第三者確認不足",IF(AND(OR(P40="独立評価",P40="品質決裁"),OR(Q40="",Q40=F40)),"実装との独立性不足",IF(O40&gt;0,"能力不足・育成又は支援要","割当記録整合"))))))))))</f>
        <v/>
      </c>
    </row>
    <row r="41" spans="1:18" ht="64" customHeight="1" x14ac:dyDescent="0.2">
      <c r="A41" s="29"/>
      <c r="B41" s="29"/>
      <c r="C41" s="29"/>
      <c r="D41" s="29"/>
      <c r="E41" s="29"/>
      <c r="F41" s="29"/>
      <c r="G41" s="29"/>
      <c r="H41" s="29"/>
      <c r="I41" s="29"/>
      <c r="J41" s="32"/>
      <c r="K41" s="29"/>
      <c r="L41" s="28" t="str">
        <f>IF(A41="","",IF(COUNTIF('02_工程タスク'!$A$4:$A$135,B41)&lt;&gt;1,"参照ID不正",IF(INDEX('02_工程タスク'!$D$4:$D$135,MATCH(B41,'02_工程タスク'!$A$4:$A$135,0))="","",INDEX('02_工程タスク'!$D$4:$D$135,MATCH(B41,'02_工程タスク'!$A$4:$A$135,0)))))</f>
        <v/>
      </c>
      <c r="M41" s="28" t="str">
        <f>IF(A41="","",IF(COUNTIF('07_スキル辞書'!$A$4:$A$109,D41)&lt;&gt;1,"参照ID不正",IF(INDEX('07_スキル辞書'!$D$4:$D$109,MATCH(D41,'07_スキル辞書'!$A$4:$A$109,0))="","",INDEX('07_スキル辞書'!$D$4:$D$109,MATCH(D41,'07_スキル辞書'!$A$4:$A$109,0)))))</f>
        <v/>
      </c>
      <c r="N41" s="28" t="str">
        <f>IF(OR(A41="",G41=""),"",IF(COUNTIF('28_スキル評価・育成'!$A$4:$A$203,G41)&lt;&gt;1,"参照ID不正",IF(INDEX('28_スキル評価・育成'!$H$4:$H$203,MATCH(G41,'28_スキル評価・育成'!$A$4:$A$203,0))="","",INDEX('28_スキル評価・育成'!$H$4:$H$203,MATCH(G41,'28_スキル評価・育成'!$A$4:$A$203,0)))))</f>
        <v/>
      </c>
      <c r="O41" s="28" t="str">
        <f t="shared" si="1"/>
        <v/>
      </c>
      <c r="P41" s="29"/>
      <c r="Q41" s="29"/>
      <c r="R41" s="28" t="str">
        <f>IF(A41="","",IF(COUNTIF($A$4:$A$103,A41)&lt;&gt;1,"割当ID重複",IF(OR(COUNTIF(TaskIDs,B41)&lt;&gt;1,COUNTIF(RoleIDs,C41)&lt;&gt;1,COUNTIF(SkillIDs,D41)&lt;&gt;1),"定義ID不正",IF(OR(NOT(ISNUMBER(E41)),IFERROR(MOD(E41,1)&lt;&gt;0,TRUE),IFERROR(E41&lt;0,TRUE),IFERROR(E41&gt;3,TRUE)),"必要Lv不正",IF(OR(OR(F41="",G41="",H41="",I41="",K41="",P41=""),NOT(ISNUMBER(J41))),"割当承認不足",IF(OR(AND(J41&lt;&gt;"",OR(NOT(ISNUMBER(J41)),IFERROR(J41&lt;1,TRUE),IFERROR(INT(J41)&gt;INT(AsOfDate),TRUE)))),"割当承認日不正",IF(OR(COUNTIF('28_スキル評価・育成'!$A$4:$A$203,G41)&lt;&gt;1,IF(COUNTIF('28_スキル評価・育成'!$A$4:$A$203,G41)&lt;&gt;1,"参照ID不正",IF(INDEX('28_スキル評価・育成'!$B$4:$B$203,MATCH(G41,'28_スキル評価・育成'!$A$4:$A$203,0))="","",INDEX('28_スキル評価・育成'!$B$4:$B$203,MATCH(G41,'28_スキル評価・育成'!$A$4:$A$203,0))))&lt;&gt;D41,IF(COUNTIF('28_スキル評価・育成'!$A$4:$A$203,G41)&lt;&gt;1,"参照ID不正",IF(INDEX('28_スキル評価・育成'!$Q$4:$Q$203,MATCH(G41,'28_スキル評価・育成'!$A$4:$A$203,0))="","",INDEX('28_スキル評価・育成'!$Q$4:$Q$203,MATCH(G41,'28_スキル評価・育成'!$A$4:$A$203,0))))&lt;&gt;F41),"能力証拠の対象不一致",IF(IF(COUNTIF('28_スキル評価・育成'!$A$4:$A$203,G41)&lt;&gt;1,"参照ID不正",IF(INDEX('28_スキル評価・育成'!$P$4:$P$203,MATCH(G41,'28_スキル評価・育成'!$A$4:$A$203,0))="","",INDEX('28_スキル評価・育成'!$P$4:$P$203,MATCH(G41,'28_スキル評価・育成'!$A$4:$A$203,0))))&lt;&gt;"第三者評価記録あり","能力の第三者確認不足",IF(AND(OR(P41="独立評価",P41="品質決裁"),OR(Q41="",Q41=F41)),"実装との独立性不足",IF(O41&gt;0,"能力不足・育成又は支援要","割当記録整合"))))))))))</f>
        <v/>
      </c>
    </row>
    <row r="42" spans="1:18" ht="64" customHeight="1" x14ac:dyDescent="0.2">
      <c r="A42" s="29"/>
      <c r="B42" s="29"/>
      <c r="C42" s="29"/>
      <c r="D42" s="29"/>
      <c r="E42" s="29"/>
      <c r="F42" s="29"/>
      <c r="G42" s="29"/>
      <c r="H42" s="29"/>
      <c r="I42" s="29"/>
      <c r="J42" s="32"/>
      <c r="K42" s="29"/>
      <c r="L42" s="28" t="str">
        <f>IF(A42="","",IF(COUNTIF('02_工程タスク'!$A$4:$A$135,B42)&lt;&gt;1,"参照ID不正",IF(INDEX('02_工程タスク'!$D$4:$D$135,MATCH(B42,'02_工程タスク'!$A$4:$A$135,0))="","",INDEX('02_工程タスク'!$D$4:$D$135,MATCH(B42,'02_工程タスク'!$A$4:$A$135,0)))))</f>
        <v/>
      </c>
      <c r="M42" s="28" t="str">
        <f>IF(A42="","",IF(COUNTIF('07_スキル辞書'!$A$4:$A$109,D42)&lt;&gt;1,"参照ID不正",IF(INDEX('07_スキル辞書'!$D$4:$D$109,MATCH(D42,'07_スキル辞書'!$A$4:$A$109,0))="","",INDEX('07_スキル辞書'!$D$4:$D$109,MATCH(D42,'07_スキル辞書'!$A$4:$A$109,0)))))</f>
        <v/>
      </c>
      <c r="N42" s="28" t="str">
        <f>IF(OR(A42="",G42=""),"",IF(COUNTIF('28_スキル評価・育成'!$A$4:$A$203,G42)&lt;&gt;1,"参照ID不正",IF(INDEX('28_スキル評価・育成'!$H$4:$H$203,MATCH(G42,'28_スキル評価・育成'!$A$4:$A$203,0))="","",INDEX('28_スキル評価・育成'!$H$4:$H$203,MATCH(G42,'28_スキル評価・育成'!$A$4:$A$203,0)))))</f>
        <v/>
      </c>
      <c r="O42" s="28" t="str">
        <f t="shared" si="1"/>
        <v/>
      </c>
      <c r="P42" s="29"/>
      <c r="Q42" s="29"/>
      <c r="R42" s="28" t="str">
        <f>IF(A42="","",IF(COUNTIF($A$4:$A$103,A42)&lt;&gt;1,"割当ID重複",IF(OR(COUNTIF(TaskIDs,B42)&lt;&gt;1,COUNTIF(RoleIDs,C42)&lt;&gt;1,COUNTIF(SkillIDs,D42)&lt;&gt;1),"定義ID不正",IF(OR(NOT(ISNUMBER(E42)),IFERROR(MOD(E42,1)&lt;&gt;0,TRUE),IFERROR(E42&lt;0,TRUE),IFERROR(E42&gt;3,TRUE)),"必要Lv不正",IF(OR(OR(F42="",G42="",H42="",I42="",K42="",P42=""),NOT(ISNUMBER(J42))),"割当承認不足",IF(OR(AND(J42&lt;&gt;"",OR(NOT(ISNUMBER(J42)),IFERROR(J42&lt;1,TRUE),IFERROR(INT(J42)&gt;INT(AsOfDate),TRUE)))),"割当承認日不正",IF(OR(COUNTIF('28_スキル評価・育成'!$A$4:$A$203,G42)&lt;&gt;1,IF(COUNTIF('28_スキル評価・育成'!$A$4:$A$203,G42)&lt;&gt;1,"参照ID不正",IF(INDEX('28_スキル評価・育成'!$B$4:$B$203,MATCH(G42,'28_スキル評価・育成'!$A$4:$A$203,0))="","",INDEX('28_スキル評価・育成'!$B$4:$B$203,MATCH(G42,'28_スキル評価・育成'!$A$4:$A$203,0))))&lt;&gt;D42,IF(COUNTIF('28_スキル評価・育成'!$A$4:$A$203,G42)&lt;&gt;1,"参照ID不正",IF(INDEX('28_スキル評価・育成'!$Q$4:$Q$203,MATCH(G42,'28_スキル評価・育成'!$A$4:$A$203,0))="","",INDEX('28_スキル評価・育成'!$Q$4:$Q$203,MATCH(G42,'28_スキル評価・育成'!$A$4:$A$203,0))))&lt;&gt;F42),"能力証拠の対象不一致",IF(IF(COUNTIF('28_スキル評価・育成'!$A$4:$A$203,G42)&lt;&gt;1,"参照ID不正",IF(INDEX('28_スキル評価・育成'!$P$4:$P$203,MATCH(G42,'28_スキル評価・育成'!$A$4:$A$203,0))="","",INDEX('28_スキル評価・育成'!$P$4:$P$203,MATCH(G42,'28_スキル評価・育成'!$A$4:$A$203,0))))&lt;&gt;"第三者評価記録あり","能力の第三者確認不足",IF(AND(OR(P42="独立評価",P42="品質決裁"),OR(Q42="",Q42=F42)),"実装との独立性不足",IF(O42&gt;0,"能力不足・育成又は支援要","割当記録整合"))))))))))</f>
        <v/>
      </c>
    </row>
    <row r="43" spans="1:18" ht="64" customHeight="1" x14ac:dyDescent="0.2">
      <c r="A43" s="29"/>
      <c r="B43" s="29"/>
      <c r="C43" s="29"/>
      <c r="D43" s="29"/>
      <c r="E43" s="29"/>
      <c r="F43" s="29"/>
      <c r="G43" s="29"/>
      <c r="H43" s="29"/>
      <c r="I43" s="29"/>
      <c r="J43" s="32"/>
      <c r="K43" s="29"/>
      <c r="L43" s="28" t="str">
        <f>IF(A43="","",IF(COUNTIF('02_工程タスク'!$A$4:$A$135,B43)&lt;&gt;1,"参照ID不正",IF(INDEX('02_工程タスク'!$D$4:$D$135,MATCH(B43,'02_工程タスク'!$A$4:$A$135,0))="","",INDEX('02_工程タスク'!$D$4:$D$135,MATCH(B43,'02_工程タスク'!$A$4:$A$135,0)))))</f>
        <v/>
      </c>
      <c r="M43" s="28" t="str">
        <f>IF(A43="","",IF(COUNTIF('07_スキル辞書'!$A$4:$A$109,D43)&lt;&gt;1,"参照ID不正",IF(INDEX('07_スキル辞書'!$D$4:$D$109,MATCH(D43,'07_スキル辞書'!$A$4:$A$109,0))="","",INDEX('07_スキル辞書'!$D$4:$D$109,MATCH(D43,'07_スキル辞書'!$A$4:$A$109,0)))))</f>
        <v/>
      </c>
      <c r="N43" s="28" t="str">
        <f>IF(OR(A43="",G43=""),"",IF(COUNTIF('28_スキル評価・育成'!$A$4:$A$203,G43)&lt;&gt;1,"参照ID不正",IF(INDEX('28_スキル評価・育成'!$H$4:$H$203,MATCH(G43,'28_スキル評価・育成'!$A$4:$A$203,0))="","",INDEX('28_スキル評価・育成'!$H$4:$H$203,MATCH(G43,'28_スキル評価・育成'!$A$4:$A$203,0)))))</f>
        <v/>
      </c>
      <c r="O43" s="28" t="str">
        <f t="shared" si="1"/>
        <v/>
      </c>
      <c r="P43" s="29"/>
      <c r="Q43" s="29"/>
      <c r="R43" s="28" t="str">
        <f>IF(A43="","",IF(COUNTIF($A$4:$A$103,A43)&lt;&gt;1,"割当ID重複",IF(OR(COUNTIF(TaskIDs,B43)&lt;&gt;1,COUNTIF(RoleIDs,C43)&lt;&gt;1,COUNTIF(SkillIDs,D43)&lt;&gt;1),"定義ID不正",IF(OR(NOT(ISNUMBER(E43)),IFERROR(MOD(E43,1)&lt;&gt;0,TRUE),IFERROR(E43&lt;0,TRUE),IFERROR(E43&gt;3,TRUE)),"必要Lv不正",IF(OR(OR(F43="",G43="",H43="",I43="",K43="",P43=""),NOT(ISNUMBER(J43))),"割当承認不足",IF(OR(AND(J43&lt;&gt;"",OR(NOT(ISNUMBER(J43)),IFERROR(J43&lt;1,TRUE),IFERROR(INT(J43)&gt;INT(AsOfDate),TRUE)))),"割当承認日不正",IF(OR(COUNTIF('28_スキル評価・育成'!$A$4:$A$203,G43)&lt;&gt;1,IF(COUNTIF('28_スキル評価・育成'!$A$4:$A$203,G43)&lt;&gt;1,"参照ID不正",IF(INDEX('28_スキル評価・育成'!$B$4:$B$203,MATCH(G43,'28_スキル評価・育成'!$A$4:$A$203,0))="","",INDEX('28_スキル評価・育成'!$B$4:$B$203,MATCH(G43,'28_スキル評価・育成'!$A$4:$A$203,0))))&lt;&gt;D43,IF(COUNTIF('28_スキル評価・育成'!$A$4:$A$203,G43)&lt;&gt;1,"参照ID不正",IF(INDEX('28_スキル評価・育成'!$Q$4:$Q$203,MATCH(G43,'28_スキル評価・育成'!$A$4:$A$203,0))="","",INDEX('28_スキル評価・育成'!$Q$4:$Q$203,MATCH(G43,'28_スキル評価・育成'!$A$4:$A$203,0))))&lt;&gt;F43),"能力証拠の対象不一致",IF(IF(COUNTIF('28_スキル評価・育成'!$A$4:$A$203,G43)&lt;&gt;1,"参照ID不正",IF(INDEX('28_スキル評価・育成'!$P$4:$P$203,MATCH(G43,'28_スキル評価・育成'!$A$4:$A$203,0))="","",INDEX('28_スキル評価・育成'!$P$4:$P$203,MATCH(G43,'28_スキル評価・育成'!$A$4:$A$203,0))))&lt;&gt;"第三者評価記録あり","能力の第三者確認不足",IF(AND(OR(P43="独立評価",P43="品質決裁"),OR(Q43="",Q43=F43)),"実装との独立性不足",IF(O43&gt;0,"能力不足・育成又は支援要","割当記録整合"))))))))))</f>
        <v/>
      </c>
    </row>
    <row r="44" spans="1:18" ht="64" customHeight="1" x14ac:dyDescent="0.2">
      <c r="A44" s="29"/>
      <c r="B44" s="29"/>
      <c r="C44" s="29"/>
      <c r="D44" s="29"/>
      <c r="E44" s="29"/>
      <c r="F44" s="29"/>
      <c r="G44" s="29"/>
      <c r="H44" s="29"/>
      <c r="I44" s="29"/>
      <c r="J44" s="32"/>
      <c r="K44" s="29"/>
      <c r="L44" s="28" t="str">
        <f>IF(A44="","",IF(COUNTIF('02_工程タスク'!$A$4:$A$135,B44)&lt;&gt;1,"参照ID不正",IF(INDEX('02_工程タスク'!$D$4:$D$135,MATCH(B44,'02_工程タスク'!$A$4:$A$135,0))="","",INDEX('02_工程タスク'!$D$4:$D$135,MATCH(B44,'02_工程タスク'!$A$4:$A$135,0)))))</f>
        <v/>
      </c>
      <c r="M44" s="28" t="str">
        <f>IF(A44="","",IF(COUNTIF('07_スキル辞書'!$A$4:$A$109,D44)&lt;&gt;1,"参照ID不正",IF(INDEX('07_スキル辞書'!$D$4:$D$109,MATCH(D44,'07_スキル辞書'!$A$4:$A$109,0))="","",INDEX('07_スキル辞書'!$D$4:$D$109,MATCH(D44,'07_スキル辞書'!$A$4:$A$109,0)))))</f>
        <v/>
      </c>
      <c r="N44" s="28" t="str">
        <f>IF(OR(A44="",G44=""),"",IF(COUNTIF('28_スキル評価・育成'!$A$4:$A$203,G44)&lt;&gt;1,"参照ID不正",IF(INDEX('28_スキル評価・育成'!$H$4:$H$203,MATCH(G44,'28_スキル評価・育成'!$A$4:$A$203,0))="","",INDEX('28_スキル評価・育成'!$H$4:$H$203,MATCH(G44,'28_スキル評価・育成'!$A$4:$A$203,0)))))</f>
        <v/>
      </c>
      <c r="O44" s="28" t="str">
        <f t="shared" si="1"/>
        <v/>
      </c>
      <c r="P44" s="29"/>
      <c r="Q44" s="29"/>
      <c r="R44" s="28" t="str">
        <f>IF(A44="","",IF(COUNTIF($A$4:$A$103,A44)&lt;&gt;1,"割当ID重複",IF(OR(COUNTIF(TaskIDs,B44)&lt;&gt;1,COUNTIF(RoleIDs,C44)&lt;&gt;1,COUNTIF(SkillIDs,D44)&lt;&gt;1),"定義ID不正",IF(OR(NOT(ISNUMBER(E44)),IFERROR(MOD(E44,1)&lt;&gt;0,TRUE),IFERROR(E44&lt;0,TRUE),IFERROR(E44&gt;3,TRUE)),"必要Lv不正",IF(OR(OR(F44="",G44="",H44="",I44="",K44="",P44=""),NOT(ISNUMBER(J44))),"割当承認不足",IF(OR(AND(J44&lt;&gt;"",OR(NOT(ISNUMBER(J44)),IFERROR(J44&lt;1,TRUE),IFERROR(INT(J44)&gt;INT(AsOfDate),TRUE)))),"割当承認日不正",IF(OR(COUNTIF('28_スキル評価・育成'!$A$4:$A$203,G44)&lt;&gt;1,IF(COUNTIF('28_スキル評価・育成'!$A$4:$A$203,G44)&lt;&gt;1,"参照ID不正",IF(INDEX('28_スキル評価・育成'!$B$4:$B$203,MATCH(G44,'28_スキル評価・育成'!$A$4:$A$203,0))="","",INDEX('28_スキル評価・育成'!$B$4:$B$203,MATCH(G44,'28_スキル評価・育成'!$A$4:$A$203,0))))&lt;&gt;D44,IF(COUNTIF('28_スキル評価・育成'!$A$4:$A$203,G44)&lt;&gt;1,"参照ID不正",IF(INDEX('28_スキル評価・育成'!$Q$4:$Q$203,MATCH(G44,'28_スキル評価・育成'!$A$4:$A$203,0))="","",INDEX('28_スキル評価・育成'!$Q$4:$Q$203,MATCH(G44,'28_スキル評価・育成'!$A$4:$A$203,0))))&lt;&gt;F44),"能力証拠の対象不一致",IF(IF(COUNTIF('28_スキル評価・育成'!$A$4:$A$203,G44)&lt;&gt;1,"参照ID不正",IF(INDEX('28_スキル評価・育成'!$P$4:$P$203,MATCH(G44,'28_スキル評価・育成'!$A$4:$A$203,0))="","",INDEX('28_スキル評価・育成'!$P$4:$P$203,MATCH(G44,'28_スキル評価・育成'!$A$4:$A$203,0))))&lt;&gt;"第三者評価記録あり","能力の第三者確認不足",IF(AND(OR(P44="独立評価",P44="品質決裁"),OR(Q44="",Q44=F44)),"実装との独立性不足",IF(O44&gt;0,"能力不足・育成又は支援要","割当記録整合"))))))))))</f>
        <v/>
      </c>
    </row>
    <row r="45" spans="1:18" ht="64" customHeight="1" x14ac:dyDescent="0.2">
      <c r="A45" s="29"/>
      <c r="B45" s="29"/>
      <c r="C45" s="29"/>
      <c r="D45" s="29"/>
      <c r="E45" s="29"/>
      <c r="F45" s="29"/>
      <c r="G45" s="29"/>
      <c r="H45" s="29"/>
      <c r="I45" s="29"/>
      <c r="J45" s="32"/>
      <c r="K45" s="29"/>
      <c r="L45" s="28" t="str">
        <f>IF(A45="","",IF(COUNTIF('02_工程タスク'!$A$4:$A$135,B45)&lt;&gt;1,"参照ID不正",IF(INDEX('02_工程タスク'!$D$4:$D$135,MATCH(B45,'02_工程タスク'!$A$4:$A$135,0))="","",INDEX('02_工程タスク'!$D$4:$D$135,MATCH(B45,'02_工程タスク'!$A$4:$A$135,0)))))</f>
        <v/>
      </c>
      <c r="M45" s="28" t="str">
        <f>IF(A45="","",IF(COUNTIF('07_スキル辞書'!$A$4:$A$109,D45)&lt;&gt;1,"参照ID不正",IF(INDEX('07_スキル辞書'!$D$4:$D$109,MATCH(D45,'07_スキル辞書'!$A$4:$A$109,0))="","",INDEX('07_スキル辞書'!$D$4:$D$109,MATCH(D45,'07_スキル辞書'!$A$4:$A$109,0)))))</f>
        <v/>
      </c>
      <c r="N45" s="28" t="str">
        <f>IF(OR(A45="",G45=""),"",IF(COUNTIF('28_スキル評価・育成'!$A$4:$A$203,G45)&lt;&gt;1,"参照ID不正",IF(INDEX('28_スキル評価・育成'!$H$4:$H$203,MATCH(G45,'28_スキル評価・育成'!$A$4:$A$203,0))="","",INDEX('28_スキル評価・育成'!$H$4:$H$203,MATCH(G45,'28_スキル評価・育成'!$A$4:$A$203,0)))))</f>
        <v/>
      </c>
      <c r="O45" s="28" t="str">
        <f t="shared" si="1"/>
        <v/>
      </c>
      <c r="P45" s="29"/>
      <c r="Q45" s="29"/>
      <c r="R45" s="28" t="str">
        <f>IF(A45="","",IF(COUNTIF($A$4:$A$103,A45)&lt;&gt;1,"割当ID重複",IF(OR(COUNTIF(TaskIDs,B45)&lt;&gt;1,COUNTIF(RoleIDs,C45)&lt;&gt;1,COUNTIF(SkillIDs,D45)&lt;&gt;1),"定義ID不正",IF(OR(NOT(ISNUMBER(E45)),IFERROR(MOD(E45,1)&lt;&gt;0,TRUE),IFERROR(E45&lt;0,TRUE),IFERROR(E45&gt;3,TRUE)),"必要Lv不正",IF(OR(OR(F45="",G45="",H45="",I45="",K45="",P45=""),NOT(ISNUMBER(J45))),"割当承認不足",IF(OR(AND(J45&lt;&gt;"",OR(NOT(ISNUMBER(J45)),IFERROR(J45&lt;1,TRUE),IFERROR(INT(J45)&gt;INT(AsOfDate),TRUE)))),"割当承認日不正",IF(OR(COUNTIF('28_スキル評価・育成'!$A$4:$A$203,G45)&lt;&gt;1,IF(COUNTIF('28_スキル評価・育成'!$A$4:$A$203,G45)&lt;&gt;1,"参照ID不正",IF(INDEX('28_スキル評価・育成'!$B$4:$B$203,MATCH(G45,'28_スキル評価・育成'!$A$4:$A$203,0))="","",INDEX('28_スキル評価・育成'!$B$4:$B$203,MATCH(G45,'28_スキル評価・育成'!$A$4:$A$203,0))))&lt;&gt;D45,IF(COUNTIF('28_スキル評価・育成'!$A$4:$A$203,G45)&lt;&gt;1,"参照ID不正",IF(INDEX('28_スキル評価・育成'!$Q$4:$Q$203,MATCH(G45,'28_スキル評価・育成'!$A$4:$A$203,0))="","",INDEX('28_スキル評価・育成'!$Q$4:$Q$203,MATCH(G45,'28_スキル評価・育成'!$A$4:$A$203,0))))&lt;&gt;F45),"能力証拠の対象不一致",IF(IF(COUNTIF('28_スキル評価・育成'!$A$4:$A$203,G45)&lt;&gt;1,"参照ID不正",IF(INDEX('28_スキル評価・育成'!$P$4:$P$203,MATCH(G45,'28_スキル評価・育成'!$A$4:$A$203,0))="","",INDEX('28_スキル評価・育成'!$P$4:$P$203,MATCH(G45,'28_スキル評価・育成'!$A$4:$A$203,0))))&lt;&gt;"第三者評価記録あり","能力の第三者確認不足",IF(AND(OR(P45="独立評価",P45="品質決裁"),OR(Q45="",Q45=F45)),"実装との独立性不足",IF(O45&gt;0,"能力不足・育成又は支援要","割当記録整合"))))))))))</f>
        <v/>
      </c>
    </row>
    <row r="46" spans="1:18" ht="64" customHeight="1" x14ac:dyDescent="0.2">
      <c r="A46" s="29"/>
      <c r="B46" s="29"/>
      <c r="C46" s="29"/>
      <c r="D46" s="29"/>
      <c r="E46" s="29"/>
      <c r="F46" s="29"/>
      <c r="G46" s="29"/>
      <c r="H46" s="29"/>
      <c r="I46" s="29"/>
      <c r="J46" s="32"/>
      <c r="K46" s="29"/>
      <c r="L46" s="28" t="str">
        <f>IF(A46="","",IF(COUNTIF('02_工程タスク'!$A$4:$A$135,B46)&lt;&gt;1,"参照ID不正",IF(INDEX('02_工程タスク'!$D$4:$D$135,MATCH(B46,'02_工程タスク'!$A$4:$A$135,0))="","",INDEX('02_工程タスク'!$D$4:$D$135,MATCH(B46,'02_工程タスク'!$A$4:$A$135,0)))))</f>
        <v/>
      </c>
      <c r="M46" s="28" t="str">
        <f>IF(A46="","",IF(COUNTIF('07_スキル辞書'!$A$4:$A$109,D46)&lt;&gt;1,"参照ID不正",IF(INDEX('07_スキル辞書'!$D$4:$D$109,MATCH(D46,'07_スキル辞書'!$A$4:$A$109,0))="","",INDEX('07_スキル辞書'!$D$4:$D$109,MATCH(D46,'07_スキル辞書'!$A$4:$A$109,0)))))</f>
        <v/>
      </c>
      <c r="N46" s="28" t="str">
        <f>IF(OR(A46="",G46=""),"",IF(COUNTIF('28_スキル評価・育成'!$A$4:$A$203,G46)&lt;&gt;1,"参照ID不正",IF(INDEX('28_スキル評価・育成'!$H$4:$H$203,MATCH(G46,'28_スキル評価・育成'!$A$4:$A$203,0))="","",INDEX('28_スキル評価・育成'!$H$4:$H$203,MATCH(G46,'28_スキル評価・育成'!$A$4:$A$203,0)))))</f>
        <v/>
      </c>
      <c r="O46" s="28" t="str">
        <f t="shared" si="1"/>
        <v/>
      </c>
      <c r="P46" s="29"/>
      <c r="Q46" s="29"/>
      <c r="R46" s="28" t="str">
        <f>IF(A46="","",IF(COUNTIF($A$4:$A$103,A46)&lt;&gt;1,"割当ID重複",IF(OR(COUNTIF(TaskIDs,B46)&lt;&gt;1,COUNTIF(RoleIDs,C46)&lt;&gt;1,COUNTIF(SkillIDs,D46)&lt;&gt;1),"定義ID不正",IF(OR(NOT(ISNUMBER(E46)),IFERROR(MOD(E46,1)&lt;&gt;0,TRUE),IFERROR(E46&lt;0,TRUE),IFERROR(E46&gt;3,TRUE)),"必要Lv不正",IF(OR(OR(F46="",G46="",H46="",I46="",K46="",P46=""),NOT(ISNUMBER(J46))),"割当承認不足",IF(OR(AND(J46&lt;&gt;"",OR(NOT(ISNUMBER(J46)),IFERROR(J46&lt;1,TRUE),IFERROR(INT(J46)&gt;INT(AsOfDate),TRUE)))),"割当承認日不正",IF(OR(COUNTIF('28_スキル評価・育成'!$A$4:$A$203,G46)&lt;&gt;1,IF(COUNTIF('28_スキル評価・育成'!$A$4:$A$203,G46)&lt;&gt;1,"参照ID不正",IF(INDEX('28_スキル評価・育成'!$B$4:$B$203,MATCH(G46,'28_スキル評価・育成'!$A$4:$A$203,0))="","",INDEX('28_スキル評価・育成'!$B$4:$B$203,MATCH(G46,'28_スキル評価・育成'!$A$4:$A$203,0))))&lt;&gt;D46,IF(COUNTIF('28_スキル評価・育成'!$A$4:$A$203,G46)&lt;&gt;1,"参照ID不正",IF(INDEX('28_スキル評価・育成'!$Q$4:$Q$203,MATCH(G46,'28_スキル評価・育成'!$A$4:$A$203,0))="","",INDEX('28_スキル評価・育成'!$Q$4:$Q$203,MATCH(G46,'28_スキル評価・育成'!$A$4:$A$203,0))))&lt;&gt;F46),"能力証拠の対象不一致",IF(IF(COUNTIF('28_スキル評価・育成'!$A$4:$A$203,G46)&lt;&gt;1,"参照ID不正",IF(INDEX('28_スキル評価・育成'!$P$4:$P$203,MATCH(G46,'28_スキル評価・育成'!$A$4:$A$203,0))="","",INDEX('28_スキル評価・育成'!$P$4:$P$203,MATCH(G46,'28_スキル評価・育成'!$A$4:$A$203,0))))&lt;&gt;"第三者評価記録あり","能力の第三者確認不足",IF(AND(OR(P46="独立評価",P46="品質決裁"),OR(Q46="",Q46=F46)),"実装との独立性不足",IF(O46&gt;0,"能力不足・育成又は支援要","割当記録整合"))))))))))</f>
        <v/>
      </c>
    </row>
    <row r="47" spans="1:18" ht="64" customHeight="1" x14ac:dyDescent="0.2">
      <c r="A47" s="29"/>
      <c r="B47" s="29"/>
      <c r="C47" s="29"/>
      <c r="D47" s="29"/>
      <c r="E47" s="29"/>
      <c r="F47" s="29"/>
      <c r="G47" s="29"/>
      <c r="H47" s="29"/>
      <c r="I47" s="29"/>
      <c r="J47" s="32"/>
      <c r="K47" s="29"/>
      <c r="L47" s="28" t="str">
        <f>IF(A47="","",IF(COUNTIF('02_工程タスク'!$A$4:$A$135,B47)&lt;&gt;1,"参照ID不正",IF(INDEX('02_工程タスク'!$D$4:$D$135,MATCH(B47,'02_工程タスク'!$A$4:$A$135,0))="","",INDEX('02_工程タスク'!$D$4:$D$135,MATCH(B47,'02_工程タスク'!$A$4:$A$135,0)))))</f>
        <v/>
      </c>
      <c r="M47" s="28" t="str">
        <f>IF(A47="","",IF(COUNTIF('07_スキル辞書'!$A$4:$A$109,D47)&lt;&gt;1,"参照ID不正",IF(INDEX('07_スキル辞書'!$D$4:$D$109,MATCH(D47,'07_スキル辞書'!$A$4:$A$109,0))="","",INDEX('07_スキル辞書'!$D$4:$D$109,MATCH(D47,'07_スキル辞書'!$A$4:$A$109,0)))))</f>
        <v/>
      </c>
      <c r="N47" s="28" t="str">
        <f>IF(OR(A47="",G47=""),"",IF(COUNTIF('28_スキル評価・育成'!$A$4:$A$203,G47)&lt;&gt;1,"参照ID不正",IF(INDEX('28_スキル評価・育成'!$H$4:$H$203,MATCH(G47,'28_スキル評価・育成'!$A$4:$A$203,0))="","",INDEX('28_スキル評価・育成'!$H$4:$H$203,MATCH(G47,'28_スキル評価・育成'!$A$4:$A$203,0)))))</f>
        <v/>
      </c>
      <c r="O47" s="28" t="str">
        <f t="shared" si="1"/>
        <v/>
      </c>
      <c r="P47" s="29"/>
      <c r="Q47" s="29"/>
      <c r="R47" s="28" t="str">
        <f>IF(A47="","",IF(COUNTIF($A$4:$A$103,A47)&lt;&gt;1,"割当ID重複",IF(OR(COUNTIF(TaskIDs,B47)&lt;&gt;1,COUNTIF(RoleIDs,C47)&lt;&gt;1,COUNTIF(SkillIDs,D47)&lt;&gt;1),"定義ID不正",IF(OR(NOT(ISNUMBER(E47)),IFERROR(MOD(E47,1)&lt;&gt;0,TRUE),IFERROR(E47&lt;0,TRUE),IFERROR(E47&gt;3,TRUE)),"必要Lv不正",IF(OR(OR(F47="",G47="",H47="",I47="",K47="",P47=""),NOT(ISNUMBER(J47))),"割当承認不足",IF(OR(AND(J47&lt;&gt;"",OR(NOT(ISNUMBER(J47)),IFERROR(J47&lt;1,TRUE),IFERROR(INT(J47)&gt;INT(AsOfDate),TRUE)))),"割当承認日不正",IF(OR(COUNTIF('28_スキル評価・育成'!$A$4:$A$203,G47)&lt;&gt;1,IF(COUNTIF('28_スキル評価・育成'!$A$4:$A$203,G47)&lt;&gt;1,"参照ID不正",IF(INDEX('28_スキル評価・育成'!$B$4:$B$203,MATCH(G47,'28_スキル評価・育成'!$A$4:$A$203,0))="","",INDEX('28_スキル評価・育成'!$B$4:$B$203,MATCH(G47,'28_スキル評価・育成'!$A$4:$A$203,0))))&lt;&gt;D47,IF(COUNTIF('28_スキル評価・育成'!$A$4:$A$203,G47)&lt;&gt;1,"参照ID不正",IF(INDEX('28_スキル評価・育成'!$Q$4:$Q$203,MATCH(G47,'28_スキル評価・育成'!$A$4:$A$203,0))="","",INDEX('28_スキル評価・育成'!$Q$4:$Q$203,MATCH(G47,'28_スキル評価・育成'!$A$4:$A$203,0))))&lt;&gt;F47),"能力証拠の対象不一致",IF(IF(COUNTIF('28_スキル評価・育成'!$A$4:$A$203,G47)&lt;&gt;1,"参照ID不正",IF(INDEX('28_スキル評価・育成'!$P$4:$P$203,MATCH(G47,'28_スキル評価・育成'!$A$4:$A$203,0))="","",INDEX('28_スキル評価・育成'!$P$4:$P$203,MATCH(G47,'28_スキル評価・育成'!$A$4:$A$203,0))))&lt;&gt;"第三者評価記録あり","能力の第三者確認不足",IF(AND(OR(P47="独立評価",P47="品質決裁"),OR(Q47="",Q47=F47)),"実装との独立性不足",IF(O47&gt;0,"能力不足・育成又は支援要","割当記録整合"))))))))))</f>
        <v/>
      </c>
    </row>
    <row r="48" spans="1:18" ht="64" customHeight="1" x14ac:dyDescent="0.2">
      <c r="A48" s="29"/>
      <c r="B48" s="29"/>
      <c r="C48" s="29"/>
      <c r="D48" s="29"/>
      <c r="E48" s="29"/>
      <c r="F48" s="29"/>
      <c r="G48" s="29"/>
      <c r="H48" s="29"/>
      <c r="I48" s="29"/>
      <c r="J48" s="32"/>
      <c r="K48" s="29"/>
      <c r="L48" s="28" t="str">
        <f>IF(A48="","",IF(COUNTIF('02_工程タスク'!$A$4:$A$135,B48)&lt;&gt;1,"参照ID不正",IF(INDEX('02_工程タスク'!$D$4:$D$135,MATCH(B48,'02_工程タスク'!$A$4:$A$135,0))="","",INDEX('02_工程タスク'!$D$4:$D$135,MATCH(B48,'02_工程タスク'!$A$4:$A$135,0)))))</f>
        <v/>
      </c>
      <c r="M48" s="28" t="str">
        <f>IF(A48="","",IF(COUNTIF('07_スキル辞書'!$A$4:$A$109,D48)&lt;&gt;1,"参照ID不正",IF(INDEX('07_スキル辞書'!$D$4:$D$109,MATCH(D48,'07_スキル辞書'!$A$4:$A$109,0))="","",INDEX('07_スキル辞書'!$D$4:$D$109,MATCH(D48,'07_スキル辞書'!$A$4:$A$109,0)))))</f>
        <v/>
      </c>
      <c r="N48" s="28" t="str">
        <f>IF(OR(A48="",G48=""),"",IF(COUNTIF('28_スキル評価・育成'!$A$4:$A$203,G48)&lt;&gt;1,"参照ID不正",IF(INDEX('28_スキル評価・育成'!$H$4:$H$203,MATCH(G48,'28_スキル評価・育成'!$A$4:$A$203,0))="","",INDEX('28_スキル評価・育成'!$H$4:$H$203,MATCH(G48,'28_スキル評価・育成'!$A$4:$A$203,0)))))</f>
        <v/>
      </c>
      <c r="O48" s="28" t="str">
        <f t="shared" si="1"/>
        <v/>
      </c>
      <c r="P48" s="29"/>
      <c r="Q48" s="29"/>
      <c r="R48" s="28" t="str">
        <f>IF(A48="","",IF(COUNTIF($A$4:$A$103,A48)&lt;&gt;1,"割当ID重複",IF(OR(COUNTIF(TaskIDs,B48)&lt;&gt;1,COUNTIF(RoleIDs,C48)&lt;&gt;1,COUNTIF(SkillIDs,D48)&lt;&gt;1),"定義ID不正",IF(OR(NOT(ISNUMBER(E48)),IFERROR(MOD(E48,1)&lt;&gt;0,TRUE),IFERROR(E48&lt;0,TRUE),IFERROR(E48&gt;3,TRUE)),"必要Lv不正",IF(OR(OR(F48="",G48="",H48="",I48="",K48="",P48=""),NOT(ISNUMBER(J48))),"割当承認不足",IF(OR(AND(J48&lt;&gt;"",OR(NOT(ISNUMBER(J48)),IFERROR(J48&lt;1,TRUE),IFERROR(INT(J48)&gt;INT(AsOfDate),TRUE)))),"割当承認日不正",IF(OR(COUNTIF('28_スキル評価・育成'!$A$4:$A$203,G48)&lt;&gt;1,IF(COUNTIF('28_スキル評価・育成'!$A$4:$A$203,G48)&lt;&gt;1,"参照ID不正",IF(INDEX('28_スキル評価・育成'!$B$4:$B$203,MATCH(G48,'28_スキル評価・育成'!$A$4:$A$203,0))="","",INDEX('28_スキル評価・育成'!$B$4:$B$203,MATCH(G48,'28_スキル評価・育成'!$A$4:$A$203,0))))&lt;&gt;D48,IF(COUNTIF('28_スキル評価・育成'!$A$4:$A$203,G48)&lt;&gt;1,"参照ID不正",IF(INDEX('28_スキル評価・育成'!$Q$4:$Q$203,MATCH(G48,'28_スキル評価・育成'!$A$4:$A$203,0))="","",INDEX('28_スキル評価・育成'!$Q$4:$Q$203,MATCH(G48,'28_スキル評価・育成'!$A$4:$A$203,0))))&lt;&gt;F48),"能力証拠の対象不一致",IF(IF(COUNTIF('28_スキル評価・育成'!$A$4:$A$203,G48)&lt;&gt;1,"参照ID不正",IF(INDEX('28_スキル評価・育成'!$P$4:$P$203,MATCH(G48,'28_スキル評価・育成'!$A$4:$A$203,0))="","",INDEX('28_スキル評価・育成'!$P$4:$P$203,MATCH(G48,'28_スキル評価・育成'!$A$4:$A$203,0))))&lt;&gt;"第三者評価記録あり","能力の第三者確認不足",IF(AND(OR(P48="独立評価",P48="品質決裁"),OR(Q48="",Q48=F48)),"実装との独立性不足",IF(O48&gt;0,"能力不足・育成又は支援要","割当記録整合"))))))))))</f>
        <v/>
      </c>
    </row>
    <row r="49" spans="1:18" ht="64" customHeight="1" x14ac:dyDescent="0.2">
      <c r="A49" s="29"/>
      <c r="B49" s="29"/>
      <c r="C49" s="29"/>
      <c r="D49" s="29"/>
      <c r="E49" s="29"/>
      <c r="F49" s="29"/>
      <c r="G49" s="29"/>
      <c r="H49" s="29"/>
      <c r="I49" s="29"/>
      <c r="J49" s="32"/>
      <c r="K49" s="29"/>
      <c r="L49" s="28" t="str">
        <f>IF(A49="","",IF(COUNTIF('02_工程タスク'!$A$4:$A$135,B49)&lt;&gt;1,"参照ID不正",IF(INDEX('02_工程タスク'!$D$4:$D$135,MATCH(B49,'02_工程タスク'!$A$4:$A$135,0))="","",INDEX('02_工程タスク'!$D$4:$D$135,MATCH(B49,'02_工程タスク'!$A$4:$A$135,0)))))</f>
        <v/>
      </c>
      <c r="M49" s="28" t="str">
        <f>IF(A49="","",IF(COUNTIF('07_スキル辞書'!$A$4:$A$109,D49)&lt;&gt;1,"参照ID不正",IF(INDEX('07_スキル辞書'!$D$4:$D$109,MATCH(D49,'07_スキル辞書'!$A$4:$A$109,0))="","",INDEX('07_スキル辞書'!$D$4:$D$109,MATCH(D49,'07_スキル辞書'!$A$4:$A$109,0)))))</f>
        <v/>
      </c>
      <c r="N49" s="28" t="str">
        <f>IF(OR(A49="",G49=""),"",IF(COUNTIF('28_スキル評価・育成'!$A$4:$A$203,G49)&lt;&gt;1,"参照ID不正",IF(INDEX('28_スキル評価・育成'!$H$4:$H$203,MATCH(G49,'28_スキル評価・育成'!$A$4:$A$203,0))="","",INDEX('28_スキル評価・育成'!$H$4:$H$203,MATCH(G49,'28_スキル評価・育成'!$A$4:$A$203,0)))))</f>
        <v/>
      </c>
      <c r="O49" s="28" t="str">
        <f t="shared" si="1"/>
        <v/>
      </c>
      <c r="P49" s="29"/>
      <c r="Q49" s="29"/>
      <c r="R49" s="28" t="str">
        <f>IF(A49="","",IF(COUNTIF($A$4:$A$103,A49)&lt;&gt;1,"割当ID重複",IF(OR(COUNTIF(TaskIDs,B49)&lt;&gt;1,COUNTIF(RoleIDs,C49)&lt;&gt;1,COUNTIF(SkillIDs,D49)&lt;&gt;1),"定義ID不正",IF(OR(NOT(ISNUMBER(E49)),IFERROR(MOD(E49,1)&lt;&gt;0,TRUE),IFERROR(E49&lt;0,TRUE),IFERROR(E49&gt;3,TRUE)),"必要Lv不正",IF(OR(OR(F49="",G49="",H49="",I49="",K49="",P49=""),NOT(ISNUMBER(J49))),"割当承認不足",IF(OR(AND(J49&lt;&gt;"",OR(NOT(ISNUMBER(J49)),IFERROR(J49&lt;1,TRUE),IFERROR(INT(J49)&gt;INT(AsOfDate),TRUE)))),"割当承認日不正",IF(OR(COUNTIF('28_スキル評価・育成'!$A$4:$A$203,G49)&lt;&gt;1,IF(COUNTIF('28_スキル評価・育成'!$A$4:$A$203,G49)&lt;&gt;1,"参照ID不正",IF(INDEX('28_スキル評価・育成'!$B$4:$B$203,MATCH(G49,'28_スキル評価・育成'!$A$4:$A$203,0))="","",INDEX('28_スキル評価・育成'!$B$4:$B$203,MATCH(G49,'28_スキル評価・育成'!$A$4:$A$203,0))))&lt;&gt;D49,IF(COUNTIF('28_スキル評価・育成'!$A$4:$A$203,G49)&lt;&gt;1,"参照ID不正",IF(INDEX('28_スキル評価・育成'!$Q$4:$Q$203,MATCH(G49,'28_スキル評価・育成'!$A$4:$A$203,0))="","",INDEX('28_スキル評価・育成'!$Q$4:$Q$203,MATCH(G49,'28_スキル評価・育成'!$A$4:$A$203,0))))&lt;&gt;F49),"能力証拠の対象不一致",IF(IF(COUNTIF('28_スキル評価・育成'!$A$4:$A$203,G49)&lt;&gt;1,"参照ID不正",IF(INDEX('28_スキル評価・育成'!$P$4:$P$203,MATCH(G49,'28_スキル評価・育成'!$A$4:$A$203,0))="","",INDEX('28_スキル評価・育成'!$P$4:$P$203,MATCH(G49,'28_スキル評価・育成'!$A$4:$A$203,0))))&lt;&gt;"第三者評価記録あり","能力の第三者確認不足",IF(AND(OR(P49="独立評価",P49="品質決裁"),OR(Q49="",Q49=F49)),"実装との独立性不足",IF(O49&gt;0,"能力不足・育成又は支援要","割当記録整合"))))))))))</f>
        <v/>
      </c>
    </row>
    <row r="50" spans="1:18" ht="64" customHeight="1" x14ac:dyDescent="0.2">
      <c r="A50" s="29"/>
      <c r="B50" s="29"/>
      <c r="C50" s="29"/>
      <c r="D50" s="29"/>
      <c r="E50" s="29"/>
      <c r="F50" s="29"/>
      <c r="G50" s="29"/>
      <c r="H50" s="29"/>
      <c r="I50" s="29"/>
      <c r="J50" s="32"/>
      <c r="K50" s="29"/>
      <c r="L50" s="28" t="str">
        <f>IF(A50="","",IF(COUNTIF('02_工程タスク'!$A$4:$A$135,B50)&lt;&gt;1,"参照ID不正",IF(INDEX('02_工程タスク'!$D$4:$D$135,MATCH(B50,'02_工程タスク'!$A$4:$A$135,0))="","",INDEX('02_工程タスク'!$D$4:$D$135,MATCH(B50,'02_工程タスク'!$A$4:$A$135,0)))))</f>
        <v/>
      </c>
      <c r="M50" s="28" t="str">
        <f>IF(A50="","",IF(COUNTIF('07_スキル辞書'!$A$4:$A$109,D50)&lt;&gt;1,"参照ID不正",IF(INDEX('07_スキル辞書'!$D$4:$D$109,MATCH(D50,'07_スキル辞書'!$A$4:$A$109,0))="","",INDEX('07_スキル辞書'!$D$4:$D$109,MATCH(D50,'07_スキル辞書'!$A$4:$A$109,0)))))</f>
        <v/>
      </c>
      <c r="N50" s="28" t="str">
        <f>IF(OR(A50="",G50=""),"",IF(COUNTIF('28_スキル評価・育成'!$A$4:$A$203,G50)&lt;&gt;1,"参照ID不正",IF(INDEX('28_スキル評価・育成'!$H$4:$H$203,MATCH(G50,'28_スキル評価・育成'!$A$4:$A$203,0))="","",INDEX('28_スキル評価・育成'!$H$4:$H$203,MATCH(G50,'28_スキル評価・育成'!$A$4:$A$203,0)))))</f>
        <v/>
      </c>
      <c r="O50" s="28" t="str">
        <f t="shared" si="1"/>
        <v/>
      </c>
      <c r="P50" s="29"/>
      <c r="Q50" s="29"/>
      <c r="R50" s="28" t="str">
        <f>IF(A50="","",IF(COUNTIF($A$4:$A$103,A50)&lt;&gt;1,"割当ID重複",IF(OR(COUNTIF(TaskIDs,B50)&lt;&gt;1,COUNTIF(RoleIDs,C50)&lt;&gt;1,COUNTIF(SkillIDs,D50)&lt;&gt;1),"定義ID不正",IF(OR(NOT(ISNUMBER(E50)),IFERROR(MOD(E50,1)&lt;&gt;0,TRUE),IFERROR(E50&lt;0,TRUE),IFERROR(E50&gt;3,TRUE)),"必要Lv不正",IF(OR(OR(F50="",G50="",H50="",I50="",K50="",P50=""),NOT(ISNUMBER(J50))),"割当承認不足",IF(OR(AND(J50&lt;&gt;"",OR(NOT(ISNUMBER(J50)),IFERROR(J50&lt;1,TRUE),IFERROR(INT(J50)&gt;INT(AsOfDate),TRUE)))),"割当承認日不正",IF(OR(COUNTIF('28_スキル評価・育成'!$A$4:$A$203,G50)&lt;&gt;1,IF(COUNTIF('28_スキル評価・育成'!$A$4:$A$203,G50)&lt;&gt;1,"参照ID不正",IF(INDEX('28_スキル評価・育成'!$B$4:$B$203,MATCH(G50,'28_スキル評価・育成'!$A$4:$A$203,0))="","",INDEX('28_スキル評価・育成'!$B$4:$B$203,MATCH(G50,'28_スキル評価・育成'!$A$4:$A$203,0))))&lt;&gt;D50,IF(COUNTIF('28_スキル評価・育成'!$A$4:$A$203,G50)&lt;&gt;1,"参照ID不正",IF(INDEX('28_スキル評価・育成'!$Q$4:$Q$203,MATCH(G50,'28_スキル評価・育成'!$A$4:$A$203,0))="","",INDEX('28_スキル評価・育成'!$Q$4:$Q$203,MATCH(G50,'28_スキル評価・育成'!$A$4:$A$203,0))))&lt;&gt;F50),"能力証拠の対象不一致",IF(IF(COUNTIF('28_スキル評価・育成'!$A$4:$A$203,G50)&lt;&gt;1,"参照ID不正",IF(INDEX('28_スキル評価・育成'!$P$4:$P$203,MATCH(G50,'28_スキル評価・育成'!$A$4:$A$203,0))="","",INDEX('28_スキル評価・育成'!$P$4:$P$203,MATCH(G50,'28_スキル評価・育成'!$A$4:$A$203,0))))&lt;&gt;"第三者評価記録あり","能力の第三者確認不足",IF(AND(OR(P50="独立評価",P50="品質決裁"),OR(Q50="",Q50=F50)),"実装との独立性不足",IF(O50&gt;0,"能力不足・育成又は支援要","割当記録整合"))))))))))</f>
        <v/>
      </c>
    </row>
    <row r="51" spans="1:18" ht="64" customHeight="1" x14ac:dyDescent="0.2">
      <c r="A51" s="29"/>
      <c r="B51" s="29"/>
      <c r="C51" s="29"/>
      <c r="D51" s="29"/>
      <c r="E51" s="29"/>
      <c r="F51" s="29"/>
      <c r="G51" s="29"/>
      <c r="H51" s="29"/>
      <c r="I51" s="29"/>
      <c r="J51" s="32"/>
      <c r="K51" s="29"/>
      <c r="L51" s="28" t="str">
        <f>IF(A51="","",IF(COUNTIF('02_工程タスク'!$A$4:$A$135,B51)&lt;&gt;1,"参照ID不正",IF(INDEX('02_工程タスク'!$D$4:$D$135,MATCH(B51,'02_工程タスク'!$A$4:$A$135,0))="","",INDEX('02_工程タスク'!$D$4:$D$135,MATCH(B51,'02_工程タスク'!$A$4:$A$135,0)))))</f>
        <v/>
      </c>
      <c r="M51" s="28" t="str">
        <f>IF(A51="","",IF(COUNTIF('07_スキル辞書'!$A$4:$A$109,D51)&lt;&gt;1,"参照ID不正",IF(INDEX('07_スキル辞書'!$D$4:$D$109,MATCH(D51,'07_スキル辞書'!$A$4:$A$109,0))="","",INDEX('07_スキル辞書'!$D$4:$D$109,MATCH(D51,'07_スキル辞書'!$A$4:$A$109,0)))))</f>
        <v/>
      </c>
      <c r="N51" s="28" t="str">
        <f>IF(OR(A51="",G51=""),"",IF(COUNTIF('28_スキル評価・育成'!$A$4:$A$203,G51)&lt;&gt;1,"参照ID不正",IF(INDEX('28_スキル評価・育成'!$H$4:$H$203,MATCH(G51,'28_スキル評価・育成'!$A$4:$A$203,0))="","",INDEX('28_スキル評価・育成'!$H$4:$H$203,MATCH(G51,'28_スキル評価・育成'!$A$4:$A$203,0)))))</f>
        <v/>
      </c>
      <c r="O51" s="28" t="str">
        <f t="shared" si="1"/>
        <v/>
      </c>
      <c r="P51" s="29"/>
      <c r="Q51" s="29"/>
      <c r="R51" s="28" t="str">
        <f>IF(A51="","",IF(COUNTIF($A$4:$A$103,A51)&lt;&gt;1,"割当ID重複",IF(OR(COUNTIF(TaskIDs,B51)&lt;&gt;1,COUNTIF(RoleIDs,C51)&lt;&gt;1,COUNTIF(SkillIDs,D51)&lt;&gt;1),"定義ID不正",IF(OR(NOT(ISNUMBER(E51)),IFERROR(MOD(E51,1)&lt;&gt;0,TRUE),IFERROR(E51&lt;0,TRUE),IFERROR(E51&gt;3,TRUE)),"必要Lv不正",IF(OR(OR(F51="",G51="",H51="",I51="",K51="",P51=""),NOT(ISNUMBER(J51))),"割当承認不足",IF(OR(AND(J51&lt;&gt;"",OR(NOT(ISNUMBER(J51)),IFERROR(J51&lt;1,TRUE),IFERROR(INT(J51)&gt;INT(AsOfDate),TRUE)))),"割当承認日不正",IF(OR(COUNTIF('28_スキル評価・育成'!$A$4:$A$203,G51)&lt;&gt;1,IF(COUNTIF('28_スキル評価・育成'!$A$4:$A$203,G51)&lt;&gt;1,"参照ID不正",IF(INDEX('28_スキル評価・育成'!$B$4:$B$203,MATCH(G51,'28_スキル評価・育成'!$A$4:$A$203,0))="","",INDEX('28_スキル評価・育成'!$B$4:$B$203,MATCH(G51,'28_スキル評価・育成'!$A$4:$A$203,0))))&lt;&gt;D51,IF(COUNTIF('28_スキル評価・育成'!$A$4:$A$203,G51)&lt;&gt;1,"参照ID不正",IF(INDEX('28_スキル評価・育成'!$Q$4:$Q$203,MATCH(G51,'28_スキル評価・育成'!$A$4:$A$203,0))="","",INDEX('28_スキル評価・育成'!$Q$4:$Q$203,MATCH(G51,'28_スキル評価・育成'!$A$4:$A$203,0))))&lt;&gt;F51),"能力証拠の対象不一致",IF(IF(COUNTIF('28_スキル評価・育成'!$A$4:$A$203,G51)&lt;&gt;1,"参照ID不正",IF(INDEX('28_スキル評価・育成'!$P$4:$P$203,MATCH(G51,'28_スキル評価・育成'!$A$4:$A$203,0))="","",INDEX('28_スキル評価・育成'!$P$4:$P$203,MATCH(G51,'28_スキル評価・育成'!$A$4:$A$203,0))))&lt;&gt;"第三者評価記録あり","能力の第三者確認不足",IF(AND(OR(P51="独立評価",P51="品質決裁"),OR(Q51="",Q51=F51)),"実装との独立性不足",IF(O51&gt;0,"能力不足・育成又は支援要","割当記録整合"))))))))))</f>
        <v/>
      </c>
    </row>
    <row r="52" spans="1:18" ht="64" customHeight="1" x14ac:dyDescent="0.2">
      <c r="A52" s="29"/>
      <c r="B52" s="29"/>
      <c r="C52" s="29"/>
      <c r="D52" s="29"/>
      <c r="E52" s="29"/>
      <c r="F52" s="29"/>
      <c r="G52" s="29"/>
      <c r="H52" s="29"/>
      <c r="I52" s="29"/>
      <c r="J52" s="32"/>
      <c r="K52" s="29"/>
      <c r="L52" s="28" t="str">
        <f>IF(A52="","",IF(COUNTIF('02_工程タスク'!$A$4:$A$135,B52)&lt;&gt;1,"参照ID不正",IF(INDEX('02_工程タスク'!$D$4:$D$135,MATCH(B52,'02_工程タスク'!$A$4:$A$135,0))="","",INDEX('02_工程タスク'!$D$4:$D$135,MATCH(B52,'02_工程タスク'!$A$4:$A$135,0)))))</f>
        <v/>
      </c>
      <c r="M52" s="28" t="str">
        <f>IF(A52="","",IF(COUNTIF('07_スキル辞書'!$A$4:$A$109,D52)&lt;&gt;1,"参照ID不正",IF(INDEX('07_スキル辞書'!$D$4:$D$109,MATCH(D52,'07_スキル辞書'!$A$4:$A$109,0))="","",INDEX('07_スキル辞書'!$D$4:$D$109,MATCH(D52,'07_スキル辞書'!$A$4:$A$109,0)))))</f>
        <v/>
      </c>
      <c r="N52" s="28" t="str">
        <f>IF(OR(A52="",G52=""),"",IF(COUNTIF('28_スキル評価・育成'!$A$4:$A$203,G52)&lt;&gt;1,"参照ID不正",IF(INDEX('28_スキル評価・育成'!$H$4:$H$203,MATCH(G52,'28_スキル評価・育成'!$A$4:$A$203,0))="","",INDEX('28_スキル評価・育成'!$H$4:$H$203,MATCH(G52,'28_スキル評価・育成'!$A$4:$A$203,0)))))</f>
        <v/>
      </c>
      <c r="O52" s="28" t="str">
        <f t="shared" si="1"/>
        <v/>
      </c>
      <c r="P52" s="29"/>
      <c r="Q52" s="29"/>
      <c r="R52" s="28" t="str">
        <f>IF(A52="","",IF(COUNTIF($A$4:$A$103,A52)&lt;&gt;1,"割当ID重複",IF(OR(COUNTIF(TaskIDs,B52)&lt;&gt;1,COUNTIF(RoleIDs,C52)&lt;&gt;1,COUNTIF(SkillIDs,D52)&lt;&gt;1),"定義ID不正",IF(OR(NOT(ISNUMBER(E52)),IFERROR(MOD(E52,1)&lt;&gt;0,TRUE),IFERROR(E52&lt;0,TRUE),IFERROR(E52&gt;3,TRUE)),"必要Lv不正",IF(OR(OR(F52="",G52="",H52="",I52="",K52="",P52=""),NOT(ISNUMBER(J52))),"割当承認不足",IF(OR(AND(J52&lt;&gt;"",OR(NOT(ISNUMBER(J52)),IFERROR(J52&lt;1,TRUE),IFERROR(INT(J52)&gt;INT(AsOfDate),TRUE)))),"割当承認日不正",IF(OR(COUNTIF('28_スキル評価・育成'!$A$4:$A$203,G52)&lt;&gt;1,IF(COUNTIF('28_スキル評価・育成'!$A$4:$A$203,G52)&lt;&gt;1,"参照ID不正",IF(INDEX('28_スキル評価・育成'!$B$4:$B$203,MATCH(G52,'28_スキル評価・育成'!$A$4:$A$203,0))="","",INDEX('28_スキル評価・育成'!$B$4:$B$203,MATCH(G52,'28_スキル評価・育成'!$A$4:$A$203,0))))&lt;&gt;D52,IF(COUNTIF('28_スキル評価・育成'!$A$4:$A$203,G52)&lt;&gt;1,"参照ID不正",IF(INDEX('28_スキル評価・育成'!$Q$4:$Q$203,MATCH(G52,'28_スキル評価・育成'!$A$4:$A$203,0))="","",INDEX('28_スキル評価・育成'!$Q$4:$Q$203,MATCH(G52,'28_スキル評価・育成'!$A$4:$A$203,0))))&lt;&gt;F52),"能力証拠の対象不一致",IF(IF(COUNTIF('28_スキル評価・育成'!$A$4:$A$203,G52)&lt;&gt;1,"参照ID不正",IF(INDEX('28_スキル評価・育成'!$P$4:$P$203,MATCH(G52,'28_スキル評価・育成'!$A$4:$A$203,0))="","",INDEX('28_スキル評価・育成'!$P$4:$P$203,MATCH(G52,'28_スキル評価・育成'!$A$4:$A$203,0))))&lt;&gt;"第三者評価記録あり","能力の第三者確認不足",IF(AND(OR(P52="独立評価",P52="品質決裁"),OR(Q52="",Q52=F52)),"実装との独立性不足",IF(O52&gt;0,"能力不足・育成又は支援要","割当記録整合"))))))))))</f>
        <v/>
      </c>
    </row>
    <row r="53" spans="1:18" ht="64" customHeight="1" x14ac:dyDescent="0.2">
      <c r="A53" s="29"/>
      <c r="B53" s="29"/>
      <c r="C53" s="29"/>
      <c r="D53" s="29"/>
      <c r="E53" s="29"/>
      <c r="F53" s="29"/>
      <c r="G53" s="29"/>
      <c r="H53" s="29"/>
      <c r="I53" s="29"/>
      <c r="J53" s="32"/>
      <c r="K53" s="29"/>
      <c r="L53" s="28" t="str">
        <f>IF(A53="","",IF(COUNTIF('02_工程タスク'!$A$4:$A$135,B53)&lt;&gt;1,"参照ID不正",IF(INDEX('02_工程タスク'!$D$4:$D$135,MATCH(B53,'02_工程タスク'!$A$4:$A$135,0))="","",INDEX('02_工程タスク'!$D$4:$D$135,MATCH(B53,'02_工程タスク'!$A$4:$A$135,0)))))</f>
        <v/>
      </c>
      <c r="M53" s="28" t="str">
        <f>IF(A53="","",IF(COUNTIF('07_スキル辞書'!$A$4:$A$109,D53)&lt;&gt;1,"参照ID不正",IF(INDEX('07_スキル辞書'!$D$4:$D$109,MATCH(D53,'07_スキル辞書'!$A$4:$A$109,0))="","",INDEX('07_スキル辞書'!$D$4:$D$109,MATCH(D53,'07_スキル辞書'!$A$4:$A$109,0)))))</f>
        <v/>
      </c>
      <c r="N53" s="28" t="str">
        <f>IF(OR(A53="",G53=""),"",IF(COUNTIF('28_スキル評価・育成'!$A$4:$A$203,G53)&lt;&gt;1,"参照ID不正",IF(INDEX('28_スキル評価・育成'!$H$4:$H$203,MATCH(G53,'28_スキル評価・育成'!$A$4:$A$203,0))="","",INDEX('28_スキル評価・育成'!$H$4:$H$203,MATCH(G53,'28_スキル評価・育成'!$A$4:$A$203,0)))))</f>
        <v/>
      </c>
      <c r="O53" s="28" t="str">
        <f t="shared" si="1"/>
        <v/>
      </c>
      <c r="P53" s="29"/>
      <c r="Q53" s="29"/>
      <c r="R53" s="28" t="str">
        <f>IF(A53="","",IF(COUNTIF($A$4:$A$103,A53)&lt;&gt;1,"割当ID重複",IF(OR(COUNTIF(TaskIDs,B53)&lt;&gt;1,COUNTIF(RoleIDs,C53)&lt;&gt;1,COUNTIF(SkillIDs,D53)&lt;&gt;1),"定義ID不正",IF(OR(NOT(ISNUMBER(E53)),IFERROR(MOD(E53,1)&lt;&gt;0,TRUE),IFERROR(E53&lt;0,TRUE),IFERROR(E53&gt;3,TRUE)),"必要Lv不正",IF(OR(OR(F53="",G53="",H53="",I53="",K53="",P53=""),NOT(ISNUMBER(J53))),"割当承認不足",IF(OR(AND(J53&lt;&gt;"",OR(NOT(ISNUMBER(J53)),IFERROR(J53&lt;1,TRUE),IFERROR(INT(J53)&gt;INT(AsOfDate),TRUE)))),"割当承認日不正",IF(OR(COUNTIF('28_スキル評価・育成'!$A$4:$A$203,G53)&lt;&gt;1,IF(COUNTIF('28_スキル評価・育成'!$A$4:$A$203,G53)&lt;&gt;1,"参照ID不正",IF(INDEX('28_スキル評価・育成'!$B$4:$B$203,MATCH(G53,'28_スキル評価・育成'!$A$4:$A$203,0))="","",INDEX('28_スキル評価・育成'!$B$4:$B$203,MATCH(G53,'28_スキル評価・育成'!$A$4:$A$203,0))))&lt;&gt;D53,IF(COUNTIF('28_スキル評価・育成'!$A$4:$A$203,G53)&lt;&gt;1,"参照ID不正",IF(INDEX('28_スキル評価・育成'!$Q$4:$Q$203,MATCH(G53,'28_スキル評価・育成'!$A$4:$A$203,0))="","",INDEX('28_スキル評価・育成'!$Q$4:$Q$203,MATCH(G53,'28_スキル評価・育成'!$A$4:$A$203,0))))&lt;&gt;F53),"能力証拠の対象不一致",IF(IF(COUNTIF('28_スキル評価・育成'!$A$4:$A$203,G53)&lt;&gt;1,"参照ID不正",IF(INDEX('28_スキル評価・育成'!$P$4:$P$203,MATCH(G53,'28_スキル評価・育成'!$A$4:$A$203,0))="","",INDEX('28_スキル評価・育成'!$P$4:$P$203,MATCH(G53,'28_スキル評価・育成'!$A$4:$A$203,0))))&lt;&gt;"第三者評価記録あり","能力の第三者確認不足",IF(AND(OR(P53="独立評価",P53="品質決裁"),OR(Q53="",Q53=F53)),"実装との独立性不足",IF(O53&gt;0,"能力不足・育成又は支援要","割当記録整合"))))))))))</f>
        <v/>
      </c>
    </row>
    <row r="54" spans="1:18" ht="64" customHeight="1" x14ac:dyDescent="0.2">
      <c r="A54" s="29"/>
      <c r="B54" s="29"/>
      <c r="C54" s="29"/>
      <c r="D54" s="29"/>
      <c r="E54" s="29"/>
      <c r="F54" s="29"/>
      <c r="G54" s="29"/>
      <c r="H54" s="29"/>
      <c r="I54" s="29"/>
      <c r="J54" s="32"/>
      <c r="K54" s="29"/>
      <c r="L54" s="28" t="str">
        <f>IF(A54="","",IF(COUNTIF('02_工程タスク'!$A$4:$A$135,B54)&lt;&gt;1,"参照ID不正",IF(INDEX('02_工程タスク'!$D$4:$D$135,MATCH(B54,'02_工程タスク'!$A$4:$A$135,0))="","",INDEX('02_工程タスク'!$D$4:$D$135,MATCH(B54,'02_工程タスク'!$A$4:$A$135,0)))))</f>
        <v/>
      </c>
      <c r="M54" s="28" t="str">
        <f>IF(A54="","",IF(COUNTIF('07_スキル辞書'!$A$4:$A$109,D54)&lt;&gt;1,"参照ID不正",IF(INDEX('07_スキル辞書'!$D$4:$D$109,MATCH(D54,'07_スキル辞書'!$A$4:$A$109,0))="","",INDEX('07_スキル辞書'!$D$4:$D$109,MATCH(D54,'07_スキル辞書'!$A$4:$A$109,0)))))</f>
        <v/>
      </c>
      <c r="N54" s="28" t="str">
        <f>IF(OR(A54="",G54=""),"",IF(COUNTIF('28_スキル評価・育成'!$A$4:$A$203,G54)&lt;&gt;1,"参照ID不正",IF(INDEX('28_スキル評価・育成'!$H$4:$H$203,MATCH(G54,'28_スキル評価・育成'!$A$4:$A$203,0))="","",INDEX('28_スキル評価・育成'!$H$4:$H$203,MATCH(G54,'28_スキル評価・育成'!$A$4:$A$203,0)))))</f>
        <v/>
      </c>
      <c r="O54" s="28" t="str">
        <f t="shared" si="1"/>
        <v/>
      </c>
      <c r="P54" s="29"/>
      <c r="Q54" s="29"/>
      <c r="R54" s="28" t="str">
        <f>IF(A54="","",IF(COUNTIF($A$4:$A$103,A54)&lt;&gt;1,"割当ID重複",IF(OR(COUNTIF(TaskIDs,B54)&lt;&gt;1,COUNTIF(RoleIDs,C54)&lt;&gt;1,COUNTIF(SkillIDs,D54)&lt;&gt;1),"定義ID不正",IF(OR(NOT(ISNUMBER(E54)),IFERROR(MOD(E54,1)&lt;&gt;0,TRUE),IFERROR(E54&lt;0,TRUE),IFERROR(E54&gt;3,TRUE)),"必要Lv不正",IF(OR(OR(F54="",G54="",H54="",I54="",K54="",P54=""),NOT(ISNUMBER(J54))),"割当承認不足",IF(OR(AND(J54&lt;&gt;"",OR(NOT(ISNUMBER(J54)),IFERROR(J54&lt;1,TRUE),IFERROR(INT(J54)&gt;INT(AsOfDate),TRUE)))),"割当承認日不正",IF(OR(COUNTIF('28_スキル評価・育成'!$A$4:$A$203,G54)&lt;&gt;1,IF(COUNTIF('28_スキル評価・育成'!$A$4:$A$203,G54)&lt;&gt;1,"参照ID不正",IF(INDEX('28_スキル評価・育成'!$B$4:$B$203,MATCH(G54,'28_スキル評価・育成'!$A$4:$A$203,0))="","",INDEX('28_スキル評価・育成'!$B$4:$B$203,MATCH(G54,'28_スキル評価・育成'!$A$4:$A$203,0))))&lt;&gt;D54,IF(COUNTIF('28_スキル評価・育成'!$A$4:$A$203,G54)&lt;&gt;1,"参照ID不正",IF(INDEX('28_スキル評価・育成'!$Q$4:$Q$203,MATCH(G54,'28_スキル評価・育成'!$A$4:$A$203,0))="","",INDEX('28_スキル評価・育成'!$Q$4:$Q$203,MATCH(G54,'28_スキル評価・育成'!$A$4:$A$203,0))))&lt;&gt;F54),"能力証拠の対象不一致",IF(IF(COUNTIF('28_スキル評価・育成'!$A$4:$A$203,G54)&lt;&gt;1,"参照ID不正",IF(INDEX('28_スキル評価・育成'!$P$4:$P$203,MATCH(G54,'28_スキル評価・育成'!$A$4:$A$203,0))="","",INDEX('28_スキル評価・育成'!$P$4:$P$203,MATCH(G54,'28_スキル評価・育成'!$A$4:$A$203,0))))&lt;&gt;"第三者評価記録あり","能力の第三者確認不足",IF(AND(OR(P54="独立評価",P54="品質決裁"),OR(Q54="",Q54=F54)),"実装との独立性不足",IF(O54&gt;0,"能力不足・育成又は支援要","割当記録整合"))))))))))</f>
        <v/>
      </c>
    </row>
    <row r="55" spans="1:18" ht="64" customHeight="1" x14ac:dyDescent="0.2">
      <c r="A55" s="29"/>
      <c r="B55" s="29"/>
      <c r="C55" s="29"/>
      <c r="D55" s="29"/>
      <c r="E55" s="29"/>
      <c r="F55" s="29"/>
      <c r="G55" s="29"/>
      <c r="H55" s="29"/>
      <c r="I55" s="29"/>
      <c r="J55" s="32"/>
      <c r="K55" s="29"/>
      <c r="L55" s="28" t="str">
        <f>IF(A55="","",IF(COUNTIF('02_工程タスク'!$A$4:$A$135,B55)&lt;&gt;1,"参照ID不正",IF(INDEX('02_工程タスク'!$D$4:$D$135,MATCH(B55,'02_工程タスク'!$A$4:$A$135,0))="","",INDEX('02_工程タスク'!$D$4:$D$135,MATCH(B55,'02_工程タスク'!$A$4:$A$135,0)))))</f>
        <v/>
      </c>
      <c r="M55" s="28" t="str">
        <f>IF(A55="","",IF(COUNTIF('07_スキル辞書'!$A$4:$A$109,D55)&lt;&gt;1,"参照ID不正",IF(INDEX('07_スキル辞書'!$D$4:$D$109,MATCH(D55,'07_スキル辞書'!$A$4:$A$109,0))="","",INDEX('07_スキル辞書'!$D$4:$D$109,MATCH(D55,'07_スキル辞書'!$A$4:$A$109,0)))))</f>
        <v/>
      </c>
      <c r="N55" s="28" t="str">
        <f>IF(OR(A55="",G55=""),"",IF(COUNTIF('28_スキル評価・育成'!$A$4:$A$203,G55)&lt;&gt;1,"参照ID不正",IF(INDEX('28_スキル評価・育成'!$H$4:$H$203,MATCH(G55,'28_スキル評価・育成'!$A$4:$A$203,0))="","",INDEX('28_スキル評価・育成'!$H$4:$H$203,MATCH(G55,'28_スキル評価・育成'!$A$4:$A$203,0)))))</f>
        <v/>
      </c>
      <c r="O55" s="28" t="str">
        <f t="shared" si="1"/>
        <v/>
      </c>
      <c r="P55" s="29"/>
      <c r="Q55" s="29"/>
      <c r="R55" s="28" t="str">
        <f>IF(A55="","",IF(COUNTIF($A$4:$A$103,A55)&lt;&gt;1,"割当ID重複",IF(OR(COUNTIF(TaskIDs,B55)&lt;&gt;1,COUNTIF(RoleIDs,C55)&lt;&gt;1,COUNTIF(SkillIDs,D55)&lt;&gt;1),"定義ID不正",IF(OR(NOT(ISNUMBER(E55)),IFERROR(MOD(E55,1)&lt;&gt;0,TRUE),IFERROR(E55&lt;0,TRUE),IFERROR(E55&gt;3,TRUE)),"必要Lv不正",IF(OR(OR(F55="",G55="",H55="",I55="",K55="",P55=""),NOT(ISNUMBER(J55))),"割当承認不足",IF(OR(AND(J55&lt;&gt;"",OR(NOT(ISNUMBER(J55)),IFERROR(J55&lt;1,TRUE),IFERROR(INT(J55)&gt;INT(AsOfDate),TRUE)))),"割当承認日不正",IF(OR(COUNTIF('28_スキル評価・育成'!$A$4:$A$203,G55)&lt;&gt;1,IF(COUNTIF('28_スキル評価・育成'!$A$4:$A$203,G55)&lt;&gt;1,"参照ID不正",IF(INDEX('28_スキル評価・育成'!$B$4:$B$203,MATCH(G55,'28_スキル評価・育成'!$A$4:$A$203,0))="","",INDEX('28_スキル評価・育成'!$B$4:$B$203,MATCH(G55,'28_スキル評価・育成'!$A$4:$A$203,0))))&lt;&gt;D55,IF(COUNTIF('28_スキル評価・育成'!$A$4:$A$203,G55)&lt;&gt;1,"参照ID不正",IF(INDEX('28_スキル評価・育成'!$Q$4:$Q$203,MATCH(G55,'28_スキル評価・育成'!$A$4:$A$203,0))="","",INDEX('28_スキル評価・育成'!$Q$4:$Q$203,MATCH(G55,'28_スキル評価・育成'!$A$4:$A$203,0))))&lt;&gt;F55),"能力証拠の対象不一致",IF(IF(COUNTIF('28_スキル評価・育成'!$A$4:$A$203,G55)&lt;&gt;1,"参照ID不正",IF(INDEX('28_スキル評価・育成'!$P$4:$P$203,MATCH(G55,'28_スキル評価・育成'!$A$4:$A$203,0))="","",INDEX('28_スキル評価・育成'!$P$4:$P$203,MATCH(G55,'28_スキル評価・育成'!$A$4:$A$203,0))))&lt;&gt;"第三者評価記録あり","能力の第三者確認不足",IF(AND(OR(P55="独立評価",P55="品質決裁"),OR(Q55="",Q55=F55)),"実装との独立性不足",IF(O55&gt;0,"能力不足・育成又は支援要","割当記録整合"))))))))))</f>
        <v/>
      </c>
    </row>
    <row r="56" spans="1:18" ht="64" customHeight="1" x14ac:dyDescent="0.2">
      <c r="A56" s="29"/>
      <c r="B56" s="29"/>
      <c r="C56" s="29"/>
      <c r="D56" s="29"/>
      <c r="E56" s="29"/>
      <c r="F56" s="29"/>
      <c r="G56" s="29"/>
      <c r="H56" s="29"/>
      <c r="I56" s="29"/>
      <c r="J56" s="32"/>
      <c r="K56" s="29"/>
      <c r="L56" s="28" t="str">
        <f>IF(A56="","",IF(COUNTIF('02_工程タスク'!$A$4:$A$135,B56)&lt;&gt;1,"参照ID不正",IF(INDEX('02_工程タスク'!$D$4:$D$135,MATCH(B56,'02_工程タスク'!$A$4:$A$135,0))="","",INDEX('02_工程タスク'!$D$4:$D$135,MATCH(B56,'02_工程タスク'!$A$4:$A$135,0)))))</f>
        <v/>
      </c>
      <c r="M56" s="28" t="str">
        <f>IF(A56="","",IF(COUNTIF('07_スキル辞書'!$A$4:$A$109,D56)&lt;&gt;1,"参照ID不正",IF(INDEX('07_スキル辞書'!$D$4:$D$109,MATCH(D56,'07_スキル辞書'!$A$4:$A$109,0))="","",INDEX('07_スキル辞書'!$D$4:$D$109,MATCH(D56,'07_スキル辞書'!$A$4:$A$109,0)))))</f>
        <v/>
      </c>
      <c r="N56" s="28" t="str">
        <f>IF(OR(A56="",G56=""),"",IF(COUNTIF('28_スキル評価・育成'!$A$4:$A$203,G56)&lt;&gt;1,"参照ID不正",IF(INDEX('28_スキル評価・育成'!$H$4:$H$203,MATCH(G56,'28_スキル評価・育成'!$A$4:$A$203,0))="","",INDEX('28_スキル評価・育成'!$H$4:$H$203,MATCH(G56,'28_スキル評価・育成'!$A$4:$A$203,0)))))</f>
        <v/>
      </c>
      <c r="O56" s="28" t="str">
        <f t="shared" si="1"/>
        <v/>
      </c>
      <c r="P56" s="29"/>
      <c r="Q56" s="29"/>
      <c r="R56" s="28" t="str">
        <f>IF(A56="","",IF(COUNTIF($A$4:$A$103,A56)&lt;&gt;1,"割当ID重複",IF(OR(COUNTIF(TaskIDs,B56)&lt;&gt;1,COUNTIF(RoleIDs,C56)&lt;&gt;1,COUNTIF(SkillIDs,D56)&lt;&gt;1),"定義ID不正",IF(OR(NOT(ISNUMBER(E56)),IFERROR(MOD(E56,1)&lt;&gt;0,TRUE),IFERROR(E56&lt;0,TRUE),IFERROR(E56&gt;3,TRUE)),"必要Lv不正",IF(OR(OR(F56="",G56="",H56="",I56="",K56="",P56=""),NOT(ISNUMBER(J56))),"割当承認不足",IF(OR(AND(J56&lt;&gt;"",OR(NOT(ISNUMBER(J56)),IFERROR(J56&lt;1,TRUE),IFERROR(INT(J56)&gt;INT(AsOfDate),TRUE)))),"割当承認日不正",IF(OR(COUNTIF('28_スキル評価・育成'!$A$4:$A$203,G56)&lt;&gt;1,IF(COUNTIF('28_スキル評価・育成'!$A$4:$A$203,G56)&lt;&gt;1,"参照ID不正",IF(INDEX('28_スキル評価・育成'!$B$4:$B$203,MATCH(G56,'28_スキル評価・育成'!$A$4:$A$203,0))="","",INDEX('28_スキル評価・育成'!$B$4:$B$203,MATCH(G56,'28_スキル評価・育成'!$A$4:$A$203,0))))&lt;&gt;D56,IF(COUNTIF('28_スキル評価・育成'!$A$4:$A$203,G56)&lt;&gt;1,"参照ID不正",IF(INDEX('28_スキル評価・育成'!$Q$4:$Q$203,MATCH(G56,'28_スキル評価・育成'!$A$4:$A$203,0))="","",INDEX('28_スキル評価・育成'!$Q$4:$Q$203,MATCH(G56,'28_スキル評価・育成'!$A$4:$A$203,0))))&lt;&gt;F56),"能力証拠の対象不一致",IF(IF(COUNTIF('28_スキル評価・育成'!$A$4:$A$203,G56)&lt;&gt;1,"参照ID不正",IF(INDEX('28_スキル評価・育成'!$P$4:$P$203,MATCH(G56,'28_スキル評価・育成'!$A$4:$A$203,0))="","",INDEX('28_スキル評価・育成'!$P$4:$P$203,MATCH(G56,'28_スキル評価・育成'!$A$4:$A$203,0))))&lt;&gt;"第三者評価記録あり","能力の第三者確認不足",IF(AND(OR(P56="独立評価",P56="品質決裁"),OR(Q56="",Q56=F56)),"実装との独立性不足",IF(O56&gt;0,"能力不足・育成又は支援要","割当記録整合"))))))))))</f>
        <v/>
      </c>
    </row>
    <row r="57" spans="1:18" ht="64" customHeight="1" x14ac:dyDescent="0.2">
      <c r="A57" s="29"/>
      <c r="B57" s="29"/>
      <c r="C57" s="29"/>
      <c r="D57" s="29"/>
      <c r="E57" s="29"/>
      <c r="F57" s="29"/>
      <c r="G57" s="29"/>
      <c r="H57" s="29"/>
      <c r="I57" s="29"/>
      <c r="J57" s="32"/>
      <c r="K57" s="29"/>
      <c r="L57" s="28" t="str">
        <f>IF(A57="","",IF(COUNTIF('02_工程タスク'!$A$4:$A$135,B57)&lt;&gt;1,"参照ID不正",IF(INDEX('02_工程タスク'!$D$4:$D$135,MATCH(B57,'02_工程タスク'!$A$4:$A$135,0))="","",INDEX('02_工程タスク'!$D$4:$D$135,MATCH(B57,'02_工程タスク'!$A$4:$A$135,0)))))</f>
        <v/>
      </c>
      <c r="M57" s="28" t="str">
        <f>IF(A57="","",IF(COUNTIF('07_スキル辞書'!$A$4:$A$109,D57)&lt;&gt;1,"参照ID不正",IF(INDEX('07_スキル辞書'!$D$4:$D$109,MATCH(D57,'07_スキル辞書'!$A$4:$A$109,0))="","",INDEX('07_スキル辞書'!$D$4:$D$109,MATCH(D57,'07_スキル辞書'!$A$4:$A$109,0)))))</f>
        <v/>
      </c>
      <c r="N57" s="28" t="str">
        <f>IF(OR(A57="",G57=""),"",IF(COUNTIF('28_スキル評価・育成'!$A$4:$A$203,G57)&lt;&gt;1,"参照ID不正",IF(INDEX('28_スキル評価・育成'!$H$4:$H$203,MATCH(G57,'28_スキル評価・育成'!$A$4:$A$203,0))="","",INDEX('28_スキル評価・育成'!$H$4:$H$203,MATCH(G57,'28_スキル評価・育成'!$A$4:$A$203,0)))))</f>
        <v/>
      </c>
      <c r="O57" s="28" t="str">
        <f t="shared" si="1"/>
        <v/>
      </c>
      <c r="P57" s="29"/>
      <c r="Q57" s="29"/>
      <c r="R57" s="28" t="str">
        <f>IF(A57="","",IF(COUNTIF($A$4:$A$103,A57)&lt;&gt;1,"割当ID重複",IF(OR(COUNTIF(TaskIDs,B57)&lt;&gt;1,COUNTIF(RoleIDs,C57)&lt;&gt;1,COUNTIF(SkillIDs,D57)&lt;&gt;1),"定義ID不正",IF(OR(NOT(ISNUMBER(E57)),IFERROR(MOD(E57,1)&lt;&gt;0,TRUE),IFERROR(E57&lt;0,TRUE),IFERROR(E57&gt;3,TRUE)),"必要Lv不正",IF(OR(OR(F57="",G57="",H57="",I57="",K57="",P57=""),NOT(ISNUMBER(J57))),"割当承認不足",IF(OR(AND(J57&lt;&gt;"",OR(NOT(ISNUMBER(J57)),IFERROR(J57&lt;1,TRUE),IFERROR(INT(J57)&gt;INT(AsOfDate),TRUE)))),"割当承認日不正",IF(OR(COUNTIF('28_スキル評価・育成'!$A$4:$A$203,G57)&lt;&gt;1,IF(COUNTIF('28_スキル評価・育成'!$A$4:$A$203,G57)&lt;&gt;1,"参照ID不正",IF(INDEX('28_スキル評価・育成'!$B$4:$B$203,MATCH(G57,'28_スキル評価・育成'!$A$4:$A$203,0))="","",INDEX('28_スキル評価・育成'!$B$4:$B$203,MATCH(G57,'28_スキル評価・育成'!$A$4:$A$203,0))))&lt;&gt;D57,IF(COUNTIF('28_スキル評価・育成'!$A$4:$A$203,G57)&lt;&gt;1,"参照ID不正",IF(INDEX('28_スキル評価・育成'!$Q$4:$Q$203,MATCH(G57,'28_スキル評価・育成'!$A$4:$A$203,0))="","",INDEX('28_スキル評価・育成'!$Q$4:$Q$203,MATCH(G57,'28_スキル評価・育成'!$A$4:$A$203,0))))&lt;&gt;F57),"能力証拠の対象不一致",IF(IF(COUNTIF('28_スキル評価・育成'!$A$4:$A$203,G57)&lt;&gt;1,"参照ID不正",IF(INDEX('28_スキル評価・育成'!$P$4:$P$203,MATCH(G57,'28_スキル評価・育成'!$A$4:$A$203,0))="","",INDEX('28_スキル評価・育成'!$P$4:$P$203,MATCH(G57,'28_スキル評価・育成'!$A$4:$A$203,0))))&lt;&gt;"第三者評価記録あり","能力の第三者確認不足",IF(AND(OR(P57="独立評価",P57="品質決裁"),OR(Q57="",Q57=F57)),"実装との独立性不足",IF(O57&gt;0,"能力不足・育成又は支援要","割当記録整合"))))))))))</f>
        <v/>
      </c>
    </row>
    <row r="58" spans="1:18" ht="64" customHeight="1" x14ac:dyDescent="0.2">
      <c r="A58" s="29"/>
      <c r="B58" s="29"/>
      <c r="C58" s="29"/>
      <c r="D58" s="29"/>
      <c r="E58" s="29"/>
      <c r="F58" s="29"/>
      <c r="G58" s="29"/>
      <c r="H58" s="29"/>
      <c r="I58" s="29"/>
      <c r="J58" s="32"/>
      <c r="K58" s="29"/>
      <c r="L58" s="28" t="str">
        <f>IF(A58="","",IF(COUNTIF('02_工程タスク'!$A$4:$A$135,B58)&lt;&gt;1,"参照ID不正",IF(INDEX('02_工程タスク'!$D$4:$D$135,MATCH(B58,'02_工程タスク'!$A$4:$A$135,0))="","",INDEX('02_工程タスク'!$D$4:$D$135,MATCH(B58,'02_工程タスク'!$A$4:$A$135,0)))))</f>
        <v/>
      </c>
      <c r="M58" s="28" t="str">
        <f>IF(A58="","",IF(COUNTIF('07_スキル辞書'!$A$4:$A$109,D58)&lt;&gt;1,"参照ID不正",IF(INDEX('07_スキル辞書'!$D$4:$D$109,MATCH(D58,'07_スキル辞書'!$A$4:$A$109,0))="","",INDEX('07_スキル辞書'!$D$4:$D$109,MATCH(D58,'07_スキル辞書'!$A$4:$A$109,0)))))</f>
        <v/>
      </c>
      <c r="N58" s="28" t="str">
        <f>IF(OR(A58="",G58=""),"",IF(COUNTIF('28_スキル評価・育成'!$A$4:$A$203,G58)&lt;&gt;1,"参照ID不正",IF(INDEX('28_スキル評価・育成'!$H$4:$H$203,MATCH(G58,'28_スキル評価・育成'!$A$4:$A$203,0))="","",INDEX('28_スキル評価・育成'!$H$4:$H$203,MATCH(G58,'28_スキル評価・育成'!$A$4:$A$203,0)))))</f>
        <v/>
      </c>
      <c r="O58" s="28" t="str">
        <f t="shared" si="1"/>
        <v/>
      </c>
      <c r="P58" s="29"/>
      <c r="Q58" s="29"/>
      <c r="R58" s="28" t="str">
        <f>IF(A58="","",IF(COUNTIF($A$4:$A$103,A58)&lt;&gt;1,"割当ID重複",IF(OR(COUNTIF(TaskIDs,B58)&lt;&gt;1,COUNTIF(RoleIDs,C58)&lt;&gt;1,COUNTIF(SkillIDs,D58)&lt;&gt;1),"定義ID不正",IF(OR(NOT(ISNUMBER(E58)),IFERROR(MOD(E58,1)&lt;&gt;0,TRUE),IFERROR(E58&lt;0,TRUE),IFERROR(E58&gt;3,TRUE)),"必要Lv不正",IF(OR(OR(F58="",G58="",H58="",I58="",K58="",P58=""),NOT(ISNUMBER(J58))),"割当承認不足",IF(OR(AND(J58&lt;&gt;"",OR(NOT(ISNUMBER(J58)),IFERROR(J58&lt;1,TRUE),IFERROR(INT(J58)&gt;INT(AsOfDate),TRUE)))),"割当承認日不正",IF(OR(COUNTIF('28_スキル評価・育成'!$A$4:$A$203,G58)&lt;&gt;1,IF(COUNTIF('28_スキル評価・育成'!$A$4:$A$203,G58)&lt;&gt;1,"参照ID不正",IF(INDEX('28_スキル評価・育成'!$B$4:$B$203,MATCH(G58,'28_スキル評価・育成'!$A$4:$A$203,0))="","",INDEX('28_スキル評価・育成'!$B$4:$B$203,MATCH(G58,'28_スキル評価・育成'!$A$4:$A$203,0))))&lt;&gt;D58,IF(COUNTIF('28_スキル評価・育成'!$A$4:$A$203,G58)&lt;&gt;1,"参照ID不正",IF(INDEX('28_スキル評価・育成'!$Q$4:$Q$203,MATCH(G58,'28_スキル評価・育成'!$A$4:$A$203,0))="","",INDEX('28_スキル評価・育成'!$Q$4:$Q$203,MATCH(G58,'28_スキル評価・育成'!$A$4:$A$203,0))))&lt;&gt;F58),"能力証拠の対象不一致",IF(IF(COUNTIF('28_スキル評価・育成'!$A$4:$A$203,G58)&lt;&gt;1,"参照ID不正",IF(INDEX('28_スキル評価・育成'!$P$4:$P$203,MATCH(G58,'28_スキル評価・育成'!$A$4:$A$203,0))="","",INDEX('28_スキル評価・育成'!$P$4:$P$203,MATCH(G58,'28_スキル評価・育成'!$A$4:$A$203,0))))&lt;&gt;"第三者評価記録あり","能力の第三者確認不足",IF(AND(OR(P58="独立評価",P58="品質決裁"),OR(Q58="",Q58=F58)),"実装との独立性不足",IF(O58&gt;0,"能力不足・育成又は支援要","割当記録整合"))))))))))</f>
        <v/>
      </c>
    </row>
    <row r="59" spans="1:18" ht="64" customHeight="1" x14ac:dyDescent="0.2">
      <c r="A59" s="29"/>
      <c r="B59" s="29"/>
      <c r="C59" s="29"/>
      <c r="D59" s="29"/>
      <c r="E59" s="29"/>
      <c r="F59" s="29"/>
      <c r="G59" s="29"/>
      <c r="H59" s="29"/>
      <c r="I59" s="29"/>
      <c r="J59" s="32"/>
      <c r="K59" s="29"/>
      <c r="L59" s="28" t="str">
        <f>IF(A59="","",IF(COUNTIF('02_工程タスク'!$A$4:$A$135,B59)&lt;&gt;1,"参照ID不正",IF(INDEX('02_工程タスク'!$D$4:$D$135,MATCH(B59,'02_工程タスク'!$A$4:$A$135,0))="","",INDEX('02_工程タスク'!$D$4:$D$135,MATCH(B59,'02_工程タスク'!$A$4:$A$135,0)))))</f>
        <v/>
      </c>
      <c r="M59" s="28" t="str">
        <f>IF(A59="","",IF(COUNTIF('07_スキル辞書'!$A$4:$A$109,D59)&lt;&gt;1,"参照ID不正",IF(INDEX('07_スキル辞書'!$D$4:$D$109,MATCH(D59,'07_スキル辞書'!$A$4:$A$109,0))="","",INDEX('07_スキル辞書'!$D$4:$D$109,MATCH(D59,'07_スキル辞書'!$A$4:$A$109,0)))))</f>
        <v/>
      </c>
      <c r="N59" s="28" t="str">
        <f>IF(OR(A59="",G59=""),"",IF(COUNTIF('28_スキル評価・育成'!$A$4:$A$203,G59)&lt;&gt;1,"参照ID不正",IF(INDEX('28_スキル評価・育成'!$H$4:$H$203,MATCH(G59,'28_スキル評価・育成'!$A$4:$A$203,0))="","",INDEX('28_スキル評価・育成'!$H$4:$H$203,MATCH(G59,'28_スキル評価・育成'!$A$4:$A$203,0)))))</f>
        <v/>
      </c>
      <c r="O59" s="28" t="str">
        <f t="shared" si="1"/>
        <v/>
      </c>
      <c r="P59" s="29"/>
      <c r="Q59" s="29"/>
      <c r="R59" s="28" t="str">
        <f>IF(A59="","",IF(COUNTIF($A$4:$A$103,A59)&lt;&gt;1,"割当ID重複",IF(OR(COUNTIF(TaskIDs,B59)&lt;&gt;1,COUNTIF(RoleIDs,C59)&lt;&gt;1,COUNTIF(SkillIDs,D59)&lt;&gt;1),"定義ID不正",IF(OR(NOT(ISNUMBER(E59)),IFERROR(MOD(E59,1)&lt;&gt;0,TRUE),IFERROR(E59&lt;0,TRUE),IFERROR(E59&gt;3,TRUE)),"必要Lv不正",IF(OR(OR(F59="",G59="",H59="",I59="",K59="",P59=""),NOT(ISNUMBER(J59))),"割当承認不足",IF(OR(AND(J59&lt;&gt;"",OR(NOT(ISNUMBER(J59)),IFERROR(J59&lt;1,TRUE),IFERROR(INT(J59)&gt;INT(AsOfDate),TRUE)))),"割当承認日不正",IF(OR(COUNTIF('28_スキル評価・育成'!$A$4:$A$203,G59)&lt;&gt;1,IF(COUNTIF('28_スキル評価・育成'!$A$4:$A$203,G59)&lt;&gt;1,"参照ID不正",IF(INDEX('28_スキル評価・育成'!$B$4:$B$203,MATCH(G59,'28_スキル評価・育成'!$A$4:$A$203,0))="","",INDEX('28_スキル評価・育成'!$B$4:$B$203,MATCH(G59,'28_スキル評価・育成'!$A$4:$A$203,0))))&lt;&gt;D59,IF(COUNTIF('28_スキル評価・育成'!$A$4:$A$203,G59)&lt;&gt;1,"参照ID不正",IF(INDEX('28_スキル評価・育成'!$Q$4:$Q$203,MATCH(G59,'28_スキル評価・育成'!$A$4:$A$203,0))="","",INDEX('28_スキル評価・育成'!$Q$4:$Q$203,MATCH(G59,'28_スキル評価・育成'!$A$4:$A$203,0))))&lt;&gt;F59),"能力証拠の対象不一致",IF(IF(COUNTIF('28_スキル評価・育成'!$A$4:$A$203,G59)&lt;&gt;1,"参照ID不正",IF(INDEX('28_スキル評価・育成'!$P$4:$P$203,MATCH(G59,'28_スキル評価・育成'!$A$4:$A$203,0))="","",INDEX('28_スキル評価・育成'!$P$4:$P$203,MATCH(G59,'28_スキル評価・育成'!$A$4:$A$203,0))))&lt;&gt;"第三者評価記録あり","能力の第三者確認不足",IF(AND(OR(P59="独立評価",P59="品質決裁"),OR(Q59="",Q59=F59)),"実装との独立性不足",IF(O59&gt;0,"能力不足・育成又は支援要","割当記録整合"))))))))))</f>
        <v/>
      </c>
    </row>
    <row r="60" spans="1:18" ht="64" customHeight="1" x14ac:dyDescent="0.2">
      <c r="A60" s="29"/>
      <c r="B60" s="29"/>
      <c r="C60" s="29"/>
      <c r="D60" s="29"/>
      <c r="E60" s="29"/>
      <c r="F60" s="29"/>
      <c r="G60" s="29"/>
      <c r="H60" s="29"/>
      <c r="I60" s="29"/>
      <c r="J60" s="32"/>
      <c r="K60" s="29"/>
      <c r="L60" s="28" t="str">
        <f>IF(A60="","",IF(COUNTIF('02_工程タスク'!$A$4:$A$135,B60)&lt;&gt;1,"参照ID不正",IF(INDEX('02_工程タスク'!$D$4:$D$135,MATCH(B60,'02_工程タスク'!$A$4:$A$135,0))="","",INDEX('02_工程タスク'!$D$4:$D$135,MATCH(B60,'02_工程タスク'!$A$4:$A$135,0)))))</f>
        <v/>
      </c>
      <c r="M60" s="28" t="str">
        <f>IF(A60="","",IF(COUNTIF('07_スキル辞書'!$A$4:$A$109,D60)&lt;&gt;1,"参照ID不正",IF(INDEX('07_スキル辞書'!$D$4:$D$109,MATCH(D60,'07_スキル辞書'!$A$4:$A$109,0))="","",INDEX('07_スキル辞書'!$D$4:$D$109,MATCH(D60,'07_スキル辞書'!$A$4:$A$109,0)))))</f>
        <v/>
      </c>
      <c r="N60" s="28" t="str">
        <f>IF(OR(A60="",G60=""),"",IF(COUNTIF('28_スキル評価・育成'!$A$4:$A$203,G60)&lt;&gt;1,"参照ID不正",IF(INDEX('28_スキル評価・育成'!$H$4:$H$203,MATCH(G60,'28_スキル評価・育成'!$A$4:$A$203,0))="","",INDEX('28_スキル評価・育成'!$H$4:$H$203,MATCH(G60,'28_スキル評価・育成'!$A$4:$A$203,0)))))</f>
        <v/>
      </c>
      <c r="O60" s="28" t="str">
        <f t="shared" si="1"/>
        <v/>
      </c>
      <c r="P60" s="29"/>
      <c r="Q60" s="29"/>
      <c r="R60" s="28" t="str">
        <f>IF(A60="","",IF(COUNTIF($A$4:$A$103,A60)&lt;&gt;1,"割当ID重複",IF(OR(COUNTIF(TaskIDs,B60)&lt;&gt;1,COUNTIF(RoleIDs,C60)&lt;&gt;1,COUNTIF(SkillIDs,D60)&lt;&gt;1),"定義ID不正",IF(OR(NOT(ISNUMBER(E60)),IFERROR(MOD(E60,1)&lt;&gt;0,TRUE),IFERROR(E60&lt;0,TRUE),IFERROR(E60&gt;3,TRUE)),"必要Lv不正",IF(OR(OR(F60="",G60="",H60="",I60="",K60="",P60=""),NOT(ISNUMBER(J60))),"割当承認不足",IF(OR(AND(J60&lt;&gt;"",OR(NOT(ISNUMBER(J60)),IFERROR(J60&lt;1,TRUE),IFERROR(INT(J60)&gt;INT(AsOfDate),TRUE)))),"割当承認日不正",IF(OR(COUNTIF('28_スキル評価・育成'!$A$4:$A$203,G60)&lt;&gt;1,IF(COUNTIF('28_スキル評価・育成'!$A$4:$A$203,G60)&lt;&gt;1,"参照ID不正",IF(INDEX('28_スキル評価・育成'!$B$4:$B$203,MATCH(G60,'28_スキル評価・育成'!$A$4:$A$203,0))="","",INDEX('28_スキル評価・育成'!$B$4:$B$203,MATCH(G60,'28_スキル評価・育成'!$A$4:$A$203,0))))&lt;&gt;D60,IF(COUNTIF('28_スキル評価・育成'!$A$4:$A$203,G60)&lt;&gt;1,"参照ID不正",IF(INDEX('28_スキル評価・育成'!$Q$4:$Q$203,MATCH(G60,'28_スキル評価・育成'!$A$4:$A$203,0))="","",INDEX('28_スキル評価・育成'!$Q$4:$Q$203,MATCH(G60,'28_スキル評価・育成'!$A$4:$A$203,0))))&lt;&gt;F60),"能力証拠の対象不一致",IF(IF(COUNTIF('28_スキル評価・育成'!$A$4:$A$203,G60)&lt;&gt;1,"参照ID不正",IF(INDEX('28_スキル評価・育成'!$P$4:$P$203,MATCH(G60,'28_スキル評価・育成'!$A$4:$A$203,0))="","",INDEX('28_スキル評価・育成'!$P$4:$P$203,MATCH(G60,'28_スキル評価・育成'!$A$4:$A$203,0))))&lt;&gt;"第三者評価記録あり","能力の第三者確認不足",IF(AND(OR(P60="独立評価",P60="品質決裁"),OR(Q60="",Q60=F60)),"実装との独立性不足",IF(O60&gt;0,"能力不足・育成又は支援要","割当記録整合"))))))))))</f>
        <v/>
      </c>
    </row>
    <row r="61" spans="1:18" ht="64" customHeight="1" x14ac:dyDescent="0.2">
      <c r="A61" s="29"/>
      <c r="B61" s="29"/>
      <c r="C61" s="29"/>
      <c r="D61" s="29"/>
      <c r="E61" s="29"/>
      <c r="F61" s="29"/>
      <c r="G61" s="29"/>
      <c r="H61" s="29"/>
      <c r="I61" s="29"/>
      <c r="J61" s="32"/>
      <c r="K61" s="29"/>
      <c r="L61" s="28" t="str">
        <f>IF(A61="","",IF(COUNTIF('02_工程タスク'!$A$4:$A$135,B61)&lt;&gt;1,"参照ID不正",IF(INDEX('02_工程タスク'!$D$4:$D$135,MATCH(B61,'02_工程タスク'!$A$4:$A$135,0))="","",INDEX('02_工程タスク'!$D$4:$D$135,MATCH(B61,'02_工程タスク'!$A$4:$A$135,0)))))</f>
        <v/>
      </c>
      <c r="M61" s="28" t="str">
        <f>IF(A61="","",IF(COUNTIF('07_スキル辞書'!$A$4:$A$109,D61)&lt;&gt;1,"参照ID不正",IF(INDEX('07_スキル辞書'!$D$4:$D$109,MATCH(D61,'07_スキル辞書'!$A$4:$A$109,0))="","",INDEX('07_スキル辞書'!$D$4:$D$109,MATCH(D61,'07_スキル辞書'!$A$4:$A$109,0)))))</f>
        <v/>
      </c>
      <c r="N61" s="28" t="str">
        <f>IF(OR(A61="",G61=""),"",IF(COUNTIF('28_スキル評価・育成'!$A$4:$A$203,G61)&lt;&gt;1,"参照ID不正",IF(INDEX('28_スキル評価・育成'!$H$4:$H$203,MATCH(G61,'28_スキル評価・育成'!$A$4:$A$203,0))="","",INDEX('28_スキル評価・育成'!$H$4:$H$203,MATCH(G61,'28_スキル評価・育成'!$A$4:$A$203,0)))))</f>
        <v/>
      </c>
      <c r="O61" s="28" t="str">
        <f t="shared" si="1"/>
        <v/>
      </c>
      <c r="P61" s="29"/>
      <c r="Q61" s="29"/>
      <c r="R61" s="28" t="str">
        <f>IF(A61="","",IF(COUNTIF($A$4:$A$103,A61)&lt;&gt;1,"割当ID重複",IF(OR(COUNTIF(TaskIDs,B61)&lt;&gt;1,COUNTIF(RoleIDs,C61)&lt;&gt;1,COUNTIF(SkillIDs,D61)&lt;&gt;1),"定義ID不正",IF(OR(NOT(ISNUMBER(E61)),IFERROR(MOD(E61,1)&lt;&gt;0,TRUE),IFERROR(E61&lt;0,TRUE),IFERROR(E61&gt;3,TRUE)),"必要Lv不正",IF(OR(OR(F61="",G61="",H61="",I61="",K61="",P61=""),NOT(ISNUMBER(J61))),"割当承認不足",IF(OR(AND(J61&lt;&gt;"",OR(NOT(ISNUMBER(J61)),IFERROR(J61&lt;1,TRUE),IFERROR(INT(J61)&gt;INT(AsOfDate),TRUE)))),"割当承認日不正",IF(OR(COUNTIF('28_スキル評価・育成'!$A$4:$A$203,G61)&lt;&gt;1,IF(COUNTIF('28_スキル評価・育成'!$A$4:$A$203,G61)&lt;&gt;1,"参照ID不正",IF(INDEX('28_スキル評価・育成'!$B$4:$B$203,MATCH(G61,'28_スキル評価・育成'!$A$4:$A$203,0))="","",INDEX('28_スキル評価・育成'!$B$4:$B$203,MATCH(G61,'28_スキル評価・育成'!$A$4:$A$203,0))))&lt;&gt;D61,IF(COUNTIF('28_スキル評価・育成'!$A$4:$A$203,G61)&lt;&gt;1,"参照ID不正",IF(INDEX('28_スキル評価・育成'!$Q$4:$Q$203,MATCH(G61,'28_スキル評価・育成'!$A$4:$A$203,0))="","",INDEX('28_スキル評価・育成'!$Q$4:$Q$203,MATCH(G61,'28_スキル評価・育成'!$A$4:$A$203,0))))&lt;&gt;F61),"能力証拠の対象不一致",IF(IF(COUNTIF('28_スキル評価・育成'!$A$4:$A$203,G61)&lt;&gt;1,"参照ID不正",IF(INDEX('28_スキル評価・育成'!$P$4:$P$203,MATCH(G61,'28_スキル評価・育成'!$A$4:$A$203,0))="","",INDEX('28_スキル評価・育成'!$P$4:$P$203,MATCH(G61,'28_スキル評価・育成'!$A$4:$A$203,0))))&lt;&gt;"第三者評価記録あり","能力の第三者確認不足",IF(AND(OR(P61="独立評価",P61="品質決裁"),OR(Q61="",Q61=F61)),"実装との独立性不足",IF(O61&gt;0,"能力不足・育成又は支援要","割当記録整合"))))))))))</f>
        <v/>
      </c>
    </row>
    <row r="62" spans="1:18" ht="64" customHeight="1" x14ac:dyDescent="0.2">
      <c r="A62" s="29"/>
      <c r="B62" s="29"/>
      <c r="C62" s="29"/>
      <c r="D62" s="29"/>
      <c r="E62" s="29"/>
      <c r="F62" s="29"/>
      <c r="G62" s="29"/>
      <c r="H62" s="29"/>
      <c r="I62" s="29"/>
      <c r="J62" s="32"/>
      <c r="K62" s="29"/>
      <c r="L62" s="28" t="str">
        <f>IF(A62="","",IF(COUNTIF('02_工程タスク'!$A$4:$A$135,B62)&lt;&gt;1,"参照ID不正",IF(INDEX('02_工程タスク'!$D$4:$D$135,MATCH(B62,'02_工程タスク'!$A$4:$A$135,0))="","",INDEX('02_工程タスク'!$D$4:$D$135,MATCH(B62,'02_工程タスク'!$A$4:$A$135,0)))))</f>
        <v/>
      </c>
      <c r="M62" s="28" t="str">
        <f>IF(A62="","",IF(COUNTIF('07_スキル辞書'!$A$4:$A$109,D62)&lt;&gt;1,"参照ID不正",IF(INDEX('07_スキル辞書'!$D$4:$D$109,MATCH(D62,'07_スキル辞書'!$A$4:$A$109,0))="","",INDEX('07_スキル辞書'!$D$4:$D$109,MATCH(D62,'07_スキル辞書'!$A$4:$A$109,0)))))</f>
        <v/>
      </c>
      <c r="N62" s="28" t="str">
        <f>IF(OR(A62="",G62=""),"",IF(COUNTIF('28_スキル評価・育成'!$A$4:$A$203,G62)&lt;&gt;1,"参照ID不正",IF(INDEX('28_スキル評価・育成'!$H$4:$H$203,MATCH(G62,'28_スキル評価・育成'!$A$4:$A$203,0))="","",INDEX('28_スキル評価・育成'!$H$4:$H$203,MATCH(G62,'28_スキル評価・育成'!$A$4:$A$203,0)))))</f>
        <v/>
      </c>
      <c r="O62" s="28" t="str">
        <f t="shared" si="1"/>
        <v/>
      </c>
      <c r="P62" s="29"/>
      <c r="Q62" s="29"/>
      <c r="R62" s="28" t="str">
        <f>IF(A62="","",IF(COUNTIF($A$4:$A$103,A62)&lt;&gt;1,"割当ID重複",IF(OR(COUNTIF(TaskIDs,B62)&lt;&gt;1,COUNTIF(RoleIDs,C62)&lt;&gt;1,COUNTIF(SkillIDs,D62)&lt;&gt;1),"定義ID不正",IF(OR(NOT(ISNUMBER(E62)),IFERROR(MOD(E62,1)&lt;&gt;0,TRUE),IFERROR(E62&lt;0,TRUE),IFERROR(E62&gt;3,TRUE)),"必要Lv不正",IF(OR(OR(F62="",G62="",H62="",I62="",K62="",P62=""),NOT(ISNUMBER(J62))),"割当承認不足",IF(OR(AND(J62&lt;&gt;"",OR(NOT(ISNUMBER(J62)),IFERROR(J62&lt;1,TRUE),IFERROR(INT(J62)&gt;INT(AsOfDate),TRUE)))),"割当承認日不正",IF(OR(COUNTIF('28_スキル評価・育成'!$A$4:$A$203,G62)&lt;&gt;1,IF(COUNTIF('28_スキル評価・育成'!$A$4:$A$203,G62)&lt;&gt;1,"参照ID不正",IF(INDEX('28_スキル評価・育成'!$B$4:$B$203,MATCH(G62,'28_スキル評価・育成'!$A$4:$A$203,0))="","",INDEX('28_スキル評価・育成'!$B$4:$B$203,MATCH(G62,'28_スキル評価・育成'!$A$4:$A$203,0))))&lt;&gt;D62,IF(COUNTIF('28_スキル評価・育成'!$A$4:$A$203,G62)&lt;&gt;1,"参照ID不正",IF(INDEX('28_スキル評価・育成'!$Q$4:$Q$203,MATCH(G62,'28_スキル評価・育成'!$A$4:$A$203,0))="","",INDEX('28_スキル評価・育成'!$Q$4:$Q$203,MATCH(G62,'28_スキル評価・育成'!$A$4:$A$203,0))))&lt;&gt;F62),"能力証拠の対象不一致",IF(IF(COUNTIF('28_スキル評価・育成'!$A$4:$A$203,G62)&lt;&gt;1,"参照ID不正",IF(INDEX('28_スキル評価・育成'!$P$4:$P$203,MATCH(G62,'28_スキル評価・育成'!$A$4:$A$203,0))="","",INDEX('28_スキル評価・育成'!$P$4:$P$203,MATCH(G62,'28_スキル評価・育成'!$A$4:$A$203,0))))&lt;&gt;"第三者評価記録あり","能力の第三者確認不足",IF(AND(OR(P62="独立評価",P62="品質決裁"),OR(Q62="",Q62=F62)),"実装との独立性不足",IF(O62&gt;0,"能力不足・育成又は支援要","割当記録整合"))))))))))</f>
        <v/>
      </c>
    </row>
    <row r="63" spans="1:18" ht="64" customHeight="1" x14ac:dyDescent="0.2">
      <c r="A63" s="29"/>
      <c r="B63" s="29"/>
      <c r="C63" s="29"/>
      <c r="D63" s="29"/>
      <c r="E63" s="29"/>
      <c r="F63" s="29"/>
      <c r="G63" s="29"/>
      <c r="H63" s="29"/>
      <c r="I63" s="29"/>
      <c r="J63" s="32"/>
      <c r="K63" s="29"/>
      <c r="L63" s="28" t="str">
        <f>IF(A63="","",IF(COUNTIF('02_工程タスク'!$A$4:$A$135,B63)&lt;&gt;1,"参照ID不正",IF(INDEX('02_工程タスク'!$D$4:$D$135,MATCH(B63,'02_工程タスク'!$A$4:$A$135,0))="","",INDEX('02_工程タスク'!$D$4:$D$135,MATCH(B63,'02_工程タスク'!$A$4:$A$135,0)))))</f>
        <v/>
      </c>
      <c r="M63" s="28" t="str">
        <f>IF(A63="","",IF(COUNTIF('07_スキル辞書'!$A$4:$A$109,D63)&lt;&gt;1,"参照ID不正",IF(INDEX('07_スキル辞書'!$D$4:$D$109,MATCH(D63,'07_スキル辞書'!$A$4:$A$109,0))="","",INDEX('07_スキル辞書'!$D$4:$D$109,MATCH(D63,'07_スキル辞書'!$A$4:$A$109,0)))))</f>
        <v/>
      </c>
      <c r="N63" s="28" t="str">
        <f>IF(OR(A63="",G63=""),"",IF(COUNTIF('28_スキル評価・育成'!$A$4:$A$203,G63)&lt;&gt;1,"参照ID不正",IF(INDEX('28_スキル評価・育成'!$H$4:$H$203,MATCH(G63,'28_スキル評価・育成'!$A$4:$A$203,0))="","",INDEX('28_スキル評価・育成'!$H$4:$H$203,MATCH(G63,'28_スキル評価・育成'!$A$4:$A$203,0)))))</f>
        <v/>
      </c>
      <c r="O63" s="28" t="str">
        <f t="shared" si="1"/>
        <v/>
      </c>
      <c r="P63" s="29"/>
      <c r="Q63" s="29"/>
      <c r="R63" s="28" t="str">
        <f>IF(A63="","",IF(COUNTIF($A$4:$A$103,A63)&lt;&gt;1,"割当ID重複",IF(OR(COUNTIF(TaskIDs,B63)&lt;&gt;1,COUNTIF(RoleIDs,C63)&lt;&gt;1,COUNTIF(SkillIDs,D63)&lt;&gt;1),"定義ID不正",IF(OR(NOT(ISNUMBER(E63)),IFERROR(MOD(E63,1)&lt;&gt;0,TRUE),IFERROR(E63&lt;0,TRUE),IFERROR(E63&gt;3,TRUE)),"必要Lv不正",IF(OR(OR(F63="",G63="",H63="",I63="",K63="",P63=""),NOT(ISNUMBER(J63))),"割当承認不足",IF(OR(AND(J63&lt;&gt;"",OR(NOT(ISNUMBER(J63)),IFERROR(J63&lt;1,TRUE),IFERROR(INT(J63)&gt;INT(AsOfDate),TRUE)))),"割当承認日不正",IF(OR(COUNTIF('28_スキル評価・育成'!$A$4:$A$203,G63)&lt;&gt;1,IF(COUNTIF('28_スキル評価・育成'!$A$4:$A$203,G63)&lt;&gt;1,"参照ID不正",IF(INDEX('28_スキル評価・育成'!$B$4:$B$203,MATCH(G63,'28_スキル評価・育成'!$A$4:$A$203,0))="","",INDEX('28_スキル評価・育成'!$B$4:$B$203,MATCH(G63,'28_スキル評価・育成'!$A$4:$A$203,0))))&lt;&gt;D63,IF(COUNTIF('28_スキル評価・育成'!$A$4:$A$203,G63)&lt;&gt;1,"参照ID不正",IF(INDEX('28_スキル評価・育成'!$Q$4:$Q$203,MATCH(G63,'28_スキル評価・育成'!$A$4:$A$203,0))="","",INDEX('28_スキル評価・育成'!$Q$4:$Q$203,MATCH(G63,'28_スキル評価・育成'!$A$4:$A$203,0))))&lt;&gt;F63),"能力証拠の対象不一致",IF(IF(COUNTIF('28_スキル評価・育成'!$A$4:$A$203,G63)&lt;&gt;1,"参照ID不正",IF(INDEX('28_スキル評価・育成'!$P$4:$P$203,MATCH(G63,'28_スキル評価・育成'!$A$4:$A$203,0))="","",INDEX('28_スキル評価・育成'!$P$4:$P$203,MATCH(G63,'28_スキル評価・育成'!$A$4:$A$203,0))))&lt;&gt;"第三者評価記録あり","能力の第三者確認不足",IF(AND(OR(P63="独立評価",P63="品質決裁"),OR(Q63="",Q63=F63)),"実装との独立性不足",IF(O63&gt;0,"能力不足・育成又は支援要","割当記録整合"))))))))))</f>
        <v/>
      </c>
    </row>
    <row r="64" spans="1:18" ht="64" customHeight="1" x14ac:dyDescent="0.2">
      <c r="A64" s="29"/>
      <c r="B64" s="29"/>
      <c r="C64" s="29"/>
      <c r="D64" s="29"/>
      <c r="E64" s="29"/>
      <c r="F64" s="29"/>
      <c r="G64" s="29"/>
      <c r="H64" s="29"/>
      <c r="I64" s="29"/>
      <c r="J64" s="32"/>
      <c r="K64" s="29"/>
      <c r="L64" s="28" t="str">
        <f>IF(A64="","",IF(COUNTIF('02_工程タスク'!$A$4:$A$135,B64)&lt;&gt;1,"参照ID不正",IF(INDEX('02_工程タスク'!$D$4:$D$135,MATCH(B64,'02_工程タスク'!$A$4:$A$135,0))="","",INDEX('02_工程タスク'!$D$4:$D$135,MATCH(B64,'02_工程タスク'!$A$4:$A$135,0)))))</f>
        <v/>
      </c>
      <c r="M64" s="28" t="str">
        <f>IF(A64="","",IF(COUNTIF('07_スキル辞書'!$A$4:$A$109,D64)&lt;&gt;1,"参照ID不正",IF(INDEX('07_スキル辞書'!$D$4:$D$109,MATCH(D64,'07_スキル辞書'!$A$4:$A$109,0))="","",INDEX('07_スキル辞書'!$D$4:$D$109,MATCH(D64,'07_スキル辞書'!$A$4:$A$109,0)))))</f>
        <v/>
      </c>
      <c r="N64" s="28" t="str">
        <f>IF(OR(A64="",G64=""),"",IF(COUNTIF('28_スキル評価・育成'!$A$4:$A$203,G64)&lt;&gt;1,"参照ID不正",IF(INDEX('28_スキル評価・育成'!$H$4:$H$203,MATCH(G64,'28_スキル評価・育成'!$A$4:$A$203,0))="","",INDEX('28_スキル評価・育成'!$H$4:$H$203,MATCH(G64,'28_スキル評価・育成'!$A$4:$A$203,0)))))</f>
        <v/>
      </c>
      <c r="O64" s="28" t="str">
        <f t="shared" si="1"/>
        <v/>
      </c>
      <c r="P64" s="29"/>
      <c r="Q64" s="29"/>
      <c r="R64" s="28" t="str">
        <f>IF(A64="","",IF(COUNTIF($A$4:$A$103,A64)&lt;&gt;1,"割当ID重複",IF(OR(COUNTIF(TaskIDs,B64)&lt;&gt;1,COUNTIF(RoleIDs,C64)&lt;&gt;1,COUNTIF(SkillIDs,D64)&lt;&gt;1),"定義ID不正",IF(OR(NOT(ISNUMBER(E64)),IFERROR(MOD(E64,1)&lt;&gt;0,TRUE),IFERROR(E64&lt;0,TRUE),IFERROR(E64&gt;3,TRUE)),"必要Lv不正",IF(OR(OR(F64="",G64="",H64="",I64="",K64="",P64=""),NOT(ISNUMBER(J64))),"割当承認不足",IF(OR(AND(J64&lt;&gt;"",OR(NOT(ISNUMBER(J64)),IFERROR(J64&lt;1,TRUE),IFERROR(INT(J64)&gt;INT(AsOfDate),TRUE)))),"割当承認日不正",IF(OR(COUNTIF('28_スキル評価・育成'!$A$4:$A$203,G64)&lt;&gt;1,IF(COUNTIF('28_スキル評価・育成'!$A$4:$A$203,G64)&lt;&gt;1,"参照ID不正",IF(INDEX('28_スキル評価・育成'!$B$4:$B$203,MATCH(G64,'28_スキル評価・育成'!$A$4:$A$203,0))="","",INDEX('28_スキル評価・育成'!$B$4:$B$203,MATCH(G64,'28_スキル評価・育成'!$A$4:$A$203,0))))&lt;&gt;D64,IF(COUNTIF('28_スキル評価・育成'!$A$4:$A$203,G64)&lt;&gt;1,"参照ID不正",IF(INDEX('28_スキル評価・育成'!$Q$4:$Q$203,MATCH(G64,'28_スキル評価・育成'!$A$4:$A$203,0))="","",INDEX('28_スキル評価・育成'!$Q$4:$Q$203,MATCH(G64,'28_スキル評価・育成'!$A$4:$A$203,0))))&lt;&gt;F64),"能力証拠の対象不一致",IF(IF(COUNTIF('28_スキル評価・育成'!$A$4:$A$203,G64)&lt;&gt;1,"参照ID不正",IF(INDEX('28_スキル評価・育成'!$P$4:$P$203,MATCH(G64,'28_スキル評価・育成'!$A$4:$A$203,0))="","",INDEX('28_スキル評価・育成'!$P$4:$P$203,MATCH(G64,'28_スキル評価・育成'!$A$4:$A$203,0))))&lt;&gt;"第三者評価記録あり","能力の第三者確認不足",IF(AND(OR(P64="独立評価",P64="品質決裁"),OR(Q64="",Q64=F64)),"実装との独立性不足",IF(O64&gt;0,"能力不足・育成又は支援要","割当記録整合"))))))))))</f>
        <v/>
      </c>
    </row>
    <row r="65" spans="1:18" ht="64" customHeight="1" x14ac:dyDescent="0.2">
      <c r="A65" s="29"/>
      <c r="B65" s="29"/>
      <c r="C65" s="29"/>
      <c r="D65" s="29"/>
      <c r="E65" s="29"/>
      <c r="F65" s="29"/>
      <c r="G65" s="29"/>
      <c r="H65" s="29"/>
      <c r="I65" s="29"/>
      <c r="J65" s="32"/>
      <c r="K65" s="29"/>
      <c r="L65" s="28" t="str">
        <f>IF(A65="","",IF(COUNTIF('02_工程タスク'!$A$4:$A$135,B65)&lt;&gt;1,"参照ID不正",IF(INDEX('02_工程タスク'!$D$4:$D$135,MATCH(B65,'02_工程タスク'!$A$4:$A$135,0))="","",INDEX('02_工程タスク'!$D$4:$D$135,MATCH(B65,'02_工程タスク'!$A$4:$A$135,0)))))</f>
        <v/>
      </c>
      <c r="M65" s="28" t="str">
        <f>IF(A65="","",IF(COUNTIF('07_スキル辞書'!$A$4:$A$109,D65)&lt;&gt;1,"参照ID不正",IF(INDEX('07_スキル辞書'!$D$4:$D$109,MATCH(D65,'07_スキル辞書'!$A$4:$A$109,0))="","",INDEX('07_スキル辞書'!$D$4:$D$109,MATCH(D65,'07_スキル辞書'!$A$4:$A$109,0)))))</f>
        <v/>
      </c>
      <c r="N65" s="28" t="str">
        <f>IF(OR(A65="",G65=""),"",IF(COUNTIF('28_スキル評価・育成'!$A$4:$A$203,G65)&lt;&gt;1,"参照ID不正",IF(INDEX('28_スキル評価・育成'!$H$4:$H$203,MATCH(G65,'28_スキル評価・育成'!$A$4:$A$203,0))="","",INDEX('28_スキル評価・育成'!$H$4:$H$203,MATCH(G65,'28_スキル評価・育成'!$A$4:$A$203,0)))))</f>
        <v/>
      </c>
      <c r="O65" s="28" t="str">
        <f t="shared" si="1"/>
        <v/>
      </c>
      <c r="P65" s="29"/>
      <c r="Q65" s="29"/>
      <c r="R65" s="28" t="str">
        <f>IF(A65="","",IF(COUNTIF($A$4:$A$103,A65)&lt;&gt;1,"割当ID重複",IF(OR(COUNTIF(TaskIDs,B65)&lt;&gt;1,COUNTIF(RoleIDs,C65)&lt;&gt;1,COUNTIF(SkillIDs,D65)&lt;&gt;1),"定義ID不正",IF(OR(NOT(ISNUMBER(E65)),IFERROR(MOD(E65,1)&lt;&gt;0,TRUE),IFERROR(E65&lt;0,TRUE),IFERROR(E65&gt;3,TRUE)),"必要Lv不正",IF(OR(OR(F65="",G65="",H65="",I65="",K65="",P65=""),NOT(ISNUMBER(J65))),"割当承認不足",IF(OR(AND(J65&lt;&gt;"",OR(NOT(ISNUMBER(J65)),IFERROR(J65&lt;1,TRUE),IFERROR(INT(J65)&gt;INT(AsOfDate),TRUE)))),"割当承認日不正",IF(OR(COUNTIF('28_スキル評価・育成'!$A$4:$A$203,G65)&lt;&gt;1,IF(COUNTIF('28_スキル評価・育成'!$A$4:$A$203,G65)&lt;&gt;1,"参照ID不正",IF(INDEX('28_スキル評価・育成'!$B$4:$B$203,MATCH(G65,'28_スキル評価・育成'!$A$4:$A$203,0))="","",INDEX('28_スキル評価・育成'!$B$4:$B$203,MATCH(G65,'28_スキル評価・育成'!$A$4:$A$203,0))))&lt;&gt;D65,IF(COUNTIF('28_スキル評価・育成'!$A$4:$A$203,G65)&lt;&gt;1,"参照ID不正",IF(INDEX('28_スキル評価・育成'!$Q$4:$Q$203,MATCH(G65,'28_スキル評価・育成'!$A$4:$A$203,0))="","",INDEX('28_スキル評価・育成'!$Q$4:$Q$203,MATCH(G65,'28_スキル評価・育成'!$A$4:$A$203,0))))&lt;&gt;F65),"能力証拠の対象不一致",IF(IF(COUNTIF('28_スキル評価・育成'!$A$4:$A$203,G65)&lt;&gt;1,"参照ID不正",IF(INDEX('28_スキル評価・育成'!$P$4:$P$203,MATCH(G65,'28_スキル評価・育成'!$A$4:$A$203,0))="","",INDEX('28_スキル評価・育成'!$P$4:$P$203,MATCH(G65,'28_スキル評価・育成'!$A$4:$A$203,0))))&lt;&gt;"第三者評価記録あり","能力の第三者確認不足",IF(AND(OR(P65="独立評価",P65="品質決裁"),OR(Q65="",Q65=F65)),"実装との独立性不足",IF(O65&gt;0,"能力不足・育成又は支援要","割当記録整合"))))))))))</f>
        <v/>
      </c>
    </row>
    <row r="66" spans="1:18" ht="64" customHeight="1" x14ac:dyDescent="0.2">
      <c r="A66" s="29"/>
      <c r="B66" s="29"/>
      <c r="C66" s="29"/>
      <c r="D66" s="29"/>
      <c r="E66" s="29"/>
      <c r="F66" s="29"/>
      <c r="G66" s="29"/>
      <c r="H66" s="29"/>
      <c r="I66" s="29"/>
      <c r="J66" s="32"/>
      <c r="K66" s="29"/>
      <c r="L66" s="28" t="str">
        <f>IF(A66="","",IF(COUNTIF('02_工程タスク'!$A$4:$A$135,B66)&lt;&gt;1,"参照ID不正",IF(INDEX('02_工程タスク'!$D$4:$D$135,MATCH(B66,'02_工程タスク'!$A$4:$A$135,0))="","",INDEX('02_工程タスク'!$D$4:$D$135,MATCH(B66,'02_工程タスク'!$A$4:$A$135,0)))))</f>
        <v/>
      </c>
      <c r="M66" s="28" t="str">
        <f>IF(A66="","",IF(COUNTIF('07_スキル辞書'!$A$4:$A$109,D66)&lt;&gt;1,"参照ID不正",IF(INDEX('07_スキル辞書'!$D$4:$D$109,MATCH(D66,'07_スキル辞書'!$A$4:$A$109,0))="","",INDEX('07_スキル辞書'!$D$4:$D$109,MATCH(D66,'07_スキル辞書'!$A$4:$A$109,0)))))</f>
        <v/>
      </c>
      <c r="N66" s="28" t="str">
        <f>IF(OR(A66="",G66=""),"",IF(COUNTIF('28_スキル評価・育成'!$A$4:$A$203,G66)&lt;&gt;1,"参照ID不正",IF(INDEX('28_スキル評価・育成'!$H$4:$H$203,MATCH(G66,'28_スキル評価・育成'!$A$4:$A$203,0))="","",INDEX('28_スキル評価・育成'!$H$4:$H$203,MATCH(G66,'28_スキル評価・育成'!$A$4:$A$203,0)))))</f>
        <v/>
      </c>
      <c r="O66" s="28" t="str">
        <f t="shared" si="1"/>
        <v/>
      </c>
      <c r="P66" s="29"/>
      <c r="Q66" s="29"/>
      <c r="R66" s="28" t="str">
        <f>IF(A66="","",IF(COUNTIF($A$4:$A$103,A66)&lt;&gt;1,"割当ID重複",IF(OR(COUNTIF(TaskIDs,B66)&lt;&gt;1,COUNTIF(RoleIDs,C66)&lt;&gt;1,COUNTIF(SkillIDs,D66)&lt;&gt;1),"定義ID不正",IF(OR(NOT(ISNUMBER(E66)),IFERROR(MOD(E66,1)&lt;&gt;0,TRUE),IFERROR(E66&lt;0,TRUE),IFERROR(E66&gt;3,TRUE)),"必要Lv不正",IF(OR(OR(F66="",G66="",H66="",I66="",K66="",P66=""),NOT(ISNUMBER(J66))),"割当承認不足",IF(OR(AND(J66&lt;&gt;"",OR(NOT(ISNUMBER(J66)),IFERROR(J66&lt;1,TRUE),IFERROR(INT(J66)&gt;INT(AsOfDate),TRUE)))),"割当承認日不正",IF(OR(COUNTIF('28_スキル評価・育成'!$A$4:$A$203,G66)&lt;&gt;1,IF(COUNTIF('28_スキル評価・育成'!$A$4:$A$203,G66)&lt;&gt;1,"参照ID不正",IF(INDEX('28_スキル評価・育成'!$B$4:$B$203,MATCH(G66,'28_スキル評価・育成'!$A$4:$A$203,0))="","",INDEX('28_スキル評価・育成'!$B$4:$B$203,MATCH(G66,'28_スキル評価・育成'!$A$4:$A$203,0))))&lt;&gt;D66,IF(COUNTIF('28_スキル評価・育成'!$A$4:$A$203,G66)&lt;&gt;1,"参照ID不正",IF(INDEX('28_スキル評価・育成'!$Q$4:$Q$203,MATCH(G66,'28_スキル評価・育成'!$A$4:$A$203,0))="","",INDEX('28_スキル評価・育成'!$Q$4:$Q$203,MATCH(G66,'28_スキル評価・育成'!$A$4:$A$203,0))))&lt;&gt;F66),"能力証拠の対象不一致",IF(IF(COUNTIF('28_スキル評価・育成'!$A$4:$A$203,G66)&lt;&gt;1,"参照ID不正",IF(INDEX('28_スキル評価・育成'!$P$4:$P$203,MATCH(G66,'28_スキル評価・育成'!$A$4:$A$203,0))="","",INDEX('28_スキル評価・育成'!$P$4:$P$203,MATCH(G66,'28_スキル評価・育成'!$A$4:$A$203,0))))&lt;&gt;"第三者評価記録あり","能力の第三者確認不足",IF(AND(OR(P66="独立評価",P66="品質決裁"),OR(Q66="",Q66=F66)),"実装との独立性不足",IF(O66&gt;0,"能力不足・育成又は支援要","割当記録整合"))))))))))</f>
        <v/>
      </c>
    </row>
    <row r="67" spans="1:18" ht="64" customHeight="1" x14ac:dyDescent="0.2">
      <c r="A67" s="29"/>
      <c r="B67" s="29"/>
      <c r="C67" s="29"/>
      <c r="D67" s="29"/>
      <c r="E67" s="29"/>
      <c r="F67" s="29"/>
      <c r="G67" s="29"/>
      <c r="H67" s="29"/>
      <c r="I67" s="29"/>
      <c r="J67" s="32"/>
      <c r="K67" s="29"/>
      <c r="L67" s="28" t="str">
        <f>IF(A67="","",IF(COUNTIF('02_工程タスク'!$A$4:$A$135,B67)&lt;&gt;1,"参照ID不正",IF(INDEX('02_工程タスク'!$D$4:$D$135,MATCH(B67,'02_工程タスク'!$A$4:$A$135,0))="","",INDEX('02_工程タスク'!$D$4:$D$135,MATCH(B67,'02_工程タスク'!$A$4:$A$135,0)))))</f>
        <v/>
      </c>
      <c r="M67" s="28" t="str">
        <f>IF(A67="","",IF(COUNTIF('07_スキル辞書'!$A$4:$A$109,D67)&lt;&gt;1,"参照ID不正",IF(INDEX('07_スキル辞書'!$D$4:$D$109,MATCH(D67,'07_スキル辞書'!$A$4:$A$109,0))="","",INDEX('07_スキル辞書'!$D$4:$D$109,MATCH(D67,'07_スキル辞書'!$A$4:$A$109,0)))))</f>
        <v/>
      </c>
      <c r="N67" s="28" t="str">
        <f>IF(OR(A67="",G67=""),"",IF(COUNTIF('28_スキル評価・育成'!$A$4:$A$203,G67)&lt;&gt;1,"参照ID不正",IF(INDEX('28_スキル評価・育成'!$H$4:$H$203,MATCH(G67,'28_スキル評価・育成'!$A$4:$A$203,0))="","",INDEX('28_スキル評価・育成'!$H$4:$H$203,MATCH(G67,'28_スキル評価・育成'!$A$4:$A$203,0)))))</f>
        <v/>
      </c>
      <c r="O67" s="28" t="str">
        <f t="shared" si="1"/>
        <v/>
      </c>
      <c r="P67" s="29"/>
      <c r="Q67" s="29"/>
      <c r="R67" s="28" t="str">
        <f>IF(A67="","",IF(COUNTIF($A$4:$A$103,A67)&lt;&gt;1,"割当ID重複",IF(OR(COUNTIF(TaskIDs,B67)&lt;&gt;1,COUNTIF(RoleIDs,C67)&lt;&gt;1,COUNTIF(SkillIDs,D67)&lt;&gt;1),"定義ID不正",IF(OR(NOT(ISNUMBER(E67)),IFERROR(MOD(E67,1)&lt;&gt;0,TRUE),IFERROR(E67&lt;0,TRUE),IFERROR(E67&gt;3,TRUE)),"必要Lv不正",IF(OR(OR(F67="",G67="",H67="",I67="",K67="",P67=""),NOT(ISNUMBER(J67))),"割当承認不足",IF(OR(AND(J67&lt;&gt;"",OR(NOT(ISNUMBER(J67)),IFERROR(J67&lt;1,TRUE),IFERROR(INT(J67)&gt;INT(AsOfDate),TRUE)))),"割当承認日不正",IF(OR(COUNTIF('28_スキル評価・育成'!$A$4:$A$203,G67)&lt;&gt;1,IF(COUNTIF('28_スキル評価・育成'!$A$4:$A$203,G67)&lt;&gt;1,"参照ID不正",IF(INDEX('28_スキル評価・育成'!$B$4:$B$203,MATCH(G67,'28_スキル評価・育成'!$A$4:$A$203,0))="","",INDEX('28_スキル評価・育成'!$B$4:$B$203,MATCH(G67,'28_スキル評価・育成'!$A$4:$A$203,0))))&lt;&gt;D67,IF(COUNTIF('28_スキル評価・育成'!$A$4:$A$203,G67)&lt;&gt;1,"参照ID不正",IF(INDEX('28_スキル評価・育成'!$Q$4:$Q$203,MATCH(G67,'28_スキル評価・育成'!$A$4:$A$203,0))="","",INDEX('28_スキル評価・育成'!$Q$4:$Q$203,MATCH(G67,'28_スキル評価・育成'!$A$4:$A$203,0))))&lt;&gt;F67),"能力証拠の対象不一致",IF(IF(COUNTIF('28_スキル評価・育成'!$A$4:$A$203,G67)&lt;&gt;1,"参照ID不正",IF(INDEX('28_スキル評価・育成'!$P$4:$P$203,MATCH(G67,'28_スキル評価・育成'!$A$4:$A$203,0))="","",INDEX('28_スキル評価・育成'!$P$4:$P$203,MATCH(G67,'28_スキル評価・育成'!$A$4:$A$203,0))))&lt;&gt;"第三者評価記録あり","能力の第三者確認不足",IF(AND(OR(P67="独立評価",P67="品質決裁"),OR(Q67="",Q67=F67)),"実装との独立性不足",IF(O67&gt;0,"能力不足・育成又は支援要","割当記録整合"))))))))))</f>
        <v/>
      </c>
    </row>
    <row r="68" spans="1:18" ht="64" customHeight="1" x14ac:dyDescent="0.2">
      <c r="A68" s="29"/>
      <c r="B68" s="29"/>
      <c r="C68" s="29"/>
      <c r="D68" s="29"/>
      <c r="E68" s="29"/>
      <c r="F68" s="29"/>
      <c r="G68" s="29"/>
      <c r="H68" s="29"/>
      <c r="I68" s="29"/>
      <c r="J68" s="32"/>
      <c r="K68" s="29"/>
      <c r="L68" s="28" t="str">
        <f>IF(A68="","",IF(COUNTIF('02_工程タスク'!$A$4:$A$135,B68)&lt;&gt;1,"参照ID不正",IF(INDEX('02_工程タスク'!$D$4:$D$135,MATCH(B68,'02_工程タスク'!$A$4:$A$135,0))="","",INDEX('02_工程タスク'!$D$4:$D$135,MATCH(B68,'02_工程タスク'!$A$4:$A$135,0)))))</f>
        <v/>
      </c>
      <c r="M68" s="28" t="str">
        <f>IF(A68="","",IF(COUNTIF('07_スキル辞書'!$A$4:$A$109,D68)&lt;&gt;1,"参照ID不正",IF(INDEX('07_スキル辞書'!$D$4:$D$109,MATCH(D68,'07_スキル辞書'!$A$4:$A$109,0))="","",INDEX('07_スキル辞書'!$D$4:$D$109,MATCH(D68,'07_スキル辞書'!$A$4:$A$109,0)))))</f>
        <v/>
      </c>
      <c r="N68" s="28" t="str">
        <f>IF(OR(A68="",G68=""),"",IF(COUNTIF('28_スキル評価・育成'!$A$4:$A$203,G68)&lt;&gt;1,"参照ID不正",IF(INDEX('28_スキル評価・育成'!$H$4:$H$203,MATCH(G68,'28_スキル評価・育成'!$A$4:$A$203,0))="","",INDEX('28_スキル評価・育成'!$H$4:$H$203,MATCH(G68,'28_スキル評価・育成'!$A$4:$A$203,0)))))</f>
        <v/>
      </c>
      <c r="O68" s="28" t="str">
        <f t="shared" ref="O68:O99" si="2">IF(COUNT(E68,N68)&lt;2,"",MAX(0,E68-N68))</f>
        <v/>
      </c>
      <c r="P68" s="29"/>
      <c r="Q68" s="29"/>
      <c r="R68" s="28" t="str">
        <f>IF(A68="","",IF(COUNTIF($A$4:$A$103,A68)&lt;&gt;1,"割当ID重複",IF(OR(COUNTIF(TaskIDs,B68)&lt;&gt;1,COUNTIF(RoleIDs,C68)&lt;&gt;1,COUNTIF(SkillIDs,D68)&lt;&gt;1),"定義ID不正",IF(OR(NOT(ISNUMBER(E68)),IFERROR(MOD(E68,1)&lt;&gt;0,TRUE),IFERROR(E68&lt;0,TRUE),IFERROR(E68&gt;3,TRUE)),"必要Lv不正",IF(OR(OR(F68="",G68="",H68="",I68="",K68="",P68=""),NOT(ISNUMBER(J68))),"割当承認不足",IF(OR(AND(J68&lt;&gt;"",OR(NOT(ISNUMBER(J68)),IFERROR(J68&lt;1,TRUE),IFERROR(INT(J68)&gt;INT(AsOfDate),TRUE)))),"割当承認日不正",IF(OR(COUNTIF('28_スキル評価・育成'!$A$4:$A$203,G68)&lt;&gt;1,IF(COUNTIF('28_スキル評価・育成'!$A$4:$A$203,G68)&lt;&gt;1,"参照ID不正",IF(INDEX('28_スキル評価・育成'!$B$4:$B$203,MATCH(G68,'28_スキル評価・育成'!$A$4:$A$203,0))="","",INDEX('28_スキル評価・育成'!$B$4:$B$203,MATCH(G68,'28_スキル評価・育成'!$A$4:$A$203,0))))&lt;&gt;D68,IF(COUNTIF('28_スキル評価・育成'!$A$4:$A$203,G68)&lt;&gt;1,"参照ID不正",IF(INDEX('28_スキル評価・育成'!$Q$4:$Q$203,MATCH(G68,'28_スキル評価・育成'!$A$4:$A$203,0))="","",INDEX('28_スキル評価・育成'!$Q$4:$Q$203,MATCH(G68,'28_スキル評価・育成'!$A$4:$A$203,0))))&lt;&gt;F68),"能力証拠の対象不一致",IF(IF(COUNTIF('28_スキル評価・育成'!$A$4:$A$203,G68)&lt;&gt;1,"参照ID不正",IF(INDEX('28_スキル評価・育成'!$P$4:$P$203,MATCH(G68,'28_スキル評価・育成'!$A$4:$A$203,0))="","",INDEX('28_スキル評価・育成'!$P$4:$P$203,MATCH(G68,'28_スキル評価・育成'!$A$4:$A$203,0))))&lt;&gt;"第三者評価記録あり","能力の第三者確認不足",IF(AND(OR(P68="独立評価",P68="品質決裁"),OR(Q68="",Q68=F68)),"実装との独立性不足",IF(O68&gt;0,"能力不足・育成又は支援要","割当記録整合"))))))))))</f>
        <v/>
      </c>
    </row>
    <row r="69" spans="1:18" ht="64" customHeight="1" x14ac:dyDescent="0.2">
      <c r="A69" s="29"/>
      <c r="B69" s="29"/>
      <c r="C69" s="29"/>
      <c r="D69" s="29"/>
      <c r="E69" s="29"/>
      <c r="F69" s="29"/>
      <c r="G69" s="29"/>
      <c r="H69" s="29"/>
      <c r="I69" s="29"/>
      <c r="J69" s="32"/>
      <c r="K69" s="29"/>
      <c r="L69" s="28" t="str">
        <f>IF(A69="","",IF(COUNTIF('02_工程タスク'!$A$4:$A$135,B69)&lt;&gt;1,"参照ID不正",IF(INDEX('02_工程タスク'!$D$4:$D$135,MATCH(B69,'02_工程タスク'!$A$4:$A$135,0))="","",INDEX('02_工程タスク'!$D$4:$D$135,MATCH(B69,'02_工程タスク'!$A$4:$A$135,0)))))</f>
        <v/>
      </c>
      <c r="M69" s="28" t="str">
        <f>IF(A69="","",IF(COUNTIF('07_スキル辞書'!$A$4:$A$109,D69)&lt;&gt;1,"参照ID不正",IF(INDEX('07_スキル辞書'!$D$4:$D$109,MATCH(D69,'07_スキル辞書'!$A$4:$A$109,0))="","",INDEX('07_スキル辞書'!$D$4:$D$109,MATCH(D69,'07_スキル辞書'!$A$4:$A$109,0)))))</f>
        <v/>
      </c>
      <c r="N69" s="28" t="str">
        <f>IF(OR(A69="",G69=""),"",IF(COUNTIF('28_スキル評価・育成'!$A$4:$A$203,G69)&lt;&gt;1,"参照ID不正",IF(INDEX('28_スキル評価・育成'!$H$4:$H$203,MATCH(G69,'28_スキル評価・育成'!$A$4:$A$203,0))="","",INDEX('28_スキル評価・育成'!$H$4:$H$203,MATCH(G69,'28_スキル評価・育成'!$A$4:$A$203,0)))))</f>
        <v/>
      </c>
      <c r="O69" s="28" t="str">
        <f t="shared" si="2"/>
        <v/>
      </c>
      <c r="P69" s="29"/>
      <c r="Q69" s="29"/>
      <c r="R69" s="28" t="str">
        <f>IF(A69="","",IF(COUNTIF($A$4:$A$103,A69)&lt;&gt;1,"割当ID重複",IF(OR(COUNTIF(TaskIDs,B69)&lt;&gt;1,COUNTIF(RoleIDs,C69)&lt;&gt;1,COUNTIF(SkillIDs,D69)&lt;&gt;1),"定義ID不正",IF(OR(NOT(ISNUMBER(E69)),IFERROR(MOD(E69,1)&lt;&gt;0,TRUE),IFERROR(E69&lt;0,TRUE),IFERROR(E69&gt;3,TRUE)),"必要Lv不正",IF(OR(OR(F69="",G69="",H69="",I69="",K69="",P69=""),NOT(ISNUMBER(J69))),"割当承認不足",IF(OR(AND(J69&lt;&gt;"",OR(NOT(ISNUMBER(J69)),IFERROR(J69&lt;1,TRUE),IFERROR(INT(J69)&gt;INT(AsOfDate),TRUE)))),"割当承認日不正",IF(OR(COUNTIF('28_スキル評価・育成'!$A$4:$A$203,G69)&lt;&gt;1,IF(COUNTIF('28_スキル評価・育成'!$A$4:$A$203,G69)&lt;&gt;1,"参照ID不正",IF(INDEX('28_スキル評価・育成'!$B$4:$B$203,MATCH(G69,'28_スキル評価・育成'!$A$4:$A$203,0))="","",INDEX('28_スキル評価・育成'!$B$4:$B$203,MATCH(G69,'28_スキル評価・育成'!$A$4:$A$203,0))))&lt;&gt;D69,IF(COUNTIF('28_スキル評価・育成'!$A$4:$A$203,G69)&lt;&gt;1,"参照ID不正",IF(INDEX('28_スキル評価・育成'!$Q$4:$Q$203,MATCH(G69,'28_スキル評価・育成'!$A$4:$A$203,0))="","",INDEX('28_スキル評価・育成'!$Q$4:$Q$203,MATCH(G69,'28_スキル評価・育成'!$A$4:$A$203,0))))&lt;&gt;F69),"能力証拠の対象不一致",IF(IF(COUNTIF('28_スキル評価・育成'!$A$4:$A$203,G69)&lt;&gt;1,"参照ID不正",IF(INDEX('28_スキル評価・育成'!$P$4:$P$203,MATCH(G69,'28_スキル評価・育成'!$A$4:$A$203,0))="","",INDEX('28_スキル評価・育成'!$P$4:$P$203,MATCH(G69,'28_スキル評価・育成'!$A$4:$A$203,0))))&lt;&gt;"第三者評価記録あり","能力の第三者確認不足",IF(AND(OR(P69="独立評価",P69="品質決裁"),OR(Q69="",Q69=F69)),"実装との独立性不足",IF(O69&gt;0,"能力不足・育成又は支援要","割当記録整合"))))))))))</f>
        <v/>
      </c>
    </row>
    <row r="70" spans="1:18" ht="64" customHeight="1" x14ac:dyDescent="0.2">
      <c r="A70" s="29"/>
      <c r="B70" s="29"/>
      <c r="C70" s="29"/>
      <c r="D70" s="29"/>
      <c r="E70" s="29"/>
      <c r="F70" s="29"/>
      <c r="G70" s="29"/>
      <c r="H70" s="29"/>
      <c r="I70" s="29"/>
      <c r="J70" s="32"/>
      <c r="K70" s="29"/>
      <c r="L70" s="28" t="str">
        <f>IF(A70="","",IF(COUNTIF('02_工程タスク'!$A$4:$A$135,B70)&lt;&gt;1,"参照ID不正",IF(INDEX('02_工程タスク'!$D$4:$D$135,MATCH(B70,'02_工程タスク'!$A$4:$A$135,0))="","",INDEX('02_工程タスク'!$D$4:$D$135,MATCH(B70,'02_工程タスク'!$A$4:$A$135,0)))))</f>
        <v/>
      </c>
      <c r="M70" s="28" t="str">
        <f>IF(A70="","",IF(COUNTIF('07_スキル辞書'!$A$4:$A$109,D70)&lt;&gt;1,"参照ID不正",IF(INDEX('07_スキル辞書'!$D$4:$D$109,MATCH(D70,'07_スキル辞書'!$A$4:$A$109,0))="","",INDEX('07_スキル辞書'!$D$4:$D$109,MATCH(D70,'07_スキル辞書'!$A$4:$A$109,0)))))</f>
        <v/>
      </c>
      <c r="N70" s="28" t="str">
        <f>IF(OR(A70="",G70=""),"",IF(COUNTIF('28_スキル評価・育成'!$A$4:$A$203,G70)&lt;&gt;1,"参照ID不正",IF(INDEX('28_スキル評価・育成'!$H$4:$H$203,MATCH(G70,'28_スキル評価・育成'!$A$4:$A$203,0))="","",INDEX('28_スキル評価・育成'!$H$4:$H$203,MATCH(G70,'28_スキル評価・育成'!$A$4:$A$203,0)))))</f>
        <v/>
      </c>
      <c r="O70" s="28" t="str">
        <f t="shared" si="2"/>
        <v/>
      </c>
      <c r="P70" s="29"/>
      <c r="Q70" s="29"/>
      <c r="R70" s="28" t="str">
        <f>IF(A70="","",IF(COUNTIF($A$4:$A$103,A70)&lt;&gt;1,"割当ID重複",IF(OR(COUNTIF(TaskIDs,B70)&lt;&gt;1,COUNTIF(RoleIDs,C70)&lt;&gt;1,COUNTIF(SkillIDs,D70)&lt;&gt;1),"定義ID不正",IF(OR(NOT(ISNUMBER(E70)),IFERROR(MOD(E70,1)&lt;&gt;0,TRUE),IFERROR(E70&lt;0,TRUE),IFERROR(E70&gt;3,TRUE)),"必要Lv不正",IF(OR(OR(F70="",G70="",H70="",I70="",K70="",P70=""),NOT(ISNUMBER(J70))),"割当承認不足",IF(OR(AND(J70&lt;&gt;"",OR(NOT(ISNUMBER(J70)),IFERROR(J70&lt;1,TRUE),IFERROR(INT(J70)&gt;INT(AsOfDate),TRUE)))),"割当承認日不正",IF(OR(COUNTIF('28_スキル評価・育成'!$A$4:$A$203,G70)&lt;&gt;1,IF(COUNTIF('28_スキル評価・育成'!$A$4:$A$203,G70)&lt;&gt;1,"参照ID不正",IF(INDEX('28_スキル評価・育成'!$B$4:$B$203,MATCH(G70,'28_スキル評価・育成'!$A$4:$A$203,0))="","",INDEX('28_スキル評価・育成'!$B$4:$B$203,MATCH(G70,'28_スキル評価・育成'!$A$4:$A$203,0))))&lt;&gt;D70,IF(COUNTIF('28_スキル評価・育成'!$A$4:$A$203,G70)&lt;&gt;1,"参照ID不正",IF(INDEX('28_スキル評価・育成'!$Q$4:$Q$203,MATCH(G70,'28_スキル評価・育成'!$A$4:$A$203,0))="","",INDEX('28_スキル評価・育成'!$Q$4:$Q$203,MATCH(G70,'28_スキル評価・育成'!$A$4:$A$203,0))))&lt;&gt;F70),"能力証拠の対象不一致",IF(IF(COUNTIF('28_スキル評価・育成'!$A$4:$A$203,G70)&lt;&gt;1,"参照ID不正",IF(INDEX('28_スキル評価・育成'!$P$4:$P$203,MATCH(G70,'28_スキル評価・育成'!$A$4:$A$203,0))="","",INDEX('28_スキル評価・育成'!$P$4:$P$203,MATCH(G70,'28_スキル評価・育成'!$A$4:$A$203,0))))&lt;&gt;"第三者評価記録あり","能力の第三者確認不足",IF(AND(OR(P70="独立評価",P70="品質決裁"),OR(Q70="",Q70=F70)),"実装との独立性不足",IF(O70&gt;0,"能力不足・育成又は支援要","割当記録整合"))))))))))</f>
        <v/>
      </c>
    </row>
    <row r="71" spans="1:18" ht="64" customHeight="1" x14ac:dyDescent="0.2">
      <c r="A71" s="29"/>
      <c r="B71" s="29"/>
      <c r="C71" s="29"/>
      <c r="D71" s="29"/>
      <c r="E71" s="29"/>
      <c r="F71" s="29"/>
      <c r="G71" s="29"/>
      <c r="H71" s="29"/>
      <c r="I71" s="29"/>
      <c r="J71" s="32"/>
      <c r="K71" s="29"/>
      <c r="L71" s="28" t="str">
        <f>IF(A71="","",IF(COUNTIF('02_工程タスク'!$A$4:$A$135,B71)&lt;&gt;1,"参照ID不正",IF(INDEX('02_工程タスク'!$D$4:$D$135,MATCH(B71,'02_工程タスク'!$A$4:$A$135,0))="","",INDEX('02_工程タスク'!$D$4:$D$135,MATCH(B71,'02_工程タスク'!$A$4:$A$135,0)))))</f>
        <v/>
      </c>
      <c r="M71" s="28" t="str">
        <f>IF(A71="","",IF(COUNTIF('07_スキル辞書'!$A$4:$A$109,D71)&lt;&gt;1,"参照ID不正",IF(INDEX('07_スキル辞書'!$D$4:$D$109,MATCH(D71,'07_スキル辞書'!$A$4:$A$109,0))="","",INDEX('07_スキル辞書'!$D$4:$D$109,MATCH(D71,'07_スキル辞書'!$A$4:$A$109,0)))))</f>
        <v/>
      </c>
      <c r="N71" s="28" t="str">
        <f>IF(OR(A71="",G71=""),"",IF(COUNTIF('28_スキル評価・育成'!$A$4:$A$203,G71)&lt;&gt;1,"参照ID不正",IF(INDEX('28_スキル評価・育成'!$H$4:$H$203,MATCH(G71,'28_スキル評価・育成'!$A$4:$A$203,0))="","",INDEX('28_スキル評価・育成'!$H$4:$H$203,MATCH(G71,'28_スキル評価・育成'!$A$4:$A$203,0)))))</f>
        <v/>
      </c>
      <c r="O71" s="28" t="str">
        <f t="shared" si="2"/>
        <v/>
      </c>
      <c r="P71" s="29"/>
      <c r="Q71" s="29"/>
      <c r="R71" s="28" t="str">
        <f>IF(A71="","",IF(COUNTIF($A$4:$A$103,A71)&lt;&gt;1,"割当ID重複",IF(OR(COUNTIF(TaskIDs,B71)&lt;&gt;1,COUNTIF(RoleIDs,C71)&lt;&gt;1,COUNTIF(SkillIDs,D71)&lt;&gt;1),"定義ID不正",IF(OR(NOT(ISNUMBER(E71)),IFERROR(MOD(E71,1)&lt;&gt;0,TRUE),IFERROR(E71&lt;0,TRUE),IFERROR(E71&gt;3,TRUE)),"必要Lv不正",IF(OR(OR(F71="",G71="",H71="",I71="",K71="",P71=""),NOT(ISNUMBER(J71))),"割当承認不足",IF(OR(AND(J71&lt;&gt;"",OR(NOT(ISNUMBER(J71)),IFERROR(J71&lt;1,TRUE),IFERROR(INT(J71)&gt;INT(AsOfDate),TRUE)))),"割当承認日不正",IF(OR(COUNTIF('28_スキル評価・育成'!$A$4:$A$203,G71)&lt;&gt;1,IF(COUNTIF('28_スキル評価・育成'!$A$4:$A$203,G71)&lt;&gt;1,"参照ID不正",IF(INDEX('28_スキル評価・育成'!$B$4:$B$203,MATCH(G71,'28_スキル評価・育成'!$A$4:$A$203,0))="","",INDEX('28_スキル評価・育成'!$B$4:$B$203,MATCH(G71,'28_スキル評価・育成'!$A$4:$A$203,0))))&lt;&gt;D71,IF(COUNTIF('28_スキル評価・育成'!$A$4:$A$203,G71)&lt;&gt;1,"参照ID不正",IF(INDEX('28_スキル評価・育成'!$Q$4:$Q$203,MATCH(G71,'28_スキル評価・育成'!$A$4:$A$203,0))="","",INDEX('28_スキル評価・育成'!$Q$4:$Q$203,MATCH(G71,'28_スキル評価・育成'!$A$4:$A$203,0))))&lt;&gt;F71),"能力証拠の対象不一致",IF(IF(COUNTIF('28_スキル評価・育成'!$A$4:$A$203,G71)&lt;&gt;1,"参照ID不正",IF(INDEX('28_スキル評価・育成'!$P$4:$P$203,MATCH(G71,'28_スキル評価・育成'!$A$4:$A$203,0))="","",INDEX('28_スキル評価・育成'!$P$4:$P$203,MATCH(G71,'28_スキル評価・育成'!$A$4:$A$203,0))))&lt;&gt;"第三者評価記録あり","能力の第三者確認不足",IF(AND(OR(P71="独立評価",P71="品質決裁"),OR(Q71="",Q71=F71)),"実装との独立性不足",IF(O71&gt;0,"能力不足・育成又は支援要","割当記録整合"))))))))))</f>
        <v/>
      </c>
    </row>
    <row r="72" spans="1:18" ht="64" customHeight="1" x14ac:dyDescent="0.2">
      <c r="A72" s="29"/>
      <c r="B72" s="29"/>
      <c r="C72" s="29"/>
      <c r="D72" s="29"/>
      <c r="E72" s="29"/>
      <c r="F72" s="29"/>
      <c r="G72" s="29"/>
      <c r="H72" s="29"/>
      <c r="I72" s="29"/>
      <c r="J72" s="32"/>
      <c r="K72" s="29"/>
      <c r="L72" s="28" t="str">
        <f>IF(A72="","",IF(COUNTIF('02_工程タスク'!$A$4:$A$135,B72)&lt;&gt;1,"参照ID不正",IF(INDEX('02_工程タスク'!$D$4:$D$135,MATCH(B72,'02_工程タスク'!$A$4:$A$135,0))="","",INDEX('02_工程タスク'!$D$4:$D$135,MATCH(B72,'02_工程タスク'!$A$4:$A$135,0)))))</f>
        <v/>
      </c>
      <c r="M72" s="28" t="str">
        <f>IF(A72="","",IF(COUNTIF('07_スキル辞書'!$A$4:$A$109,D72)&lt;&gt;1,"参照ID不正",IF(INDEX('07_スキル辞書'!$D$4:$D$109,MATCH(D72,'07_スキル辞書'!$A$4:$A$109,0))="","",INDEX('07_スキル辞書'!$D$4:$D$109,MATCH(D72,'07_スキル辞書'!$A$4:$A$109,0)))))</f>
        <v/>
      </c>
      <c r="N72" s="28" t="str">
        <f>IF(OR(A72="",G72=""),"",IF(COUNTIF('28_スキル評価・育成'!$A$4:$A$203,G72)&lt;&gt;1,"参照ID不正",IF(INDEX('28_スキル評価・育成'!$H$4:$H$203,MATCH(G72,'28_スキル評価・育成'!$A$4:$A$203,0))="","",INDEX('28_スキル評価・育成'!$H$4:$H$203,MATCH(G72,'28_スキル評価・育成'!$A$4:$A$203,0)))))</f>
        <v/>
      </c>
      <c r="O72" s="28" t="str">
        <f t="shared" si="2"/>
        <v/>
      </c>
      <c r="P72" s="29"/>
      <c r="Q72" s="29"/>
      <c r="R72" s="28" t="str">
        <f>IF(A72="","",IF(COUNTIF($A$4:$A$103,A72)&lt;&gt;1,"割当ID重複",IF(OR(COUNTIF(TaskIDs,B72)&lt;&gt;1,COUNTIF(RoleIDs,C72)&lt;&gt;1,COUNTIF(SkillIDs,D72)&lt;&gt;1),"定義ID不正",IF(OR(NOT(ISNUMBER(E72)),IFERROR(MOD(E72,1)&lt;&gt;0,TRUE),IFERROR(E72&lt;0,TRUE),IFERROR(E72&gt;3,TRUE)),"必要Lv不正",IF(OR(OR(F72="",G72="",H72="",I72="",K72="",P72=""),NOT(ISNUMBER(J72))),"割当承認不足",IF(OR(AND(J72&lt;&gt;"",OR(NOT(ISNUMBER(J72)),IFERROR(J72&lt;1,TRUE),IFERROR(INT(J72)&gt;INT(AsOfDate),TRUE)))),"割当承認日不正",IF(OR(COUNTIF('28_スキル評価・育成'!$A$4:$A$203,G72)&lt;&gt;1,IF(COUNTIF('28_スキル評価・育成'!$A$4:$A$203,G72)&lt;&gt;1,"参照ID不正",IF(INDEX('28_スキル評価・育成'!$B$4:$B$203,MATCH(G72,'28_スキル評価・育成'!$A$4:$A$203,0))="","",INDEX('28_スキル評価・育成'!$B$4:$B$203,MATCH(G72,'28_スキル評価・育成'!$A$4:$A$203,0))))&lt;&gt;D72,IF(COUNTIF('28_スキル評価・育成'!$A$4:$A$203,G72)&lt;&gt;1,"参照ID不正",IF(INDEX('28_スキル評価・育成'!$Q$4:$Q$203,MATCH(G72,'28_スキル評価・育成'!$A$4:$A$203,0))="","",INDEX('28_スキル評価・育成'!$Q$4:$Q$203,MATCH(G72,'28_スキル評価・育成'!$A$4:$A$203,0))))&lt;&gt;F72),"能力証拠の対象不一致",IF(IF(COUNTIF('28_スキル評価・育成'!$A$4:$A$203,G72)&lt;&gt;1,"参照ID不正",IF(INDEX('28_スキル評価・育成'!$P$4:$P$203,MATCH(G72,'28_スキル評価・育成'!$A$4:$A$203,0))="","",INDEX('28_スキル評価・育成'!$P$4:$P$203,MATCH(G72,'28_スキル評価・育成'!$A$4:$A$203,0))))&lt;&gt;"第三者評価記録あり","能力の第三者確認不足",IF(AND(OR(P72="独立評価",P72="品質決裁"),OR(Q72="",Q72=F72)),"実装との独立性不足",IF(O72&gt;0,"能力不足・育成又は支援要","割当記録整合"))))))))))</f>
        <v/>
      </c>
    </row>
    <row r="73" spans="1:18" ht="64" customHeight="1" x14ac:dyDescent="0.2">
      <c r="A73" s="29"/>
      <c r="B73" s="29"/>
      <c r="C73" s="29"/>
      <c r="D73" s="29"/>
      <c r="E73" s="29"/>
      <c r="F73" s="29"/>
      <c r="G73" s="29"/>
      <c r="H73" s="29"/>
      <c r="I73" s="29"/>
      <c r="J73" s="32"/>
      <c r="K73" s="29"/>
      <c r="L73" s="28" t="str">
        <f>IF(A73="","",IF(COUNTIF('02_工程タスク'!$A$4:$A$135,B73)&lt;&gt;1,"参照ID不正",IF(INDEX('02_工程タスク'!$D$4:$D$135,MATCH(B73,'02_工程タスク'!$A$4:$A$135,0))="","",INDEX('02_工程タスク'!$D$4:$D$135,MATCH(B73,'02_工程タスク'!$A$4:$A$135,0)))))</f>
        <v/>
      </c>
      <c r="M73" s="28" t="str">
        <f>IF(A73="","",IF(COUNTIF('07_スキル辞書'!$A$4:$A$109,D73)&lt;&gt;1,"参照ID不正",IF(INDEX('07_スキル辞書'!$D$4:$D$109,MATCH(D73,'07_スキル辞書'!$A$4:$A$109,0))="","",INDEX('07_スキル辞書'!$D$4:$D$109,MATCH(D73,'07_スキル辞書'!$A$4:$A$109,0)))))</f>
        <v/>
      </c>
      <c r="N73" s="28" t="str">
        <f>IF(OR(A73="",G73=""),"",IF(COUNTIF('28_スキル評価・育成'!$A$4:$A$203,G73)&lt;&gt;1,"参照ID不正",IF(INDEX('28_スキル評価・育成'!$H$4:$H$203,MATCH(G73,'28_スキル評価・育成'!$A$4:$A$203,0))="","",INDEX('28_スキル評価・育成'!$H$4:$H$203,MATCH(G73,'28_スキル評価・育成'!$A$4:$A$203,0)))))</f>
        <v/>
      </c>
      <c r="O73" s="28" t="str">
        <f t="shared" si="2"/>
        <v/>
      </c>
      <c r="P73" s="29"/>
      <c r="Q73" s="29"/>
      <c r="R73" s="28" t="str">
        <f>IF(A73="","",IF(COUNTIF($A$4:$A$103,A73)&lt;&gt;1,"割当ID重複",IF(OR(COUNTIF(TaskIDs,B73)&lt;&gt;1,COUNTIF(RoleIDs,C73)&lt;&gt;1,COUNTIF(SkillIDs,D73)&lt;&gt;1),"定義ID不正",IF(OR(NOT(ISNUMBER(E73)),IFERROR(MOD(E73,1)&lt;&gt;0,TRUE),IFERROR(E73&lt;0,TRUE),IFERROR(E73&gt;3,TRUE)),"必要Lv不正",IF(OR(OR(F73="",G73="",H73="",I73="",K73="",P73=""),NOT(ISNUMBER(J73))),"割当承認不足",IF(OR(AND(J73&lt;&gt;"",OR(NOT(ISNUMBER(J73)),IFERROR(J73&lt;1,TRUE),IFERROR(INT(J73)&gt;INT(AsOfDate),TRUE)))),"割当承認日不正",IF(OR(COUNTIF('28_スキル評価・育成'!$A$4:$A$203,G73)&lt;&gt;1,IF(COUNTIF('28_スキル評価・育成'!$A$4:$A$203,G73)&lt;&gt;1,"参照ID不正",IF(INDEX('28_スキル評価・育成'!$B$4:$B$203,MATCH(G73,'28_スキル評価・育成'!$A$4:$A$203,0))="","",INDEX('28_スキル評価・育成'!$B$4:$B$203,MATCH(G73,'28_スキル評価・育成'!$A$4:$A$203,0))))&lt;&gt;D73,IF(COUNTIF('28_スキル評価・育成'!$A$4:$A$203,G73)&lt;&gt;1,"参照ID不正",IF(INDEX('28_スキル評価・育成'!$Q$4:$Q$203,MATCH(G73,'28_スキル評価・育成'!$A$4:$A$203,0))="","",INDEX('28_スキル評価・育成'!$Q$4:$Q$203,MATCH(G73,'28_スキル評価・育成'!$A$4:$A$203,0))))&lt;&gt;F73),"能力証拠の対象不一致",IF(IF(COUNTIF('28_スキル評価・育成'!$A$4:$A$203,G73)&lt;&gt;1,"参照ID不正",IF(INDEX('28_スキル評価・育成'!$P$4:$P$203,MATCH(G73,'28_スキル評価・育成'!$A$4:$A$203,0))="","",INDEX('28_スキル評価・育成'!$P$4:$P$203,MATCH(G73,'28_スキル評価・育成'!$A$4:$A$203,0))))&lt;&gt;"第三者評価記録あり","能力の第三者確認不足",IF(AND(OR(P73="独立評価",P73="品質決裁"),OR(Q73="",Q73=F73)),"実装との独立性不足",IF(O73&gt;0,"能力不足・育成又は支援要","割当記録整合"))))))))))</f>
        <v/>
      </c>
    </row>
    <row r="74" spans="1:18" ht="64" customHeight="1" x14ac:dyDescent="0.2">
      <c r="A74" s="29"/>
      <c r="B74" s="29"/>
      <c r="C74" s="29"/>
      <c r="D74" s="29"/>
      <c r="E74" s="29"/>
      <c r="F74" s="29"/>
      <c r="G74" s="29"/>
      <c r="H74" s="29"/>
      <c r="I74" s="29"/>
      <c r="J74" s="32"/>
      <c r="K74" s="29"/>
      <c r="L74" s="28" t="str">
        <f>IF(A74="","",IF(COUNTIF('02_工程タスク'!$A$4:$A$135,B74)&lt;&gt;1,"参照ID不正",IF(INDEX('02_工程タスク'!$D$4:$D$135,MATCH(B74,'02_工程タスク'!$A$4:$A$135,0))="","",INDEX('02_工程タスク'!$D$4:$D$135,MATCH(B74,'02_工程タスク'!$A$4:$A$135,0)))))</f>
        <v/>
      </c>
      <c r="M74" s="28" t="str">
        <f>IF(A74="","",IF(COUNTIF('07_スキル辞書'!$A$4:$A$109,D74)&lt;&gt;1,"参照ID不正",IF(INDEX('07_スキル辞書'!$D$4:$D$109,MATCH(D74,'07_スキル辞書'!$A$4:$A$109,0))="","",INDEX('07_スキル辞書'!$D$4:$D$109,MATCH(D74,'07_スキル辞書'!$A$4:$A$109,0)))))</f>
        <v/>
      </c>
      <c r="N74" s="28" t="str">
        <f>IF(OR(A74="",G74=""),"",IF(COUNTIF('28_スキル評価・育成'!$A$4:$A$203,G74)&lt;&gt;1,"参照ID不正",IF(INDEX('28_スキル評価・育成'!$H$4:$H$203,MATCH(G74,'28_スキル評価・育成'!$A$4:$A$203,0))="","",INDEX('28_スキル評価・育成'!$H$4:$H$203,MATCH(G74,'28_スキル評価・育成'!$A$4:$A$203,0)))))</f>
        <v/>
      </c>
      <c r="O74" s="28" t="str">
        <f t="shared" si="2"/>
        <v/>
      </c>
      <c r="P74" s="29"/>
      <c r="Q74" s="29"/>
      <c r="R74" s="28" t="str">
        <f>IF(A74="","",IF(COUNTIF($A$4:$A$103,A74)&lt;&gt;1,"割当ID重複",IF(OR(COUNTIF(TaskIDs,B74)&lt;&gt;1,COUNTIF(RoleIDs,C74)&lt;&gt;1,COUNTIF(SkillIDs,D74)&lt;&gt;1),"定義ID不正",IF(OR(NOT(ISNUMBER(E74)),IFERROR(MOD(E74,1)&lt;&gt;0,TRUE),IFERROR(E74&lt;0,TRUE),IFERROR(E74&gt;3,TRUE)),"必要Lv不正",IF(OR(OR(F74="",G74="",H74="",I74="",K74="",P74=""),NOT(ISNUMBER(J74))),"割当承認不足",IF(OR(AND(J74&lt;&gt;"",OR(NOT(ISNUMBER(J74)),IFERROR(J74&lt;1,TRUE),IFERROR(INT(J74)&gt;INT(AsOfDate),TRUE)))),"割当承認日不正",IF(OR(COUNTIF('28_スキル評価・育成'!$A$4:$A$203,G74)&lt;&gt;1,IF(COUNTIF('28_スキル評価・育成'!$A$4:$A$203,G74)&lt;&gt;1,"参照ID不正",IF(INDEX('28_スキル評価・育成'!$B$4:$B$203,MATCH(G74,'28_スキル評価・育成'!$A$4:$A$203,0))="","",INDEX('28_スキル評価・育成'!$B$4:$B$203,MATCH(G74,'28_スキル評価・育成'!$A$4:$A$203,0))))&lt;&gt;D74,IF(COUNTIF('28_スキル評価・育成'!$A$4:$A$203,G74)&lt;&gt;1,"参照ID不正",IF(INDEX('28_スキル評価・育成'!$Q$4:$Q$203,MATCH(G74,'28_スキル評価・育成'!$A$4:$A$203,0))="","",INDEX('28_スキル評価・育成'!$Q$4:$Q$203,MATCH(G74,'28_スキル評価・育成'!$A$4:$A$203,0))))&lt;&gt;F74),"能力証拠の対象不一致",IF(IF(COUNTIF('28_スキル評価・育成'!$A$4:$A$203,G74)&lt;&gt;1,"参照ID不正",IF(INDEX('28_スキル評価・育成'!$P$4:$P$203,MATCH(G74,'28_スキル評価・育成'!$A$4:$A$203,0))="","",INDEX('28_スキル評価・育成'!$P$4:$P$203,MATCH(G74,'28_スキル評価・育成'!$A$4:$A$203,0))))&lt;&gt;"第三者評価記録あり","能力の第三者確認不足",IF(AND(OR(P74="独立評価",P74="品質決裁"),OR(Q74="",Q74=F74)),"実装との独立性不足",IF(O74&gt;0,"能力不足・育成又は支援要","割当記録整合"))))))))))</f>
        <v/>
      </c>
    </row>
    <row r="75" spans="1:18" ht="64" customHeight="1" x14ac:dyDescent="0.2">
      <c r="A75" s="29"/>
      <c r="B75" s="29"/>
      <c r="C75" s="29"/>
      <c r="D75" s="29"/>
      <c r="E75" s="29"/>
      <c r="F75" s="29"/>
      <c r="G75" s="29"/>
      <c r="H75" s="29"/>
      <c r="I75" s="29"/>
      <c r="J75" s="32"/>
      <c r="K75" s="29"/>
      <c r="L75" s="28" t="str">
        <f>IF(A75="","",IF(COUNTIF('02_工程タスク'!$A$4:$A$135,B75)&lt;&gt;1,"参照ID不正",IF(INDEX('02_工程タスク'!$D$4:$D$135,MATCH(B75,'02_工程タスク'!$A$4:$A$135,0))="","",INDEX('02_工程タスク'!$D$4:$D$135,MATCH(B75,'02_工程タスク'!$A$4:$A$135,0)))))</f>
        <v/>
      </c>
      <c r="M75" s="28" t="str">
        <f>IF(A75="","",IF(COUNTIF('07_スキル辞書'!$A$4:$A$109,D75)&lt;&gt;1,"参照ID不正",IF(INDEX('07_スキル辞書'!$D$4:$D$109,MATCH(D75,'07_スキル辞書'!$A$4:$A$109,0))="","",INDEX('07_スキル辞書'!$D$4:$D$109,MATCH(D75,'07_スキル辞書'!$A$4:$A$109,0)))))</f>
        <v/>
      </c>
      <c r="N75" s="28" t="str">
        <f>IF(OR(A75="",G75=""),"",IF(COUNTIF('28_スキル評価・育成'!$A$4:$A$203,G75)&lt;&gt;1,"参照ID不正",IF(INDEX('28_スキル評価・育成'!$H$4:$H$203,MATCH(G75,'28_スキル評価・育成'!$A$4:$A$203,0))="","",INDEX('28_スキル評価・育成'!$H$4:$H$203,MATCH(G75,'28_スキル評価・育成'!$A$4:$A$203,0)))))</f>
        <v/>
      </c>
      <c r="O75" s="28" t="str">
        <f t="shared" si="2"/>
        <v/>
      </c>
      <c r="P75" s="29"/>
      <c r="Q75" s="29"/>
      <c r="R75" s="28" t="str">
        <f>IF(A75="","",IF(COUNTIF($A$4:$A$103,A75)&lt;&gt;1,"割当ID重複",IF(OR(COUNTIF(TaskIDs,B75)&lt;&gt;1,COUNTIF(RoleIDs,C75)&lt;&gt;1,COUNTIF(SkillIDs,D75)&lt;&gt;1),"定義ID不正",IF(OR(NOT(ISNUMBER(E75)),IFERROR(MOD(E75,1)&lt;&gt;0,TRUE),IFERROR(E75&lt;0,TRUE),IFERROR(E75&gt;3,TRUE)),"必要Lv不正",IF(OR(OR(F75="",G75="",H75="",I75="",K75="",P75=""),NOT(ISNUMBER(J75))),"割当承認不足",IF(OR(AND(J75&lt;&gt;"",OR(NOT(ISNUMBER(J75)),IFERROR(J75&lt;1,TRUE),IFERROR(INT(J75)&gt;INT(AsOfDate),TRUE)))),"割当承認日不正",IF(OR(COUNTIF('28_スキル評価・育成'!$A$4:$A$203,G75)&lt;&gt;1,IF(COUNTIF('28_スキル評価・育成'!$A$4:$A$203,G75)&lt;&gt;1,"参照ID不正",IF(INDEX('28_スキル評価・育成'!$B$4:$B$203,MATCH(G75,'28_スキル評価・育成'!$A$4:$A$203,0))="","",INDEX('28_スキル評価・育成'!$B$4:$B$203,MATCH(G75,'28_スキル評価・育成'!$A$4:$A$203,0))))&lt;&gt;D75,IF(COUNTIF('28_スキル評価・育成'!$A$4:$A$203,G75)&lt;&gt;1,"参照ID不正",IF(INDEX('28_スキル評価・育成'!$Q$4:$Q$203,MATCH(G75,'28_スキル評価・育成'!$A$4:$A$203,0))="","",INDEX('28_スキル評価・育成'!$Q$4:$Q$203,MATCH(G75,'28_スキル評価・育成'!$A$4:$A$203,0))))&lt;&gt;F75),"能力証拠の対象不一致",IF(IF(COUNTIF('28_スキル評価・育成'!$A$4:$A$203,G75)&lt;&gt;1,"参照ID不正",IF(INDEX('28_スキル評価・育成'!$P$4:$P$203,MATCH(G75,'28_スキル評価・育成'!$A$4:$A$203,0))="","",INDEX('28_スキル評価・育成'!$P$4:$P$203,MATCH(G75,'28_スキル評価・育成'!$A$4:$A$203,0))))&lt;&gt;"第三者評価記録あり","能力の第三者確認不足",IF(AND(OR(P75="独立評価",P75="品質決裁"),OR(Q75="",Q75=F75)),"実装との独立性不足",IF(O75&gt;0,"能力不足・育成又は支援要","割当記録整合"))))))))))</f>
        <v/>
      </c>
    </row>
    <row r="76" spans="1:18" ht="64" customHeight="1" x14ac:dyDescent="0.2">
      <c r="A76" s="29"/>
      <c r="B76" s="29"/>
      <c r="C76" s="29"/>
      <c r="D76" s="29"/>
      <c r="E76" s="29"/>
      <c r="F76" s="29"/>
      <c r="G76" s="29"/>
      <c r="H76" s="29"/>
      <c r="I76" s="29"/>
      <c r="J76" s="32"/>
      <c r="K76" s="29"/>
      <c r="L76" s="28" t="str">
        <f>IF(A76="","",IF(COUNTIF('02_工程タスク'!$A$4:$A$135,B76)&lt;&gt;1,"参照ID不正",IF(INDEX('02_工程タスク'!$D$4:$D$135,MATCH(B76,'02_工程タスク'!$A$4:$A$135,0))="","",INDEX('02_工程タスク'!$D$4:$D$135,MATCH(B76,'02_工程タスク'!$A$4:$A$135,0)))))</f>
        <v/>
      </c>
      <c r="M76" s="28" t="str">
        <f>IF(A76="","",IF(COUNTIF('07_スキル辞書'!$A$4:$A$109,D76)&lt;&gt;1,"参照ID不正",IF(INDEX('07_スキル辞書'!$D$4:$D$109,MATCH(D76,'07_スキル辞書'!$A$4:$A$109,0))="","",INDEX('07_スキル辞書'!$D$4:$D$109,MATCH(D76,'07_スキル辞書'!$A$4:$A$109,0)))))</f>
        <v/>
      </c>
      <c r="N76" s="28" t="str">
        <f>IF(OR(A76="",G76=""),"",IF(COUNTIF('28_スキル評価・育成'!$A$4:$A$203,G76)&lt;&gt;1,"参照ID不正",IF(INDEX('28_スキル評価・育成'!$H$4:$H$203,MATCH(G76,'28_スキル評価・育成'!$A$4:$A$203,0))="","",INDEX('28_スキル評価・育成'!$H$4:$H$203,MATCH(G76,'28_スキル評価・育成'!$A$4:$A$203,0)))))</f>
        <v/>
      </c>
      <c r="O76" s="28" t="str">
        <f t="shared" si="2"/>
        <v/>
      </c>
      <c r="P76" s="29"/>
      <c r="Q76" s="29"/>
      <c r="R76" s="28" t="str">
        <f>IF(A76="","",IF(COUNTIF($A$4:$A$103,A76)&lt;&gt;1,"割当ID重複",IF(OR(COUNTIF(TaskIDs,B76)&lt;&gt;1,COUNTIF(RoleIDs,C76)&lt;&gt;1,COUNTIF(SkillIDs,D76)&lt;&gt;1),"定義ID不正",IF(OR(NOT(ISNUMBER(E76)),IFERROR(MOD(E76,1)&lt;&gt;0,TRUE),IFERROR(E76&lt;0,TRUE),IFERROR(E76&gt;3,TRUE)),"必要Lv不正",IF(OR(OR(F76="",G76="",H76="",I76="",K76="",P76=""),NOT(ISNUMBER(J76))),"割当承認不足",IF(OR(AND(J76&lt;&gt;"",OR(NOT(ISNUMBER(J76)),IFERROR(J76&lt;1,TRUE),IFERROR(INT(J76)&gt;INT(AsOfDate),TRUE)))),"割当承認日不正",IF(OR(COUNTIF('28_スキル評価・育成'!$A$4:$A$203,G76)&lt;&gt;1,IF(COUNTIF('28_スキル評価・育成'!$A$4:$A$203,G76)&lt;&gt;1,"参照ID不正",IF(INDEX('28_スキル評価・育成'!$B$4:$B$203,MATCH(G76,'28_スキル評価・育成'!$A$4:$A$203,0))="","",INDEX('28_スキル評価・育成'!$B$4:$B$203,MATCH(G76,'28_スキル評価・育成'!$A$4:$A$203,0))))&lt;&gt;D76,IF(COUNTIF('28_スキル評価・育成'!$A$4:$A$203,G76)&lt;&gt;1,"参照ID不正",IF(INDEX('28_スキル評価・育成'!$Q$4:$Q$203,MATCH(G76,'28_スキル評価・育成'!$A$4:$A$203,0))="","",INDEX('28_スキル評価・育成'!$Q$4:$Q$203,MATCH(G76,'28_スキル評価・育成'!$A$4:$A$203,0))))&lt;&gt;F76),"能力証拠の対象不一致",IF(IF(COUNTIF('28_スキル評価・育成'!$A$4:$A$203,G76)&lt;&gt;1,"参照ID不正",IF(INDEX('28_スキル評価・育成'!$P$4:$P$203,MATCH(G76,'28_スキル評価・育成'!$A$4:$A$203,0))="","",INDEX('28_スキル評価・育成'!$P$4:$P$203,MATCH(G76,'28_スキル評価・育成'!$A$4:$A$203,0))))&lt;&gt;"第三者評価記録あり","能力の第三者確認不足",IF(AND(OR(P76="独立評価",P76="品質決裁"),OR(Q76="",Q76=F76)),"実装との独立性不足",IF(O76&gt;0,"能力不足・育成又は支援要","割当記録整合"))))))))))</f>
        <v/>
      </c>
    </row>
    <row r="77" spans="1:18" ht="64" customHeight="1" x14ac:dyDescent="0.2">
      <c r="A77" s="29"/>
      <c r="B77" s="29"/>
      <c r="C77" s="29"/>
      <c r="D77" s="29"/>
      <c r="E77" s="29"/>
      <c r="F77" s="29"/>
      <c r="G77" s="29"/>
      <c r="H77" s="29"/>
      <c r="I77" s="29"/>
      <c r="J77" s="32"/>
      <c r="K77" s="29"/>
      <c r="L77" s="28" t="str">
        <f>IF(A77="","",IF(COUNTIF('02_工程タスク'!$A$4:$A$135,B77)&lt;&gt;1,"参照ID不正",IF(INDEX('02_工程タスク'!$D$4:$D$135,MATCH(B77,'02_工程タスク'!$A$4:$A$135,0))="","",INDEX('02_工程タスク'!$D$4:$D$135,MATCH(B77,'02_工程タスク'!$A$4:$A$135,0)))))</f>
        <v/>
      </c>
      <c r="M77" s="28" t="str">
        <f>IF(A77="","",IF(COUNTIF('07_スキル辞書'!$A$4:$A$109,D77)&lt;&gt;1,"参照ID不正",IF(INDEX('07_スキル辞書'!$D$4:$D$109,MATCH(D77,'07_スキル辞書'!$A$4:$A$109,0))="","",INDEX('07_スキル辞書'!$D$4:$D$109,MATCH(D77,'07_スキル辞書'!$A$4:$A$109,0)))))</f>
        <v/>
      </c>
      <c r="N77" s="28" t="str">
        <f>IF(OR(A77="",G77=""),"",IF(COUNTIF('28_スキル評価・育成'!$A$4:$A$203,G77)&lt;&gt;1,"参照ID不正",IF(INDEX('28_スキル評価・育成'!$H$4:$H$203,MATCH(G77,'28_スキル評価・育成'!$A$4:$A$203,0))="","",INDEX('28_スキル評価・育成'!$H$4:$H$203,MATCH(G77,'28_スキル評価・育成'!$A$4:$A$203,0)))))</f>
        <v/>
      </c>
      <c r="O77" s="28" t="str">
        <f t="shared" si="2"/>
        <v/>
      </c>
      <c r="P77" s="29"/>
      <c r="Q77" s="29"/>
      <c r="R77" s="28" t="str">
        <f>IF(A77="","",IF(COUNTIF($A$4:$A$103,A77)&lt;&gt;1,"割当ID重複",IF(OR(COUNTIF(TaskIDs,B77)&lt;&gt;1,COUNTIF(RoleIDs,C77)&lt;&gt;1,COUNTIF(SkillIDs,D77)&lt;&gt;1),"定義ID不正",IF(OR(NOT(ISNUMBER(E77)),IFERROR(MOD(E77,1)&lt;&gt;0,TRUE),IFERROR(E77&lt;0,TRUE),IFERROR(E77&gt;3,TRUE)),"必要Lv不正",IF(OR(OR(F77="",G77="",H77="",I77="",K77="",P77=""),NOT(ISNUMBER(J77))),"割当承認不足",IF(OR(AND(J77&lt;&gt;"",OR(NOT(ISNUMBER(J77)),IFERROR(J77&lt;1,TRUE),IFERROR(INT(J77)&gt;INT(AsOfDate),TRUE)))),"割当承認日不正",IF(OR(COUNTIF('28_スキル評価・育成'!$A$4:$A$203,G77)&lt;&gt;1,IF(COUNTIF('28_スキル評価・育成'!$A$4:$A$203,G77)&lt;&gt;1,"参照ID不正",IF(INDEX('28_スキル評価・育成'!$B$4:$B$203,MATCH(G77,'28_スキル評価・育成'!$A$4:$A$203,0))="","",INDEX('28_スキル評価・育成'!$B$4:$B$203,MATCH(G77,'28_スキル評価・育成'!$A$4:$A$203,0))))&lt;&gt;D77,IF(COUNTIF('28_スキル評価・育成'!$A$4:$A$203,G77)&lt;&gt;1,"参照ID不正",IF(INDEX('28_スキル評価・育成'!$Q$4:$Q$203,MATCH(G77,'28_スキル評価・育成'!$A$4:$A$203,0))="","",INDEX('28_スキル評価・育成'!$Q$4:$Q$203,MATCH(G77,'28_スキル評価・育成'!$A$4:$A$203,0))))&lt;&gt;F77),"能力証拠の対象不一致",IF(IF(COUNTIF('28_スキル評価・育成'!$A$4:$A$203,G77)&lt;&gt;1,"参照ID不正",IF(INDEX('28_スキル評価・育成'!$P$4:$P$203,MATCH(G77,'28_スキル評価・育成'!$A$4:$A$203,0))="","",INDEX('28_スキル評価・育成'!$P$4:$P$203,MATCH(G77,'28_スキル評価・育成'!$A$4:$A$203,0))))&lt;&gt;"第三者評価記録あり","能力の第三者確認不足",IF(AND(OR(P77="独立評価",P77="品質決裁"),OR(Q77="",Q77=F77)),"実装との独立性不足",IF(O77&gt;0,"能力不足・育成又は支援要","割当記録整合"))))))))))</f>
        <v/>
      </c>
    </row>
    <row r="78" spans="1:18" ht="64" customHeight="1" x14ac:dyDescent="0.2">
      <c r="A78" s="29"/>
      <c r="B78" s="29"/>
      <c r="C78" s="29"/>
      <c r="D78" s="29"/>
      <c r="E78" s="29"/>
      <c r="F78" s="29"/>
      <c r="G78" s="29"/>
      <c r="H78" s="29"/>
      <c r="I78" s="29"/>
      <c r="J78" s="32"/>
      <c r="K78" s="29"/>
      <c r="L78" s="28" t="str">
        <f>IF(A78="","",IF(COUNTIF('02_工程タスク'!$A$4:$A$135,B78)&lt;&gt;1,"参照ID不正",IF(INDEX('02_工程タスク'!$D$4:$D$135,MATCH(B78,'02_工程タスク'!$A$4:$A$135,0))="","",INDEX('02_工程タスク'!$D$4:$D$135,MATCH(B78,'02_工程タスク'!$A$4:$A$135,0)))))</f>
        <v/>
      </c>
      <c r="M78" s="28" t="str">
        <f>IF(A78="","",IF(COUNTIF('07_スキル辞書'!$A$4:$A$109,D78)&lt;&gt;1,"参照ID不正",IF(INDEX('07_スキル辞書'!$D$4:$D$109,MATCH(D78,'07_スキル辞書'!$A$4:$A$109,0))="","",INDEX('07_スキル辞書'!$D$4:$D$109,MATCH(D78,'07_スキル辞書'!$A$4:$A$109,0)))))</f>
        <v/>
      </c>
      <c r="N78" s="28" t="str">
        <f>IF(OR(A78="",G78=""),"",IF(COUNTIF('28_スキル評価・育成'!$A$4:$A$203,G78)&lt;&gt;1,"参照ID不正",IF(INDEX('28_スキル評価・育成'!$H$4:$H$203,MATCH(G78,'28_スキル評価・育成'!$A$4:$A$203,0))="","",INDEX('28_スキル評価・育成'!$H$4:$H$203,MATCH(G78,'28_スキル評価・育成'!$A$4:$A$203,0)))))</f>
        <v/>
      </c>
      <c r="O78" s="28" t="str">
        <f t="shared" si="2"/>
        <v/>
      </c>
      <c r="P78" s="29"/>
      <c r="Q78" s="29"/>
      <c r="R78" s="28" t="str">
        <f>IF(A78="","",IF(COUNTIF($A$4:$A$103,A78)&lt;&gt;1,"割当ID重複",IF(OR(COUNTIF(TaskIDs,B78)&lt;&gt;1,COUNTIF(RoleIDs,C78)&lt;&gt;1,COUNTIF(SkillIDs,D78)&lt;&gt;1),"定義ID不正",IF(OR(NOT(ISNUMBER(E78)),IFERROR(MOD(E78,1)&lt;&gt;0,TRUE),IFERROR(E78&lt;0,TRUE),IFERROR(E78&gt;3,TRUE)),"必要Lv不正",IF(OR(OR(F78="",G78="",H78="",I78="",K78="",P78=""),NOT(ISNUMBER(J78))),"割当承認不足",IF(OR(AND(J78&lt;&gt;"",OR(NOT(ISNUMBER(J78)),IFERROR(J78&lt;1,TRUE),IFERROR(INT(J78)&gt;INT(AsOfDate),TRUE)))),"割当承認日不正",IF(OR(COUNTIF('28_スキル評価・育成'!$A$4:$A$203,G78)&lt;&gt;1,IF(COUNTIF('28_スキル評価・育成'!$A$4:$A$203,G78)&lt;&gt;1,"参照ID不正",IF(INDEX('28_スキル評価・育成'!$B$4:$B$203,MATCH(G78,'28_スキル評価・育成'!$A$4:$A$203,0))="","",INDEX('28_スキル評価・育成'!$B$4:$B$203,MATCH(G78,'28_スキル評価・育成'!$A$4:$A$203,0))))&lt;&gt;D78,IF(COUNTIF('28_スキル評価・育成'!$A$4:$A$203,G78)&lt;&gt;1,"参照ID不正",IF(INDEX('28_スキル評価・育成'!$Q$4:$Q$203,MATCH(G78,'28_スキル評価・育成'!$A$4:$A$203,0))="","",INDEX('28_スキル評価・育成'!$Q$4:$Q$203,MATCH(G78,'28_スキル評価・育成'!$A$4:$A$203,0))))&lt;&gt;F78),"能力証拠の対象不一致",IF(IF(COUNTIF('28_スキル評価・育成'!$A$4:$A$203,G78)&lt;&gt;1,"参照ID不正",IF(INDEX('28_スキル評価・育成'!$P$4:$P$203,MATCH(G78,'28_スキル評価・育成'!$A$4:$A$203,0))="","",INDEX('28_スキル評価・育成'!$P$4:$P$203,MATCH(G78,'28_スキル評価・育成'!$A$4:$A$203,0))))&lt;&gt;"第三者評価記録あり","能力の第三者確認不足",IF(AND(OR(P78="独立評価",P78="品質決裁"),OR(Q78="",Q78=F78)),"実装との独立性不足",IF(O78&gt;0,"能力不足・育成又は支援要","割当記録整合"))))))))))</f>
        <v/>
      </c>
    </row>
    <row r="79" spans="1:18" ht="64" customHeight="1" x14ac:dyDescent="0.2">
      <c r="A79" s="29"/>
      <c r="B79" s="29"/>
      <c r="C79" s="29"/>
      <c r="D79" s="29"/>
      <c r="E79" s="29"/>
      <c r="F79" s="29"/>
      <c r="G79" s="29"/>
      <c r="H79" s="29"/>
      <c r="I79" s="29"/>
      <c r="J79" s="32"/>
      <c r="K79" s="29"/>
      <c r="L79" s="28" t="str">
        <f>IF(A79="","",IF(COUNTIF('02_工程タスク'!$A$4:$A$135,B79)&lt;&gt;1,"参照ID不正",IF(INDEX('02_工程タスク'!$D$4:$D$135,MATCH(B79,'02_工程タスク'!$A$4:$A$135,0))="","",INDEX('02_工程タスク'!$D$4:$D$135,MATCH(B79,'02_工程タスク'!$A$4:$A$135,0)))))</f>
        <v/>
      </c>
      <c r="M79" s="28" t="str">
        <f>IF(A79="","",IF(COUNTIF('07_スキル辞書'!$A$4:$A$109,D79)&lt;&gt;1,"参照ID不正",IF(INDEX('07_スキル辞書'!$D$4:$D$109,MATCH(D79,'07_スキル辞書'!$A$4:$A$109,0))="","",INDEX('07_スキル辞書'!$D$4:$D$109,MATCH(D79,'07_スキル辞書'!$A$4:$A$109,0)))))</f>
        <v/>
      </c>
      <c r="N79" s="28" t="str">
        <f>IF(OR(A79="",G79=""),"",IF(COUNTIF('28_スキル評価・育成'!$A$4:$A$203,G79)&lt;&gt;1,"参照ID不正",IF(INDEX('28_スキル評価・育成'!$H$4:$H$203,MATCH(G79,'28_スキル評価・育成'!$A$4:$A$203,0))="","",INDEX('28_スキル評価・育成'!$H$4:$H$203,MATCH(G79,'28_スキル評価・育成'!$A$4:$A$203,0)))))</f>
        <v/>
      </c>
      <c r="O79" s="28" t="str">
        <f t="shared" si="2"/>
        <v/>
      </c>
      <c r="P79" s="29"/>
      <c r="Q79" s="29"/>
      <c r="R79" s="28" t="str">
        <f>IF(A79="","",IF(COUNTIF($A$4:$A$103,A79)&lt;&gt;1,"割当ID重複",IF(OR(COUNTIF(TaskIDs,B79)&lt;&gt;1,COUNTIF(RoleIDs,C79)&lt;&gt;1,COUNTIF(SkillIDs,D79)&lt;&gt;1),"定義ID不正",IF(OR(NOT(ISNUMBER(E79)),IFERROR(MOD(E79,1)&lt;&gt;0,TRUE),IFERROR(E79&lt;0,TRUE),IFERROR(E79&gt;3,TRUE)),"必要Lv不正",IF(OR(OR(F79="",G79="",H79="",I79="",K79="",P79=""),NOT(ISNUMBER(J79))),"割当承認不足",IF(OR(AND(J79&lt;&gt;"",OR(NOT(ISNUMBER(J79)),IFERROR(J79&lt;1,TRUE),IFERROR(INT(J79)&gt;INT(AsOfDate),TRUE)))),"割当承認日不正",IF(OR(COUNTIF('28_スキル評価・育成'!$A$4:$A$203,G79)&lt;&gt;1,IF(COUNTIF('28_スキル評価・育成'!$A$4:$A$203,G79)&lt;&gt;1,"参照ID不正",IF(INDEX('28_スキル評価・育成'!$B$4:$B$203,MATCH(G79,'28_スキル評価・育成'!$A$4:$A$203,0))="","",INDEX('28_スキル評価・育成'!$B$4:$B$203,MATCH(G79,'28_スキル評価・育成'!$A$4:$A$203,0))))&lt;&gt;D79,IF(COUNTIF('28_スキル評価・育成'!$A$4:$A$203,G79)&lt;&gt;1,"参照ID不正",IF(INDEX('28_スキル評価・育成'!$Q$4:$Q$203,MATCH(G79,'28_スキル評価・育成'!$A$4:$A$203,0))="","",INDEX('28_スキル評価・育成'!$Q$4:$Q$203,MATCH(G79,'28_スキル評価・育成'!$A$4:$A$203,0))))&lt;&gt;F79),"能力証拠の対象不一致",IF(IF(COUNTIF('28_スキル評価・育成'!$A$4:$A$203,G79)&lt;&gt;1,"参照ID不正",IF(INDEX('28_スキル評価・育成'!$P$4:$P$203,MATCH(G79,'28_スキル評価・育成'!$A$4:$A$203,0))="","",INDEX('28_スキル評価・育成'!$P$4:$P$203,MATCH(G79,'28_スキル評価・育成'!$A$4:$A$203,0))))&lt;&gt;"第三者評価記録あり","能力の第三者確認不足",IF(AND(OR(P79="独立評価",P79="品質決裁"),OR(Q79="",Q79=F79)),"実装との独立性不足",IF(O79&gt;0,"能力不足・育成又は支援要","割当記録整合"))))))))))</f>
        <v/>
      </c>
    </row>
    <row r="80" spans="1:18" ht="64" customHeight="1" x14ac:dyDescent="0.2">
      <c r="A80" s="29"/>
      <c r="B80" s="29"/>
      <c r="C80" s="29"/>
      <c r="D80" s="29"/>
      <c r="E80" s="29"/>
      <c r="F80" s="29"/>
      <c r="G80" s="29"/>
      <c r="H80" s="29"/>
      <c r="I80" s="29"/>
      <c r="J80" s="32"/>
      <c r="K80" s="29"/>
      <c r="L80" s="28" t="str">
        <f>IF(A80="","",IF(COUNTIF('02_工程タスク'!$A$4:$A$135,B80)&lt;&gt;1,"参照ID不正",IF(INDEX('02_工程タスク'!$D$4:$D$135,MATCH(B80,'02_工程タスク'!$A$4:$A$135,0))="","",INDEX('02_工程タスク'!$D$4:$D$135,MATCH(B80,'02_工程タスク'!$A$4:$A$135,0)))))</f>
        <v/>
      </c>
      <c r="M80" s="28" t="str">
        <f>IF(A80="","",IF(COUNTIF('07_スキル辞書'!$A$4:$A$109,D80)&lt;&gt;1,"参照ID不正",IF(INDEX('07_スキル辞書'!$D$4:$D$109,MATCH(D80,'07_スキル辞書'!$A$4:$A$109,0))="","",INDEX('07_スキル辞書'!$D$4:$D$109,MATCH(D80,'07_スキル辞書'!$A$4:$A$109,0)))))</f>
        <v/>
      </c>
      <c r="N80" s="28" t="str">
        <f>IF(OR(A80="",G80=""),"",IF(COUNTIF('28_スキル評価・育成'!$A$4:$A$203,G80)&lt;&gt;1,"参照ID不正",IF(INDEX('28_スキル評価・育成'!$H$4:$H$203,MATCH(G80,'28_スキル評価・育成'!$A$4:$A$203,0))="","",INDEX('28_スキル評価・育成'!$H$4:$H$203,MATCH(G80,'28_スキル評価・育成'!$A$4:$A$203,0)))))</f>
        <v/>
      </c>
      <c r="O80" s="28" t="str">
        <f t="shared" si="2"/>
        <v/>
      </c>
      <c r="P80" s="29"/>
      <c r="Q80" s="29"/>
      <c r="R80" s="28" t="str">
        <f>IF(A80="","",IF(COUNTIF($A$4:$A$103,A80)&lt;&gt;1,"割当ID重複",IF(OR(COUNTIF(TaskIDs,B80)&lt;&gt;1,COUNTIF(RoleIDs,C80)&lt;&gt;1,COUNTIF(SkillIDs,D80)&lt;&gt;1),"定義ID不正",IF(OR(NOT(ISNUMBER(E80)),IFERROR(MOD(E80,1)&lt;&gt;0,TRUE),IFERROR(E80&lt;0,TRUE),IFERROR(E80&gt;3,TRUE)),"必要Lv不正",IF(OR(OR(F80="",G80="",H80="",I80="",K80="",P80=""),NOT(ISNUMBER(J80))),"割当承認不足",IF(OR(AND(J80&lt;&gt;"",OR(NOT(ISNUMBER(J80)),IFERROR(J80&lt;1,TRUE),IFERROR(INT(J80)&gt;INT(AsOfDate),TRUE)))),"割当承認日不正",IF(OR(COUNTIF('28_スキル評価・育成'!$A$4:$A$203,G80)&lt;&gt;1,IF(COUNTIF('28_スキル評価・育成'!$A$4:$A$203,G80)&lt;&gt;1,"参照ID不正",IF(INDEX('28_スキル評価・育成'!$B$4:$B$203,MATCH(G80,'28_スキル評価・育成'!$A$4:$A$203,0))="","",INDEX('28_スキル評価・育成'!$B$4:$B$203,MATCH(G80,'28_スキル評価・育成'!$A$4:$A$203,0))))&lt;&gt;D80,IF(COUNTIF('28_スキル評価・育成'!$A$4:$A$203,G80)&lt;&gt;1,"参照ID不正",IF(INDEX('28_スキル評価・育成'!$Q$4:$Q$203,MATCH(G80,'28_スキル評価・育成'!$A$4:$A$203,0))="","",INDEX('28_スキル評価・育成'!$Q$4:$Q$203,MATCH(G80,'28_スキル評価・育成'!$A$4:$A$203,0))))&lt;&gt;F80),"能力証拠の対象不一致",IF(IF(COUNTIF('28_スキル評価・育成'!$A$4:$A$203,G80)&lt;&gt;1,"参照ID不正",IF(INDEX('28_スキル評価・育成'!$P$4:$P$203,MATCH(G80,'28_スキル評価・育成'!$A$4:$A$203,0))="","",INDEX('28_スキル評価・育成'!$P$4:$P$203,MATCH(G80,'28_スキル評価・育成'!$A$4:$A$203,0))))&lt;&gt;"第三者評価記録あり","能力の第三者確認不足",IF(AND(OR(P80="独立評価",P80="品質決裁"),OR(Q80="",Q80=F80)),"実装との独立性不足",IF(O80&gt;0,"能力不足・育成又は支援要","割当記録整合"))))))))))</f>
        <v/>
      </c>
    </row>
    <row r="81" spans="1:18" ht="64" customHeight="1" x14ac:dyDescent="0.2">
      <c r="A81" s="29"/>
      <c r="B81" s="29"/>
      <c r="C81" s="29"/>
      <c r="D81" s="29"/>
      <c r="E81" s="29"/>
      <c r="F81" s="29"/>
      <c r="G81" s="29"/>
      <c r="H81" s="29"/>
      <c r="I81" s="29"/>
      <c r="J81" s="32"/>
      <c r="K81" s="29"/>
      <c r="L81" s="28" t="str">
        <f>IF(A81="","",IF(COUNTIF('02_工程タスク'!$A$4:$A$135,B81)&lt;&gt;1,"参照ID不正",IF(INDEX('02_工程タスク'!$D$4:$D$135,MATCH(B81,'02_工程タスク'!$A$4:$A$135,0))="","",INDEX('02_工程タスク'!$D$4:$D$135,MATCH(B81,'02_工程タスク'!$A$4:$A$135,0)))))</f>
        <v/>
      </c>
      <c r="M81" s="28" t="str">
        <f>IF(A81="","",IF(COUNTIF('07_スキル辞書'!$A$4:$A$109,D81)&lt;&gt;1,"参照ID不正",IF(INDEX('07_スキル辞書'!$D$4:$D$109,MATCH(D81,'07_スキル辞書'!$A$4:$A$109,0))="","",INDEX('07_スキル辞書'!$D$4:$D$109,MATCH(D81,'07_スキル辞書'!$A$4:$A$109,0)))))</f>
        <v/>
      </c>
      <c r="N81" s="28" t="str">
        <f>IF(OR(A81="",G81=""),"",IF(COUNTIF('28_スキル評価・育成'!$A$4:$A$203,G81)&lt;&gt;1,"参照ID不正",IF(INDEX('28_スキル評価・育成'!$H$4:$H$203,MATCH(G81,'28_スキル評価・育成'!$A$4:$A$203,0))="","",INDEX('28_スキル評価・育成'!$H$4:$H$203,MATCH(G81,'28_スキル評価・育成'!$A$4:$A$203,0)))))</f>
        <v/>
      </c>
      <c r="O81" s="28" t="str">
        <f t="shared" si="2"/>
        <v/>
      </c>
      <c r="P81" s="29"/>
      <c r="Q81" s="29"/>
      <c r="R81" s="28" t="str">
        <f>IF(A81="","",IF(COUNTIF($A$4:$A$103,A81)&lt;&gt;1,"割当ID重複",IF(OR(COUNTIF(TaskIDs,B81)&lt;&gt;1,COUNTIF(RoleIDs,C81)&lt;&gt;1,COUNTIF(SkillIDs,D81)&lt;&gt;1),"定義ID不正",IF(OR(NOT(ISNUMBER(E81)),IFERROR(MOD(E81,1)&lt;&gt;0,TRUE),IFERROR(E81&lt;0,TRUE),IFERROR(E81&gt;3,TRUE)),"必要Lv不正",IF(OR(OR(F81="",G81="",H81="",I81="",K81="",P81=""),NOT(ISNUMBER(J81))),"割当承認不足",IF(OR(AND(J81&lt;&gt;"",OR(NOT(ISNUMBER(J81)),IFERROR(J81&lt;1,TRUE),IFERROR(INT(J81)&gt;INT(AsOfDate),TRUE)))),"割当承認日不正",IF(OR(COUNTIF('28_スキル評価・育成'!$A$4:$A$203,G81)&lt;&gt;1,IF(COUNTIF('28_スキル評価・育成'!$A$4:$A$203,G81)&lt;&gt;1,"参照ID不正",IF(INDEX('28_スキル評価・育成'!$B$4:$B$203,MATCH(G81,'28_スキル評価・育成'!$A$4:$A$203,0))="","",INDEX('28_スキル評価・育成'!$B$4:$B$203,MATCH(G81,'28_スキル評価・育成'!$A$4:$A$203,0))))&lt;&gt;D81,IF(COUNTIF('28_スキル評価・育成'!$A$4:$A$203,G81)&lt;&gt;1,"参照ID不正",IF(INDEX('28_スキル評価・育成'!$Q$4:$Q$203,MATCH(G81,'28_スキル評価・育成'!$A$4:$A$203,0))="","",INDEX('28_スキル評価・育成'!$Q$4:$Q$203,MATCH(G81,'28_スキル評価・育成'!$A$4:$A$203,0))))&lt;&gt;F81),"能力証拠の対象不一致",IF(IF(COUNTIF('28_スキル評価・育成'!$A$4:$A$203,G81)&lt;&gt;1,"参照ID不正",IF(INDEX('28_スキル評価・育成'!$P$4:$P$203,MATCH(G81,'28_スキル評価・育成'!$A$4:$A$203,0))="","",INDEX('28_スキル評価・育成'!$P$4:$P$203,MATCH(G81,'28_スキル評価・育成'!$A$4:$A$203,0))))&lt;&gt;"第三者評価記録あり","能力の第三者確認不足",IF(AND(OR(P81="独立評価",P81="品質決裁"),OR(Q81="",Q81=F81)),"実装との独立性不足",IF(O81&gt;0,"能力不足・育成又は支援要","割当記録整合"))))))))))</f>
        <v/>
      </c>
    </row>
    <row r="82" spans="1:18" ht="64" customHeight="1" x14ac:dyDescent="0.2">
      <c r="A82" s="29"/>
      <c r="B82" s="29"/>
      <c r="C82" s="29"/>
      <c r="D82" s="29"/>
      <c r="E82" s="29"/>
      <c r="F82" s="29"/>
      <c r="G82" s="29"/>
      <c r="H82" s="29"/>
      <c r="I82" s="29"/>
      <c r="J82" s="32"/>
      <c r="K82" s="29"/>
      <c r="L82" s="28" t="str">
        <f>IF(A82="","",IF(COUNTIF('02_工程タスク'!$A$4:$A$135,B82)&lt;&gt;1,"参照ID不正",IF(INDEX('02_工程タスク'!$D$4:$D$135,MATCH(B82,'02_工程タスク'!$A$4:$A$135,0))="","",INDEX('02_工程タスク'!$D$4:$D$135,MATCH(B82,'02_工程タスク'!$A$4:$A$135,0)))))</f>
        <v/>
      </c>
      <c r="M82" s="28" t="str">
        <f>IF(A82="","",IF(COUNTIF('07_スキル辞書'!$A$4:$A$109,D82)&lt;&gt;1,"参照ID不正",IF(INDEX('07_スキル辞書'!$D$4:$D$109,MATCH(D82,'07_スキル辞書'!$A$4:$A$109,0))="","",INDEX('07_スキル辞書'!$D$4:$D$109,MATCH(D82,'07_スキル辞書'!$A$4:$A$109,0)))))</f>
        <v/>
      </c>
      <c r="N82" s="28" t="str">
        <f>IF(OR(A82="",G82=""),"",IF(COUNTIF('28_スキル評価・育成'!$A$4:$A$203,G82)&lt;&gt;1,"参照ID不正",IF(INDEX('28_スキル評価・育成'!$H$4:$H$203,MATCH(G82,'28_スキル評価・育成'!$A$4:$A$203,0))="","",INDEX('28_スキル評価・育成'!$H$4:$H$203,MATCH(G82,'28_スキル評価・育成'!$A$4:$A$203,0)))))</f>
        <v/>
      </c>
      <c r="O82" s="28" t="str">
        <f t="shared" si="2"/>
        <v/>
      </c>
      <c r="P82" s="29"/>
      <c r="Q82" s="29"/>
      <c r="R82" s="28" t="str">
        <f>IF(A82="","",IF(COUNTIF($A$4:$A$103,A82)&lt;&gt;1,"割当ID重複",IF(OR(COUNTIF(TaskIDs,B82)&lt;&gt;1,COUNTIF(RoleIDs,C82)&lt;&gt;1,COUNTIF(SkillIDs,D82)&lt;&gt;1),"定義ID不正",IF(OR(NOT(ISNUMBER(E82)),IFERROR(MOD(E82,1)&lt;&gt;0,TRUE),IFERROR(E82&lt;0,TRUE),IFERROR(E82&gt;3,TRUE)),"必要Lv不正",IF(OR(OR(F82="",G82="",H82="",I82="",K82="",P82=""),NOT(ISNUMBER(J82))),"割当承認不足",IF(OR(AND(J82&lt;&gt;"",OR(NOT(ISNUMBER(J82)),IFERROR(J82&lt;1,TRUE),IFERROR(INT(J82)&gt;INT(AsOfDate),TRUE)))),"割当承認日不正",IF(OR(COUNTIF('28_スキル評価・育成'!$A$4:$A$203,G82)&lt;&gt;1,IF(COUNTIF('28_スキル評価・育成'!$A$4:$A$203,G82)&lt;&gt;1,"参照ID不正",IF(INDEX('28_スキル評価・育成'!$B$4:$B$203,MATCH(G82,'28_スキル評価・育成'!$A$4:$A$203,0))="","",INDEX('28_スキル評価・育成'!$B$4:$B$203,MATCH(G82,'28_スキル評価・育成'!$A$4:$A$203,0))))&lt;&gt;D82,IF(COUNTIF('28_スキル評価・育成'!$A$4:$A$203,G82)&lt;&gt;1,"参照ID不正",IF(INDEX('28_スキル評価・育成'!$Q$4:$Q$203,MATCH(G82,'28_スキル評価・育成'!$A$4:$A$203,0))="","",INDEX('28_スキル評価・育成'!$Q$4:$Q$203,MATCH(G82,'28_スキル評価・育成'!$A$4:$A$203,0))))&lt;&gt;F82),"能力証拠の対象不一致",IF(IF(COUNTIF('28_スキル評価・育成'!$A$4:$A$203,G82)&lt;&gt;1,"参照ID不正",IF(INDEX('28_スキル評価・育成'!$P$4:$P$203,MATCH(G82,'28_スキル評価・育成'!$A$4:$A$203,0))="","",INDEX('28_スキル評価・育成'!$P$4:$P$203,MATCH(G82,'28_スキル評価・育成'!$A$4:$A$203,0))))&lt;&gt;"第三者評価記録あり","能力の第三者確認不足",IF(AND(OR(P82="独立評価",P82="品質決裁"),OR(Q82="",Q82=F82)),"実装との独立性不足",IF(O82&gt;0,"能力不足・育成又は支援要","割当記録整合"))))))))))</f>
        <v/>
      </c>
    </row>
    <row r="83" spans="1:18" ht="64" customHeight="1" x14ac:dyDescent="0.2">
      <c r="A83" s="29"/>
      <c r="B83" s="29"/>
      <c r="C83" s="29"/>
      <c r="D83" s="29"/>
      <c r="E83" s="29"/>
      <c r="F83" s="29"/>
      <c r="G83" s="29"/>
      <c r="H83" s="29"/>
      <c r="I83" s="29"/>
      <c r="J83" s="32"/>
      <c r="K83" s="29"/>
      <c r="L83" s="28" t="str">
        <f>IF(A83="","",IF(COUNTIF('02_工程タスク'!$A$4:$A$135,B83)&lt;&gt;1,"参照ID不正",IF(INDEX('02_工程タスク'!$D$4:$D$135,MATCH(B83,'02_工程タスク'!$A$4:$A$135,0))="","",INDEX('02_工程タスク'!$D$4:$D$135,MATCH(B83,'02_工程タスク'!$A$4:$A$135,0)))))</f>
        <v/>
      </c>
      <c r="M83" s="28" t="str">
        <f>IF(A83="","",IF(COUNTIF('07_スキル辞書'!$A$4:$A$109,D83)&lt;&gt;1,"参照ID不正",IF(INDEX('07_スキル辞書'!$D$4:$D$109,MATCH(D83,'07_スキル辞書'!$A$4:$A$109,0))="","",INDEX('07_スキル辞書'!$D$4:$D$109,MATCH(D83,'07_スキル辞書'!$A$4:$A$109,0)))))</f>
        <v/>
      </c>
      <c r="N83" s="28" t="str">
        <f>IF(OR(A83="",G83=""),"",IF(COUNTIF('28_スキル評価・育成'!$A$4:$A$203,G83)&lt;&gt;1,"参照ID不正",IF(INDEX('28_スキル評価・育成'!$H$4:$H$203,MATCH(G83,'28_スキル評価・育成'!$A$4:$A$203,0))="","",INDEX('28_スキル評価・育成'!$H$4:$H$203,MATCH(G83,'28_スキル評価・育成'!$A$4:$A$203,0)))))</f>
        <v/>
      </c>
      <c r="O83" s="28" t="str">
        <f t="shared" si="2"/>
        <v/>
      </c>
      <c r="P83" s="29"/>
      <c r="Q83" s="29"/>
      <c r="R83" s="28" t="str">
        <f>IF(A83="","",IF(COUNTIF($A$4:$A$103,A83)&lt;&gt;1,"割当ID重複",IF(OR(COUNTIF(TaskIDs,B83)&lt;&gt;1,COUNTIF(RoleIDs,C83)&lt;&gt;1,COUNTIF(SkillIDs,D83)&lt;&gt;1),"定義ID不正",IF(OR(NOT(ISNUMBER(E83)),IFERROR(MOD(E83,1)&lt;&gt;0,TRUE),IFERROR(E83&lt;0,TRUE),IFERROR(E83&gt;3,TRUE)),"必要Lv不正",IF(OR(OR(F83="",G83="",H83="",I83="",K83="",P83=""),NOT(ISNUMBER(J83))),"割当承認不足",IF(OR(AND(J83&lt;&gt;"",OR(NOT(ISNUMBER(J83)),IFERROR(J83&lt;1,TRUE),IFERROR(INT(J83)&gt;INT(AsOfDate),TRUE)))),"割当承認日不正",IF(OR(COUNTIF('28_スキル評価・育成'!$A$4:$A$203,G83)&lt;&gt;1,IF(COUNTIF('28_スキル評価・育成'!$A$4:$A$203,G83)&lt;&gt;1,"参照ID不正",IF(INDEX('28_スキル評価・育成'!$B$4:$B$203,MATCH(G83,'28_スキル評価・育成'!$A$4:$A$203,0))="","",INDEX('28_スキル評価・育成'!$B$4:$B$203,MATCH(G83,'28_スキル評価・育成'!$A$4:$A$203,0))))&lt;&gt;D83,IF(COUNTIF('28_スキル評価・育成'!$A$4:$A$203,G83)&lt;&gt;1,"参照ID不正",IF(INDEX('28_スキル評価・育成'!$Q$4:$Q$203,MATCH(G83,'28_スキル評価・育成'!$A$4:$A$203,0))="","",INDEX('28_スキル評価・育成'!$Q$4:$Q$203,MATCH(G83,'28_スキル評価・育成'!$A$4:$A$203,0))))&lt;&gt;F83),"能力証拠の対象不一致",IF(IF(COUNTIF('28_スキル評価・育成'!$A$4:$A$203,G83)&lt;&gt;1,"参照ID不正",IF(INDEX('28_スキル評価・育成'!$P$4:$P$203,MATCH(G83,'28_スキル評価・育成'!$A$4:$A$203,0))="","",INDEX('28_スキル評価・育成'!$P$4:$P$203,MATCH(G83,'28_スキル評価・育成'!$A$4:$A$203,0))))&lt;&gt;"第三者評価記録あり","能力の第三者確認不足",IF(AND(OR(P83="独立評価",P83="品質決裁"),OR(Q83="",Q83=F83)),"実装との独立性不足",IF(O83&gt;0,"能力不足・育成又は支援要","割当記録整合"))))))))))</f>
        <v/>
      </c>
    </row>
    <row r="84" spans="1:18" ht="64" customHeight="1" x14ac:dyDescent="0.2">
      <c r="A84" s="29"/>
      <c r="B84" s="29"/>
      <c r="C84" s="29"/>
      <c r="D84" s="29"/>
      <c r="E84" s="29"/>
      <c r="F84" s="29"/>
      <c r="G84" s="29"/>
      <c r="H84" s="29"/>
      <c r="I84" s="29"/>
      <c r="J84" s="32"/>
      <c r="K84" s="29"/>
      <c r="L84" s="28" t="str">
        <f>IF(A84="","",IF(COUNTIF('02_工程タスク'!$A$4:$A$135,B84)&lt;&gt;1,"参照ID不正",IF(INDEX('02_工程タスク'!$D$4:$D$135,MATCH(B84,'02_工程タスク'!$A$4:$A$135,0))="","",INDEX('02_工程タスク'!$D$4:$D$135,MATCH(B84,'02_工程タスク'!$A$4:$A$135,0)))))</f>
        <v/>
      </c>
      <c r="M84" s="28" t="str">
        <f>IF(A84="","",IF(COUNTIF('07_スキル辞書'!$A$4:$A$109,D84)&lt;&gt;1,"参照ID不正",IF(INDEX('07_スキル辞書'!$D$4:$D$109,MATCH(D84,'07_スキル辞書'!$A$4:$A$109,0))="","",INDEX('07_スキル辞書'!$D$4:$D$109,MATCH(D84,'07_スキル辞書'!$A$4:$A$109,0)))))</f>
        <v/>
      </c>
      <c r="N84" s="28" t="str">
        <f>IF(OR(A84="",G84=""),"",IF(COUNTIF('28_スキル評価・育成'!$A$4:$A$203,G84)&lt;&gt;1,"参照ID不正",IF(INDEX('28_スキル評価・育成'!$H$4:$H$203,MATCH(G84,'28_スキル評価・育成'!$A$4:$A$203,0))="","",INDEX('28_スキル評価・育成'!$H$4:$H$203,MATCH(G84,'28_スキル評価・育成'!$A$4:$A$203,0)))))</f>
        <v/>
      </c>
      <c r="O84" s="28" t="str">
        <f t="shared" si="2"/>
        <v/>
      </c>
      <c r="P84" s="29"/>
      <c r="Q84" s="29"/>
      <c r="R84" s="28" t="str">
        <f>IF(A84="","",IF(COUNTIF($A$4:$A$103,A84)&lt;&gt;1,"割当ID重複",IF(OR(COUNTIF(TaskIDs,B84)&lt;&gt;1,COUNTIF(RoleIDs,C84)&lt;&gt;1,COUNTIF(SkillIDs,D84)&lt;&gt;1),"定義ID不正",IF(OR(NOT(ISNUMBER(E84)),IFERROR(MOD(E84,1)&lt;&gt;0,TRUE),IFERROR(E84&lt;0,TRUE),IFERROR(E84&gt;3,TRUE)),"必要Lv不正",IF(OR(OR(F84="",G84="",H84="",I84="",K84="",P84=""),NOT(ISNUMBER(J84))),"割当承認不足",IF(OR(AND(J84&lt;&gt;"",OR(NOT(ISNUMBER(J84)),IFERROR(J84&lt;1,TRUE),IFERROR(INT(J84)&gt;INT(AsOfDate),TRUE)))),"割当承認日不正",IF(OR(COUNTIF('28_スキル評価・育成'!$A$4:$A$203,G84)&lt;&gt;1,IF(COUNTIF('28_スキル評価・育成'!$A$4:$A$203,G84)&lt;&gt;1,"参照ID不正",IF(INDEX('28_スキル評価・育成'!$B$4:$B$203,MATCH(G84,'28_スキル評価・育成'!$A$4:$A$203,0))="","",INDEX('28_スキル評価・育成'!$B$4:$B$203,MATCH(G84,'28_スキル評価・育成'!$A$4:$A$203,0))))&lt;&gt;D84,IF(COUNTIF('28_スキル評価・育成'!$A$4:$A$203,G84)&lt;&gt;1,"参照ID不正",IF(INDEX('28_スキル評価・育成'!$Q$4:$Q$203,MATCH(G84,'28_スキル評価・育成'!$A$4:$A$203,0))="","",INDEX('28_スキル評価・育成'!$Q$4:$Q$203,MATCH(G84,'28_スキル評価・育成'!$A$4:$A$203,0))))&lt;&gt;F84),"能力証拠の対象不一致",IF(IF(COUNTIF('28_スキル評価・育成'!$A$4:$A$203,G84)&lt;&gt;1,"参照ID不正",IF(INDEX('28_スキル評価・育成'!$P$4:$P$203,MATCH(G84,'28_スキル評価・育成'!$A$4:$A$203,0))="","",INDEX('28_スキル評価・育成'!$P$4:$P$203,MATCH(G84,'28_スキル評価・育成'!$A$4:$A$203,0))))&lt;&gt;"第三者評価記録あり","能力の第三者確認不足",IF(AND(OR(P84="独立評価",P84="品質決裁"),OR(Q84="",Q84=F84)),"実装との独立性不足",IF(O84&gt;0,"能力不足・育成又は支援要","割当記録整合"))))))))))</f>
        <v/>
      </c>
    </row>
    <row r="85" spans="1:18" ht="64" customHeight="1" x14ac:dyDescent="0.2">
      <c r="A85" s="29"/>
      <c r="B85" s="29"/>
      <c r="C85" s="29"/>
      <c r="D85" s="29"/>
      <c r="E85" s="29"/>
      <c r="F85" s="29"/>
      <c r="G85" s="29"/>
      <c r="H85" s="29"/>
      <c r="I85" s="29"/>
      <c r="J85" s="32"/>
      <c r="K85" s="29"/>
      <c r="L85" s="28" t="str">
        <f>IF(A85="","",IF(COUNTIF('02_工程タスク'!$A$4:$A$135,B85)&lt;&gt;1,"参照ID不正",IF(INDEX('02_工程タスク'!$D$4:$D$135,MATCH(B85,'02_工程タスク'!$A$4:$A$135,0))="","",INDEX('02_工程タスク'!$D$4:$D$135,MATCH(B85,'02_工程タスク'!$A$4:$A$135,0)))))</f>
        <v/>
      </c>
      <c r="M85" s="28" t="str">
        <f>IF(A85="","",IF(COUNTIF('07_スキル辞書'!$A$4:$A$109,D85)&lt;&gt;1,"参照ID不正",IF(INDEX('07_スキル辞書'!$D$4:$D$109,MATCH(D85,'07_スキル辞書'!$A$4:$A$109,0))="","",INDEX('07_スキル辞書'!$D$4:$D$109,MATCH(D85,'07_スキル辞書'!$A$4:$A$109,0)))))</f>
        <v/>
      </c>
      <c r="N85" s="28" t="str">
        <f>IF(OR(A85="",G85=""),"",IF(COUNTIF('28_スキル評価・育成'!$A$4:$A$203,G85)&lt;&gt;1,"参照ID不正",IF(INDEX('28_スキル評価・育成'!$H$4:$H$203,MATCH(G85,'28_スキル評価・育成'!$A$4:$A$203,0))="","",INDEX('28_スキル評価・育成'!$H$4:$H$203,MATCH(G85,'28_スキル評価・育成'!$A$4:$A$203,0)))))</f>
        <v/>
      </c>
      <c r="O85" s="28" t="str">
        <f t="shared" si="2"/>
        <v/>
      </c>
      <c r="P85" s="29"/>
      <c r="Q85" s="29"/>
      <c r="R85" s="28" t="str">
        <f>IF(A85="","",IF(COUNTIF($A$4:$A$103,A85)&lt;&gt;1,"割当ID重複",IF(OR(COUNTIF(TaskIDs,B85)&lt;&gt;1,COUNTIF(RoleIDs,C85)&lt;&gt;1,COUNTIF(SkillIDs,D85)&lt;&gt;1),"定義ID不正",IF(OR(NOT(ISNUMBER(E85)),IFERROR(MOD(E85,1)&lt;&gt;0,TRUE),IFERROR(E85&lt;0,TRUE),IFERROR(E85&gt;3,TRUE)),"必要Lv不正",IF(OR(OR(F85="",G85="",H85="",I85="",K85="",P85=""),NOT(ISNUMBER(J85))),"割当承認不足",IF(OR(AND(J85&lt;&gt;"",OR(NOT(ISNUMBER(J85)),IFERROR(J85&lt;1,TRUE),IFERROR(INT(J85)&gt;INT(AsOfDate),TRUE)))),"割当承認日不正",IF(OR(COUNTIF('28_スキル評価・育成'!$A$4:$A$203,G85)&lt;&gt;1,IF(COUNTIF('28_スキル評価・育成'!$A$4:$A$203,G85)&lt;&gt;1,"参照ID不正",IF(INDEX('28_スキル評価・育成'!$B$4:$B$203,MATCH(G85,'28_スキル評価・育成'!$A$4:$A$203,0))="","",INDEX('28_スキル評価・育成'!$B$4:$B$203,MATCH(G85,'28_スキル評価・育成'!$A$4:$A$203,0))))&lt;&gt;D85,IF(COUNTIF('28_スキル評価・育成'!$A$4:$A$203,G85)&lt;&gt;1,"参照ID不正",IF(INDEX('28_スキル評価・育成'!$Q$4:$Q$203,MATCH(G85,'28_スキル評価・育成'!$A$4:$A$203,0))="","",INDEX('28_スキル評価・育成'!$Q$4:$Q$203,MATCH(G85,'28_スキル評価・育成'!$A$4:$A$203,0))))&lt;&gt;F85),"能力証拠の対象不一致",IF(IF(COUNTIF('28_スキル評価・育成'!$A$4:$A$203,G85)&lt;&gt;1,"参照ID不正",IF(INDEX('28_スキル評価・育成'!$P$4:$P$203,MATCH(G85,'28_スキル評価・育成'!$A$4:$A$203,0))="","",INDEX('28_スキル評価・育成'!$P$4:$P$203,MATCH(G85,'28_スキル評価・育成'!$A$4:$A$203,0))))&lt;&gt;"第三者評価記録あり","能力の第三者確認不足",IF(AND(OR(P85="独立評価",P85="品質決裁"),OR(Q85="",Q85=F85)),"実装との独立性不足",IF(O85&gt;0,"能力不足・育成又は支援要","割当記録整合"))))))))))</f>
        <v/>
      </c>
    </row>
    <row r="86" spans="1:18" ht="64" customHeight="1" x14ac:dyDescent="0.2">
      <c r="A86" s="29"/>
      <c r="B86" s="29"/>
      <c r="C86" s="29"/>
      <c r="D86" s="29"/>
      <c r="E86" s="29"/>
      <c r="F86" s="29"/>
      <c r="G86" s="29"/>
      <c r="H86" s="29"/>
      <c r="I86" s="29"/>
      <c r="J86" s="32"/>
      <c r="K86" s="29"/>
      <c r="L86" s="28" t="str">
        <f>IF(A86="","",IF(COUNTIF('02_工程タスク'!$A$4:$A$135,B86)&lt;&gt;1,"参照ID不正",IF(INDEX('02_工程タスク'!$D$4:$D$135,MATCH(B86,'02_工程タスク'!$A$4:$A$135,0))="","",INDEX('02_工程タスク'!$D$4:$D$135,MATCH(B86,'02_工程タスク'!$A$4:$A$135,0)))))</f>
        <v/>
      </c>
      <c r="M86" s="28" t="str">
        <f>IF(A86="","",IF(COUNTIF('07_スキル辞書'!$A$4:$A$109,D86)&lt;&gt;1,"参照ID不正",IF(INDEX('07_スキル辞書'!$D$4:$D$109,MATCH(D86,'07_スキル辞書'!$A$4:$A$109,0))="","",INDEX('07_スキル辞書'!$D$4:$D$109,MATCH(D86,'07_スキル辞書'!$A$4:$A$109,0)))))</f>
        <v/>
      </c>
      <c r="N86" s="28" t="str">
        <f>IF(OR(A86="",G86=""),"",IF(COUNTIF('28_スキル評価・育成'!$A$4:$A$203,G86)&lt;&gt;1,"参照ID不正",IF(INDEX('28_スキル評価・育成'!$H$4:$H$203,MATCH(G86,'28_スキル評価・育成'!$A$4:$A$203,0))="","",INDEX('28_スキル評価・育成'!$H$4:$H$203,MATCH(G86,'28_スキル評価・育成'!$A$4:$A$203,0)))))</f>
        <v/>
      </c>
      <c r="O86" s="28" t="str">
        <f t="shared" si="2"/>
        <v/>
      </c>
      <c r="P86" s="29"/>
      <c r="Q86" s="29"/>
      <c r="R86" s="28" t="str">
        <f>IF(A86="","",IF(COUNTIF($A$4:$A$103,A86)&lt;&gt;1,"割当ID重複",IF(OR(COUNTIF(TaskIDs,B86)&lt;&gt;1,COUNTIF(RoleIDs,C86)&lt;&gt;1,COUNTIF(SkillIDs,D86)&lt;&gt;1),"定義ID不正",IF(OR(NOT(ISNUMBER(E86)),IFERROR(MOD(E86,1)&lt;&gt;0,TRUE),IFERROR(E86&lt;0,TRUE),IFERROR(E86&gt;3,TRUE)),"必要Lv不正",IF(OR(OR(F86="",G86="",H86="",I86="",K86="",P86=""),NOT(ISNUMBER(J86))),"割当承認不足",IF(OR(AND(J86&lt;&gt;"",OR(NOT(ISNUMBER(J86)),IFERROR(J86&lt;1,TRUE),IFERROR(INT(J86)&gt;INT(AsOfDate),TRUE)))),"割当承認日不正",IF(OR(COUNTIF('28_スキル評価・育成'!$A$4:$A$203,G86)&lt;&gt;1,IF(COUNTIF('28_スキル評価・育成'!$A$4:$A$203,G86)&lt;&gt;1,"参照ID不正",IF(INDEX('28_スキル評価・育成'!$B$4:$B$203,MATCH(G86,'28_スキル評価・育成'!$A$4:$A$203,0))="","",INDEX('28_スキル評価・育成'!$B$4:$B$203,MATCH(G86,'28_スキル評価・育成'!$A$4:$A$203,0))))&lt;&gt;D86,IF(COUNTIF('28_スキル評価・育成'!$A$4:$A$203,G86)&lt;&gt;1,"参照ID不正",IF(INDEX('28_スキル評価・育成'!$Q$4:$Q$203,MATCH(G86,'28_スキル評価・育成'!$A$4:$A$203,0))="","",INDEX('28_スキル評価・育成'!$Q$4:$Q$203,MATCH(G86,'28_スキル評価・育成'!$A$4:$A$203,0))))&lt;&gt;F86),"能力証拠の対象不一致",IF(IF(COUNTIF('28_スキル評価・育成'!$A$4:$A$203,G86)&lt;&gt;1,"参照ID不正",IF(INDEX('28_スキル評価・育成'!$P$4:$P$203,MATCH(G86,'28_スキル評価・育成'!$A$4:$A$203,0))="","",INDEX('28_スキル評価・育成'!$P$4:$P$203,MATCH(G86,'28_スキル評価・育成'!$A$4:$A$203,0))))&lt;&gt;"第三者評価記録あり","能力の第三者確認不足",IF(AND(OR(P86="独立評価",P86="品質決裁"),OR(Q86="",Q86=F86)),"実装との独立性不足",IF(O86&gt;0,"能力不足・育成又は支援要","割当記録整合"))))))))))</f>
        <v/>
      </c>
    </row>
    <row r="87" spans="1:18" ht="64" customHeight="1" x14ac:dyDescent="0.2">
      <c r="A87" s="29"/>
      <c r="B87" s="29"/>
      <c r="C87" s="29"/>
      <c r="D87" s="29"/>
      <c r="E87" s="29"/>
      <c r="F87" s="29"/>
      <c r="G87" s="29"/>
      <c r="H87" s="29"/>
      <c r="I87" s="29"/>
      <c r="J87" s="32"/>
      <c r="K87" s="29"/>
      <c r="L87" s="28" t="str">
        <f>IF(A87="","",IF(COUNTIF('02_工程タスク'!$A$4:$A$135,B87)&lt;&gt;1,"参照ID不正",IF(INDEX('02_工程タスク'!$D$4:$D$135,MATCH(B87,'02_工程タスク'!$A$4:$A$135,0))="","",INDEX('02_工程タスク'!$D$4:$D$135,MATCH(B87,'02_工程タスク'!$A$4:$A$135,0)))))</f>
        <v/>
      </c>
      <c r="M87" s="28" t="str">
        <f>IF(A87="","",IF(COUNTIF('07_スキル辞書'!$A$4:$A$109,D87)&lt;&gt;1,"参照ID不正",IF(INDEX('07_スキル辞書'!$D$4:$D$109,MATCH(D87,'07_スキル辞書'!$A$4:$A$109,0))="","",INDEX('07_スキル辞書'!$D$4:$D$109,MATCH(D87,'07_スキル辞書'!$A$4:$A$109,0)))))</f>
        <v/>
      </c>
      <c r="N87" s="28" t="str">
        <f>IF(OR(A87="",G87=""),"",IF(COUNTIF('28_スキル評価・育成'!$A$4:$A$203,G87)&lt;&gt;1,"参照ID不正",IF(INDEX('28_スキル評価・育成'!$H$4:$H$203,MATCH(G87,'28_スキル評価・育成'!$A$4:$A$203,0))="","",INDEX('28_スキル評価・育成'!$H$4:$H$203,MATCH(G87,'28_スキル評価・育成'!$A$4:$A$203,0)))))</f>
        <v/>
      </c>
      <c r="O87" s="28" t="str">
        <f t="shared" si="2"/>
        <v/>
      </c>
      <c r="P87" s="29"/>
      <c r="Q87" s="29"/>
      <c r="R87" s="28" t="str">
        <f>IF(A87="","",IF(COUNTIF($A$4:$A$103,A87)&lt;&gt;1,"割当ID重複",IF(OR(COUNTIF(TaskIDs,B87)&lt;&gt;1,COUNTIF(RoleIDs,C87)&lt;&gt;1,COUNTIF(SkillIDs,D87)&lt;&gt;1),"定義ID不正",IF(OR(NOT(ISNUMBER(E87)),IFERROR(MOD(E87,1)&lt;&gt;0,TRUE),IFERROR(E87&lt;0,TRUE),IFERROR(E87&gt;3,TRUE)),"必要Lv不正",IF(OR(OR(F87="",G87="",H87="",I87="",K87="",P87=""),NOT(ISNUMBER(J87))),"割当承認不足",IF(OR(AND(J87&lt;&gt;"",OR(NOT(ISNUMBER(J87)),IFERROR(J87&lt;1,TRUE),IFERROR(INT(J87)&gt;INT(AsOfDate),TRUE)))),"割当承認日不正",IF(OR(COUNTIF('28_スキル評価・育成'!$A$4:$A$203,G87)&lt;&gt;1,IF(COUNTIF('28_スキル評価・育成'!$A$4:$A$203,G87)&lt;&gt;1,"参照ID不正",IF(INDEX('28_スキル評価・育成'!$B$4:$B$203,MATCH(G87,'28_スキル評価・育成'!$A$4:$A$203,0))="","",INDEX('28_スキル評価・育成'!$B$4:$B$203,MATCH(G87,'28_スキル評価・育成'!$A$4:$A$203,0))))&lt;&gt;D87,IF(COUNTIF('28_スキル評価・育成'!$A$4:$A$203,G87)&lt;&gt;1,"参照ID不正",IF(INDEX('28_スキル評価・育成'!$Q$4:$Q$203,MATCH(G87,'28_スキル評価・育成'!$A$4:$A$203,0))="","",INDEX('28_スキル評価・育成'!$Q$4:$Q$203,MATCH(G87,'28_スキル評価・育成'!$A$4:$A$203,0))))&lt;&gt;F87),"能力証拠の対象不一致",IF(IF(COUNTIF('28_スキル評価・育成'!$A$4:$A$203,G87)&lt;&gt;1,"参照ID不正",IF(INDEX('28_スキル評価・育成'!$P$4:$P$203,MATCH(G87,'28_スキル評価・育成'!$A$4:$A$203,0))="","",INDEX('28_スキル評価・育成'!$P$4:$P$203,MATCH(G87,'28_スキル評価・育成'!$A$4:$A$203,0))))&lt;&gt;"第三者評価記録あり","能力の第三者確認不足",IF(AND(OR(P87="独立評価",P87="品質決裁"),OR(Q87="",Q87=F87)),"実装との独立性不足",IF(O87&gt;0,"能力不足・育成又は支援要","割当記録整合"))))))))))</f>
        <v/>
      </c>
    </row>
    <row r="88" spans="1:18" ht="64" customHeight="1" x14ac:dyDescent="0.2">
      <c r="A88" s="29"/>
      <c r="B88" s="29"/>
      <c r="C88" s="29"/>
      <c r="D88" s="29"/>
      <c r="E88" s="29"/>
      <c r="F88" s="29"/>
      <c r="G88" s="29"/>
      <c r="H88" s="29"/>
      <c r="I88" s="29"/>
      <c r="J88" s="32"/>
      <c r="K88" s="29"/>
      <c r="L88" s="28" t="str">
        <f>IF(A88="","",IF(COUNTIF('02_工程タスク'!$A$4:$A$135,B88)&lt;&gt;1,"参照ID不正",IF(INDEX('02_工程タスク'!$D$4:$D$135,MATCH(B88,'02_工程タスク'!$A$4:$A$135,0))="","",INDEX('02_工程タスク'!$D$4:$D$135,MATCH(B88,'02_工程タスク'!$A$4:$A$135,0)))))</f>
        <v/>
      </c>
      <c r="M88" s="28" t="str">
        <f>IF(A88="","",IF(COUNTIF('07_スキル辞書'!$A$4:$A$109,D88)&lt;&gt;1,"参照ID不正",IF(INDEX('07_スキル辞書'!$D$4:$D$109,MATCH(D88,'07_スキル辞書'!$A$4:$A$109,0))="","",INDEX('07_スキル辞書'!$D$4:$D$109,MATCH(D88,'07_スキル辞書'!$A$4:$A$109,0)))))</f>
        <v/>
      </c>
      <c r="N88" s="28" t="str">
        <f>IF(OR(A88="",G88=""),"",IF(COUNTIF('28_スキル評価・育成'!$A$4:$A$203,G88)&lt;&gt;1,"参照ID不正",IF(INDEX('28_スキル評価・育成'!$H$4:$H$203,MATCH(G88,'28_スキル評価・育成'!$A$4:$A$203,0))="","",INDEX('28_スキル評価・育成'!$H$4:$H$203,MATCH(G88,'28_スキル評価・育成'!$A$4:$A$203,0)))))</f>
        <v/>
      </c>
      <c r="O88" s="28" t="str">
        <f t="shared" si="2"/>
        <v/>
      </c>
      <c r="P88" s="29"/>
      <c r="Q88" s="29"/>
      <c r="R88" s="28" t="str">
        <f>IF(A88="","",IF(COUNTIF($A$4:$A$103,A88)&lt;&gt;1,"割当ID重複",IF(OR(COUNTIF(TaskIDs,B88)&lt;&gt;1,COUNTIF(RoleIDs,C88)&lt;&gt;1,COUNTIF(SkillIDs,D88)&lt;&gt;1),"定義ID不正",IF(OR(NOT(ISNUMBER(E88)),IFERROR(MOD(E88,1)&lt;&gt;0,TRUE),IFERROR(E88&lt;0,TRUE),IFERROR(E88&gt;3,TRUE)),"必要Lv不正",IF(OR(OR(F88="",G88="",H88="",I88="",K88="",P88=""),NOT(ISNUMBER(J88))),"割当承認不足",IF(OR(AND(J88&lt;&gt;"",OR(NOT(ISNUMBER(J88)),IFERROR(J88&lt;1,TRUE),IFERROR(INT(J88)&gt;INT(AsOfDate),TRUE)))),"割当承認日不正",IF(OR(COUNTIF('28_スキル評価・育成'!$A$4:$A$203,G88)&lt;&gt;1,IF(COUNTIF('28_スキル評価・育成'!$A$4:$A$203,G88)&lt;&gt;1,"参照ID不正",IF(INDEX('28_スキル評価・育成'!$B$4:$B$203,MATCH(G88,'28_スキル評価・育成'!$A$4:$A$203,0))="","",INDEX('28_スキル評価・育成'!$B$4:$B$203,MATCH(G88,'28_スキル評価・育成'!$A$4:$A$203,0))))&lt;&gt;D88,IF(COUNTIF('28_スキル評価・育成'!$A$4:$A$203,G88)&lt;&gt;1,"参照ID不正",IF(INDEX('28_スキル評価・育成'!$Q$4:$Q$203,MATCH(G88,'28_スキル評価・育成'!$A$4:$A$203,0))="","",INDEX('28_スキル評価・育成'!$Q$4:$Q$203,MATCH(G88,'28_スキル評価・育成'!$A$4:$A$203,0))))&lt;&gt;F88),"能力証拠の対象不一致",IF(IF(COUNTIF('28_スキル評価・育成'!$A$4:$A$203,G88)&lt;&gt;1,"参照ID不正",IF(INDEX('28_スキル評価・育成'!$P$4:$P$203,MATCH(G88,'28_スキル評価・育成'!$A$4:$A$203,0))="","",INDEX('28_スキル評価・育成'!$P$4:$P$203,MATCH(G88,'28_スキル評価・育成'!$A$4:$A$203,0))))&lt;&gt;"第三者評価記録あり","能力の第三者確認不足",IF(AND(OR(P88="独立評価",P88="品質決裁"),OR(Q88="",Q88=F88)),"実装との独立性不足",IF(O88&gt;0,"能力不足・育成又は支援要","割当記録整合"))))))))))</f>
        <v/>
      </c>
    </row>
    <row r="89" spans="1:18" ht="64" customHeight="1" x14ac:dyDescent="0.2">
      <c r="A89" s="29"/>
      <c r="B89" s="29"/>
      <c r="C89" s="29"/>
      <c r="D89" s="29"/>
      <c r="E89" s="29"/>
      <c r="F89" s="29"/>
      <c r="G89" s="29"/>
      <c r="H89" s="29"/>
      <c r="I89" s="29"/>
      <c r="J89" s="32"/>
      <c r="K89" s="29"/>
      <c r="L89" s="28" t="str">
        <f>IF(A89="","",IF(COUNTIF('02_工程タスク'!$A$4:$A$135,B89)&lt;&gt;1,"参照ID不正",IF(INDEX('02_工程タスク'!$D$4:$D$135,MATCH(B89,'02_工程タスク'!$A$4:$A$135,0))="","",INDEX('02_工程タスク'!$D$4:$D$135,MATCH(B89,'02_工程タスク'!$A$4:$A$135,0)))))</f>
        <v/>
      </c>
      <c r="M89" s="28" t="str">
        <f>IF(A89="","",IF(COUNTIF('07_スキル辞書'!$A$4:$A$109,D89)&lt;&gt;1,"参照ID不正",IF(INDEX('07_スキル辞書'!$D$4:$D$109,MATCH(D89,'07_スキル辞書'!$A$4:$A$109,0))="","",INDEX('07_スキル辞書'!$D$4:$D$109,MATCH(D89,'07_スキル辞書'!$A$4:$A$109,0)))))</f>
        <v/>
      </c>
      <c r="N89" s="28" t="str">
        <f>IF(OR(A89="",G89=""),"",IF(COUNTIF('28_スキル評価・育成'!$A$4:$A$203,G89)&lt;&gt;1,"参照ID不正",IF(INDEX('28_スキル評価・育成'!$H$4:$H$203,MATCH(G89,'28_スキル評価・育成'!$A$4:$A$203,0))="","",INDEX('28_スキル評価・育成'!$H$4:$H$203,MATCH(G89,'28_スキル評価・育成'!$A$4:$A$203,0)))))</f>
        <v/>
      </c>
      <c r="O89" s="28" t="str">
        <f t="shared" si="2"/>
        <v/>
      </c>
      <c r="P89" s="29"/>
      <c r="Q89" s="29"/>
      <c r="R89" s="28" t="str">
        <f>IF(A89="","",IF(COUNTIF($A$4:$A$103,A89)&lt;&gt;1,"割当ID重複",IF(OR(COUNTIF(TaskIDs,B89)&lt;&gt;1,COUNTIF(RoleIDs,C89)&lt;&gt;1,COUNTIF(SkillIDs,D89)&lt;&gt;1),"定義ID不正",IF(OR(NOT(ISNUMBER(E89)),IFERROR(MOD(E89,1)&lt;&gt;0,TRUE),IFERROR(E89&lt;0,TRUE),IFERROR(E89&gt;3,TRUE)),"必要Lv不正",IF(OR(OR(F89="",G89="",H89="",I89="",K89="",P89=""),NOT(ISNUMBER(J89))),"割当承認不足",IF(OR(AND(J89&lt;&gt;"",OR(NOT(ISNUMBER(J89)),IFERROR(J89&lt;1,TRUE),IFERROR(INT(J89)&gt;INT(AsOfDate),TRUE)))),"割当承認日不正",IF(OR(COUNTIF('28_スキル評価・育成'!$A$4:$A$203,G89)&lt;&gt;1,IF(COUNTIF('28_スキル評価・育成'!$A$4:$A$203,G89)&lt;&gt;1,"参照ID不正",IF(INDEX('28_スキル評価・育成'!$B$4:$B$203,MATCH(G89,'28_スキル評価・育成'!$A$4:$A$203,0))="","",INDEX('28_スキル評価・育成'!$B$4:$B$203,MATCH(G89,'28_スキル評価・育成'!$A$4:$A$203,0))))&lt;&gt;D89,IF(COUNTIF('28_スキル評価・育成'!$A$4:$A$203,G89)&lt;&gt;1,"参照ID不正",IF(INDEX('28_スキル評価・育成'!$Q$4:$Q$203,MATCH(G89,'28_スキル評価・育成'!$A$4:$A$203,0))="","",INDEX('28_スキル評価・育成'!$Q$4:$Q$203,MATCH(G89,'28_スキル評価・育成'!$A$4:$A$203,0))))&lt;&gt;F89),"能力証拠の対象不一致",IF(IF(COUNTIF('28_スキル評価・育成'!$A$4:$A$203,G89)&lt;&gt;1,"参照ID不正",IF(INDEX('28_スキル評価・育成'!$P$4:$P$203,MATCH(G89,'28_スキル評価・育成'!$A$4:$A$203,0))="","",INDEX('28_スキル評価・育成'!$P$4:$P$203,MATCH(G89,'28_スキル評価・育成'!$A$4:$A$203,0))))&lt;&gt;"第三者評価記録あり","能力の第三者確認不足",IF(AND(OR(P89="独立評価",P89="品質決裁"),OR(Q89="",Q89=F89)),"実装との独立性不足",IF(O89&gt;0,"能力不足・育成又は支援要","割当記録整合"))))))))))</f>
        <v/>
      </c>
    </row>
    <row r="90" spans="1:18" ht="64" customHeight="1" x14ac:dyDescent="0.2">
      <c r="A90" s="29"/>
      <c r="B90" s="29"/>
      <c r="C90" s="29"/>
      <c r="D90" s="29"/>
      <c r="E90" s="29"/>
      <c r="F90" s="29"/>
      <c r="G90" s="29"/>
      <c r="H90" s="29"/>
      <c r="I90" s="29"/>
      <c r="J90" s="32"/>
      <c r="K90" s="29"/>
      <c r="L90" s="28" t="str">
        <f>IF(A90="","",IF(COUNTIF('02_工程タスク'!$A$4:$A$135,B90)&lt;&gt;1,"参照ID不正",IF(INDEX('02_工程タスク'!$D$4:$D$135,MATCH(B90,'02_工程タスク'!$A$4:$A$135,0))="","",INDEX('02_工程タスク'!$D$4:$D$135,MATCH(B90,'02_工程タスク'!$A$4:$A$135,0)))))</f>
        <v/>
      </c>
      <c r="M90" s="28" t="str">
        <f>IF(A90="","",IF(COUNTIF('07_スキル辞書'!$A$4:$A$109,D90)&lt;&gt;1,"参照ID不正",IF(INDEX('07_スキル辞書'!$D$4:$D$109,MATCH(D90,'07_スキル辞書'!$A$4:$A$109,0))="","",INDEX('07_スキル辞書'!$D$4:$D$109,MATCH(D90,'07_スキル辞書'!$A$4:$A$109,0)))))</f>
        <v/>
      </c>
      <c r="N90" s="28" t="str">
        <f>IF(OR(A90="",G90=""),"",IF(COUNTIF('28_スキル評価・育成'!$A$4:$A$203,G90)&lt;&gt;1,"参照ID不正",IF(INDEX('28_スキル評価・育成'!$H$4:$H$203,MATCH(G90,'28_スキル評価・育成'!$A$4:$A$203,0))="","",INDEX('28_スキル評価・育成'!$H$4:$H$203,MATCH(G90,'28_スキル評価・育成'!$A$4:$A$203,0)))))</f>
        <v/>
      </c>
      <c r="O90" s="28" t="str">
        <f t="shared" si="2"/>
        <v/>
      </c>
      <c r="P90" s="29"/>
      <c r="Q90" s="29"/>
      <c r="R90" s="28" t="str">
        <f>IF(A90="","",IF(COUNTIF($A$4:$A$103,A90)&lt;&gt;1,"割当ID重複",IF(OR(COUNTIF(TaskIDs,B90)&lt;&gt;1,COUNTIF(RoleIDs,C90)&lt;&gt;1,COUNTIF(SkillIDs,D90)&lt;&gt;1),"定義ID不正",IF(OR(NOT(ISNUMBER(E90)),IFERROR(MOD(E90,1)&lt;&gt;0,TRUE),IFERROR(E90&lt;0,TRUE),IFERROR(E90&gt;3,TRUE)),"必要Lv不正",IF(OR(OR(F90="",G90="",H90="",I90="",K90="",P90=""),NOT(ISNUMBER(J90))),"割当承認不足",IF(OR(AND(J90&lt;&gt;"",OR(NOT(ISNUMBER(J90)),IFERROR(J90&lt;1,TRUE),IFERROR(INT(J90)&gt;INT(AsOfDate),TRUE)))),"割当承認日不正",IF(OR(COUNTIF('28_スキル評価・育成'!$A$4:$A$203,G90)&lt;&gt;1,IF(COUNTIF('28_スキル評価・育成'!$A$4:$A$203,G90)&lt;&gt;1,"参照ID不正",IF(INDEX('28_スキル評価・育成'!$B$4:$B$203,MATCH(G90,'28_スキル評価・育成'!$A$4:$A$203,0))="","",INDEX('28_スキル評価・育成'!$B$4:$B$203,MATCH(G90,'28_スキル評価・育成'!$A$4:$A$203,0))))&lt;&gt;D90,IF(COUNTIF('28_スキル評価・育成'!$A$4:$A$203,G90)&lt;&gt;1,"参照ID不正",IF(INDEX('28_スキル評価・育成'!$Q$4:$Q$203,MATCH(G90,'28_スキル評価・育成'!$A$4:$A$203,0))="","",INDEX('28_スキル評価・育成'!$Q$4:$Q$203,MATCH(G90,'28_スキル評価・育成'!$A$4:$A$203,0))))&lt;&gt;F90),"能力証拠の対象不一致",IF(IF(COUNTIF('28_スキル評価・育成'!$A$4:$A$203,G90)&lt;&gt;1,"参照ID不正",IF(INDEX('28_スキル評価・育成'!$P$4:$P$203,MATCH(G90,'28_スキル評価・育成'!$A$4:$A$203,0))="","",INDEX('28_スキル評価・育成'!$P$4:$P$203,MATCH(G90,'28_スキル評価・育成'!$A$4:$A$203,0))))&lt;&gt;"第三者評価記録あり","能力の第三者確認不足",IF(AND(OR(P90="独立評価",P90="品質決裁"),OR(Q90="",Q90=F90)),"実装との独立性不足",IF(O90&gt;0,"能力不足・育成又は支援要","割当記録整合"))))))))))</f>
        <v/>
      </c>
    </row>
    <row r="91" spans="1:18" ht="64" customHeight="1" x14ac:dyDescent="0.2">
      <c r="A91" s="29"/>
      <c r="B91" s="29"/>
      <c r="C91" s="29"/>
      <c r="D91" s="29"/>
      <c r="E91" s="29"/>
      <c r="F91" s="29"/>
      <c r="G91" s="29"/>
      <c r="H91" s="29"/>
      <c r="I91" s="29"/>
      <c r="J91" s="32"/>
      <c r="K91" s="29"/>
      <c r="L91" s="28" t="str">
        <f>IF(A91="","",IF(COUNTIF('02_工程タスク'!$A$4:$A$135,B91)&lt;&gt;1,"参照ID不正",IF(INDEX('02_工程タスク'!$D$4:$D$135,MATCH(B91,'02_工程タスク'!$A$4:$A$135,0))="","",INDEX('02_工程タスク'!$D$4:$D$135,MATCH(B91,'02_工程タスク'!$A$4:$A$135,0)))))</f>
        <v/>
      </c>
      <c r="M91" s="28" t="str">
        <f>IF(A91="","",IF(COUNTIF('07_スキル辞書'!$A$4:$A$109,D91)&lt;&gt;1,"参照ID不正",IF(INDEX('07_スキル辞書'!$D$4:$D$109,MATCH(D91,'07_スキル辞書'!$A$4:$A$109,0))="","",INDEX('07_スキル辞書'!$D$4:$D$109,MATCH(D91,'07_スキル辞書'!$A$4:$A$109,0)))))</f>
        <v/>
      </c>
      <c r="N91" s="28" t="str">
        <f>IF(OR(A91="",G91=""),"",IF(COUNTIF('28_スキル評価・育成'!$A$4:$A$203,G91)&lt;&gt;1,"参照ID不正",IF(INDEX('28_スキル評価・育成'!$H$4:$H$203,MATCH(G91,'28_スキル評価・育成'!$A$4:$A$203,0))="","",INDEX('28_スキル評価・育成'!$H$4:$H$203,MATCH(G91,'28_スキル評価・育成'!$A$4:$A$203,0)))))</f>
        <v/>
      </c>
      <c r="O91" s="28" t="str">
        <f t="shared" si="2"/>
        <v/>
      </c>
      <c r="P91" s="29"/>
      <c r="Q91" s="29"/>
      <c r="R91" s="28" t="str">
        <f>IF(A91="","",IF(COUNTIF($A$4:$A$103,A91)&lt;&gt;1,"割当ID重複",IF(OR(COUNTIF(TaskIDs,B91)&lt;&gt;1,COUNTIF(RoleIDs,C91)&lt;&gt;1,COUNTIF(SkillIDs,D91)&lt;&gt;1),"定義ID不正",IF(OR(NOT(ISNUMBER(E91)),IFERROR(MOD(E91,1)&lt;&gt;0,TRUE),IFERROR(E91&lt;0,TRUE),IFERROR(E91&gt;3,TRUE)),"必要Lv不正",IF(OR(OR(F91="",G91="",H91="",I91="",K91="",P91=""),NOT(ISNUMBER(J91))),"割当承認不足",IF(OR(AND(J91&lt;&gt;"",OR(NOT(ISNUMBER(J91)),IFERROR(J91&lt;1,TRUE),IFERROR(INT(J91)&gt;INT(AsOfDate),TRUE)))),"割当承認日不正",IF(OR(COUNTIF('28_スキル評価・育成'!$A$4:$A$203,G91)&lt;&gt;1,IF(COUNTIF('28_スキル評価・育成'!$A$4:$A$203,G91)&lt;&gt;1,"参照ID不正",IF(INDEX('28_スキル評価・育成'!$B$4:$B$203,MATCH(G91,'28_スキル評価・育成'!$A$4:$A$203,0))="","",INDEX('28_スキル評価・育成'!$B$4:$B$203,MATCH(G91,'28_スキル評価・育成'!$A$4:$A$203,0))))&lt;&gt;D91,IF(COUNTIF('28_スキル評価・育成'!$A$4:$A$203,G91)&lt;&gt;1,"参照ID不正",IF(INDEX('28_スキル評価・育成'!$Q$4:$Q$203,MATCH(G91,'28_スキル評価・育成'!$A$4:$A$203,0))="","",INDEX('28_スキル評価・育成'!$Q$4:$Q$203,MATCH(G91,'28_スキル評価・育成'!$A$4:$A$203,0))))&lt;&gt;F91),"能力証拠の対象不一致",IF(IF(COUNTIF('28_スキル評価・育成'!$A$4:$A$203,G91)&lt;&gt;1,"参照ID不正",IF(INDEX('28_スキル評価・育成'!$P$4:$P$203,MATCH(G91,'28_スキル評価・育成'!$A$4:$A$203,0))="","",INDEX('28_スキル評価・育成'!$P$4:$P$203,MATCH(G91,'28_スキル評価・育成'!$A$4:$A$203,0))))&lt;&gt;"第三者評価記録あり","能力の第三者確認不足",IF(AND(OR(P91="独立評価",P91="品質決裁"),OR(Q91="",Q91=F91)),"実装との独立性不足",IF(O91&gt;0,"能力不足・育成又は支援要","割当記録整合"))))))))))</f>
        <v/>
      </c>
    </row>
    <row r="92" spans="1:18" ht="64" customHeight="1" x14ac:dyDescent="0.2">
      <c r="A92" s="29"/>
      <c r="B92" s="29"/>
      <c r="C92" s="29"/>
      <c r="D92" s="29"/>
      <c r="E92" s="29"/>
      <c r="F92" s="29"/>
      <c r="G92" s="29"/>
      <c r="H92" s="29"/>
      <c r="I92" s="29"/>
      <c r="J92" s="32"/>
      <c r="K92" s="29"/>
      <c r="L92" s="28" t="str">
        <f>IF(A92="","",IF(COUNTIF('02_工程タスク'!$A$4:$A$135,B92)&lt;&gt;1,"参照ID不正",IF(INDEX('02_工程タスク'!$D$4:$D$135,MATCH(B92,'02_工程タスク'!$A$4:$A$135,0))="","",INDEX('02_工程タスク'!$D$4:$D$135,MATCH(B92,'02_工程タスク'!$A$4:$A$135,0)))))</f>
        <v/>
      </c>
      <c r="M92" s="28" t="str">
        <f>IF(A92="","",IF(COUNTIF('07_スキル辞書'!$A$4:$A$109,D92)&lt;&gt;1,"参照ID不正",IF(INDEX('07_スキル辞書'!$D$4:$D$109,MATCH(D92,'07_スキル辞書'!$A$4:$A$109,0))="","",INDEX('07_スキル辞書'!$D$4:$D$109,MATCH(D92,'07_スキル辞書'!$A$4:$A$109,0)))))</f>
        <v/>
      </c>
      <c r="N92" s="28" t="str">
        <f>IF(OR(A92="",G92=""),"",IF(COUNTIF('28_スキル評価・育成'!$A$4:$A$203,G92)&lt;&gt;1,"参照ID不正",IF(INDEX('28_スキル評価・育成'!$H$4:$H$203,MATCH(G92,'28_スキル評価・育成'!$A$4:$A$203,0))="","",INDEX('28_スキル評価・育成'!$H$4:$H$203,MATCH(G92,'28_スキル評価・育成'!$A$4:$A$203,0)))))</f>
        <v/>
      </c>
      <c r="O92" s="28" t="str">
        <f t="shared" si="2"/>
        <v/>
      </c>
      <c r="P92" s="29"/>
      <c r="Q92" s="29"/>
      <c r="R92" s="28" t="str">
        <f>IF(A92="","",IF(COUNTIF($A$4:$A$103,A92)&lt;&gt;1,"割当ID重複",IF(OR(COUNTIF(TaskIDs,B92)&lt;&gt;1,COUNTIF(RoleIDs,C92)&lt;&gt;1,COUNTIF(SkillIDs,D92)&lt;&gt;1),"定義ID不正",IF(OR(NOT(ISNUMBER(E92)),IFERROR(MOD(E92,1)&lt;&gt;0,TRUE),IFERROR(E92&lt;0,TRUE),IFERROR(E92&gt;3,TRUE)),"必要Lv不正",IF(OR(OR(F92="",G92="",H92="",I92="",K92="",P92=""),NOT(ISNUMBER(J92))),"割当承認不足",IF(OR(AND(J92&lt;&gt;"",OR(NOT(ISNUMBER(J92)),IFERROR(J92&lt;1,TRUE),IFERROR(INT(J92)&gt;INT(AsOfDate),TRUE)))),"割当承認日不正",IF(OR(COUNTIF('28_スキル評価・育成'!$A$4:$A$203,G92)&lt;&gt;1,IF(COUNTIF('28_スキル評価・育成'!$A$4:$A$203,G92)&lt;&gt;1,"参照ID不正",IF(INDEX('28_スキル評価・育成'!$B$4:$B$203,MATCH(G92,'28_スキル評価・育成'!$A$4:$A$203,0))="","",INDEX('28_スキル評価・育成'!$B$4:$B$203,MATCH(G92,'28_スキル評価・育成'!$A$4:$A$203,0))))&lt;&gt;D92,IF(COUNTIF('28_スキル評価・育成'!$A$4:$A$203,G92)&lt;&gt;1,"参照ID不正",IF(INDEX('28_スキル評価・育成'!$Q$4:$Q$203,MATCH(G92,'28_スキル評価・育成'!$A$4:$A$203,0))="","",INDEX('28_スキル評価・育成'!$Q$4:$Q$203,MATCH(G92,'28_スキル評価・育成'!$A$4:$A$203,0))))&lt;&gt;F92),"能力証拠の対象不一致",IF(IF(COUNTIF('28_スキル評価・育成'!$A$4:$A$203,G92)&lt;&gt;1,"参照ID不正",IF(INDEX('28_スキル評価・育成'!$P$4:$P$203,MATCH(G92,'28_スキル評価・育成'!$A$4:$A$203,0))="","",INDEX('28_スキル評価・育成'!$P$4:$P$203,MATCH(G92,'28_スキル評価・育成'!$A$4:$A$203,0))))&lt;&gt;"第三者評価記録あり","能力の第三者確認不足",IF(AND(OR(P92="独立評価",P92="品質決裁"),OR(Q92="",Q92=F92)),"実装との独立性不足",IF(O92&gt;0,"能力不足・育成又は支援要","割当記録整合"))))))))))</f>
        <v/>
      </c>
    </row>
    <row r="93" spans="1:18" ht="64" customHeight="1" x14ac:dyDescent="0.2">
      <c r="A93" s="29"/>
      <c r="B93" s="29"/>
      <c r="C93" s="29"/>
      <c r="D93" s="29"/>
      <c r="E93" s="29"/>
      <c r="F93" s="29"/>
      <c r="G93" s="29"/>
      <c r="H93" s="29"/>
      <c r="I93" s="29"/>
      <c r="J93" s="32"/>
      <c r="K93" s="29"/>
      <c r="L93" s="28" t="str">
        <f>IF(A93="","",IF(COUNTIF('02_工程タスク'!$A$4:$A$135,B93)&lt;&gt;1,"参照ID不正",IF(INDEX('02_工程タスク'!$D$4:$D$135,MATCH(B93,'02_工程タスク'!$A$4:$A$135,0))="","",INDEX('02_工程タスク'!$D$4:$D$135,MATCH(B93,'02_工程タスク'!$A$4:$A$135,0)))))</f>
        <v/>
      </c>
      <c r="M93" s="28" t="str">
        <f>IF(A93="","",IF(COUNTIF('07_スキル辞書'!$A$4:$A$109,D93)&lt;&gt;1,"参照ID不正",IF(INDEX('07_スキル辞書'!$D$4:$D$109,MATCH(D93,'07_スキル辞書'!$A$4:$A$109,0))="","",INDEX('07_スキル辞書'!$D$4:$D$109,MATCH(D93,'07_スキル辞書'!$A$4:$A$109,0)))))</f>
        <v/>
      </c>
      <c r="N93" s="28" t="str">
        <f>IF(OR(A93="",G93=""),"",IF(COUNTIF('28_スキル評価・育成'!$A$4:$A$203,G93)&lt;&gt;1,"参照ID不正",IF(INDEX('28_スキル評価・育成'!$H$4:$H$203,MATCH(G93,'28_スキル評価・育成'!$A$4:$A$203,0))="","",INDEX('28_スキル評価・育成'!$H$4:$H$203,MATCH(G93,'28_スキル評価・育成'!$A$4:$A$203,0)))))</f>
        <v/>
      </c>
      <c r="O93" s="28" t="str">
        <f t="shared" si="2"/>
        <v/>
      </c>
      <c r="P93" s="29"/>
      <c r="Q93" s="29"/>
      <c r="R93" s="28" t="str">
        <f>IF(A93="","",IF(COUNTIF($A$4:$A$103,A93)&lt;&gt;1,"割当ID重複",IF(OR(COUNTIF(TaskIDs,B93)&lt;&gt;1,COUNTIF(RoleIDs,C93)&lt;&gt;1,COUNTIF(SkillIDs,D93)&lt;&gt;1),"定義ID不正",IF(OR(NOT(ISNUMBER(E93)),IFERROR(MOD(E93,1)&lt;&gt;0,TRUE),IFERROR(E93&lt;0,TRUE),IFERROR(E93&gt;3,TRUE)),"必要Lv不正",IF(OR(OR(F93="",G93="",H93="",I93="",K93="",P93=""),NOT(ISNUMBER(J93))),"割当承認不足",IF(OR(AND(J93&lt;&gt;"",OR(NOT(ISNUMBER(J93)),IFERROR(J93&lt;1,TRUE),IFERROR(INT(J93)&gt;INT(AsOfDate),TRUE)))),"割当承認日不正",IF(OR(COUNTIF('28_スキル評価・育成'!$A$4:$A$203,G93)&lt;&gt;1,IF(COUNTIF('28_スキル評価・育成'!$A$4:$A$203,G93)&lt;&gt;1,"参照ID不正",IF(INDEX('28_スキル評価・育成'!$B$4:$B$203,MATCH(G93,'28_スキル評価・育成'!$A$4:$A$203,0))="","",INDEX('28_スキル評価・育成'!$B$4:$B$203,MATCH(G93,'28_スキル評価・育成'!$A$4:$A$203,0))))&lt;&gt;D93,IF(COUNTIF('28_スキル評価・育成'!$A$4:$A$203,G93)&lt;&gt;1,"参照ID不正",IF(INDEX('28_スキル評価・育成'!$Q$4:$Q$203,MATCH(G93,'28_スキル評価・育成'!$A$4:$A$203,0))="","",INDEX('28_スキル評価・育成'!$Q$4:$Q$203,MATCH(G93,'28_スキル評価・育成'!$A$4:$A$203,0))))&lt;&gt;F93),"能力証拠の対象不一致",IF(IF(COUNTIF('28_スキル評価・育成'!$A$4:$A$203,G93)&lt;&gt;1,"参照ID不正",IF(INDEX('28_スキル評価・育成'!$P$4:$P$203,MATCH(G93,'28_スキル評価・育成'!$A$4:$A$203,0))="","",INDEX('28_スキル評価・育成'!$P$4:$P$203,MATCH(G93,'28_スキル評価・育成'!$A$4:$A$203,0))))&lt;&gt;"第三者評価記録あり","能力の第三者確認不足",IF(AND(OR(P93="独立評価",P93="品質決裁"),OR(Q93="",Q93=F93)),"実装との独立性不足",IF(O93&gt;0,"能力不足・育成又は支援要","割当記録整合"))))))))))</f>
        <v/>
      </c>
    </row>
    <row r="94" spans="1:18" ht="64" customHeight="1" x14ac:dyDescent="0.2">
      <c r="A94" s="29"/>
      <c r="B94" s="29"/>
      <c r="C94" s="29"/>
      <c r="D94" s="29"/>
      <c r="E94" s="29"/>
      <c r="F94" s="29"/>
      <c r="G94" s="29"/>
      <c r="H94" s="29"/>
      <c r="I94" s="29"/>
      <c r="J94" s="32"/>
      <c r="K94" s="29"/>
      <c r="L94" s="28" t="str">
        <f>IF(A94="","",IF(COUNTIF('02_工程タスク'!$A$4:$A$135,B94)&lt;&gt;1,"参照ID不正",IF(INDEX('02_工程タスク'!$D$4:$D$135,MATCH(B94,'02_工程タスク'!$A$4:$A$135,0))="","",INDEX('02_工程タスク'!$D$4:$D$135,MATCH(B94,'02_工程タスク'!$A$4:$A$135,0)))))</f>
        <v/>
      </c>
      <c r="M94" s="28" t="str">
        <f>IF(A94="","",IF(COUNTIF('07_スキル辞書'!$A$4:$A$109,D94)&lt;&gt;1,"参照ID不正",IF(INDEX('07_スキル辞書'!$D$4:$D$109,MATCH(D94,'07_スキル辞書'!$A$4:$A$109,0))="","",INDEX('07_スキル辞書'!$D$4:$D$109,MATCH(D94,'07_スキル辞書'!$A$4:$A$109,0)))))</f>
        <v/>
      </c>
      <c r="N94" s="28" t="str">
        <f>IF(OR(A94="",G94=""),"",IF(COUNTIF('28_スキル評価・育成'!$A$4:$A$203,G94)&lt;&gt;1,"参照ID不正",IF(INDEX('28_スキル評価・育成'!$H$4:$H$203,MATCH(G94,'28_スキル評価・育成'!$A$4:$A$203,0))="","",INDEX('28_スキル評価・育成'!$H$4:$H$203,MATCH(G94,'28_スキル評価・育成'!$A$4:$A$203,0)))))</f>
        <v/>
      </c>
      <c r="O94" s="28" t="str">
        <f t="shared" si="2"/>
        <v/>
      </c>
      <c r="P94" s="29"/>
      <c r="Q94" s="29"/>
      <c r="R94" s="28" t="str">
        <f>IF(A94="","",IF(COUNTIF($A$4:$A$103,A94)&lt;&gt;1,"割当ID重複",IF(OR(COUNTIF(TaskIDs,B94)&lt;&gt;1,COUNTIF(RoleIDs,C94)&lt;&gt;1,COUNTIF(SkillIDs,D94)&lt;&gt;1),"定義ID不正",IF(OR(NOT(ISNUMBER(E94)),IFERROR(MOD(E94,1)&lt;&gt;0,TRUE),IFERROR(E94&lt;0,TRUE),IFERROR(E94&gt;3,TRUE)),"必要Lv不正",IF(OR(OR(F94="",G94="",H94="",I94="",K94="",P94=""),NOT(ISNUMBER(J94))),"割当承認不足",IF(OR(AND(J94&lt;&gt;"",OR(NOT(ISNUMBER(J94)),IFERROR(J94&lt;1,TRUE),IFERROR(INT(J94)&gt;INT(AsOfDate),TRUE)))),"割当承認日不正",IF(OR(COUNTIF('28_スキル評価・育成'!$A$4:$A$203,G94)&lt;&gt;1,IF(COUNTIF('28_スキル評価・育成'!$A$4:$A$203,G94)&lt;&gt;1,"参照ID不正",IF(INDEX('28_スキル評価・育成'!$B$4:$B$203,MATCH(G94,'28_スキル評価・育成'!$A$4:$A$203,0))="","",INDEX('28_スキル評価・育成'!$B$4:$B$203,MATCH(G94,'28_スキル評価・育成'!$A$4:$A$203,0))))&lt;&gt;D94,IF(COUNTIF('28_スキル評価・育成'!$A$4:$A$203,G94)&lt;&gt;1,"参照ID不正",IF(INDEX('28_スキル評価・育成'!$Q$4:$Q$203,MATCH(G94,'28_スキル評価・育成'!$A$4:$A$203,0))="","",INDEX('28_スキル評価・育成'!$Q$4:$Q$203,MATCH(G94,'28_スキル評価・育成'!$A$4:$A$203,0))))&lt;&gt;F94),"能力証拠の対象不一致",IF(IF(COUNTIF('28_スキル評価・育成'!$A$4:$A$203,G94)&lt;&gt;1,"参照ID不正",IF(INDEX('28_スキル評価・育成'!$P$4:$P$203,MATCH(G94,'28_スキル評価・育成'!$A$4:$A$203,0))="","",INDEX('28_スキル評価・育成'!$P$4:$P$203,MATCH(G94,'28_スキル評価・育成'!$A$4:$A$203,0))))&lt;&gt;"第三者評価記録あり","能力の第三者確認不足",IF(AND(OR(P94="独立評価",P94="品質決裁"),OR(Q94="",Q94=F94)),"実装との独立性不足",IF(O94&gt;0,"能力不足・育成又は支援要","割当記録整合"))))))))))</f>
        <v/>
      </c>
    </row>
    <row r="95" spans="1:18" ht="64" customHeight="1" x14ac:dyDescent="0.2">
      <c r="A95" s="29"/>
      <c r="B95" s="29"/>
      <c r="C95" s="29"/>
      <c r="D95" s="29"/>
      <c r="E95" s="29"/>
      <c r="F95" s="29"/>
      <c r="G95" s="29"/>
      <c r="H95" s="29"/>
      <c r="I95" s="29"/>
      <c r="J95" s="32"/>
      <c r="K95" s="29"/>
      <c r="L95" s="28" t="str">
        <f>IF(A95="","",IF(COUNTIF('02_工程タスク'!$A$4:$A$135,B95)&lt;&gt;1,"参照ID不正",IF(INDEX('02_工程タスク'!$D$4:$D$135,MATCH(B95,'02_工程タスク'!$A$4:$A$135,0))="","",INDEX('02_工程タスク'!$D$4:$D$135,MATCH(B95,'02_工程タスク'!$A$4:$A$135,0)))))</f>
        <v/>
      </c>
      <c r="M95" s="28" t="str">
        <f>IF(A95="","",IF(COUNTIF('07_スキル辞書'!$A$4:$A$109,D95)&lt;&gt;1,"参照ID不正",IF(INDEX('07_スキル辞書'!$D$4:$D$109,MATCH(D95,'07_スキル辞書'!$A$4:$A$109,0))="","",INDEX('07_スキル辞書'!$D$4:$D$109,MATCH(D95,'07_スキル辞書'!$A$4:$A$109,0)))))</f>
        <v/>
      </c>
      <c r="N95" s="28" t="str">
        <f>IF(OR(A95="",G95=""),"",IF(COUNTIF('28_スキル評価・育成'!$A$4:$A$203,G95)&lt;&gt;1,"参照ID不正",IF(INDEX('28_スキル評価・育成'!$H$4:$H$203,MATCH(G95,'28_スキル評価・育成'!$A$4:$A$203,0))="","",INDEX('28_スキル評価・育成'!$H$4:$H$203,MATCH(G95,'28_スキル評価・育成'!$A$4:$A$203,0)))))</f>
        <v/>
      </c>
      <c r="O95" s="28" t="str">
        <f t="shared" si="2"/>
        <v/>
      </c>
      <c r="P95" s="29"/>
      <c r="Q95" s="29"/>
      <c r="R95" s="28" t="str">
        <f>IF(A95="","",IF(COUNTIF($A$4:$A$103,A95)&lt;&gt;1,"割当ID重複",IF(OR(COUNTIF(TaskIDs,B95)&lt;&gt;1,COUNTIF(RoleIDs,C95)&lt;&gt;1,COUNTIF(SkillIDs,D95)&lt;&gt;1),"定義ID不正",IF(OR(NOT(ISNUMBER(E95)),IFERROR(MOD(E95,1)&lt;&gt;0,TRUE),IFERROR(E95&lt;0,TRUE),IFERROR(E95&gt;3,TRUE)),"必要Lv不正",IF(OR(OR(F95="",G95="",H95="",I95="",K95="",P95=""),NOT(ISNUMBER(J95))),"割当承認不足",IF(OR(AND(J95&lt;&gt;"",OR(NOT(ISNUMBER(J95)),IFERROR(J95&lt;1,TRUE),IFERROR(INT(J95)&gt;INT(AsOfDate),TRUE)))),"割当承認日不正",IF(OR(COUNTIF('28_スキル評価・育成'!$A$4:$A$203,G95)&lt;&gt;1,IF(COUNTIF('28_スキル評価・育成'!$A$4:$A$203,G95)&lt;&gt;1,"参照ID不正",IF(INDEX('28_スキル評価・育成'!$B$4:$B$203,MATCH(G95,'28_スキル評価・育成'!$A$4:$A$203,0))="","",INDEX('28_スキル評価・育成'!$B$4:$B$203,MATCH(G95,'28_スキル評価・育成'!$A$4:$A$203,0))))&lt;&gt;D95,IF(COUNTIF('28_スキル評価・育成'!$A$4:$A$203,G95)&lt;&gt;1,"参照ID不正",IF(INDEX('28_スキル評価・育成'!$Q$4:$Q$203,MATCH(G95,'28_スキル評価・育成'!$A$4:$A$203,0))="","",INDEX('28_スキル評価・育成'!$Q$4:$Q$203,MATCH(G95,'28_スキル評価・育成'!$A$4:$A$203,0))))&lt;&gt;F95),"能力証拠の対象不一致",IF(IF(COUNTIF('28_スキル評価・育成'!$A$4:$A$203,G95)&lt;&gt;1,"参照ID不正",IF(INDEX('28_スキル評価・育成'!$P$4:$P$203,MATCH(G95,'28_スキル評価・育成'!$A$4:$A$203,0))="","",INDEX('28_スキル評価・育成'!$P$4:$P$203,MATCH(G95,'28_スキル評価・育成'!$A$4:$A$203,0))))&lt;&gt;"第三者評価記録あり","能力の第三者確認不足",IF(AND(OR(P95="独立評価",P95="品質決裁"),OR(Q95="",Q95=F95)),"実装との独立性不足",IF(O95&gt;0,"能力不足・育成又は支援要","割当記録整合"))))))))))</f>
        <v/>
      </c>
    </row>
    <row r="96" spans="1:18" ht="64" customHeight="1" x14ac:dyDescent="0.2">
      <c r="A96" s="29"/>
      <c r="B96" s="29"/>
      <c r="C96" s="29"/>
      <c r="D96" s="29"/>
      <c r="E96" s="29"/>
      <c r="F96" s="29"/>
      <c r="G96" s="29"/>
      <c r="H96" s="29"/>
      <c r="I96" s="29"/>
      <c r="J96" s="32"/>
      <c r="K96" s="29"/>
      <c r="L96" s="28" t="str">
        <f>IF(A96="","",IF(COUNTIF('02_工程タスク'!$A$4:$A$135,B96)&lt;&gt;1,"参照ID不正",IF(INDEX('02_工程タスク'!$D$4:$D$135,MATCH(B96,'02_工程タスク'!$A$4:$A$135,0))="","",INDEX('02_工程タスク'!$D$4:$D$135,MATCH(B96,'02_工程タスク'!$A$4:$A$135,0)))))</f>
        <v/>
      </c>
      <c r="M96" s="28" t="str">
        <f>IF(A96="","",IF(COUNTIF('07_スキル辞書'!$A$4:$A$109,D96)&lt;&gt;1,"参照ID不正",IF(INDEX('07_スキル辞書'!$D$4:$D$109,MATCH(D96,'07_スキル辞書'!$A$4:$A$109,0))="","",INDEX('07_スキル辞書'!$D$4:$D$109,MATCH(D96,'07_スキル辞書'!$A$4:$A$109,0)))))</f>
        <v/>
      </c>
      <c r="N96" s="28" t="str">
        <f>IF(OR(A96="",G96=""),"",IF(COUNTIF('28_スキル評価・育成'!$A$4:$A$203,G96)&lt;&gt;1,"参照ID不正",IF(INDEX('28_スキル評価・育成'!$H$4:$H$203,MATCH(G96,'28_スキル評価・育成'!$A$4:$A$203,0))="","",INDEX('28_スキル評価・育成'!$H$4:$H$203,MATCH(G96,'28_スキル評価・育成'!$A$4:$A$203,0)))))</f>
        <v/>
      </c>
      <c r="O96" s="28" t="str">
        <f t="shared" si="2"/>
        <v/>
      </c>
      <c r="P96" s="29"/>
      <c r="Q96" s="29"/>
      <c r="R96" s="28" t="str">
        <f>IF(A96="","",IF(COUNTIF($A$4:$A$103,A96)&lt;&gt;1,"割当ID重複",IF(OR(COUNTIF(TaskIDs,B96)&lt;&gt;1,COUNTIF(RoleIDs,C96)&lt;&gt;1,COUNTIF(SkillIDs,D96)&lt;&gt;1),"定義ID不正",IF(OR(NOT(ISNUMBER(E96)),IFERROR(MOD(E96,1)&lt;&gt;0,TRUE),IFERROR(E96&lt;0,TRUE),IFERROR(E96&gt;3,TRUE)),"必要Lv不正",IF(OR(OR(F96="",G96="",H96="",I96="",K96="",P96=""),NOT(ISNUMBER(J96))),"割当承認不足",IF(OR(AND(J96&lt;&gt;"",OR(NOT(ISNUMBER(J96)),IFERROR(J96&lt;1,TRUE),IFERROR(INT(J96)&gt;INT(AsOfDate),TRUE)))),"割当承認日不正",IF(OR(COUNTIF('28_スキル評価・育成'!$A$4:$A$203,G96)&lt;&gt;1,IF(COUNTIF('28_スキル評価・育成'!$A$4:$A$203,G96)&lt;&gt;1,"参照ID不正",IF(INDEX('28_スキル評価・育成'!$B$4:$B$203,MATCH(G96,'28_スキル評価・育成'!$A$4:$A$203,0))="","",INDEX('28_スキル評価・育成'!$B$4:$B$203,MATCH(G96,'28_スキル評価・育成'!$A$4:$A$203,0))))&lt;&gt;D96,IF(COUNTIF('28_スキル評価・育成'!$A$4:$A$203,G96)&lt;&gt;1,"参照ID不正",IF(INDEX('28_スキル評価・育成'!$Q$4:$Q$203,MATCH(G96,'28_スキル評価・育成'!$A$4:$A$203,0))="","",INDEX('28_スキル評価・育成'!$Q$4:$Q$203,MATCH(G96,'28_スキル評価・育成'!$A$4:$A$203,0))))&lt;&gt;F96),"能力証拠の対象不一致",IF(IF(COUNTIF('28_スキル評価・育成'!$A$4:$A$203,G96)&lt;&gt;1,"参照ID不正",IF(INDEX('28_スキル評価・育成'!$P$4:$P$203,MATCH(G96,'28_スキル評価・育成'!$A$4:$A$203,0))="","",INDEX('28_スキル評価・育成'!$P$4:$P$203,MATCH(G96,'28_スキル評価・育成'!$A$4:$A$203,0))))&lt;&gt;"第三者評価記録あり","能力の第三者確認不足",IF(AND(OR(P96="独立評価",P96="品質決裁"),OR(Q96="",Q96=F96)),"実装との独立性不足",IF(O96&gt;0,"能力不足・育成又は支援要","割当記録整合"))))))))))</f>
        <v/>
      </c>
    </row>
    <row r="97" spans="1:18" ht="64" customHeight="1" x14ac:dyDescent="0.2">
      <c r="A97" s="29"/>
      <c r="B97" s="29"/>
      <c r="C97" s="29"/>
      <c r="D97" s="29"/>
      <c r="E97" s="29"/>
      <c r="F97" s="29"/>
      <c r="G97" s="29"/>
      <c r="H97" s="29"/>
      <c r="I97" s="29"/>
      <c r="J97" s="32"/>
      <c r="K97" s="29"/>
      <c r="L97" s="28" t="str">
        <f>IF(A97="","",IF(COUNTIF('02_工程タスク'!$A$4:$A$135,B97)&lt;&gt;1,"参照ID不正",IF(INDEX('02_工程タスク'!$D$4:$D$135,MATCH(B97,'02_工程タスク'!$A$4:$A$135,0))="","",INDEX('02_工程タスク'!$D$4:$D$135,MATCH(B97,'02_工程タスク'!$A$4:$A$135,0)))))</f>
        <v/>
      </c>
      <c r="M97" s="28" t="str">
        <f>IF(A97="","",IF(COUNTIF('07_スキル辞書'!$A$4:$A$109,D97)&lt;&gt;1,"参照ID不正",IF(INDEX('07_スキル辞書'!$D$4:$D$109,MATCH(D97,'07_スキル辞書'!$A$4:$A$109,0))="","",INDEX('07_スキル辞書'!$D$4:$D$109,MATCH(D97,'07_スキル辞書'!$A$4:$A$109,0)))))</f>
        <v/>
      </c>
      <c r="N97" s="28" t="str">
        <f>IF(OR(A97="",G97=""),"",IF(COUNTIF('28_スキル評価・育成'!$A$4:$A$203,G97)&lt;&gt;1,"参照ID不正",IF(INDEX('28_スキル評価・育成'!$H$4:$H$203,MATCH(G97,'28_スキル評価・育成'!$A$4:$A$203,0))="","",INDEX('28_スキル評価・育成'!$H$4:$H$203,MATCH(G97,'28_スキル評価・育成'!$A$4:$A$203,0)))))</f>
        <v/>
      </c>
      <c r="O97" s="28" t="str">
        <f t="shared" si="2"/>
        <v/>
      </c>
      <c r="P97" s="29"/>
      <c r="Q97" s="29"/>
      <c r="R97" s="28" t="str">
        <f>IF(A97="","",IF(COUNTIF($A$4:$A$103,A97)&lt;&gt;1,"割当ID重複",IF(OR(COUNTIF(TaskIDs,B97)&lt;&gt;1,COUNTIF(RoleIDs,C97)&lt;&gt;1,COUNTIF(SkillIDs,D97)&lt;&gt;1),"定義ID不正",IF(OR(NOT(ISNUMBER(E97)),IFERROR(MOD(E97,1)&lt;&gt;0,TRUE),IFERROR(E97&lt;0,TRUE),IFERROR(E97&gt;3,TRUE)),"必要Lv不正",IF(OR(OR(F97="",G97="",H97="",I97="",K97="",P97=""),NOT(ISNUMBER(J97))),"割当承認不足",IF(OR(AND(J97&lt;&gt;"",OR(NOT(ISNUMBER(J97)),IFERROR(J97&lt;1,TRUE),IFERROR(INT(J97)&gt;INT(AsOfDate),TRUE)))),"割当承認日不正",IF(OR(COUNTIF('28_スキル評価・育成'!$A$4:$A$203,G97)&lt;&gt;1,IF(COUNTIF('28_スキル評価・育成'!$A$4:$A$203,G97)&lt;&gt;1,"参照ID不正",IF(INDEX('28_スキル評価・育成'!$B$4:$B$203,MATCH(G97,'28_スキル評価・育成'!$A$4:$A$203,0))="","",INDEX('28_スキル評価・育成'!$B$4:$B$203,MATCH(G97,'28_スキル評価・育成'!$A$4:$A$203,0))))&lt;&gt;D97,IF(COUNTIF('28_スキル評価・育成'!$A$4:$A$203,G97)&lt;&gt;1,"参照ID不正",IF(INDEX('28_スキル評価・育成'!$Q$4:$Q$203,MATCH(G97,'28_スキル評価・育成'!$A$4:$A$203,0))="","",INDEX('28_スキル評価・育成'!$Q$4:$Q$203,MATCH(G97,'28_スキル評価・育成'!$A$4:$A$203,0))))&lt;&gt;F97),"能力証拠の対象不一致",IF(IF(COUNTIF('28_スキル評価・育成'!$A$4:$A$203,G97)&lt;&gt;1,"参照ID不正",IF(INDEX('28_スキル評価・育成'!$P$4:$P$203,MATCH(G97,'28_スキル評価・育成'!$A$4:$A$203,0))="","",INDEX('28_スキル評価・育成'!$P$4:$P$203,MATCH(G97,'28_スキル評価・育成'!$A$4:$A$203,0))))&lt;&gt;"第三者評価記録あり","能力の第三者確認不足",IF(AND(OR(P97="独立評価",P97="品質決裁"),OR(Q97="",Q97=F97)),"実装との独立性不足",IF(O97&gt;0,"能力不足・育成又は支援要","割当記録整合"))))))))))</f>
        <v/>
      </c>
    </row>
    <row r="98" spans="1:18" ht="64" customHeight="1" x14ac:dyDescent="0.2">
      <c r="A98" s="29"/>
      <c r="B98" s="29"/>
      <c r="C98" s="29"/>
      <c r="D98" s="29"/>
      <c r="E98" s="29"/>
      <c r="F98" s="29"/>
      <c r="G98" s="29"/>
      <c r="H98" s="29"/>
      <c r="I98" s="29"/>
      <c r="J98" s="32"/>
      <c r="K98" s="29"/>
      <c r="L98" s="28" t="str">
        <f>IF(A98="","",IF(COUNTIF('02_工程タスク'!$A$4:$A$135,B98)&lt;&gt;1,"参照ID不正",IF(INDEX('02_工程タスク'!$D$4:$D$135,MATCH(B98,'02_工程タスク'!$A$4:$A$135,0))="","",INDEX('02_工程タスク'!$D$4:$D$135,MATCH(B98,'02_工程タスク'!$A$4:$A$135,0)))))</f>
        <v/>
      </c>
      <c r="M98" s="28" t="str">
        <f>IF(A98="","",IF(COUNTIF('07_スキル辞書'!$A$4:$A$109,D98)&lt;&gt;1,"参照ID不正",IF(INDEX('07_スキル辞書'!$D$4:$D$109,MATCH(D98,'07_スキル辞書'!$A$4:$A$109,0))="","",INDEX('07_スキル辞書'!$D$4:$D$109,MATCH(D98,'07_スキル辞書'!$A$4:$A$109,0)))))</f>
        <v/>
      </c>
      <c r="N98" s="28" t="str">
        <f>IF(OR(A98="",G98=""),"",IF(COUNTIF('28_スキル評価・育成'!$A$4:$A$203,G98)&lt;&gt;1,"参照ID不正",IF(INDEX('28_スキル評価・育成'!$H$4:$H$203,MATCH(G98,'28_スキル評価・育成'!$A$4:$A$203,0))="","",INDEX('28_スキル評価・育成'!$H$4:$H$203,MATCH(G98,'28_スキル評価・育成'!$A$4:$A$203,0)))))</f>
        <v/>
      </c>
      <c r="O98" s="28" t="str">
        <f t="shared" si="2"/>
        <v/>
      </c>
      <c r="P98" s="29"/>
      <c r="Q98" s="29"/>
      <c r="R98" s="28" t="str">
        <f>IF(A98="","",IF(COUNTIF($A$4:$A$103,A98)&lt;&gt;1,"割当ID重複",IF(OR(COUNTIF(TaskIDs,B98)&lt;&gt;1,COUNTIF(RoleIDs,C98)&lt;&gt;1,COUNTIF(SkillIDs,D98)&lt;&gt;1),"定義ID不正",IF(OR(NOT(ISNUMBER(E98)),IFERROR(MOD(E98,1)&lt;&gt;0,TRUE),IFERROR(E98&lt;0,TRUE),IFERROR(E98&gt;3,TRUE)),"必要Lv不正",IF(OR(OR(F98="",G98="",H98="",I98="",K98="",P98=""),NOT(ISNUMBER(J98))),"割当承認不足",IF(OR(AND(J98&lt;&gt;"",OR(NOT(ISNUMBER(J98)),IFERROR(J98&lt;1,TRUE),IFERROR(INT(J98)&gt;INT(AsOfDate),TRUE)))),"割当承認日不正",IF(OR(COUNTIF('28_スキル評価・育成'!$A$4:$A$203,G98)&lt;&gt;1,IF(COUNTIF('28_スキル評価・育成'!$A$4:$A$203,G98)&lt;&gt;1,"参照ID不正",IF(INDEX('28_スキル評価・育成'!$B$4:$B$203,MATCH(G98,'28_スキル評価・育成'!$A$4:$A$203,0))="","",INDEX('28_スキル評価・育成'!$B$4:$B$203,MATCH(G98,'28_スキル評価・育成'!$A$4:$A$203,0))))&lt;&gt;D98,IF(COUNTIF('28_スキル評価・育成'!$A$4:$A$203,G98)&lt;&gt;1,"参照ID不正",IF(INDEX('28_スキル評価・育成'!$Q$4:$Q$203,MATCH(G98,'28_スキル評価・育成'!$A$4:$A$203,0))="","",INDEX('28_スキル評価・育成'!$Q$4:$Q$203,MATCH(G98,'28_スキル評価・育成'!$A$4:$A$203,0))))&lt;&gt;F98),"能力証拠の対象不一致",IF(IF(COUNTIF('28_スキル評価・育成'!$A$4:$A$203,G98)&lt;&gt;1,"参照ID不正",IF(INDEX('28_スキル評価・育成'!$P$4:$P$203,MATCH(G98,'28_スキル評価・育成'!$A$4:$A$203,0))="","",INDEX('28_スキル評価・育成'!$P$4:$P$203,MATCH(G98,'28_スキル評価・育成'!$A$4:$A$203,0))))&lt;&gt;"第三者評価記録あり","能力の第三者確認不足",IF(AND(OR(P98="独立評価",P98="品質決裁"),OR(Q98="",Q98=F98)),"実装との独立性不足",IF(O98&gt;0,"能力不足・育成又は支援要","割当記録整合"))))))))))</f>
        <v/>
      </c>
    </row>
    <row r="99" spans="1:18" ht="64" customHeight="1" x14ac:dyDescent="0.2">
      <c r="A99" s="29"/>
      <c r="B99" s="29"/>
      <c r="C99" s="29"/>
      <c r="D99" s="29"/>
      <c r="E99" s="29"/>
      <c r="F99" s="29"/>
      <c r="G99" s="29"/>
      <c r="H99" s="29"/>
      <c r="I99" s="29"/>
      <c r="J99" s="32"/>
      <c r="K99" s="29"/>
      <c r="L99" s="28" t="str">
        <f>IF(A99="","",IF(COUNTIF('02_工程タスク'!$A$4:$A$135,B99)&lt;&gt;1,"参照ID不正",IF(INDEX('02_工程タスク'!$D$4:$D$135,MATCH(B99,'02_工程タスク'!$A$4:$A$135,0))="","",INDEX('02_工程タスク'!$D$4:$D$135,MATCH(B99,'02_工程タスク'!$A$4:$A$135,0)))))</f>
        <v/>
      </c>
      <c r="M99" s="28" t="str">
        <f>IF(A99="","",IF(COUNTIF('07_スキル辞書'!$A$4:$A$109,D99)&lt;&gt;1,"参照ID不正",IF(INDEX('07_スキル辞書'!$D$4:$D$109,MATCH(D99,'07_スキル辞書'!$A$4:$A$109,0))="","",INDEX('07_スキル辞書'!$D$4:$D$109,MATCH(D99,'07_スキル辞書'!$A$4:$A$109,0)))))</f>
        <v/>
      </c>
      <c r="N99" s="28" t="str">
        <f>IF(OR(A99="",G99=""),"",IF(COUNTIF('28_スキル評価・育成'!$A$4:$A$203,G99)&lt;&gt;1,"参照ID不正",IF(INDEX('28_スキル評価・育成'!$H$4:$H$203,MATCH(G99,'28_スキル評価・育成'!$A$4:$A$203,0))="","",INDEX('28_スキル評価・育成'!$H$4:$H$203,MATCH(G99,'28_スキル評価・育成'!$A$4:$A$203,0)))))</f>
        <v/>
      </c>
      <c r="O99" s="28" t="str">
        <f t="shared" si="2"/>
        <v/>
      </c>
      <c r="P99" s="29"/>
      <c r="Q99" s="29"/>
      <c r="R99" s="28" t="str">
        <f>IF(A99="","",IF(COUNTIF($A$4:$A$103,A99)&lt;&gt;1,"割当ID重複",IF(OR(COUNTIF(TaskIDs,B99)&lt;&gt;1,COUNTIF(RoleIDs,C99)&lt;&gt;1,COUNTIF(SkillIDs,D99)&lt;&gt;1),"定義ID不正",IF(OR(NOT(ISNUMBER(E99)),IFERROR(MOD(E99,1)&lt;&gt;0,TRUE),IFERROR(E99&lt;0,TRUE),IFERROR(E99&gt;3,TRUE)),"必要Lv不正",IF(OR(OR(F99="",G99="",H99="",I99="",K99="",P99=""),NOT(ISNUMBER(J99))),"割当承認不足",IF(OR(AND(J99&lt;&gt;"",OR(NOT(ISNUMBER(J99)),IFERROR(J99&lt;1,TRUE),IFERROR(INT(J99)&gt;INT(AsOfDate),TRUE)))),"割当承認日不正",IF(OR(COUNTIF('28_スキル評価・育成'!$A$4:$A$203,G99)&lt;&gt;1,IF(COUNTIF('28_スキル評価・育成'!$A$4:$A$203,G99)&lt;&gt;1,"参照ID不正",IF(INDEX('28_スキル評価・育成'!$B$4:$B$203,MATCH(G99,'28_スキル評価・育成'!$A$4:$A$203,0))="","",INDEX('28_スキル評価・育成'!$B$4:$B$203,MATCH(G99,'28_スキル評価・育成'!$A$4:$A$203,0))))&lt;&gt;D99,IF(COUNTIF('28_スキル評価・育成'!$A$4:$A$203,G99)&lt;&gt;1,"参照ID不正",IF(INDEX('28_スキル評価・育成'!$Q$4:$Q$203,MATCH(G99,'28_スキル評価・育成'!$A$4:$A$203,0))="","",INDEX('28_スキル評価・育成'!$Q$4:$Q$203,MATCH(G99,'28_スキル評価・育成'!$A$4:$A$203,0))))&lt;&gt;F99),"能力証拠の対象不一致",IF(IF(COUNTIF('28_スキル評価・育成'!$A$4:$A$203,G99)&lt;&gt;1,"参照ID不正",IF(INDEX('28_スキル評価・育成'!$P$4:$P$203,MATCH(G99,'28_スキル評価・育成'!$A$4:$A$203,0))="","",INDEX('28_スキル評価・育成'!$P$4:$P$203,MATCH(G99,'28_スキル評価・育成'!$A$4:$A$203,0))))&lt;&gt;"第三者評価記録あり","能力の第三者確認不足",IF(AND(OR(P99="独立評価",P99="品質決裁"),OR(Q99="",Q99=F99)),"実装との独立性不足",IF(O99&gt;0,"能力不足・育成又は支援要","割当記録整合"))))))))))</f>
        <v/>
      </c>
    </row>
    <row r="100" spans="1:18" ht="64" customHeight="1" x14ac:dyDescent="0.2">
      <c r="A100" s="29"/>
      <c r="B100" s="29"/>
      <c r="C100" s="29"/>
      <c r="D100" s="29"/>
      <c r="E100" s="29"/>
      <c r="F100" s="29"/>
      <c r="G100" s="29"/>
      <c r="H100" s="29"/>
      <c r="I100" s="29"/>
      <c r="J100" s="32"/>
      <c r="K100" s="29"/>
      <c r="L100" s="28" t="str">
        <f>IF(A100="","",IF(COUNTIF('02_工程タスク'!$A$4:$A$135,B100)&lt;&gt;1,"参照ID不正",IF(INDEX('02_工程タスク'!$D$4:$D$135,MATCH(B100,'02_工程タスク'!$A$4:$A$135,0))="","",INDEX('02_工程タスク'!$D$4:$D$135,MATCH(B100,'02_工程タスク'!$A$4:$A$135,0)))))</f>
        <v/>
      </c>
      <c r="M100" s="28" t="str">
        <f>IF(A100="","",IF(COUNTIF('07_スキル辞書'!$A$4:$A$109,D100)&lt;&gt;1,"参照ID不正",IF(INDEX('07_スキル辞書'!$D$4:$D$109,MATCH(D100,'07_スキル辞書'!$A$4:$A$109,0))="","",INDEX('07_スキル辞書'!$D$4:$D$109,MATCH(D100,'07_スキル辞書'!$A$4:$A$109,0)))))</f>
        <v/>
      </c>
      <c r="N100" s="28" t="str">
        <f>IF(OR(A100="",G100=""),"",IF(COUNTIF('28_スキル評価・育成'!$A$4:$A$203,G100)&lt;&gt;1,"参照ID不正",IF(INDEX('28_スキル評価・育成'!$H$4:$H$203,MATCH(G100,'28_スキル評価・育成'!$A$4:$A$203,0))="","",INDEX('28_スキル評価・育成'!$H$4:$H$203,MATCH(G100,'28_スキル評価・育成'!$A$4:$A$203,0)))))</f>
        <v/>
      </c>
      <c r="O100" s="28" t="str">
        <f t="shared" ref="O100:O131" si="3">IF(COUNT(E100,N100)&lt;2,"",MAX(0,E100-N100))</f>
        <v/>
      </c>
      <c r="P100" s="29"/>
      <c r="Q100" s="29"/>
      <c r="R100" s="28" t="str">
        <f>IF(A100="","",IF(COUNTIF($A$4:$A$103,A100)&lt;&gt;1,"割当ID重複",IF(OR(COUNTIF(TaskIDs,B100)&lt;&gt;1,COUNTIF(RoleIDs,C100)&lt;&gt;1,COUNTIF(SkillIDs,D100)&lt;&gt;1),"定義ID不正",IF(OR(NOT(ISNUMBER(E100)),IFERROR(MOD(E100,1)&lt;&gt;0,TRUE),IFERROR(E100&lt;0,TRUE),IFERROR(E100&gt;3,TRUE)),"必要Lv不正",IF(OR(OR(F100="",G100="",H100="",I100="",K100="",P100=""),NOT(ISNUMBER(J100))),"割当承認不足",IF(OR(AND(J100&lt;&gt;"",OR(NOT(ISNUMBER(J100)),IFERROR(J100&lt;1,TRUE),IFERROR(INT(J100)&gt;INT(AsOfDate),TRUE)))),"割当承認日不正",IF(OR(COUNTIF('28_スキル評価・育成'!$A$4:$A$203,G100)&lt;&gt;1,IF(COUNTIF('28_スキル評価・育成'!$A$4:$A$203,G100)&lt;&gt;1,"参照ID不正",IF(INDEX('28_スキル評価・育成'!$B$4:$B$203,MATCH(G100,'28_スキル評価・育成'!$A$4:$A$203,0))="","",INDEX('28_スキル評価・育成'!$B$4:$B$203,MATCH(G100,'28_スキル評価・育成'!$A$4:$A$203,0))))&lt;&gt;D100,IF(COUNTIF('28_スキル評価・育成'!$A$4:$A$203,G100)&lt;&gt;1,"参照ID不正",IF(INDEX('28_スキル評価・育成'!$Q$4:$Q$203,MATCH(G100,'28_スキル評価・育成'!$A$4:$A$203,0))="","",INDEX('28_スキル評価・育成'!$Q$4:$Q$203,MATCH(G100,'28_スキル評価・育成'!$A$4:$A$203,0))))&lt;&gt;F100),"能力証拠の対象不一致",IF(IF(COUNTIF('28_スキル評価・育成'!$A$4:$A$203,G100)&lt;&gt;1,"参照ID不正",IF(INDEX('28_スキル評価・育成'!$P$4:$P$203,MATCH(G100,'28_スキル評価・育成'!$A$4:$A$203,0))="","",INDEX('28_スキル評価・育成'!$P$4:$P$203,MATCH(G100,'28_スキル評価・育成'!$A$4:$A$203,0))))&lt;&gt;"第三者評価記録あり","能力の第三者確認不足",IF(AND(OR(P100="独立評価",P100="品質決裁"),OR(Q100="",Q100=F100)),"実装との独立性不足",IF(O100&gt;0,"能力不足・育成又は支援要","割当記録整合"))))))))))</f>
        <v/>
      </c>
    </row>
    <row r="101" spans="1:18" ht="64" customHeight="1" x14ac:dyDescent="0.2">
      <c r="A101" s="29"/>
      <c r="B101" s="29"/>
      <c r="C101" s="29"/>
      <c r="D101" s="29"/>
      <c r="E101" s="29"/>
      <c r="F101" s="29"/>
      <c r="G101" s="29"/>
      <c r="H101" s="29"/>
      <c r="I101" s="29"/>
      <c r="J101" s="32"/>
      <c r="K101" s="29"/>
      <c r="L101" s="28" t="str">
        <f>IF(A101="","",IF(COUNTIF('02_工程タスク'!$A$4:$A$135,B101)&lt;&gt;1,"参照ID不正",IF(INDEX('02_工程タスク'!$D$4:$D$135,MATCH(B101,'02_工程タスク'!$A$4:$A$135,0))="","",INDEX('02_工程タスク'!$D$4:$D$135,MATCH(B101,'02_工程タスク'!$A$4:$A$135,0)))))</f>
        <v/>
      </c>
      <c r="M101" s="28" t="str">
        <f>IF(A101="","",IF(COUNTIF('07_スキル辞書'!$A$4:$A$109,D101)&lt;&gt;1,"参照ID不正",IF(INDEX('07_スキル辞書'!$D$4:$D$109,MATCH(D101,'07_スキル辞書'!$A$4:$A$109,0))="","",INDEX('07_スキル辞書'!$D$4:$D$109,MATCH(D101,'07_スキル辞書'!$A$4:$A$109,0)))))</f>
        <v/>
      </c>
      <c r="N101" s="28" t="str">
        <f>IF(OR(A101="",G101=""),"",IF(COUNTIF('28_スキル評価・育成'!$A$4:$A$203,G101)&lt;&gt;1,"参照ID不正",IF(INDEX('28_スキル評価・育成'!$H$4:$H$203,MATCH(G101,'28_スキル評価・育成'!$A$4:$A$203,0))="","",INDEX('28_スキル評価・育成'!$H$4:$H$203,MATCH(G101,'28_スキル評価・育成'!$A$4:$A$203,0)))))</f>
        <v/>
      </c>
      <c r="O101" s="28" t="str">
        <f t="shared" si="3"/>
        <v/>
      </c>
      <c r="P101" s="29"/>
      <c r="Q101" s="29"/>
      <c r="R101" s="28" t="str">
        <f>IF(A101="","",IF(COUNTIF($A$4:$A$103,A101)&lt;&gt;1,"割当ID重複",IF(OR(COUNTIF(TaskIDs,B101)&lt;&gt;1,COUNTIF(RoleIDs,C101)&lt;&gt;1,COUNTIF(SkillIDs,D101)&lt;&gt;1),"定義ID不正",IF(OR(NOT(ISNUMBER(E101)),IFERROR(MOD(E101,1)&lt;&gt;0,TRUE),IFERROR(E101&lt;0,TRUE),IFERROR(E101&gt;3,TRUE)),"必要Lv不正",IF(OR(OR(F101="",G101="",H101="",I101="",K101="",P101=""),NOT(ISNUMBER(J101))),"割当承認不足",IF(OR(AND(J101&lt;&gt;"",OR(NOT(ISNUMBER(J101)),IFERROR(J101&lt;1,TRUE),IFERROR(INT(J101)&gt;INT(AsOfDate),TRUE)))),"割当承認日不正",IF(OR(COUNTIF('28_スキル評価・育成'!$A$4:$A$203,G101)&lt;&gt;1,IF(COUNTIF('28_スキル評価・育成'!$A$4:$A$203,G101)&lt;&gt;1,"参照ID不正",IF(INDEX('28_スキル評価・育成'!$B$4:$B$203,MATCH(G101,'28_スキル評価・育成'!$A$4:$A$203,0))="","",INDEX('28_スキル評価・育成'!$B$4:$B$203,MATCH(G101,'28_スキル評価・育成'!$A$4:$A$203,0))))&lt;&gt;D101,IF(COUNTIF('28_スキル評価・育成'!$A$4:$A$203,G101)&lt;&gt;1,"参照ID不正",IF(INDEX('28_スキル評価・育成'!$Q$4:$Q$203,MATCH(G101,'28_スキル評価・育成'!$A$4:$A$203,0))="","",INDEX('28_スキル評価・育成'!$Q$4:$Q$203,MATCH(G101,'28_スキル評価・育成'!$A$4:$A$203,0))))&lt;&gt;F101),"能力証拠の対象不一致",IF(IF(COUNTIF('28_スキル評価・育成'!$A$4:$A$203,G101)&lt;&gt;1,"参照ID不正",IF(INDEX('28_スキル評価・育成'!$P$4:$P$203,MATCH(G101,'28_スキル評価・育成'!$A$4:$A$203,0))="","",INDEX('28_スキル評価・育成'!$P$4:$P$203,MATCH(G101,'28_スキル評価・育成'!$A$4:$A$203,0))))&lt;&gt;"第三者評価記録あり","能力の第三者確認不足",IF(AND(OR(P101="独立評価",P101="品質決裁"),OR(Q101="",Q101=F101)),"実装との独立性不足",IF(O101&gt;0,"能力不足・育成又は支援要","割当記録整合"))))))))))</f>
        <v/>
      </c>
    </row>
    <row r="102" spans="1:18" ht="64" customHeight="1" x14ac:dyDescent="0.2">
      <c r="A102" s="29"/>
      <c r="B102" s="29"/>
      <c r="C102" s="29"/>
      <c r="D102" s="29"/>
      <c r="E102" s="29"/>
      <c r="F102" s="29"/>
      <c r="G102" s="29"/>
      <c r="H102" s="29"/>
      <c r="I102" s="29"/>
      <c r="J102" s="32"/>
      <c r="K102" s="29"/>
      <c r="L102" s="28" t="str">
        <f>IF(A102="","",IF(COUNTIF('02_工程タスク'!$A$4:$A$135,B102)&lt;&gt;1,"参照ID不正",IF(INDEX('02_工程タスク'!$D$4:$D$135,MATCH(B102,'02_工程タスク'!$A$4:$A$135,0))="","",INDEX('02_工程タスク'!$D$4:$D$135,MATCH(B102,'02_工程タスク'!$A$4:$A$135,0)))))</f>
        <v/>
      </c>
      <c r="M102" s="28" t="str">
        <f>IF(A102="","",IF(COUNTIF('07_スキル辞書'!$A$4:$A$109,D102)&lt;&gt;1,"参照ID不正",IF(INDEX('07_スキル辞書'!$D$4:$D$109,MATCH(D102,'07_スキル辞書'!$A$4:$A$109,0))="","",INDEX('07_スキル辞書'!$D$4:$D$109,MATCH(D102,'07_スキル辞書'!$A$4:$A$109,0)))))</f>
        <v/>
      </c>
      <c r="N102" s="28" t="str">
        <f>IF(OR(A102="",G102=""),"",IF(COUNTIF('28_スキル評価・育成'!$A$4:$A$203,G102)&lt;&gt;1,"参照ID不正",IF(INDEX('28_スキル評価・育成'!$H$4:$H$203,MATCH(G102,'28_スキル評価・育成'!$A$4:$A$203,0))="","",INDEX('28_スキル評価・育成'!$H$4:$H$203,MATCH(G102,'28_スキル評価・育成'!$A$4:$A$203,0)))))</f>
        <v/>
      </c>
      <c r="O102" s="28" t="str">
        <f t="shared" si="3"/>
        <v/>
      </c>
      <c r="P102" s="29"/>
      <c r="Q102" s="29"/>
      <c r="R102" s="28" t="str">
        <f>IF(A102="","",IF(COUNTIF($A$4:$A$103,A102)&lt;&gt;1,"割当ID重複",IF(OR(COUNTIF(TaskIDs,B102)&lt;&gt;1,COUNTIF(RoleIDs,C102)&lt;&gt;1,COUNTIF(SkillIDs,D102)&lt;&gt;1),"定義ID不正",IF(OR(NOT(ISNUMBER(E102)),IFERROR(MOD(E102,1)&lt;&gt;0,TRUE),IFERROR(E102&lt;0,TRUE),IFERROR(E102&gt;3,TRUE)),"必要Lv不正",IF(OR(OR(F102="",G102="",H102="",I102="",K102="",P102=""),NOT(ISNUMBER(J102))),"割当承認不足",IF(OR(AND(J102&lt;&gt;"",OR(NOT(ISNUMBER(J102)),IFERROR(J102&lt;1,TRUE),IFERROR(INT(J102)&gt;INT(AsOfDate),TRUE)))),"割当承認日不正",IF(OR(COUNTIF('28_スキル評価・育成'!$A$4:$A$203,G102)&lt;&gt;1,IF(COUNTIF('28_スキル評価・育成'!$A$4:$A$203,G102)&lt;&gt;1,"参照ID不正",IF(INDEX('28_スキル評価・育成'!$B$4:$B$203,MATCH(G102,'28_スキル評価・育成'!$A$4:$A$203,0))="","",INDEX('28_スキル評価・育成'!$B$4:$B$203,MATCH(G102,'28_スキル評価・育成'!$A$4:$A$203,0))))&lt;&gt;D102,IF(COUNTIF('28_スキル評価・育成'!$A$4:$A$203,G102)&lt;&gt;1,"参照ID不正",IF(INDEX('28_スキル評価・育成'!$Q$4:$Q$203,MATCH(G102,'28_スキル評価・育成'!$A$4:$A$203,0))="","",INDEX('28_スキル評価・育成'!$Q$4:$Q$203,MATCH(G102,'28_スキル評価・育成'!$A$4:$A$203,0))))&lt;&gt;F102),"能力証拠の対象不一致",IF(IF(COUNTIF('28_スキル評価・育成'!$A$4:$A$203,G102)&lt;&gt;1,"参照ID不正",IF(INDEX('28_スキル評価・育成'!$P$4:$P$203,MATCH(G102,'28_スキル評価・育成'!$A$4:$A$203,0))="","",INDEX('28_スキル評価・育成'!$P$4:$P$203,MATCH(G102,'28_スキル評価・育成'!$A$4:$A$203,0))))&lt;&gt;"第三者評価記録あり","能力の第三者確認不足",IF(AND(OR(P102="独立評価",P102="品質決裁"),OR(Q102="",Q102=F102)),"実装との独立性不足",IF(O102&gt;0,"能力不足・育成又は支援要","割当記録整合"))))))))))</f>
        <v/>
      </c>
    </row>
    <row r="103" spans="1:18" ht="64" customHeight="1" x14ac:dyDescent="0.2">
      <c r="A103" s="29"/>
      <c r="B103" s="29"/>
      <c r="C103" s="29"/>
      <c r="D103" s="29"/>
      <c r="E103" s="29"/>
      <c r="F103" s="29"/>
      <c r="G103" s="29"/>
      <c r="H103" s="29"/>
      <c r="I103" s="29"/>
      <c r="J103" s="32"/>
      <c r="K103" s="29"/>
      <c r="L103" s="28" t="str">
        <f>IF(A103="","",IF(COUNTIF('02_工程タスク'!$A$4:$A$135,B103)&lt;&gt;1,"参照ID不正",IF(INDEX('02_工程タスク'!$D$4:$D$135,MATCH(B103,'02_工程タスク'!$A$4:$A$135,0))="","",INDEX('02_工程タスク'!$D$4:$D$135,MATCH(B103,'02_工程タスク'!$A$4:$A$135,0)))))</f>
        <v/>
      </c>
      <c r="M103" s="28" t="str">
        <f>IF(A103="","",IF(COUNTIF('07_スキル辞書'!$A$4:$A$109,D103)&lt;&gt;1,"参照ID不正",IF(INDEX('07_スキル辞書'!$D$4:$D$109,MATCH(D103,'07_スキル辞書'!$A$4:$A$109,0))="","",INDEX('07_スキル辞書'!$D$4:$D$109,MATCH(D103,'07_スキル辞書'!$A$4:$A$109,0)))))</f>
        <v/>
      </c>
      <c r="N103" s="28" t="str">
        <f>IF(OR(A103="",G103=""),"",IF(COUNTIF('28_スキル評価・育成'!$A$4:$A$203,G103)&lt;&gt;1,"参照ID不正",IF(INDEX('28_スキル評価・育成'!$H$4:$H$203,MATCH(G103,'28_スキル評価・育成'!$A$4:$A$203,0))="","",INDEX('28_スキル評価・育成'!$H$4:$H$203,MATCH(G103,'28_スキル評価・育成'!$A$4:$A$203,0)))))</f>
        <v/>
      </c>
      <c r="O103" s="28" t="str">
        <f t="shared" si="3"/>
        <v/>
      </c>
      <c r="P103" s="29"/>
      <c r="Q103" s="29"/>
      <c r="R103" s="28" t="str">
        <f>IF(A103="","",IF(COUNTIF($A$4:$A$103,A103)&lt;&gt;1,"割当ID重複",IF(OR(COUNTIF(TaskIDs,B103)&lt;&gt;1,COUNTIF(RoleIDs,C103)&lt;&gt;1,COUNTIF(SkillIDs,D103)&lt;&gt;1),"定義ID不正",IF(OR(NOT(ISNUMBER(E103)),IFERROR(MOD(E103,1)&lt;&gt;0,TRUE),IFERROR(E103&lt;0,TRUE),IFERROR(E103&gt;3,TRUE)),"必要Lv不正",IF(OR(OR(F103="",G103="",H103="",I103="",K103="",P103=""),NOT(ISNUMBER(J103))),"割当承認不足",IF(OR(AND(J103&lt;&gt;"",OR(NOT(ISNUMBER(J103)),IFERROR(J103&lt;1,TRUE),IFERROR(INT(J103)&gt;INT(AsOfDate),TRUE)))),"割当承認日不正",IF(OR(COUNTIF('28_スキル評価・育成'!$A$4:$A$203,G103)&lt;&gt;1,IF(COUNTIF('28_スキル評価・育成'!$A$4:$A$203,G103)&lt;&gt;1,"参照ID不正",IF(INDEX('28_スキル評価・育成'!$B$4:$B$203,MATCH(G103,'28_スキル評価・育成'!$A$4:$A$203,0))="","",INDEX('28_スキル評価・育成'!$B$4:$B$203,MATCH(G103,'28_スキル評価・育成'!$A$4:$A$203,0))))&lt;&gt;D103,IF(COUNTIF('28_スキル評価・育成'!$A$4:$A$203,G103)&lt;&gt;1,"参照ID不正",IF(INDEX('28_スキル評価・育成'!$Q$4:$Q$203,MATCH(G103,'28_スキル評価・育成'!$A$4:$A$203,0))="","",INDEX('28_スキル評価・育成'!$Q$4:$Q$203,MATCH(G103,'28_スキル評価・育成'!$A$4:$A$203,0))))&lt;&gt;F103),"能力証拠の対象不一致",IF(IF(COUNTIF('28_スキル評価・育成'!$A$4:$A$203,G103)&lt;&gt;1,"参照ID不正",IF(INDEX('28_スキル評価・育成'!$P$4:$P$203,MATCH(G103,'28_スキル評価・育成'!$A$4:$A$203,0))="","",INDEX('28_スキル評価・育成'!$P$4:$P$203,MATCH(G103,'28_スキル評価・育成'!$A$4:$A$203,0))))&lt;&gt;"第三者評価記録あり","能力の第三者確認不足",IF(AND(OR(P103="独立評価",P103="品質決裁"),OR(Q103="",Q103=F103)),"実装との独立性不足",IF(O103&gt;0,"能力不足・育成又は支援要","割当記録整合"))))))))))</f>
        <v/>
      </c>
    </row>
  </sheetData>
  <autoFilter ref="A3:R103" xr:uid="{00000000-0009-0000-0000-000023000000}"/>
  <mergeCells count="2">
    <mergeCell ref="A2:I2"/>
    <mergeCell ref="A1:G1"/>
  </mergeCells>
  <phoneticPr fontId="12"/>
  <conditionalFormatting sqref="R4:R103">
    <cfRule type="expression" dxfId="0" priority="1">
      <formula>OR(ISNUMBER(SEARCH("不正",R4)),ISNUMBER(SEARCH("不足",R4)),ISNUMBER(SEARCH("超過",R4)),ISNUMBER(SEARCH("不一致",R4)),ISNUMBER(SEARCH("失効",R4)),ISNUMBER(SEARCH("矛盾",R4)))</formula>
    </cfRule>
  </conditionalFormatting>
  <dataValidations count="4">
    <dataValidation type="list" allowBlank="1" showErrorMessage="1" errorTitle="入力値を確認" error="候補・値域を確認してください。貼付や外部取込後も点検が必要です。" sqref="B4:B103" xr:uid="{00000000-0002-0000-2300-000000000000}">
      <formula1>TaskIDs</formula1>
    </dataValidation>
    <dataValidation type="list" allowBlank="1" showErrorMessage="1" errorTitle="入力値を確認" error="候補・値域を確認してください。貼付や外部取込後も点検が必要です。" sqref="C4:C103" xr:uid="{00000000-0002-0000-2300-000001000000}">
      <formula1>RoleIDs</formula1>
    </dataValidation>
    <dataValidation type="list" allowBlank="1" showErrorMessage="1" errorTitle="入力値を確認" error="候補・値域を確認してください。貼付や外部取込後も点検が必要です。" sqref="D4:D103" xr:uid="{00000000-0002-0000-2300-000002000000}">
      <formula1>SkillIDs</formula1>
    </dataValidation>
    <dataValidation type="list" allowBlank="1" showErrorMessage="1" errorTitle="入力値を確認" error="候補・値域を確認してください。貼付や外部取込後も点検が必要です。" sqref="P4:P103" xr:uid="{00000000-0002-0000-2300-000003000000}">
      <formula1>"実装,独立評価,品質決裁,その他"</formula1>
    </dataValidation>
  </dataValidations>
  <pageMargins left="0.75" right="0.75" top="1" bottom="1"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36</vt:i4>
      </vt:variant>
      <vt:variant>
        <vt:lpstr>名前付き一覧</vt:lpstr>
      </vt:variant>
      <vt:variant>
        <vt:i4>72</vt:i4>
      </vt:variant>
    </vt:vector>
  </HeadingPairs>
  <TitlesOfParts>
    <vt:vector size="108" baseType="lpstr">
      <vt:lpstr>00_前提・使い方</vt:lpstr>
      <vt:lpstr>01_事業ライフサイクル・ゲート</vt:lpstr>
      <vt:lpstr>02_工程タスク</vt:lpstr>
      <vt:lpstr>03_AIリスクTier・適用判定</vt:lpstr>
      <vt:lpstr>04_規模・テーラリング</vt:lpstr>
      <vt:lpstr>05_意思決定・RACI</vt:lpstr>
      <vt:lpstr>06_ロール・要員計画</vt:lpstr>
      <vt:lpstr>07_スキル辞書</vt:lpstr>
      <vt:lpstr>08_タスク×ロール×スキル</vt:lpstr>
      <vt:lpstr>09_成果物・正本マップ</vt:lpstr>
      <vt:lpstr>10_データ台帳</vt:lpstr>
      <vt:lpstr>11_モデル・外部AI・ベンダー台帳</vt:lpstr>
      <vt:lpstr>12_プライバシー・法令判定</vt:lpstr>
      <vt:lpstr>13_アーキテクチャ・ADR台帳</vt:lpstr>
      <vt:lpstr>14_AI駆動開発・ハーネス標準</vt:lpstr>
      <vt:lpstr>15_評価計画・品質ゲート</vt:lpstr>
      <vt:lpstr>16_評価実績インデックス</vt:lpstr>
      <vt:lpstr>17_ロードマップ・案件実行管理</vt:lpstr>
      <vt:lpstr>18_見積・AI効果測定</vt:lpstr>
      <vt:lpstr>19_リスク・セキュリティ・例外</vt:lpstr>
      <vt:lpstr>20_リリース・変更・ロールバック</vt:lpstr>
      <vt:lpstr>21_SLO・運用・インシデント</vt:lpstr>
      <vt:lpstr>22_廃止・移管・削除</vt:lpstr>
      <vt:lpstr>23_外部契約・調達</vt:lpstr>
      <vt:lpstr>24_調査ソース・変更履歴</vt:lpstr>
      <vt:lpstr>25_事業仮説・実験・GTM</vt:lpstr>
      <vt:lpstr>26_事業KPI・投資収益</vt:lpstr>
      <vt:lpstr>27_v3差分・適用注意</vt:lpstr>
      <vt:lpstr>28_スキル評価・育成</vt:lpstr>
      <vt:lpstr>29_ゲート承認記録</vt:lpstr>
      <vt:lpstr>30_必須評価セット</vt:lpstr>
      <vt:lpstr>31_条件・有効性</vt:lpstr>
      <vt:lpstr>32_定義マスター</vt:lpstr>
      <vt:lpstr>33_改訂対応・検証</vt:lpstr>
      <vt:lpstr>34_Run・同期管理</vt:lpstr>
      <vt:lpstr>35_実名・能力割当</vt:lpstr>
      <vt:lpstr>AsOfDate</vt:lpstr>
      <vt:lpstr>EvalIDs</vt:lpstr>
      <vt:lpstr>EvalPlanKeys</vt:lpstr>
      <vt:lpstr>'00_前提・使い方'!Print_Area</vt:lpstr>
      <vt:lpstr>'01_事業ライフサイクル・ゲート'!Print_Area</vt:lpstr>
      <vt:lpstr>'02_工程タスク'!Print_Area</vt:lpstr>
      <vt:lpstr>'03_AIリスクTier・適用判定'!Print_Area</vt:lpstr>
      <vt:lpstr>'04_規模・テーラリング'!Print_Area</vt:lpstr>
      <vt:lpstr>'05_意思決定・RACI'!Print_Area</vt:lpstr>
      <vt:lpstr>'06_ロール・要員計画'!Print_Area</vt:lpstr>
      <vt:lpstr>'07_スキル辞書'!Print_Area</vt:lpstr>
      <vt:lpstr>'08_タスク×ロール×スキル'!Print_Area</vt:lpstr>
      <vt:lpstr>'09_成果物・正本マップ'!Print_Area</vt:lpstr>
      <vt:lpstr>'10_データ台帳'!Print_Area</vt:lpstr>
      <vt:lpstr>'11_モデル・外部AI・ベンダー台帳'!Print_Area</vt:lpstr>
      <vt:lpstr>'12_プライバシー・法令判定'!Print_Area</vt:lpstr>
      <vt:lpstr>'13_アーキテクチャ・ADR台帳'!Print_Area</vt:lpstr>
      <vt:lpstr>'14_AI駆動開発・ハーネス標準'!Print_Area</vt:lpstr>
      <vt:lpstr>'15_評価計画・品質ゲート'!Print_Area</vt:lpstr>
      <vt:lpstr>'16_評価実績インデックス'!Print_Area</vt:lpstr>
      <vt:lpstr>'17_ロードマップ・案件実行管理'!Print_Area</vt:lpstr>
      <vt:lpstr>'18_見積・AI効果測定'!Print_Area</vt:lpstr>
      <vt:lpstr>'19_リスク・セキュリティ・例外'!Print_Area</vt:lpstr>
      <vt:lpstr>'20_リリース・変更・ロールバック'!Print_Area</vt:lpstr>
      <vt:lpstr>'21_SLO・運用・インシデント'!Print_Area</vt:lpstr>
      <vt:lpstr>'22_廃止・移管・削除'!Print_Area</vt:lpstr>
      <vt:lpstr>'23_外部契約・調達'!Print_Area</vt:lpstr>
      <vt:lpstr>'24_調査ソース・変更履歴'!Print_Area</vt:lpstr>
      <vt:lpstr>'25_事業仮説・実験・GTM'!Print_Area</vt:lpstr>
      <vt:lpstr>'26_事業KPI・投資収益'!Print_Area</vt:lpstr>
      <vt:lpstr>'27_v3差分・適用注意'!Print_Area</vt:lpstr>
      <vt:lpstr>'28_スキル評価・育成'!Print_Area</vt:lpstr>
      <vt:lpstr>'29_ゲート承認記録'!Print_Area</vt:lpstr>
      <vt:lpstr>'00_前提・使い方'!Print_Titles</vt:lpstr>
      <vt:lpstr>'01_事業ライフサイクル・ゲート'!Print_Titles</vt:lpstr>
      <vt:lpstr>'02_工程タスク'!Print_Titles</vt:lpstr>
      <vt:lpstr>'03_AIリスクTier・適用判定'!Print_Titles</vt:lpstr>
      <vt:lpstr>'04_規模・テーラリング'!Print_Titles</vt:lpstr>
      <vt:lpstr>'05_意思決定・RACI'!Print_Titles</vt:lpstr>
      <vt:lpstr>'06_ロール・要員計画'!Print_Titles</vt:lpstr>
      <vt:lpstr>'07_スキル辞書'!Print_Titles</vt:lpstr>
      <vt:lpstr>'08_タスク×ロール×スキル'!Print_Titles</vt:lpstr>
      <vt:lpstr>'09_成果物・正本マップ'!Print_Titles</vt:lpstr>
      <vt:lpstr>'10_データ台帳'!Print_Titles</vt:lpstr>
      <vt:lpstr>'11_モデル・外部AI・ベンダー台帳'!Print_Titles</vt:lpstr>
      <vt:lpstr>'12_プライバシー・法令判定'!Print_Titles</vt:lpstr>
      <vt:lpstr>'13_アーキテクチャ・ADR台帳'!Print_Titles</vt:lpstr>
      <vt:lpstr>'14_AI駆動開発・ハーネス標準'!Print_Titles</vt:lpstr>
      <vt:lpstr>'15_評価計画・品質ゲート'!Print_Titles</vt:lpstr>
      <vt:lpstr>'16_評価実績インデックス'!Print_Titles</vt:lpstr>
      <vt:lpstr>'17_ロードマップ・案件実行管理'!Print_Titles</vt:lpstr>
      <vt:lpstr>'18_見積・AI効果測定'!Print_Titles</vt:lpstr>
      <vt:lpstr>'19_リスク・セキュリティ・例外'!Print_Titles</vt:lpstr>
      <vt:lpstr>'20_リリース・変更・ロールバック'!Print_Titles</vt:lpstr>
      <vt:lpstr>'21_SLO・運用・インシデント'!Print_Titles</vt:lpstr>
      <vt:lpstr>'22_廃止・移管・削除'!Print_Titles</vt:lpstr>
      <vt:lpstr>'23_外部契約・調達'!Print_Titles</vt:lpstr>
      <vt:lpstr>'24_調査ソース・変更履歴'!Print_Titles</vt:lpstr>
      <vt:lpstr>'25_事業仮説・実験・GTM'!Print_Titles</vt:lpstr>
      <vt:lpstr>'26_事業KPI・投資収益'!Print_Titles</vt:lpstr>
      <vt:lpstr>'27_v3差分・適用注意'!Print_Titles</vt:lpstr>
      <vt:lpstr>'28_スキル評価・育成'!Print_Titles</vt:lpstr>
      <vt:lpstr>'29_ゲート承認記録'!Print_Titles</vt:lpstr>
      <vt:lpstr>'30_必須評価セット'!Print_Titles</vt:lpstr>
      <vt:lpstr>'31_条件・有効性'!Print_Titles</vt:lpstr>
      <vt:lpstr>'32_定義マスター'!Print_Titles</vt:lpstr>
      <vt:lpstr>'33_改訂対応・検証'!Print_Titles</vt:lpstr>
      <vt:lpstr>'34_Run・同期管理'!Print_Titles</vt:lpstr>
      <vt:lpstr>'35_実名・能力割当'!Print_Titles</vt:lpstr>
      <vt:lpstr>RoleIDs</vt:lpstr>
      <vt:lpstr>SkillIDs</vt:lpstr>
      <vt:lpstr>TaskIDs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AIシステム自社事業PJ 工程管理 v1.0</dc:title>
  <dc:subject>事業探索から廃止までの工程・スキル・証拠管理</dc:subject>
  <dc:creator>OpenAI</dc:creator>
  <cp:lastModifiedBy>剛 畠山</cp:lastModifiedBy>
  <dcterms:created xsi:type="dcterms:W3CDTF">2026-09-05T18:16:20Z</dcterms:created>
  <dcterms:modified xsi:type="dcterms:W3CDTF">2026-09-06T04:42:16Z</dcterms:modified>
</cp:coreProperties>
</file>